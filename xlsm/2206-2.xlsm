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edca3\OneDrive\바탕 화면\새 폴더\대학교 학습 자료\전북대학교\C언어기초\모의고사&amp;수능 관련\2022\6월\2학년\"/>
    </mc:Choice>
  </mc:AlternateContent>
  <xr:revisionPtr revIDLastSave="0" documentId="13_ncr:1_{9DC13F2B-3458-4293-B09F-53A5731262E2}" xr6:coauthVersionLast="47" xr6:coauthVersionMax="47" xr10:uidLastSave="{00000000-0000-0000-0000-000000000000}"/>
  <bookViews>
    <workbookView xWindow="-110" yWindow="-110" windowWidth="19420" windowHeight="10420" xr2:uid="{AB9EE284-95EA-49B1-8133-EE4E7651E7F1}"/>
  </bookViews>
  <sheets>
    <sheet name="통계 및 응시자 수 입력 기능" sheetId="67" r:id="rId1"/>
    <sheet name="표점등급&amp;절평인원 입력 기능" sheetId="66" r:id="rId2"/>
    <sheet name="인원 입력 기능(국수)" sheetId="64" r:id="rId3"/>
    <sheet name="인원 입력 기능(사과탐)" sheetId="68" r:id="rId4"/>
    <sheet name="국어" sheetId="2" r:id="rId5"/>
    <sheet name="수학" sheetId="5" r:id="rId6"/>
    <sheet name="영어" sheetId="6" r:id="rId7"/>
    <sheet name="한국사" sheetId="25" r:id="rId8"/>
    <sheet name="생활과 윤리" sheetId="3" r:id="rId9"/>
    <sheet name="윤리와 사상" sheetId="26" r:id="rId10"/>
    <sheet name="한국지리" sheetId="27" r:id="rId11"/>
    <sheet name="세계지리" sheetId="28" r:id="rId12"/>
    <sheet name="동아시아사" sheetId="29" r:id="rId13"/>
    <sheet name="세계사" sheetId="30" r:id="rId14"/>
    <sheet name="경제" sheetId="31" r:id="rId15"/>
    <sheet name="정치와 법" sheetId="32" r:id="rId16"/>
    <sheet name="사회∙문화" sheetId="33" r:id="rId17"/>
    <sheet name="물리학Ⅰ" sheetId="34" r:id="rId18"/>
    <sheet name="화학Ⅰ" sheetId="35" r:id="rId19"/>
    <sheet name="생명과학Ⅰ" sheetId="36" r:id="rId20"/>
    <sheet name="지구과학Ⅰ" sheetId="37" r:id="rId21"/>
    <sheet name="등급컷 모아보기" sheetId="79" r:id="rId2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5" i="29" l="1"/>
  <c r="E35" i="29" s="1"/>
  <c r="E36" i="29"/>
  <c r="H3" i="3"/>
  <c r="H3" i="26"/>
  <c r="H4" i="3"/>
  <c r="G35" i="29" l="1"/>
  <c r="G36" i="29"/>
  <c r="H36" i="29" s="1"/>
  <c r="J3" i="2"/>
  <c r="J3" i="5"/>
  <c r="H35" i="29" l="1"/>
  <c r="I36" i="29"/>
  <c r="I35" i="29"/>
  <c r="E15" i="25"/>
  <c r="E14" i="25"/>
  <c r="E9" i="25"/>
  <c r="E10" i="25"/>
  <c r="E11" i="25"/>
  <c r="E12" i="25"/>
  <c r="E13" i="25"/>
  <c r="E8" i="25"/>
  <c r="E7" i="25"/>
  <c r="E15" i="6"/>
  <c r="E9" i="6"/>
  <c r="E10" i="6"/>
  <c r="E11" i="6"/>
  <c r="E12" i="6"/>
  <c r="E13" i="6"/>
  <c r="E14" i="6"/>
  <c r="E8" i="6"/>
  <c r="E7" i="6"/>
  <c r="J36" i="29" l="1"/>
  <c r="F36" i="29"/>
  <c r="F35" i="29"/>
  <c r="J35" i="29"/>
  <c r="Q8" i="26"/>
  <c r="Q9" i="26"/>
  <c r="Q10" i="26"/>
  <c r="Q11" i="26"/>
  <c r="Q12" i="26"/>
  <c r="Q13" i="26"/>
  <c r="Q14" i="26"/>
  <c r="Q8" i="27"/>
  <c r="Q9" i="27"/>
  <c r="Q10" i="27"/>
  <c r="Q11" i="27"/>
  <c r="Q12" i="27"/>
  <c r="Q13" i="27"/>
  <c r="Q14" i="27"/>
  <c r="Q8" i="28"/>
  <c r="Q9" i="28"/>
  <c r="Q10" i="28"/>
  <c r="Q11" i="28"/>
  <c r="Q12" i="28"/>
  <c r="Q13" i="28"/>
  <c r="Q14" i="28"/>
  <c r="Q8" i="29"/>
  <c r="Q9" i="29"/>
  <c r="Q10" i="29"/>
  <c r="Q11" i="29"/>
  <c r="Q12" i="29"/>
  <c r="Q13" i="29"/>
  <c r="Q14" i="29"/>
  <c r="Q8" i="30"/>
  <c r="Q9" i="30"/>
  <c r="Q10" i="30"/>
  <c r="Q11" i="30"/>
  <c r="Q12" i="30"/>
  <c r="Q13" i="30"/>
  <c r="Q14" i="30"/>
  <c r="Q8" i="31"/>
  <c r="Q9" i="31"/>
  <c r="Q10" i="31"/>
  <c r="Q11" i="31"/>
  <c r="Q12" i="31"/>
  <c r="Q13" i="31"/>
  <c r="Q14" i="31"/>
  <c r="Q8" i="32"/>
  <c r="Q9" i="32"/>
  <c r="Q10" i="32"/>
  <c r="Q11" i="32"/>
  <c r="Q12" i="32"/>
  <c r="Q13" i="32"/>
  <c r="Q14" i="32"/>
  <c r="Q8" i="33"/>
  <c r="Q9" i="33"/>
  <c r="Q10" i="33"/>
  <c r="Q11" i="33"/>
  <c r="Q12" i="33"/>
  <c r="Q13" i="33"/>
  <c r="Q14" i="33"/>
  <c r="Q8" i="34"/>
  <c r="Q9" i="34"/>
  <c r="Q10" i="34"/>
  <c r="Q11" i="34"/>
  <c r="Q12" i="34"/>
  <c r="Q13" i="34"/>
  <c r="Q14" i="34"/>
  <c r="Q8" i="35"/>
  <c r="Q9" i="35"/>
  <c r="Q10" i="35"/>
  <c r="Q11" i="35"/>
  <c r="Q12" i="35"/>
  <c r="Q13" i="35"/>
  <c r="Q14" i="35"/>
  <c r="Q8" i="36"/>
  <c r="Q9" i="36"/>
  <c r="Q10" i="36"/>
  <c r="Q11" i="36"/>
  <c r="Q12" i="36"/>
  <c r="Q13" i="36"/>
  <c r="Q14" i="36"/>
  <c r="Q8" i="37"/>
  <c r="Q9" i="37"/>
  <c r="Q10" i="37"/>
  <c r="Q11" i="37"/>
  <c r="Q12" i="37"/>
  <c r="Q13" i="37"/>
  <c r="Q14" i="37"/>
  <c r="Q8" i="3"/>
  <c r="D21" i="79" s="1"/>
  <c r="Q9" i="3"/>
  <c r="D22" i="79" s="1"/>
  <c r="Q10" i="3"/>
  <c r="D23" i="79" s="1"/>
  <c r="Q11" i="3"/>
  <c r="D24" i="79" s="1"/>
  <c r="Q12" i="3"/>
  <c r="D25" i="79" s="1"/>
  <c r="Q13" i="3"/>
  <c r="D26" i="79" s="1"/>
  <c r="Q14" i="3"/>
  <c r="D27" i="79" s="1"/>
  <c r="Q7" i="37"/>
  <c r="Q7" i="36"/>
  <c r="Q7" i="35"/>
  <c r="Q7" i="34"/>
  <c r="Q7" i="33"/>
  <c r="Q7" i="32"/>
  <c r="Q7" i="31"/>
  <c r="Q7" i="30"/>
  <c r="Q7" i="29"/>
  <c r="Q7" i="28"/>
  <c r="Q7" i="27"/>
  <c r="Q7" i="26"/>
  <c r="Q7" i="3"/>
  <c r="Q8" i="5"/>
  <c r="Q9" i="5"/>
  <c r="Q10" i="5"/>
  <c r="Q11" i="5"/>
  <c r="Q12" i="5"/>
  <c r="Q13" i="5"/>
  <c r="Q14" i="5"/>
  <c r="Q7" i="5"/>
  <c r="Q8" i="2"/>
  <c r="Q9" i="2"/>
  <c r="Q10" i="2"/>
  <c r="Q11" i="2"/>
  <c r="Q12" i="2"/>
  <c r="Q13" i="2"/>
  <c r="Q14" i="2"/>
  <c r="Q7" i="2"/>
  <c r="J3" i="37"/>
  <c r="J3" i="36"/>
  <c r="J3" i="35"/>
  <c r="J3" i="34"/>
  <c r="J3" i="33"/>
  <c r="J3" i="32"/>
  <c r="J3" i="31"/>
  <c r="J3" i="30"/>
  <c r="J3" i="29"/>
  <c r="J3" i="28"/>
  <c r="J3" i="27"/>
  <c r="J3" i="26"/>
  <c r="J3" i="3"/>
  <c r="J3" i="25"/>
  <c r="F7" i="25" s="1"/>
  <c r="J3" i="6"/>
  <c r="F8" i="6" s="1"/>
  <c r="H4" i="37"/>
  <c r="H4" i="36"/>
  <c r="H4" i="35"/>
  <c r="H4" i="34"/>
  <c r="H4" i="33"/>
  <c r="H4" i="32"/>
  <c r="H4" i="31"/>
  <c r="H4" i="30"/>
  <c r="H4" i="29"/>
  <c r="H4" i="28"/>
  <c r="H4" i="27"/>
  <c r="H4" i="26"/>
  <c r="H4" i="25"/>
  <c r="H4" i="6"/>
  <c r="H4" i="5"/>
  <c r="H4" i="2"/>
  <c r="H3" i="37"/>
  <c r="H3" i="36"/>
  <c r="H3" i="35"/>
  <c r="H3" i="34"/>
  <c r="H3" i="33"/>
  <c r="H3" i="32"/>
  <c r="H3" i="31"/>
  <c r="H3" i="30"/>
  <c r="H3" i="29"/>
  <c r="H3" i="28"/>
  <c r="H3" i="27"/>
  <c r="H3" i="25"/>
  <c r="H3" i="6"/>
  <c r="H3" i="5"/>
  <c r="H3" i="2"/>
  <c r="F14" i="6" l="1"/>
  <c r="G35" i="79"/>
  <c r="E37" i="79"/>
  <c r="E33" i="79"/>
  <c r="D36" i="79"/>
  <c r="D32" i="79"/>
  <c r="L24" i="79"/>
  <c r="J26" i="79"/>
  <c r="J22" i="79"/>
  <c r="I25" i="79"/>
  <c r="I21" i="79"/>
  <c r="F26" i="79"/>
  <c r="F22" i="79"/>
  <c r="E25" i="79"/>
  <c r="E21" i="79"/>
  <c r="F13" i="25"/>
  <c r="E36" i="79"/>
  <c r="E32" i="79"/>
  <c r="D35" i="79"/>
  <c r="J25" i="79"/>
  <c r="J21" i="79"/>
  <c r="I24" i="79"/>
  <c r="F25" i="79"/>
  <c r="F21" i="79"/>
  <c r="E24" i="79"/>
  <c r="F10" i="6"/>
  <c r="F15" i="6"/>
  <c r="F38" i="79"/>
  <c r="K27" i="79"/>
  <c r="H24" i="79"/>
  <c r="G27" i="79"/>
  <c r="G23" i="79"/>
  <c r="K20" i="79"/>
  <c r="F31" i="79"/>
  <c r="H20" i="79"/>
  <c r="G38" i="79"/>
  <c r="H23" i="79"/>
  <c r="G20" i="79"/>
  <c r="L20" i="79"/>
  <c r="G31" i="79"/>
  <c r="G34" i="79"/>
  <c r="F33" i="79"/>
  <c r="L23" i="79"/>
  <c r="K22" i="79"/>
  <c r="G26" i="79"/>
  <c r="E20" i="79"/>
  <c r="I20" i="79"/>
  <c r="D31" i="79"/>
  <c r="G37" i="79"/>
  <c r="G33" i="79"/>
  <c r="F36" i="79"/>
  <c r="F32" i="79"/>
  <c r="E35" i="79"/>
  <c r="D38" i="79"/>
  <c r="D34" i="79"/>
  <c r="L26" i="79"/>
  <c r="L22" i="79"/>
  <c r="K25" i="79"/>
  <c r="K21" i="79"/>
  <c r="J24" i="79"/>
  <c r="I27" i="79"/>
  <c r="I23" i="79"/>
  <c r="H26" i="79"/>
  <c r="H22" i="79"/>
  <c r="G25" i="79"/>
  <c r="G21" i="79"/>
  <c r="F24" i="79"/>
  <c r="E27" i="79"/>
  <c r="E23" i="79"/>
  <c r="F34" i="79"/>
  <c r="K23" i="79"/>
  <c r="F37" i="79"/>
  <c r="L27" i="79"/>
  <c r="K26" i="79"/>
  <c r="H27" i="79"/>
  <c r="G22" i="79"/>
  <c r="F20" i="79"/>
  <c r="J20" i="79"/>
  <c r="E31" i="79"/>
  <c r="G36" i="79"/>
  <c r="G32" i="79"/>
  <c r="F35" i="79"/>
  <c r="E38" i="79"/>
  <c r="E34" i="79"/>
  <c r="D37" i="79"/>
  <c r="D33" i="79"/>
  <c r="L25" i="79"/>
  <c r="L21" i="79"/>
  <c r="K24" i="79"/>
  <c r="J27" i="79"/>
  <c r="J23" i="79"/>
  <c r="I26" i="79"/>
  <c r="I22" i="79"/>
  <c r="H25" i="79"/>
  <c r="H21" i="79"/>
  <c r="G24" i="79"/>
  <c r="F27" i="79"/>
  <c r="F23" i="79"/>
  <c r="E26" i="79"/>
  <c r="E22" i="79"/>
  <c r="D20" i="79"/>
  <c r="E16" i="79"/>
  <c r="E12" i="79"/>
  <c r="D16" i="79"/>
  <c r="D12" i="79"/>
  <c r="D15" i="79"/>
  <c r="D11" i="79"/>
  <c r="E15" i="79"/>
  <c r="E11" i="79"/>
  <c r="D14" i="79"/>
  <c r="D10" i="79"/>
  <c r="E14" i="79"/>
  <c r="E10" i="79"/>
  <c r="D9" i="79"/>
  <c r="D13" i="79"/>
  <c r="E9" i="79"/>
  <c r="E13" i="79"/>
  <c r="F12" i="6"/>
  <c r="F11" i="25"/>
  <c r="F9" i="6"/>
  <c r="F15" i="25"/>
  <c r="F14" i="25"/>
  <c r="F7" i="6"/>
  <c r="F11" i="6"/>
  <c r="F13" i="6"/>
  <c r="F12" i="25"/>
  <c r="F10" i="25"/>
  <c r="F9" i="25"/>
  <c r="F8" i="25"/>
  <c r="D107" i="2"/>
  <c r="G107" i="2" s="1"/>
  <c r="H107" i="2" s="1"/>
  <c r="L102" i="2"/>
  <c r="D102" i="5"/>
  <c r="L102" i="5" s="1"/>
  <c r="L107" i="2" l="1"/>
  <c r="E102" i="5"/>
  <c r="D15" i="34"/>
  <c r="L15" i="34" s="1"/>
  <c r="E15" i="34" l="1"/>
  <c r="D13" i="28" l="1"/>
  <c r="L13" i="28" s="1"/>
  <c r="D14" i="28"/>
  <c r="L14" i="28" s="1"/>
  <c r="D15" i="28"/>
  <c r="L15" i="28" s="1"/>
  <c r="D16" i="28"/>
  <c r="L16" i="28" s="1"/>
  <c r="D17" i="28"/>
  <c r="L17" i="28" s="1"/>
  <c r="D18" i="28"/>
  <c r="L18" i="28" s="1"/>
  <c r="L19" i="28"/>
  <c r="D20" i="28"/>
  <c r="L20" i="28" s="1"/>
  <c r="D21" i="28"/>
  <c r="L21" i="28" s="1"/>
  <c r="D22" i="28"/>
  <c r="L22" i="28" s="1"/>
  <c r="D23" i="28"/>
  <c r="L23" i="28" s="1"/>
  <c r="D24" i="28"/>
  <c r="L24" i="28" s="1"/>
  <c r="D25" i="28"/>
  <c r="L25" i="28" s="1"/>
  <c r="D26" i="28"/>
  <c r="L26" i="28" s="1"/>
  <c r="D27" i="28"/>
  <c r="L27" i="28" s="1"/>
  <c r="D28" i="28"/>
  <c r="L28" i="28" s="1"/>
  <c r="D29" i="28"/>
  <c r="L29" i="28" s="1"/>
  <c r="D30" i="28"/>
  <c r="L30" i="28" s="1"/>
  <c r="D31" i="28"/>
  <c r="L31" i="28" s="1"/>
  <c r="D32" i="28"/>
  <c r="L32" i="28" s="1"/>
  <c r="D33" i="28"/>
  <c r="L33" i="28" s="1"/>
  <c r="D34" i="28"/>
  <c r="L34" i="28" s="1"/>
  <c r="D35" i="28"/>
  <c r="L35" i="28" s="1"/>
  <c r="D36" i="28"/>
  <c r="L36" i="28" s="1"/>
  <c r="D37" i="28"/>
  <c r="L37" i="28" s="1"/>
  <c r="D38" i="28"/>
  <c r="L38" i="28" s="1"/>
  <c r="D39" i="28"/>
  <c r="L39" i="28" s="1"/>
  <c r="D40" i="28"/>
  <c r="L40" i="28" s="1"/>
  <c r="D41" i="28"/>
  <c r="L41" i="28" s="1"/>
  <c r="D42" i="28"/>
  <c r="L42" i="28" s="1"/>
  <c r="D43" i="28"/>
  <c r="L43" i="28" s="1"/>
  <c r="D44" i="28"/>
  <c r="L44" i="28" s="1"/>
  <c r="D45" i="28"/>
  <c r="L45" i="28" s="1"/>
  <c r="D46" i="28"/>
  <c r="L46" i="28" s="1"/>
  <c r="D47" i="28"/>
  <c r="L47" i="28" s="1"/>
  <c r="D48" i="28"/>
  <c r="L48" i="28" s="1"/>
  <c r="D49" i="28"/>
  <c r="L49" i="28" s="1"/>
  <c r="D50" i="28"/>
  <c r="D51" i="28"/>
  <c r="L51" i="28" s="1"/>
  <c r="D52" i="28"/>
  <c r="L52" i="28" s="1"/>
  <c r="D53" i="28"/>
  <c r="L53" i="28" s="1"/>
  <c r="D55" i="28"/>
  <c r="L55" i="28" s="1"/>
  <c r="D57" i="28"/>
  <c r="G57" i="28" l="1"/>
  <c r="H57" i="28" s="1"/>
  <c r="L57" i="28"/>
  <c r="L54" i="28"/>
  <c r="G50" i="28"/>
  <c r="H50" i="28" s="1"/>
  <c r="L50" i="28"/>
  <c r="G55" i="28"/>
  <c r="H55" i="28" s="1"/>
  <c r="G51" i="28"/>
  <c r="H51" i="28" s="1"/>
  <c r="G47" i="28"/>
  <c r="H47" i="28" s="1"/>
  <c r="G43" i="28"/>
  <c r="H43" i="28" s="1"/>
  <c r="G39" i="28"/>
  <c r="H39" i="28" s="1"/>
  <c r="G35" i="28"/>
  <c r="H35" i="28" s="1"/>
  <c r="G31" i="28"/>
  <c r="H31" i="28" s="1"/>
  <c r="G27" i="28"/>
  <c r="H27" i="28" s="1"/>
  <c r="G23" i="28"/>
  <c r="H23" i="28" s="1"/>
  <c r="G15" i="28"/>
  <c r="H15" i="28" s="1"/>
  <c r="G52" i="28"/>
  <c r="H52" i="28" s="1"/>
  <c r="G48" i="28"/>
  <c r="H48" i="28" s="1"/>
  <c r="G44" i="28"/>
  <c r="H44" i="28" s="1"/>
  <c r="G40" i="28"/>
  <c r="H40" i="28" s="1"/>
  <c r="G36" i="28"/>
  <c r="H36" i="28" s="1"/>
  <c r="G32" i="28"/>
  <c r="H32" i="28" s="1"/>
  <c r="G28" i="28"/>
  <c r="H28" i="28" s="1"/>
  <c r="G24" i="28"/>
  <c r="H24" i="28" s="1"/>
  <c r="G20" i="28"/>
  <c r="H20" i="28" s="1"/>
  <c r="G16" i="28"/>
  <c r="H16" i="28" s="1"/>
  <c r="G46" i="28"/>
  <c r="H46" i="28" s="1"/>
  <c r="G42" i="28"/>
  <c r="H42" i="28" s="1"/>
  <c r="G38" i="28"/>
  <c r="H38" i="28" s="1"/>
  <c r="G34" i="28"/>
  <c r="H34" i="28" s="1"/>
  <c r="G30" i="28"/>
  <c r="H30" i="28" s="1"/>
  <c r="G26" i="28"/>
  <c r="H26" i="28" s="1"/>
  <c r="G22" i="28"/>
  <c r="H22" i="28" s="1"/>
  <c r="G18" i="28"/>
  <c r="H18" i="28" s="1"/>
  <c r="G14" i="28"/>
  <c r="H14" i="28" s="1"/>
  <c r="G53" i="28"/>
  <c r="H53" i="28" s="1"/>
  <c r="G49" i="28"/>
  <c r="H49" i="28" s="1"/>
  <c r="G45" i="28"/>
  <c r="H45" i="28" s="1"/>
  <c r="G41" i="28"/>
  <c r="H41" i="28" s="1"/>
  <c r="G37" i="28"/>
  <c r="H37" i="28" s="1"/>
  <c r="G33" i="28"/>
  <c r="H33" i="28" s="1"/>
  <c r="G29" i="28"/>
  <c r="H29" i="28" s="1"/>
  <c r="G25" i="28"/>
  <c r="H25" i="28" s="1"/>
  <c r="G21" i="28"/>
  <c r="H21" i="28" s="1"/>
  <c r="G17" i="28"/>
  <c r="H17" i="28" s="1"/>
  <c r="D57" i="37"/>
  <c r="L55" i="37"/>
  <c r="D54" i="37"/>
  <c r="L54" i="37" s="1"/>
  <c r="D53" i="37"/>
  <c r="L53" i="37" s="1"/>
  <c r="D52" i="37"/>
  <c r="L52" i="37" s="1"/>
  <c r="D51" i="37"/>
  <c r="L51" i="37" s="1"/>
  <c r="D50" i="37"/>
  <c r="L50" i="37" s="1"/>
  <c r="L49" i="37"/>
  <c r="D48" i="37"/>
  <c r="D47" i="37"/>
  <c r="L47" i="37" s="1"/>
  <c r="D46" i="37"/>
  <c r="L46" i="37" s="1"/>
  <c r="D45" i="37"/>
  <c r="L45" i="37" s="1"/>
  <c r="D44" i="37"/>
  <c r="D43" i="37"/>
  <c r="L43" i="37" s="1"/>
  <c r="L42" i="37"/>
  <c r="D41" i="37"/>
  <c r="L41" i="37" s="1"/>
  <c r="D40" i="37"/>
  <c r="L40" i="37" s="1"/>
  <c r="D39" i="37"/>
  <c r="L39" i="37" s="1"/>
  <c r="D38" i="37"/>
  <c r="L38" i="37" s="1"/>
  <c r="D37" i="37"/>
  <c r="L37" i="37" s="1"/>
  <c r="L36" i="37"/>
  <c r="D35" i="37"/>
  <c r="L35" i="37" s="1"/>
  <c r="D34" i="37"/>
  <c r="L34" i="37" s="1"/>
  <c r="D33" i="37"/>
  <c r="L33" i="37" s="1"/>
  <c r="D32" i="37"/>
  <c r="L32" i="37" s="1"/>
  <c r="D31" i="37"/>
  <c r="L31" i="37" s="1"/>
  <c r="L30" i="37"/>
  <c r="D29" i="37"/>
  <c r="L29" i="37" s="1"/>
  <c r="D28" i="37"/>
  <c r="L28" i="37" s="1"/>
  <c r="D27" i="37"/>
  <c r="L27" i="37" s="1"/>
  <c r="D26" i="37"/>
  <c r="L26" i="37" s="1"/>
  <c r="D25" i="37"/>
  <c r="L25" i="37" s="1"/>
  <c r="L24" i="37"/>
  <c r="D23" i="37"/>
  <c r="L23" i="37" s="1"/>
  <c r="D22" i="37"/>
  <c r="L22" i="37" s="1"/>
  <c r="D21" i="37"/>
  <c r="L21" i="37" s="1"/>
  <c r="D20" i="37"/>
  <c r="L20" i="37" s="1"/>
  <c r="D19" i="37"/>
  <c r="L19" i="37" s="1"/>
  <c r="L18" i="37"/>
  <c r="D17" i="37"/>
  <c r="L17" i="37" s="1"/>
  <c r="D16" i="37"/>
  <c r="L16" i="37" s="1"/>
  <c r="D15" i="37"/>
  <c r="L15" i="37" s="1"/>
  <c r="D14" i="37"/>
  <c r="L14" i="37" s="1"/>
  <c r="D13" i="37"/>
  <c r="L13" i="37" s="1"/>
  <c r="L12" i="37"/>
  <c r="D11" i="37"/>
  <c r="L11" i="37" s="1"/>
  <c r="D10" i="37"/>
  <c r="L10" i="37" s="1"/>
  <c r="D9" i="37"/>
  <c r="D7" i="37"/>
  <c r="D57" i="36"/>
  <c r="D55" i="36"/>
  <c r="L55" i="36" s="1"/>
  <c r="D54" i="36"/>
  <c r="L54" i="36" s="1"/>
  <c r="D53" i="36"/>
  <c r="L53" i="36" s="1"/>
  <c r="D52" i="36"/>
  <c r="L52" i="36" s="1"/>
  <c r="L51" i="36"/>
  <c r="D50" i="36"/>
  <c r="L50" i="36" s="1"/>
  <c r="D49" i="36"/>
  <c r="L49" i="36" s="1"/>
  <c r="D48" i="36"/>
  <c r="L48" i="36" s="1"/>
  <c r="D47" i="36"/>
  <c r="L47" i="36" s="1"/>
  <c r="D46" i="36"/>
  <c r="L46" i="36" s="1"/>
  <c r="D45" i="36"/>
  <c r="L45" i="36" s="1"/>
  <c r="D44" i="36"/>
  <c r="L44" i="36" s="1"/>
  <c r="D43" i="36"/>
  <c r="L43" i="36" s="1"/>
  <c r="D42" i="36"/>
  <c r="L42" i="36" s="1"/>
  <c r="D41" i="36"/>
  <c r="L41" i="36" s="1"/>
  <c r="D40" i="36"/>
  <c r="L40" i="36" s="1"/>
  <c r="D39" i="36"/>
  <c r="L39" i="36" s="1"/>
  <c r="D38" i="36"/>
  <c r="L38" i="36" s="1"/>
  <c r="D37" i="36"/>
  <c r="L37" i="36" s="1"/>
  <c r="D36" i="36"/>
  <c r="L36" i="36" s="1"/>
  <c r="D35" i="36"/>
  <c r="L35" i="36" s="1"/>
  <c r="D34" i="36"/>
  <c r="L34" i="36" s="1"/>
  <c r="D33" i="36"/>
  <c r="L33" i="36" s="1"/>
  <c r="D32" i="36"/>
  <c r="L32" i="36" s="1"/>
  <c r="D31" i="36"/>
  <c r="L31" i="36" s="1"/>
  <c r="D30" i="36"/>
  <c r="L30" i="36" s="1"/>
  <c r="D29" i="36"/>
  <c r="L29" i="36" s="1"/>
  <c r="D28" i="36"/>
  <c r="L28" i="36" s="1"/>
  <c r="D27" i="36"/>
  <c r="L27" i="36" s="1"/>
  <c r="D26" i="36"/>
  <c r="L26" i="36" s="1"/>
  <c r="D25" i="36"/>
  <c r="L25" i="36" s="1"/>
  <c r="D24" i="36"/>
  <c r="L24" i="36" s="1"/>
  <c r="D23" i="36"/>
  <c r="L23" i="36" s="1"/>
  <c r="D22" i="36"/>
  <c r="L22" i="36" s="1"/>
  <c r="D21" i="36"/>
  <c r="L21" i="36" s="1"/>
  <c r="L20" i="36"/>
  <c r="D19" i="36"/>
  <c r="L19" i="36" s="1"/>
  <c r="D18" i="36"/>
  <c r="L18" i="36" s="1"/>
  <c r="D17" i="36"/>
  <c r="L17" i="36" s="1"/>
  <c r="D16" i="36"/>
  <c r="L16" i="36" s="1"/>
  <c r="D15" i="36"/>
  <c r="L15" i="36" s="1"/>
  <c r="D14" i="36"/>
  <c r="L14" i="36" s="1"/>
  <c r="D13" i="36"/>
  <c r="L13" i="36" s="1"/>
  <c r="D12" i="36"/>
  <c r="L12" i="36" s="1"/>
  <c r="D11" i="36"/>
  <c r="L11" i="36" s="1"/>
  <c r="D10" i="36"/>
  <c r="L10" i="36" s="1"/>
  <c r="D9" i="36"/>
  <c r="D7" i="36"/>
  <c r="D57" i="35"/>
  <c r="D55" i="35"/>
  <c r="L55" i="35" s="1"/>
  <c r="D54" i="35"/>
  <c r="L54" i="35" s="1"/>
  <c r="D53" i="35"/>
  <c r="L53" i="35" s="1"/>
  <c r="D52" i="35"/>
  <c r="L52" i="35" s="1"/>
  <c r="D51" i="35"/>
  <c r="L51" i="35" s="1"/>
  <c r="D50" i="35"/>
  <c r="L50" i="35" s="1"/>
  <c r="D49" i="35"/>
  <c r="L49" i="35" s="1"/>
  <c r="D48" i="35"/>
  <c r="L48" i="35" s="1"/>
  <c r="D47" i="35"/>
  <c r="L47" i="35" s="1"/>
  <c r="D46" i="35"/>
  <c r="L46" i="35" s="1"/>
  <c r="D45" i="35"/>
  <c r="L45" i="35" s="1"/>
  <c r="D44" i="35"/>
  <c r="L44" i="35" s="1"/>
  <c r="D43" i="35"/>
  <c r="L43" i="35" s="1"/>
  <c r="D42" i="35"/>
  <c r="L42" i="35" s="1"/>
  <c r="D41" i="35"/>
  <c r="L41" i="35" s="1"/>
  <c r="D40" i="35"/>
  <c r="L40" i="35" s="1"/>
  <c r="D39" i="35"/>
  <c r="L39" i="35" s="1"/>
  <c r="D38" i="35"/>
  <c r="L38" i="35" s="1"/>
  <c r="D37" i="35"/>
  <c r="L37" i="35" s="1"/>
  <c r="D36" i="35"/>
  <c r="L36" i="35" s="1"/>
  <c r="D35" i="35"/>
  <c r="L35" i="35" s="1"/>
  <c r="D34" i="35"/>
  <c r="L34" i="35" s="1"/>
  <c r="D33" i="35"/>
  <c r="L33" i="35" s="1"/>
  <c r="D32" i="35"/>
  <c r="L32" i="35" s="1"/>
  <c r="D31" i="35"/>
  <c r="L31" i="35" s="1"/>
  <c r="D30" i="35"/>
  <c r="L30" i="35" s="1"/>
  <c r="D29" i="35"/>
  <c r="L29" i="35" s="1"/>
  <c r="D28" i="35"/>
  <c r="L28" i="35" s="1"/>
  <c r="L27" i="35"/>
  <c r="D26" i="35"/>
  <c r="L26" i="35" s="1"/>
  <c r="D25" i="35"/>
  <c r="L25" i="35" s="1"/>
  <c r="D24" i="35"/>
  <c r="L24" i="35" s="1"/>
  <c r="D23" i="35"/>
  <c r="L23" i="35" s="1"/>
  <c r="D22" i="35"/>
  <c r="L22" i="35" s="1"/>
  <c r="D21" i="35"/>
  <c r="L21" i="35" s="1"/>
  <c r="D20" i="35"/>
  <c r="L20" i="35" s="1"/>
  <c r="D19" i="35"/>
  <c r="L19" i="35" s="1"/>
  <c r="D18" i="35"/>
  <c r="L18" i="35" s="1"/>
  <c r="D17" i="35"/>
  <c r="L17" i="35" s="1"/>
  <c r="D16" i="35"/>
  <c r="L16" i="35" s="1"/>
  <c r="D15" i="35"/>
  <c r="L15" i="35" s="1"/>
  <c r="D14" i="35"/>
  <c r="L14" i="35" s="1"/>
  <c r="D13" i="35"/>
  <c r="L13" i="35" s="1"/>
  <c r="D12" i="35"/>
  <c r="L12" i="35" s="1"/>
  <c r="D11" i="35"/>
  <c r="L11" i="35" s="1"/>
  <c r="D10" i="35"/>
  <c r="L10" i="35" s="1"/>
  <c r="D9" i="35"/>
  <c r="D7" i="35"/>
  <c r="D57" i="34"/>
  <c r="D55" i="34"/>
  <c r="L55" i="34" s="1"/>
  <c r="D54" i="34"/>
  <c r="L54" i="34" s="1"/>
  <c r="D53" i="34"/>
  <c r="L53" i="34" s="1"/>
  <c r="L52" i="34"/>
  <c r="D51" i="34"/>
  <c r="L51" i="34" s="1"/>
  <c r="D50" i="34"/>
  <c r="L50" i="34" s="1"/>
  <c r="D49" i="34"/>
  <c r="L49" i="34" s="1"/>
  <c r="D48" i="34"/>
  <c r="L48" i="34" s="1"/>
  <c r="L47" i="34"/>
  <c r="D46" i="34"/>
  <c r="L46" i="34" s="1"/>
  <c r="D45" i="34"/>
  <c r="L45" i="34" s="1"/>
  <c r="D44" i="34"/>
  <c r="L44" i="34" s="1"/>
  <c r="D43" i="34"/>
  <c r="L43" i="34" s="1"/>
  <c r="D42" i="34"/>
  <c r="L42" i="34" s="1"/>
  <c r="L41" i="34"/>
  <c r="D40" i="34"/>
  <c r="L40" i="34" s="1"/>
  <c r="D39" i="34"/>
  <c r="L39" i="34" s="1"/>
  <c r="D38" i="34"/>
  <c r="L38" i="34" s="1"/>
  <c r="D37" i="34"/>
  <c r="L37" i="34" s="1"/>
  <c r="L36" i="34"/>
  <c r="D35" i="34"/>
  <c r="L35" i="34" s="1"/>
  <c r="D34" i="34"/>
  <c r="L34" i="34" s="1"/>
  <c r="D33" i="34"/>
  <c r="L33" i="34" s="1"/>
  <c r="D32" i="34"/>
  <c r="L32" i="34" s="1"/>
  <c r="D31" i="34"/>
  <c r="L31" i="34" s="1"/>
  <c r="L30" i="34"/>
  <c r="D29" i="34"/>
  <c r="L29" i="34" s="1"/>
  <c r="D28" i="34"/>
  <c r="L28" i="34" s="1"/>
  <c r="D27" i="34"/>
  <c r="L27" i="34" s="1"/>
  <c r="D26" i="34"/>
  <c r="L26" i="34" s="1"/>
  <c r="D25" i="34"/>
  <c r="L25" i="34" s="1"/>
  <c r="L24" i="34"/>
  <c r="D23" i="34"/>
  <c r="L23" i="34" s="1"/>
  <c r="D22" i="34"/>
  <c r="L22" i="34" s="1"/>
  <c r="D21" i="34"/>
  <c r="L21" i="34" s="1"/>
  <c r="D20" i="34"/>
  <c r="L20" i="34" s="1"/>
  <c r="L19" i="34"/>
  <c r="D18" i="34"/>
  <c r="L18" i="34" s="1"/>
  <c r="D17" i="34"/>
  <c r="L17" i="34" s="1"/>
  <c r="D16" i="34"/>
  <c r="D14" i="34"/>
  <c r="L14" i="34" s="1"/>
  <c r="L13" i="34"/>
  <c r="D12" i="34"/>
  <c r="L12" i="34" s="1"/>
  <c r="D11" i="34"/>
  <c r="L11" i="34" s="1"/>
  <c r="D10" i="34"/>
  <c r="L10" i="34" s="1"/>
  <c r="D9" i="34"/>
  <c r="D7" i="34"/>
  <c r="D57" i="33"/>
  <c r="D55" i="33"/>
  <c r="L55" i="33" s="1"/>
  <c r="D54" i="33"/>
  <c r="L54" i="33" s="1"/>
  <c r="L53" i="33"/>
  <c r="D52" i="33"/>
  <c r="L52" i="33" s="1"/>
  <c r="D51" i="33"/>
  <c r="L51" i="33" s="1"/>
  <c r="D50" i="33"/>
  <c r="L50" i="33" s="1"/>
  <c r="D49" i="33"/>
  <c r="L49" i="33" s="1"/>
  <c r="L48" i="33"/>
  <c r="D47" i="33"/>
  <c r="L47" i="33" s="1"/>
  <c r="D46" i="33"/>
  <c r="L46" i="33" s="1"/>
  <c r="D45" i="33"/>
  <c r="L45" i="33" s="1"/>
  <c r="D44" i="33"/>
  <c r="L44" i="33" s="1"/>
  <c r="L43" i="33"/>
  <c r="D42" i="33"/>
  <c r="L42" i="33" s="1"/>
  <c r="D41" i="33"/>
  <c r="L41" i="33" s="1"/>
  <c r="D40" i="33"/>
  <c r="L40" i="33" s="1"/>
  <c r="D39" i="33"/>
  <c r="L39" i="33" s="1"/>
  <c r="D38" i="33"/>
  <c r="L38" i="33" s="1"/>
  <c r="L37" i="33"/>
  <c r="D36" i="33"/>
  <c r="L36" i="33" s="1"/>
  <c r="D35" i="33"/>
  <c r="L35" i="33" s="1"/>
  <c r="D34" i="33"/>
  <c r="L34" i="33" s="1"/>
  <c r="D33" i="33"/>
  <c r="L33" i="33" s="1"/>
  <c r="L32" i="33"/>
  <c r="D31" i="33"/>
  <c r="L31" i="33" s="1"/>
  <c r="D30" i="33"/>
  <c r="L30" i="33" s="1"/>
  <c r="D29" i="33"/>
  <c r="L29" i="33" s="1"/>
  <c r="D28" i="33"/>
  <c r="L28" i="33" s="1"/>
  <c r="L27" i="33"/>
  <c r="D26" i="33"/>
  <c r="L26" i="33" s="1"/>
  <c r="D25" i="33"/>
  <c r="L25" i="33" s="1"/>
  <c r="D24" i="33"/>
  <c r="L24" i="33" s="1"/>
  <c r="D23" i="33"/>
  <c r="L23" i="33" s="1"/>
  <c r="L22" i="33"/>
  <c r="D21" i="33"/>
  <c r="L21" i="33" s="1"/>
  <c r="D20" i="33"/>
  <c r="L20" i="33" s="1"/>
  <c r="D19" i="33"/>
  <c r="L19" i="33" s="1"/>
  <c r="D18" i="33"/>
  <c r="L18" i="33" s="1"/>
  <c r="L17" i="33"/>
  <c r="D16" i="33"/>
  <c r="L16" i="33" s="1"/>
  <c r="D15" i="33"/>
  <c r="L15" i="33" s="1"/>
  <c r="D14" i="33"/>
  <c r="L14" i="33" s="1"/>
  <c r="D13" i="33"/>
  <c r="L13" i="33" s="1"/>
  <c r="L12" i="33"/>
  <c r="D11" i="33"/>
  <c r="L11" i="33" s="1"/>
  <c r="D10" i="33"/>
  <c r="L10" i="33" s="1"/>
  <c r="D9" i="33"/>
  <c r="D7" i="33"/>
  <c r="D57" i="32"/>
  <c r="D55" i="32"/>
  <c r="L55" i="32" s="1"/>
  <c r="D54" i="32"/>
  <c r="L54" i="32" s="1"/>
  <c r="D53" i="32"/>
  <c r="L53" i="32" s="1"/>
  <c r="D52" i="32"/>
  <c r="L52" i="32" s="1"/>
  <c r="D51" i="32"/>
  <c r="L51" i="32" s="1"/>
  <c r="L50" i="32"/>
  <c r="D49" i="32"/>
  <c r="L49" i="32" s="1"/>
  <c r="D48" i="32"/>
  <c r="L48" i="32" s="1"/>
  <c r="D47" i="32"/>
  <c r="L47" i="32" s="1"/>
  <c r="D46" i="32"/>
  <c r="L46" i="32" s="1"/>
  <c r="D45" i="32"/>
  <c r="L45" i="32" s="1"/>
  <c r="D44" i="32"/>
  <c r="L44" i="32" s="1"/>
  <c r="D43" i="32"/>
  <c r="L43" i="32" s="1"/>
  <c r="D42" i="32"/>
  <c r="L42" i="32" s="1"/>
  <c r="D41" i="32"/>
  <c r="L41" i="32" s="1"/>
  <c r="D40" i="32"/>
  <c r="L40" i="32" s="1"/>
  <c r="D39" i="32"/>
  <c r="L39" i="32" s="1"/>
  <c r="D38" i="32"/>
  <c r="L38" i="32" s="1"/>
  <c r="D37" i="32"/>
  <c r="L37" i="32" s="1"/>
  <c r="D36" i="32"/>
  <c r="L36" i="32" s="1"/>
  <c r="D35" i="32"/>
  <c r="L35" i="32" s="1"/>
  <c r="D34" i="32"/>
  <c r="L34" i="32" s="1"/>
  <c r="D33" i="32"/>
  <c r="L33" i="32" s="1"/>
  <c r="D32" i="32"/>
  <c r="L32" i="32" s="1"/>
  <c r="D31" i="32"/>
  <c r="L31" i="32" s="1"/>
  <c r="D30" i="32"/>
  <c r="L30" i="32" s="1"/>
  <c r="L29" i="32"/>
  <c r="D28" i="32"/>
  <c r="L28" i="32" s="1"/>
  <c r="D27" i="32"/>
  <c r="L27" i="32" s="1"/>
  <c r="D26" i="32"/>
  <c r="L26" i="32" s="1"/>
  <c r="D25" i="32"/>
  <c r="L25" i="32" s="1"/>
  <c r="D24" i="32"/>
  <c r="L24" i="32" s="1"/>
  <c r="D23" i="32"/>
  <c r="L23" i="32" s="1"/>
  <c r="D22" i="32"/>
  <c r="L22" i="32" s="1"/>
  <c r="D21" i="32"/>
  <c r="L21" i="32" s="1"/>
  <c r="D20" i="32"/>
  <c r="L20" i="32" s="1"/>
  <c r="D19" i="32"/>
  <c r="L19" i="32" s="1"/>
  <c r="D18" i="32"/>
  <c r="L18" i="32" s="1"/>
  <c r="D17" i="32"/>
  <c r="L17" i="32" s="1"/>
  <c r="D16" i="32"/>
  <c r="L16" i="32" s="1"/>
  <c r="D15" i="32"/>
  <c r="L15" i="32" s="1"/>
  <c r="D14" i="32"/>
  <c r="L14" i="32" s="1"/>
  <c r="D13" i="32"/>
  <c r="L13" i="32" s="1"/>
  <c r="D12" i="32"/>
  <c r="L12" i="32" s="1"/>
  <c r="D11" i="32"/>
  <c r="L11" i="32" s="1"/>
  <c r="D10" i="32"/>
  <c r="L10" i="32" s="1"/>
  <c r="D9" i="32"/>
  <c r="D7" i="32"/>
  <c r="D57" i="31"/>
  <c r="D55" i="31"/>
  <c r="L55" i="31" s="1"/>
  <c r="D54" i="31"/>
  <c r="L54" i="31" s="1"/>
  <c r="D53" i="31"/>
  <c r="L53" i="31" s="1"/>
  <c r="D52" i="31"/>
  <c r="L52" i="31" s="1"/>
  <c r="L51" i="31"/>
  <c r="D50" i="31"/>
  <c r="L50" i="31" s="1"/>
  <c r="D49" i="31"/>
  <c r="L49" i="31" s="1"/>
  <c r="D48" i="31"/>
  <c r="L48" i="31" s="1"/>
  <c r="D47" i="31"/>
  <c r="L47" i="31" s="1"/>
  <c r="D46" i="31"/>
  <c r="L46" i="31" s="1"/>
  <c r="L45" i="31"/>
  <c r="D44" i="31"/>
  <c r="L44" i="31" s="1"/>
  <c r="D43" i="31"/>
  <c r="L43" i="31" s="1"/>
  <c r="D42" i="31"/>
  <c r="L42" i="31" s="1"/>
  <c r="D41" i="31"/>
  <c r="L41" i="31" s="1"/>
  <c r="L40" i="31"/>
  <c r="D39" i="31"/>
  <c r="L39" i="31" s="1"/>
  <c r="D38" i="31"/>
  <c r="L38" i="31" s="1"/>
  <c r="D37" i="31"/>
  <c r="L37" i="31" s="1"/>
  <c r="D36" i="31"/>
  <c r="L36" i="31" s="1"/>
  <c r="L35" i="31"/>
  <c r="D34" i="31"/>
  <c r="L34" i="31" s="1"/>
  <c r="D33" i="31"/>
  <c r="L33" i="31" s="1"/>
  <c r="D32" i="31"/>
  <c r="L32" i="31" s="1"/>
  <c r="D31" i="31"/>
  <c r="L31" i="31" s="1"/>
  <c r="L30" i="31"/>
  <c r="D29" i="31"/>
  <c r="L29" i="31" s="1"/>
  <c r="D28" i="31"/>
  <c r="L28" i="31" s="1"/>
  <c r="D27" i="31"/>
  <c r="L27" i="31" s="1"/>
  <c r="D26" i="31"/>
  <c r="L26" i="31" s="1"/>
  <c r="L25" i="31"/>
  <c r="D24" i="31"/>
  <c r="L24" i="31" s="1"/>
  <c r="D23" i="31"/>
  <c r="L23" i="31" s="1"/>
  <c r="D22" i="31"/>
  <c r="L22" i="31" s="1"/>
  <c r="D21" i="31"/>
  <c r="L21" i="31" s="1"/>
  <c r="D20" i="31"/>
  <c r="L20" i="31" s="1"/>
  <c r="L19" i="31"/>
  <c r="D18" i="31"/>
  <c r="L18" i="31" s="1"/>
  <c r="D17" i="31"/>
  <c r="L17" i="31" s="1"/>
  <c r="D16" i="31"/>
  <c r="L16" i="31" s="1"/>
  <c r="D15" i="31"/>
  <c r="L15" i="31" s="1"/>
  <c r="L14" i="31"/>
  <c r="D13" i="31"/>
  <c r="L13" i="31" s="1"/>
  <c r="D12" i="31"/>
  <c r="L12" i="31" s="1"/>
  <c r="D11" i="31"/>
  <c r="L11" i="31" s="1"/>
  <c r="D10" i="31"/>
  <c r="L10" i="31" s="1"/>
  <c r="D9" i="31"/>
  <c r="D7" i="31"/>
  <c r="D57" i="30"/>
  <c r="D55" i="30"/>
  <c r="L55" i="30" s="1"/>
  <c r="D54" i="30"/>
  <c r="L54" i="30" s="1"/>
  <c r="D53" i="30"/>
  <c r="L53" i="30" s="1"/>
  <c r="D52" i="30"/>
  <c r="L52" i="30" s="1"/>
  <c r="L51" i="30"/>
  <c r="D50" i="30"/>
  <c r="L50" i="30" s="1"/>
  <c r="D49" i="30"/>
  <c r="L49" i="30" s="1"/>
  <c r="D48" i="30"/>
  <c r="L48" i="30" s="1"/>
  <c r="D47" i="30"/>
  <c r="L47" i="30" s="1"/>
  <c r="D46" i="30"/>
  <c r="L46" i="30" s="1"/>
  <c r="L45" i="30"/>
  <c r="D44" i="30"/>
  <c r="L44" i="30" s="1"/>
  <c r="D43" i="30"/>
  <c r="L43" i="30" s="1"/>
  <c r="D42" i="30"/>
  <c r="L42" i="30" s="1"/>
  <c r="D41" i="30"/>
  <c r="L41" i="30" s="1"/>
  <c r="L40" i="30"/>
  <c r="D39" i="30"/>
  <c r="L39" i="30" s="1"/>
  <c r="D38" i="30"/>
  <c r="L38" i="30" s="1"/>
  <c r="D37" i="30"/>
  <c r="L37" i="30" s="1"/>
  <c r="D36" i="30"/>
  <c r="L36" i="30" s="1"/>
  <c r="L35" i="30"/>
  <c r="D34" i="30"/>
  <c r="L34" i="30" s="1"/>
  <c r="D33" i="30"/>
  <c r="L33" i="30" s="1"/>
  <c r="D32" i="30"/>
  <c r="L32" i="30" s="1"/>
  <c r="D31" i="30"/>
  <c r="L31" i="30" s="1"/>
  <c r="D30" i="30"/>
  <c r="L30" i="30" s="1"/>
  <c r="L29" i="30"/>
  <c r="D28" i="30"/>
  <c r="L28" i="30" s="1"/>
  <c r="D27" i="30"/>
  <c r="L27" i="30" s="1"/>
  <c r="D26" i="30"/>
  <c r="L26" i="30" s="1"/>
  <c r="D25" i="30"/>
  <c r="L25" i="30" s="1"/>
  <c r="L24" i="30"/>
  <c r="D23" i="30"/>
  <c r="L23" i="30" s="1"/>
  <c r="D22" i="30"/>
  <c r="L22" i="30" s="1"/>
  <c r="D21" i="30"/>
  <c r="L21" i="30" s="1"/>
  <c r="D20" i="30"/>
  <c r="L20" i="30" s="1"/>
  <c r="L19" i="30"/>
  <c r="D18" i="30"/>
  <c r="L18" i="30" s="1"/>
  <c r="D17" i="30"/>
  <c r="L17" i="30" s="1"/>
  <c r="D16" i="30"/>
  <c r="L16" i="30" s="1"/>
  <c r="D15" i="30"/>
  <c r="L15" i="30" s="1"/>
  <c r="D14" i="30"/>
  <c r="L14" i="30" s="1"/>
  <c r="L13" i="30"/>
  <c r="D12" i="30"/>
  <c r="L12" i="30" s="1"/>
  <c r="D11" i="30"/>
  <c r="L11" i="30" s="1"/>
  <c r="D10" i="30"/>
  <c r="L10" i="30" s="1"/>
  <c r="D9" i="30"/>
  <c r="D7" i="30"/>
  <c r="D57" i="29"/>
  <c r="D55" i="29"/>
  <c r="L55" i="29" s="1"/>
  <c r="L54" i="29"/>
  <c r="D53" i="29"/>
  <c r="L53" i="29" s="1"/>
  <c r="D52" i="29"/>
  <c r="L52" i="29" s="1"/>
  <c r="D51" i="29"/>
  <c r="L51" i="29" s="1"/>
  <c r="L50" i="29"/>
  <c r="D49" i="29"/>
  <c r="L49" i="29" s="1"/>
  <c r="D48" i="29"/>
  <c r="L48" i="29" s="1"/>
  <c r="D47" i="29"/>
  <c r="L47" i="29" s="1"/>
  <c r="D46" i="29"/>
  <c r="L46" i="29" s="1"/>
  <c r="L45" i="29"/>
  <c r="D44" i="29"/>
  <c r="L44" i="29" s="1"/>
  <c r="D43" i="29"/>
  <c r="L43" i="29" s="1"/>
  <c r="D42" i="29"/>
  <c r="L42" i="29" s="1"/>
  <c r="L41" i="29"/>
  <c r="D40" i="29"/>
  <c r="L40" i="29" s="1"/>
  <c r="D39" i="29"/>
  <c r="L39" i="29" s="1"/>
  <c r="D38" i="29"/>
  <c r="L38" i="29" s="1"/>
  <c r="L37" i="29"/>
  <c r="L36" i="29"/>
  <c r="L35" i="29"/>
  <c r="D34" i="29"/>
  <c r="L34" i="29" s="1"/>
  <c r="D33" i="29"/>
  <c r="L33" i="29" s="1"/>
  <c r="L32" i="29"/>
  <c r="D31" i="29"/>
  <c r="L31" i="29" s="1"/>
  <c r="D30" i="29"/>
  <c r="L30" i="29" s="1"/>
  <c r="D29" i="29"/>
  <c r="L29" i="29" s="1"/>
  <c r="L28" i="29"/>
  <c r="D27" i="29"/>
  <c r="L27" i="29" s="1"/>
  <c r="D26" i="29"/>
  <c r="L26" i="29" s="1"/>
  <c r="D25" i="29"/>
  <c r="L25" i="29" s="1"/>
  <c r="D24" i="29"/>
  <c r="L24" i="29" s="1"/>
  <c r="L23" i="29"/>
  <c r="D22" i="29"/>
  <c r="L22" i="29" s="1"/>
  <c r="D21" i="29"/>
  <c r="L21" i="29" s="1"/>
  <c r="D20" i="29"/>
  <c r="L20" i="29" s="1"/>
  <c r="L19" i="29"/>
  <c r="D18" i="29"/>
  <c r="L18" i="29" s="1"/>
  <c r="D17" i="29"/>
  <c r="L17" i="29" s="1"/>
  <c r="D16" i="29"/>
  <c r="L16" i="29" s="1"/>
  <c r="D15" i="29"/>
  <c r="L15" i="29" s="1"/>
  <c r="L14" i="29"/>
  <c r="D13" i="29"/>
  <c r="L13" i="29" s="1"/>
  <c r="D12" i="29"/>
  <c r="L12" i="29" s="1"/>
  <c r="D11" i="29"/>
  <c r="L11" i="29" s="1"/>
  <c r="L10" i="29"/>
  <c r="D9" i="29"/>
  <c r="D7" i="29"/>
  <c r="E57" i="28"/>
  <c r="E55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8" i="28"/>
  <c r="E17" i="28"/>
  <c r="E16" i="28"/>
  <c r="E15" i="28"/>
  <c r="E14" i="28"/>
  <c r="E13" i="28"/>
  <c r="D12" i="28"/>
  <c r="L12" i="28" s="1"/>
  <c r="D11" i="28"/>
  <c r="L11" i="28" s="1"/>
  <c r="D10" i="28"/>
  <c r="L10" i="28" s="1"/>
  <c r="D9" i="28"/>
  <c r="D7" i="28"/>
  <c r="D57" i="27"/>
  <c r="D55" i="27"/>
  <c r="L55" i="27" s="1"/>
  <c r="D54" i="27"/>
  <c r="L54" i="27" s="1"/>
  <c r="D53" i="27"/>
  <c r="L53" i="27" s="1"/>
  <c r="D52" i="27"/>
  <c r="L52" i="27" s="1"/>
  <c r="D51" i="27"/>
  <c r="L51" i="27" s="1"/>
  <c r="L50" i="27"/>
  <c r="D49" i="27"/>
  <c r="L49" i="27" s="1"/>
  <c r="D48" i="27"/>
  <c r="L48" i="27" s="1"/>
  <c r="D47" i="27"/>
  <c r="L47" i="27" s="1"/>
  <c r="D46" i="27"/>
  <c r="L46" i="27" s="1"/>
  <c r="D45" i="27"/>
  <c r="L45" i="27" s="1"/>
  <c r="D44" i="27"/>
  <c r="L44" i="27" s="1"/>
  <c r="D43" i="27"/>
  <c r="L43" i="27" s="1"/>
  <c r="L42" i="27"/>
  <c r="D41" i="27"/>
  <c r="L41" i="27" s="1"/>
  <c r="D40" i="27"/>
  <c r="L40" i="27" s="1"/>
  <c r="D39" i="27"/>
  <c r="L39" i="27" s="1"/>
  <c r="D38" i="27"/>
  <c r="L38" i="27" s="1"/>
  <c r="D37" i="27"/>
  <c r="L37" i="27" s="1"/>
  <c r="D36" i="27"/>
  <c r="L36" i="27" s="1"/>
  <c r="L35" i="27"/>
  <c r="D34" i="27"/>
  <c r="L34" i="27" s="1"/>
  <c r="D33" i="27"/>
  <c r="L33" i="27" s="1"/>
  <c r="D32" i="27"/>
  <c r="L32" i="27" s="1"/>
  <c r="D31" i="27"/>
  <c r="L31" i="27" s="1"/>
  <c r="D30" i="27"/>
  <c r="L30" i="27" s="1"/>
  <c r="D29" i="27"/>
  <c r="L29" i="27" s="1"/>
  <c r="D28" i="27"/>
  <c r="L28" i="27" s="1"/>
  <c r="L27" i="27"/>
  <c r="D26" i="27"/>
  <c r="L26" i="27" s="1"/>
  <c r="D25" i="27"/>
  <c r="L25" i="27" s="1"/>
  <c r="D24" i="27"/>
  <c r="L24" i="27" s="1"/>
  <c r="D23" i="27"/>
  <c r="L23" i="27" s="1"/>
  <c r="D22" i="27"/>
  <c r="L22" i="27" s="1"/>
  <c r="D21" i="27"/>
  <c r="L21" i="27" s="1"/>
  <c r="L20" i="27"/>
  <c r="D19" i="27"/>
  <c r="L19" i="27" s="1"/>
  <c r="D18" i="27"/>
  <c r="L18" i="27" s="1"/>
  <c r="D17" i="27"/>
  <c r="L17" i="27" s="1"/>
  <c r="D16" i="27"/>
  <c r="L16" i="27" s="1"/>
  <c r="D15" i="27"/>
  <c r="L15" i="27" s="1"/>
  <c r="D14" i="27"/>
  <c r="L14" i="27" s="1"/>
  <c r="D13" i="27"/>
  <c r="L13" i="27" s="1"/>
  <c r="L12" i="27"/>
  <c r="D11" i="27"/>
  <c r="L11" i="27" s="1"/>
  <c r="D10" i="27"/>
  <c r="L10" i="27" s="1"/>
  <c r="D9" i="27"/>
  <c r="D7" i="27"/>
  <c r="D57" i="26"/>
  <c r="D55" i="26"/>
  <c r="L55" i="26" s="1"/>
  <c r="D54" i="26"/>
  <c r="L54" i="26" s="1"/>
  <c r="D53" i="26"/>
  <c r="L53" i="26" s="1"/>
  <c r="D52" i="26"/>
  <c r="L52" i="26" s="1"/>
  <c r="L51" i="26"/>
  <c r="D50" i="26"/>
  <c r="L50" i="26" s="1"/>
  <c r="D49" i="26"/>
  <c r="L49" i="26" s="1"/>
  <c r="D48" i="26"/>
  <c r="L48" i="26" s="1"/>
  <c r="D47" i="26"/>
  <c r="L47" i="26" s="1"/>
  <c r="D46" i="26"/>
  <c r="L46" i="26" s="1"/>
  <c r="L45" i="26"/>
  <c r="D44" i="26"/>
  <c r="L44" i="26" s="1"/>
  <c r="D43" i="26"/>
  <c r="L43" i="26" s="1"/>
  <c r="D42" i="26"/>
  <c r="L42" i="26" s="1"/>
  <c r="D41" i="26"/>
  <c r="L41" i="26" s="1"/>
  <c r="D40" i="26"/>
  <c r="L40" i="26" s="1"/>
  <c r="L39" i="26"/>
  <c r="D38" i="26"/>
  <c r="L38" i="26" s="1"/>
  <c r="D37" i="26"/>
  <c r="L37" i="26" s="1"/>
  <c r="D36" i="26"/>
  <c r="L36" i="26" s="1"/>
  <c r="D35" i="26"/>
  <c r="L35" i="26" s="1"/>
  <c r="D34" i="26"/>
  <c r="L34" i="26" s="1"/>
  <c r="D33" i="26"/>
  <c r="L33" i="26" s="1"/>
  <c r="L32" i="26"/>
  <c r="D31" i="26"/>
  <c r="L31" i="26" s="1"/>
  <c r="D30" i="26"/>
  <c r="L30" i="26" s="1"/>
  <c r="D29" i="26"/>
  <c r="L29" i="26" s="1"/>
  <c r="D28" i="26"/>
  <c r="L28" i="26" s="1"/>
  <c r="D27" i="26"/>
  <c r="L27" i="26" s="1"/>
  <c r="L26" i="26"/>
  <c r="D25" i="26"/>
  <c r="L25" i="26" s="1"/>
  <c r="D24" i="26"/>
  <c r="L24" i="26" s="1"/>
  <c r="D23" i="26"/>
  <c r="L23" i="26" s="1"/>
  <c r="D22" i="26"/>
  <c r="L22" i="26" s="1"/>
  <c r="D21" i="26"/>
  <c r="L21" i="26" s="1"/>
  <c r="L20" i="26"/>
  <c r="D19" i="26"/>
  <c r="L19" i="26" s="1"/>
  <c r="D18" i="26"/>
  <c r="L18" i="26" s="1"/>
  <c r="D17" i="26"/>
  <c r="L17" i="26" s="1"/>
  <c r="D16" i="26"/>
  <c r="L16" i="26" s="1"/>
  <c r="D15" i="26"/>
  <c r="L15" i="26" s="1"/>
  <c r="L14" i="26"/>
  <c r="D13" i="26"/>
  <c r="L13" i="26" s="1"/>
  <c r="D12" i="26"/>
  <c r="L12" i="26" s="1"/>
  <c r="D11" i="26"/>
  <c r="L11" i="26" s="1"/>
  <c r="D10" i="26"/>
  <c r="L10" i="26" s="1"/>
  <c r="D9" i="26"/>
  <c r="D7" i="26"/>
  <c r="G15" i="25"/>
  <c r="H15" i="25" s="1"/>
  <c r="G14" i="25"/>
  <c r="H14" i="25" s="1"/>
  <c r="G13" i="25"/>
  <c r="H13" i="25" s="1"/>
  <c r="G12" i="25"/>
  <c r="H12" i="25" s="1"/>
  <c r="G11" i="25"/>
  <c r="H11" i="25" s="1"/>
  <c r="G10" i="25"/>
  <c r="H10" i="25" s="1"/>
  <c r="G9" i="25"/>
  <c r="H9" i="25" s="1"/>
  <c r="G8" i="25"/>
  <c r="H8" i="25" s="1"/>
  <c r="G7" i="25"/>
  <c r="H7" i="25" s="1"/>
  <c r="G7" i="31" l="1"/>
  <c r="H7" i="31" s="1"/>
  <c r="L7" i="31"/>
  <c r="G9" i="34"/>
  <c r="H9" i="34" s="1"/>
  <c r="L9" i="34"/>
  <c r="G9" i="35"/>
  <c r="H9" i="35" s="1"/>
  <c r="L9" i="35"/>
  <c r="G7" i="36"/>
  <c r="H7" i="36" s="1"/>
  <c r="L7" i="36"/>
  <c r="G57" i="36"/>
  <c r="H57" i="36" s="1"/>
  <c r="L57" i="36"/>
  <c r="G7" i="27"/>
  <c r="H7" i="27" s="1"/>
  <c r="L7" i="27"/>
  <c r="G57" i="31"/>
  <c r="H57" i="31" s="1"/>
  <c r="L57" i="31"/>
  <c r="G9" i="27"/>
  <c r="H9" i="27" s="1"/>
  <c r="L9" i="27"/>
  <c r="G7" i="28"/>
  <c r="H7" i="28" s="1"/>
  <c r="L7" i="28"/>
  <c r="G9" i="31"/>
  <c r="H9" i="31" s="1"/>
  <c r="L9" i="31"/>
  <c r="G7" i="32"/>
  <c r="H7" i="32" s="1"/>
  <c r="L7" i="32"/>
  <c r="G57" i="32"/>
  <c r="H57" i="32" s="1"/>
  <c r="L57" i="32"/>
  <c r="G9" i="36"/>
  <c r="H9" i="36" s="1"/>
  <c r="L9" i="36"/>
  <c r="G7" i="37"/>
  <c r="H7" i="37" s="1"/>
  <c r="L7" i="37"/>
  <c r="G44" i="37"/>
  <c r="H44" i="37" s="1"/>
  <c r="L44" i="37"/>
  <c r="G48" i="37"/>
  <c r="H48" i="37" s="1"/>
  <c r="L48" i="37"/>
  <c r="G57" i="37"/>
  <c r="H57" i="37" s="1"/>
  <c r="L57" i="37"/>
  <c r="G57" i="27"/>
  <c r="H57" i="27" s="1"/>
  <c r="L57" i="27"/>
  <c r="G9" i="30"/>
  <c r="H9" i="30" s="1"/>
  <c r="L9" i="30"/>
  <c r="G7" i="29"/>
  <c r="H7" i="29" s="1"/>
  <c r="L7" i="29"/>
  <c r="G57" i="29"/>
  <c r="H57" i="29" s="1"/>
  <c r="L57" i="29"/>
  <c r="G9" i="32"/>
  <c r="H9" i="32" s="1"/>
  <c r="L9" i="32"/>
  <c r="G7" i="33"/>
  <c r="H7" i="33" s="1"/>
  <c r="L7" i="33"/>
  <c r="G57" i="33"/>
  <c r="H57" i="33" s="1"/>
  <c r="L57" i="33"/>
  <c r="G16" i="34"/>
  <c r="H16" i="34" s="1"/>
  <c r="L16" i="34"/>
  <c r="G57" i="34"/>
  <c r="H57" i="34" s="1"/>
  <c r="L57" i="34"/>
  <c r="G9" i="37"/>
  <c r="H9" i="37" s="1"/>
  <c r="L9" i="37"/>
  <c r="G9" i="28"/>
  <c r="H9" i="28" s="1"/>
  <c r="L9" i="28"/>
  <c r="G9" i="29"/>
  <c r="H9" i="29" s="1"/>
  <c r="L9" i="29"/>
  <c r="G7" i="30"/>
  <c r="H7" i="30" s="1"/>
  <c r="L7" i="30"/>
  <c r="G57" i="30"/>
  <c r="H57" i="30" s="1"/>
  <c r="L57" i="30"/>
  <c r="G9" i="33"/>
  <c r="H9" i="33" s="1"/>
  <c r="L9" i="33"/>
  <c r="G7" i="34"/>
  <c r="H7" i="34" s="1"/>
  <c r="L7" i="34"/>
  <c r="G7" i="35"/>
  <c r="H7" i="35" s="1"/>
  <c r="L7" i="35"/>
  <c r="G57" i="35"/>
  <c r="H57" i="35" s="1"/>
  <c r="L57" i="35"/>
  <c r="G57" i="26"/>
  <c r="H57" i="26" s="1"/>
  <c r="L57" i="26"/>
  <c r="G9" i="26"/>
  <c r="H9" i="26" s="1"/>
  <c r="L9" i="26"/>
  <c r="G7" i="26"/>
  <c r="H7" i="26" s="1"/>
  <c r="L7" i="26"/>
  <c r="G12" i="26"/>
  <c r="H12" i="26" s="1"/>
  <c r="G16" i="26"/>
  <c r="H16" i="26" s="1"/>
  <c r="G24" i="26"/>
  <c r="H24" i="26" s="1"/>
  <c r="G28" i="26"/>
  <c r="H28" i="26" s="1"/>
  <c r="G36" i="26"/>
  <c r="H36" i="26" s="1"/>
  <c r="G40" i="26"/>
  <c r="H40" i="26" s="1"/>
  <c r="G44" i="26"/>
  <c r="H44" i="26" s="1"/>
  <c r="G48" i="26"/>
  <c r="H48" i="26" s="1"/>
  <c r="G52" i="26"/>
  <c r="H52" i="26" s="1"/>
  <c r="G11" i="27"/>
  <c r="H11" i="27" s="1"/>
  <c r="G15" i="27"/>
  <c r="H15" i="27" s="1"/>
  <c r="G19" i="27"/>
  <c r="H19" i="27" s="1"/>
  <c r="G23" i="27"/>
  <c r="H23" i="27" s="1"/>
  <c r="G31" i="27"/>
  <c r="H31" i="27" s="1"/>
  <c r="G39" i="27"/>
  <c r="H39" i="27" s="1"/>
  <c r="G43" i="27"/>
  <c r="H43" i="27" s="1"/>
  <c r="G47" i="27"/>
  <c r="H47" i="27" s="1"/>
  <c r="G51" i="27"/>
  <c r="H51" i="27" s="1"/>
  <c r="G55" i="27"/>
  <c r="H55" i="27" s="1"/>
  <c r="G10" i="28"/>
  <c r="H10" i="28" s="1"/>
  <c r="G13" i="29"/>
  <c r="H13" i="29" s="1"/>
  <c r="G17" i="29"/>
  <c r="H17" i="29" s="1"/>
  <c r="G21" i="29"/>
  <c r="H21" i="29" s="1"/>
  <c r="G25" i="29"/>
  <c r="H25" i="29" s="1"/>
  <c r="G29" i="29"/>
  <c r="H29" i="29" s="1"/>
  <c r="G33" i="29"/>
  <c r="H33" i="29" s="1"/>
  <c r="G49" i="29"/>
  <c r="H49" i="29" s="1"/>
  <c r="G53" i="29"/>
  <c r="H53" i="29" s="1"/>
  <c r="G12" i="30"/>
  <c r="H12" i="30" s="1"/>
  <c r="G16" i="30"/>
  <c r="H16" i="30" s="1"/>
  <c r="G20" i="30"/>
  <c r="H20" i="30" s="1"/>
  <c r="G28" i="30"/>
  <c r="H28" i="30" s="1"/>
  <c r="G32" i="30"/>
  <c r="H32" i="30" s="1"/>
  <c r="G36" i="30"/>
  <c r="H36" i="30" s="1"/>
  <c r="G44" i="30"/>
  <c r="H44" i="30" s="1"/>
  <c r="G48" i="30"/>
  <c r="H48" i="30" s="1"/>
  <c r="G52" i="30"/>
  <c r="H52" i="30" s="1"/>
  <c r="G12" i="35"/>
  <c r="H12" i="35" s="1"/>
  <c r="G16" i="35"/>
  <c r="H16" i="35" s="1"/>
  <c r="G20" i="35"/>
  <c r="H20" i="35" s="1"/>
  <c r="G24" i="35"/>
  <c r="H24" i="35" s="1"/>
  <c r="G28" i="35"/>
  <c r="H28" i="35" s="1"/>
  <c r="G32" i="35"/>
  <c r="H32" i="35" s="1"/>
  <c r="G36" i="35"/>
  <c r="H36" i="35" s="1"/>
  <c r="G40" i="35"/>
  <c r="H40" i="35" s="1"/>
  <c r="G44" i="35"/>
  <c r="H44" i="35" s="1"/>
  <c r="G48" i="35"/>
  <c r="H48" i="35" s="1"/>
  <c r="G52" i="35"/>
  <c r="H52" i="35" s="1"/>
  <c r="G54" i="37"/>
  <c r="H54" i="37" s="1"/>
  <c r="G44" i="36"/>
  <c r="H44" i="36" s="1"/>
  <c r="G48" i="36"/>
  <c r="H48" i="36" s="1"/>
  <c r="G52" i="36"/>
  <c r="H52" i="36" s="1"/>
  <c r="G11" i="37"/>
  <c r="H11" i="37" s="1"/>
  <c r="G50" i="35"/>
  <c r="H50" i="35" s="1"/>
  <c r="G54" i="35"/>
  <c r="H54" i="35" s="1"/>
  <c r="G13" i="36"/>
  <c r="H13" i="36" s="1"/>
  <c r="G17" i="36"/>
  <c r="H17" i="36" s="1"/>
  <c r="G21" i="36"/>
  <c r="H21" i="36" s="1"/>
  <c r="G25" i="36"/>
  <c r="H25" i="36" s="1"/>
  <c r="G29" i="36"/>
  <c r="H29" i="36" s="1"/>
  <c r="G33" i="36"/>
  <c r="H33" i="36" s="1"/>
  <c r="G37" i="36"/>
  <c r="H37" i="36" s="1"/>
  <c r="G41" i="36"/>
  <c r="H41" i="36" s="1"/>
  <c r="G45" i="36"/>
  <c r="H45" i="36" s="1"/>
  <c r="G49" i="36"/>
  <c r="H49" i="36" s="1"/>
  <c r="G53" i="36"/>
  <c r="H53" i="36" s="1"/>
  <c r="G16" i="37"/>
  <c r="H16" i="37" s="1"/>
  <c r="G20" i="37"/>
  <c r="H20" i="37" s="1"/>
  <c r="G28" i="37"/>
  <c r="H28" i="37" s="1"/>
  <c r="G32" i="37"/>
  <c r="H32" i="37" s="1"/>
  <c r="G40" i="37"/>
  <c r="H40" i="37" s="1"/>
  <c r="G52" i="37"/>
  <c r="H52" i="37" s="1"/>
  <c r="G16" i="27"/>
  <c r="H16" i="27" s="1"/>
  <c r="G24" i="27"/>
  <c r="H24" i="27" s="1"/>
  <c r="G28" i="27"/>
  <c r="H28" i="27" s="1"/>
  <c r="G32" i="27"/>
  <c r="H32" i="27" s="1"/>
  <c r="G36" i="27"/>
  <c r="H36" i="27" s="1"/>
  <c r="G40" i="27"/>
  <c r="H40" i="27" s="1"/>
  <c r="G44" i="27"/>
  <c r="H44" i="27" s="1"/>
  <c r="G48" i="27"/>
  <c r="H48" i="27" s="1"/>
  <c r="G52" i="27"/>
  <c r="H52" i="27" s="1"/>
  <c r="G11" i="28"/>
  <c r="H11" i="28" s="1"/>
  <c r="G18" i="29"/>
  <c r="H18" i="29" s="1"/>
  <c r="G22" i="29"/>
  <c r="H22" i="29" s="1"/>
  <c r="G26" i="29"/>
  <c r="H26" i="29" s="1"/>
  <c r="G30" i="29"/>
  <c r="H30" i="29" s="1"/>
  <c r="G34" i="29"/>
  <c r="H34" i="29" s="1"/>
  <c r="G38" i="29"/>
  <c r="H38" i="29" s="1"/>
  <c r="G42" i="29"/>
  <c r="H42" i="29" s="1"/>
  <c r="G46" i="29"/>
  <c r="H46" i="29" s="1"/>
  <c r="G17" i="26"/>
  <c r="H17" i="26" s="1"/>
  <c r="G25" i="26"/>
  <c r="H25" i="26" s="1"/>
  <c r="G33" i="26"/>
  <c r="H33" i="26" s="1"/>
  <c r="G41" i="26"/>
  <c r="H41" i="26" s="1"/>
  <c r="G49" i="26"/>
  <c r="H49" i="26" s="1"/>
  <c r="G13" i="26"/>
  <c r="H13" i="26" s="1"/>
  <c r="G21" i="26"/>
  <c r="H21" i="26" s="1"/>
  <c r="G29" i="26"/>
  <c r="H29" i="26" s="1"/>
  <c r="G37" i="26"/>
  <c r="H37" i="26" s="1"/>
  <c r="G53" i="26"/>
  <c r="H53" i="26" s="1"/>
  <c r="G17" i="30"/>
  <c r="H17" i="30" s="1"/>
  <c r="G21" i="30"/>
  <c r="H21" i="30" s="1"/>
  <c r="G25" i="30"/>
  <c r="H25" i="30" s="1"/>
  <c r="G33" i="30"/>
  <c r="H33" i="30" s="1"/>
  <c r="G37" i="30"/>
  <c r="H37" i="30" s="1"/>
  <c r="G41" i="30"/>
  <c r="H41" i="30" s="1"/>
  <c r="G49" i="30"/>
  <c r="H49" i="30" s="1"/>
  <c r="G53" i="30"/>
  <c r="H53" i="30" s="1"/>
  <c r="G12" i="31"/>
  <c r="H12" i="31" s="1"/>
  <c r="G16" i="31"/>
  <c r="H16" i="31" s="1"/>
  <c r="G20" i="31"/>
  <c r="H20" i="31" s="1"/>
  <c r="G24" i="31"/>
  <c r="H24" i="31" s="1"/>
  <c r="G28" i="31"/>
  <c r="H28" i="31" s="1"/>
  <c r="G32" i="31"/>
  <c r="H32" i="31" s="1"/>
  <c r="G36" i="31"/>
  <c r="H36" i="31" s="1"/>
  <c r="G44" i="31"/>
  <c r="H44" i="31" s="1"/>
  <c r="G48" i="31"/>
  <c r="H48" i="31" s="1"/>
  <c r="G52" i="31"/>
  <c r="H52" i="31" s="1"/>
  <c r="G11" i="32"/>
  <c r="H11" i="32" s="1"/>
  <c r="G15" i="32"/>
  <c r="H15" i="32" s="1"/>
  <c r="G19" i="32"/>
  <c r="H19" i="32" s="1"/>
  <c r="G23" i="32"/>
  <c r="H23" i="32" s="1"/>
  <c r="G27" i="32"/>
  <c r="H27" i="32" s="1"/>
  <c r="G31" i="32"/>
  <c r="H31" i="32" s="1"/>
  <c r="G35" i="32"/>
  <c r="H35" i="32" s="1"/>
  <c r="G39" i="32"/>
  <c r="H39" i="32" s="1"/>
  <c r="G43" i="32"/>
  <c r="H43" i="32" s="1"/>
  <c r="G47" i="32"/>
  <c r="H47" i="32" s="1"/>
  <c r="G51" i="32"/>
  <c r="H51" i="32" s="1"/>
  <c r="G55" i="32"/>
  <c r="H55" i="32" s="1"/>
  <c r="G10" i="33"/>
  <c r="H10" i="33" s="1"/>
  <c r="G14" i="33"/>
  <c r="H14" i="33" s="1"/>
  <c r="G18" i="33"/>
  <c r="H18" i="33" s="1"/>
  <c r="G26" i="33"/>
  <c r="H26" i="33" s="1"/>
  <c r="G30" i="33"/>
  <c r="H30" i="33" s="1"/>
  <c r="G34" i="33"/>
  <c r="H34" i="33" s="1"/>
  <c r="G38" i="33"/>
  <c r="H38" i="33" s="1"/>
  <c r="G42" i="33"/>
  <c r="H42" i="33" s="1"/>
  <c r="G46" i="33"/>
  <c r="H46" i="33" s="1"/>
  <c r="G50" i="33"/>
  <c r="H50" i="33" s="1"/>
  <c r="G54" i="33"/>
  <c r="H54" i="33" s="1"/>
  <c r="G18" i="34"/>
  <c r="H18" i="34" s="1"/>
  <c r="G22" i="34"/>
  <c r="H22" i="34" s="1"/>
  <c r="G26" i="34"/>
  <c r="H26" i="34" s="1"/>
  <c r="G34" i="34"/>
  <c r="H34" i="34" s="1"/>
  <c r="G38" i="34"/>
  <c r="H38" i="34" s="1"/>
  <c r="G42" i="34"/>
  <c r="H42" i="34" s="1"/>
  <c r="G46" i="34"/>
  <c r="H46" i="34" s="1"/>
  <c r="G50" i="34"/>
  <c r="H50" i="34" s="1"/>
  <c r="G54" i="34"/>
  <c r="H54" i="34" s="1"/>
  <c r="G13" i="35"/>
  <c r="H13" i="35" s="1"/>
  <c r="G17" i="35"/>
  <c r="H17" i="35" s="1"/>
  <c r="G21" i="35"/>
  <c r="H21" i="35" s="1"/>
  <c r="G25" i="35"/>
  <c r="H25" i="35" s="1"/>
  <c r="G29" i="35"/>
  <c r="H29" i="35" s="1"/>
  <c r="G33" i="35"/>
  <c r="H33" i="35" s="1"/>
  <c r="G37" i="35"/>
  <c r="H37" i="35" s="1"/>
  <c r="G41" i="35"/>
  <c r="H41" i="35" s="1"/>
  <c r="G45" i="35"/>
  <c r="H45" i="35" s="1"/>
  <c r="G49" i="35"/>
  <c r="H49" i="35" s="1"/>
  <c r="G53" i="35"/>
  <c r="H53" i="35" s="1"/>
  <c r="G12" i="36"/>
  <c r="H12" i="36" s="1"/>
  <c r="G16" i="36"/>
  <c r="H16" i="36" s="1"/>
  <c r="G24" i="36"/>
  <c r="H24" i="36" s="1"/>
  <c r="G28" i="36"/>
  <c r="H28" i="36" s="1"/>
  <c r="G32" i="36"/>
  <c r="H32" i="36" s="1"/>
  <c r="G36" i="36"/>
  <c r="H36" i="36" s="1"/>
  <c r="G40" i="36"/>
  <c r="H40" i="36" s="1"/>
  <c r="G15" i="37"/>
  <c r="H15" i="37" s="1"/>
  <c r="G19" i="37"/>
  <c r="H19" i="37" s="1"/>
  <c r="G23" i="37"/>
  <c r="H23" i="37" s="1"/>
  <c r="G27" i="37"/>
  <c r="H27" i="37" s="1"/>
  <c r="G31" i="37"/>
  <c r="H31" i="37" s="1"/>
  <c r="G35" i="37"/>
  <c r="H35" i="37" s="1"/>
  <c r="G39" i="37"/>
  <c r="H39" i="37" s="1"/>
  <c r="G43" i="37"/>
  <c r="H43" i="37" s="1"/>
  <c r="G47" i="37"/>
  <c r="H47" i="37" s="1"/>
  <c r="G51" i="37"/>
  <c r="H51" i="37" s="1"/>
  <c r="G10" i="26"/>
  <c r="H10" i="26" s="1"/>
  <c r="G18" i="26"/>
  <c r="H18" i="26" s="1"/>
  <c r="G22" i="26"/>
  <c r="H22" i="26" s="1"/>
  <c r="G30" i="26"/>
  <c r="H30" i="26" s="1"/>
  <c r="G34" i="26"/>
  <c r="H34" i="26" s="1"/>
  <c r="G38" i="26"/>
  <c r="H38" i="26" s="1"/>
  <c r="G42" i="26"/>
  <c r="H42" i="26" s="1"/>
  <c r="G46" i="26"/>
  <c r="H46" i="26" s="1"/>
  <c r="G50" i="26"/>
  <c r="H50" i="26" s="1"/>
  <c r="G54" i="26"/>
  <c r="H54" i="26" s="1"/>
  <c r="G13" i="27"/>
  <c r="H13" i="27" s="1"/>
  <c r="G17" i="27"/>
  <c r="H17" i="27" s="1"/>
  <c r="G21" i="27"/>
  <c r="H21" i="27" s="1"/>
  <c r="G25" i="27"/>
  <c r="H25" i="27" s="1"/>
  <c r="G29" i="27"/>
  <c r="H29" i="27" s="1"/>
  <c r="G33" i="27"/>
  <c r="H33" i="27" s="1"/>
  <c r="G37" i="27"/>
  <c r="H37" i="27" s="1"/>
  <c r="G41" i="27"/>
  <c r="H41" i="27" s="1"/>
  <c r="G45" i="27"/>
  <c r="H45" i="27" s="1"/>
  <c r="G49" i="27"/>
  <c r="H49" i="27" s="1"/>
  <c r="G53" i="27"/>
  <c r="H53" i="27" s="1"/>
  <c r="G12" i="28"/>
  <c r="H12" i="28" s="1"/>
  <c r="G11" i="29"/>
  <c r="H11" i="29" s="1"/>
  <c r="G15" i="29"/>
  <c r="H15" i="29" s="1"/>
  <c r="G27" i="29"/>
  <c r="H27" i="29" s="1"/>
  <c r="G31" i="29"/>
  <c r="H31" i="29" s="1"/>
  <c r="G39" i="29"/>
  <c r="H39" i="29" s="1"/>
  <c r="G43" i="29"/>
  <c r="H43" i="29" s="1"/>
  <c r="G47" i="29"/>
  <c r="H47" i="29" s="1"/>
  <c r="G51" i="29"/>
  <c r="H51" i="29" s="1"/>
  <c r="G55" i="29"/>
  <c r="H55" i="29" s="1"/>
  <c r="G10" i="30"/>
  <c r="H10" i="30" s="1"/>
  <c r="G14" i="30"/>
  <c r="H14" i="30" s="1"/>
  <c r="G18" i="30"/>
  <c r="H18" i="30" s="1"/>
  <c r="G22" i="30"/>
  <c r="H22" i="30" s="1"/>
  <c r="G26" i="30"/>
  <c r="H26" i="30" s="1"/>
  <c r="G30" i="30"/>
  <c r="H30" i="30" s="1"/>
  <c r="G34" i="30"/>
  <c r="H34" i="30" s="1"/>
  <c r="G38" i="30"/>
  <c r="H38" i="30" s="1"/>
  <c r="G42" i="30"/>
  <c r="H42" i="30" s="1"/>
  <c r="G46" i="30"/>
  <c r="H46" i="30" s="1"/>
  <c r="G50" i="30"/>
  <c r="H50" i="30" s="1"/>
  <c r="G54" i="30"/>
  <c r="H54" i="30" s="1"/>
  <c r="G13" i="31"/>
  <c r="H13" i="31" s="1"/>
  <c r="G17" i="31"/>
  <c r="H17" i="31" s="1"/>
  <c r="G21" i="31"/>
  <c r="H21" i="31" s="1"/>
  <c r="G29" i="31"/>
  <c r="H29" i="31" s="1"/>
  <c r="G33" i="31"/>
  <c r="H33" i="31" s="1"/>
  <c r="G37" i="31"/>
  <c r="H37" i="31" s="1"/>
  <c r="G41" i="31"/>
  <c r="H41" i="31" s="1"/>
  <c r="G49" i="31"/>
  <c r="H49" i="31" s="1"/>
  <c r="G53" i="31"/>
  <c r="H53" i="31" s="1"/>
  <c r="G12" i="32"/>
  <c r="H12" i="32" s="1"/>
  <c r="G16" i="32"/>
  <c r="H16" i="32" s="1"/>
  <c r="G20" i="32"/>
  <c r="H20" i="32" s="1"/>
  <c r="G24" i="32"/>
  <c r="H24" i="32" s="1"/>
  <c r="G28" i="32"/>
  <c r="H28" i="32" s="1"/>
  <c r="G32" i="32"/>
  <c r="H32" i="32" s="1"/>
  <c r="G36" i="32"/>
  <c r="H36" i="32" s="1"/>
  <c r="G40" i="32"/>
  <c r="H40" i="32" s="1"/>
  <c r="G44" i="32"/>
  <c r="H44" i="32" s="1"/>
  <c r="G48" i="32"/>
  <c r="H48" i="32" s="1"/>
  <c r="G52" i="32"/>
  <c r="H52" i="32" s="1"/>
  <c r="G11" i="33"/>
  <c r="H11" i="33" s="1"/>
  <c r="G15" i="33"/>
  <c r="H15" i="33" s="1"/>
  <c r="G19" i="33"/>
  <c r="H19" i="33" s="1"/>
  <c r="G23" i="33"/>
  <c r="H23" i="33" s="1"/>
  <c r="G31" i="33"/>
  <c r="H31" i="33" s="1"/>
  <c r="G35" i="33"/>
  <c r="H35" i="33" s="1"/>
  <c r="G39" i="33"/>
  <c r="H39" i="33" s="1"/>
  <c r="G47" i="33"/>
  <c r="H47" i="33" s="1"/>
  <c r="G51" i="33"/>
  <c r="H51" i="33" s="1"/>
  <c r="G55" i="33"/>
  <c r="H55" i="33" s="1"/>
  <c r="G10" i="34"/>
  <c r="H10" i="34" s="1"/>
  <c r="G14" i="34"/>
  <c r="H14" i="34" s="1"/>
  <c r="G15" i="34"/>
  <c r="H15" i="34" s="1"/>
  <c r="G23" i="34"/>
  <c r="H23" i="34" s="1"/>
  <c r="G27" i="34"/>
  <c r="H27" i="34" s="1"/>
  <c r="G31" i="34"/>
  <c r="H31" i="34" s="1"/>
  <c r="G35" i="34"/>
  <c r="H35" i="34" s="1"/>
  <c r="G39" i="34"/>
  <c r="H39" i="34" s="1"/>
  <c r="G43" i="34"/>
  <c r="H43" i="34" s="1"/>
  <c r="G51" i="34"/>
  <c r="H51" i="34" s="1"/>
  <c r="G55" i="34"/>
  <c r="H55" i="34" s="1"/>
  <c r="G10" i="35"/>
  <c r="H10" i="35" s="1"/>
  <c r="G14" i="35"/>
  <c r="H14" i="35" s="1"/>
  <c r="G18" i="35"/>
  <c r="H18" i="35" s="1"/>
  <c r="G22" i="35"/>
  <c r="H22" i="35" s="1"/>
  <c r="G26" i="35"/>
  <c r="H26" i="35" s="1"/>
  <c r="G30" i="35"/>
  <c r="H30" i="35" s="1"/>
  <c r="G34" i="35"/>
  <c r="H34" i="35" s="1"/>
  <c r="G38" i="35"/>
  <c r="H38" i="35" s="1"/>
  <c r="G42" i="35"/>
  <c r="H42" i="35" s="1"/>
  <c r="G46" i="35"/>
  <c r="H46" i="35" s="1"/>
  <c r="G13" i="28"/>
  <c r="H13" i="28" s="1"/>
  <c r="G11" i="26"/>
  <c r="H11" i="26" s="1"/>
  <c r="G15" i="26"/>
  <c r="H15" i="26" s="1"/>
  <c r="G19" i="26"/>
  <c r="H19" i="26" s="1"/>
  <c r="G23" i="26"/>
  <c r="H23" i="26" s="1"/>
  <c r="G27" i="26"/>
  <c r="H27" i="26" s="1"/>
  <c r="G31" i="26"/>
  <c r="H31" i="26" s="1"/>
  <c r="G35" i="26"/>
  <c r="H35" i="26" s="1"/>
  <c r="G43" i="26"/>
  <c r="H43" i="26" s="1"/>
  <c r="G47" i="26"/>
  <c r="H47" i="26" s="1"/>
  <c r="G55" i="26"/>
  <c r="H55" i="26" s="1"/>
  <c r="G10" i="27"/>
  <c r="H10" i="27" s="1"/>
  <c r="G14" i="27"/>
  <c r="H14" i="27" s="1"/>
  <c r="G18" i="27"/>
  <c r="H18" i="27" s="1"/>
  <c r="G22" i="27"/>
  <c r="H22" i="27" s="1"/>
  <c r="G26" i="27"/>
  <c r="H26" i="27" s="1"/>
  <c r="G30" i="27"/>
  <c r="H30" i="27" s="1"/>
  <c r="G34" i="27"/>
  <c r="H34" i="27" s="1"/>
  <c r="G38" i="27"/>
  <c r="H38" i="27" s="1"/>
  <c r="G46" i="27"/>
  <c r="H46" i="27" s="1"/>
  <c r="G54" i="27"/>
  <c r="H54" i="27" s="1"/>
  <c r="G12" i="29"/>
  <c r="H12" i="29" s="1"/>
  <c r="G16" i="29"/>
  <c r="H16" i="29" s="1"/>
  <c r="G20" i="29"/>
  <c r="H20" i="29" s="1"/>
  <c r="G24" i="29"/>
  <c r="H24" i="29" s="1"/>
  <c r="G40" i="29"/>
  <c r="H40" i="29" s="1"/>
  <c r="G44" i="29"/>
  <c r="H44" i="29" s="1"/>
  <c r="G48" i="29"/>
  <c r="H48" i="29" s="1"/>
  <c r="G52" i="29"/>
  <c r="H52" i="29" s="1"/>
  <c r="G11" i="30"/>
  <c r="H11" i="30" s="1"/>
  <c r="G15" i="30"/>
  <c r="H15" i="30" s="1"/>
  <c r="G23" i="30"/>
  <c r="H23" i="30" s="1"/>
  <c r="G27" i="30"/>
  <c r="H27" i="30" s="1"/>
  <c r="G31" i="30"/>
  <c r="H31" i="30" s="1"/>
  <c r="G39" i="30"/>
  <c r="H39" i="30" s="1"/>
  <c r="G43" i="30"/>
  <c r="H43" i="30" s="1"/>
  <c r="G47" i="30"/>
  <c r="H47" i="30" s="1"/>
  <c r="G55" i="30"/>
  <c r="H55" i="30" s="1"/>
  <c r="G10" i="31"/>
  <c r="H10" i="31" s="1"/>
  <c r="G18" i="31"/>
  <c r="H18" i="31" s="1"/>
  <c r="G22" i="31"/>
  <c r="H22" i="31" s="1"/>
  <c r="G26" i="31"/>
  <c r="H26" i="31" s="1"/>
  <c r="G34" i="31"/>
  <c r="H34" i="31" s="1"/>
  <c r="G38" i="31"/>
  <c r="H38" i="31" s="1"/>
  <c r="G42" i="31"/>
  <c r="H42" i="31" s="1"/>
  <c r="G46" i="31"/>
  <c r="H46" i="31" s="1"/>
  <c r="G50" i="31"/>
  <c r="H50" i="31" s="1"/>
  <c r="G54" i="31"/>
  <c r="H54" i="31" s="1"/>
  <c r="G13" i="32"/>
  <c r="H13" i="32" s="1"/>
  <c r="G17" i="32"/>
  <c r="H17" i="32" s="1"/>
  <c r="G21" i="32"/>
  <c r="H21" i="32" s="1"/>
  <c r="G25" i="32"/>
  <c r="H25" i="32" s="1"/>
  <c r="G33" i="32"/>
  <c r="H33" i="32" s="1"/>
  <c r="G37" i="32"/>
  <c r="H37" i="32" s="1"/>
  <c r="G41" i="32"/>
  <c r="H41" i="32" s="1"/>
  <c r="G45" i="32"/>
  <c r="H45" i="32" s="1"/>
  <c r="G49" i="32"/>
  <c r="H49" i="32" s="1"/>
  <c r="G53" i="32"/>
  <c r="H53" i="32" s="1"/>
  <c r="G16" i="33"/>
  <c r="H16" i="33" s="1"/>
  <c r="G20" i="33"/>
  <c r="H20" i="33" s="1"/>
  <c r="G24" i="33"/>
  <c r="H24" i="33" s="1"/>
  <c r="G28" i="33"/>
  <c r="H28" i="33" s="1"/>
  <c r="G36" i="33"/>
  <c r="H36" i="33" s="1"/>
  <c r="G40" i="33"/>
  <c r="H40" i="33" s="1"/>
  <c r="G44" i="33"/>
  <c r="H44" i="33" s="1"/>
  <c r="G52" i="33"/>
  <c r="H52" i="33" s="1"/>
  <c r="G11" i="34"/>
  <c r="H11" i="34" s="1"/>
  <c r="G20" i="34"/>
  <c r="H20" i="34" s="1"/>
  <c r="G28" i="34"/>
  <c r="H28" i="34" s="1"/>
  <c r="G32" i="34"/>
  <c r="H32" i="34" s="1"/>
  <c r="G40" i="34"/>
  <c r="H40" i="34" s="1"/>
  <c r="G44" i="34"/>
  <c r="H44" i="34" s="1"/>
  <c r="G48" i="34"/>
  <c r="H48" i="34" s="1"/>
  <c r="G11" i="35"/>
  <c r="H11" i="35" s="1"/>
  <c r="G15" i="35"/>
  <c r="H15" i="35" s="1"/>
  <c r="G19" i="35"/>
  <c r="H19" i="35" s="1"/>
  <c r="G23" i="35"/>
  <c r="H23" i="35" s="1"/>
  <c r="G31" i="35"/>
  <c r="H31" i="35" s="1"/>
  <c r="G35" i="35"/>
  <c r="H35" i="35" s="1"/>
  <c r="G39" i="35"/>
  <c r="H39" i="35" s="1"/>
  <c r="G43" i="35"/>
  <c r="H43" i="35" s="1"/>
  <c r="G47" i="35"/>
  <c r="H47" i="35" s="1"/>
  <c r="G51" i="35"/>
  <c r="H51" i="35" s="1"/>
  <c r="G55" i="35"/>
  <c r="H55" i="35" s="1"/>
  <c r="G10" i="36"/>
  <c r="H10" i="36" s="1"/>
  <c r="G14" i="36"/>
  <c r="H14" i="36" s="1"/>
  <c r="G18" i="36"/>
  <c r="H18" i="36" s="1"/>
  <c r="G22" i="36"/>
  <c r="H22" i="36" s="1"/>
  <c r="G26" i="36"/>
  <c r="H26" i="36" s="1"/>
  <c r="G30" i="36"/>
  <c r="H30" i="36" s="1"/>
  <c r="G34" i="36"/>
  <c r="H34" i="36" s="1"/>
  <c r="G38" i="36"/>
  <c r="H38" i="36" s="1"/>
  <c r="G42" i="36"/>
  <c r="H42" i="36" s="1"/>
  <c r="G46" i="36"/>
  <c r="H46" i="36" s="1"/>
  <c r="G50" i="36"/>
  <c r="H50" i="36" s="1"/>
  <c r="G54" i="36"/>
  <c r="H54" i="36" s="1"/>
  <c r="G13" i="37"/>
  <c r="H13" i="37" s="1"/>
  <c r="G17" i="37"/>
  <c r="H17" i="37" s="1"/>
  <c r="G21" i="37"/>
  <c r="H21" i="37" s="1"/>
  <c r="G25" i="37"/>
  <c r="H25" i="37" s="1"/>
  <c r="G29" i="37"/>
  <c r="H29" i="37" s="1"/>
  <c r="G33" i="37"/>
  <c r="H33" i="37" s="1"/>
  <c r="G37" i="37"/>
  <c r="H37" i="37" s="1"/>
  <c r="G41" i="37"/>
  <c r="H41" i="37" s="1"/>
  <c r="G45" i="37"/>
  <c r="H45" i="37" s="1"/>
  <c r="G53" i="37"/>
  <c r="H53" i="37" s="1"/>
  <c r="G11" i="31"/>
  <c r="H11" i="31" s="1"/>
  <c r="G15" i="31"/>
  <c r="H15" i="31" s="1"/>
  <c r="G23" i="31"/>
  <c r="H23" i="31" s="1"/>
  <c r="G27" i="31"/>
  <c r="H27" i="31" s="1"/>
  <c r="G31" i="31"/>
  <c r="H31" i="31" s="1"/>
  <c r="G39" i="31"/>
  <c r="H39" i="31" s="1"/>
  <c r="G43" i="31"/>
  <c r="H43" i="31" s="1"/>
  <c r="G47" i="31"/>
  <c r="H47" i="31" s="1"/>
  <c r="G55" i="31"/>
  <c r="H55" i="31" s="1"/>
  <c r="G10" i="32"/>
  <c r="H10" i="32" s="1"/>
  <c r="G14" i="32"/>
  <c r="H14" i="32" s="1"/>
  <c r="G18" i="32"/>
  <c r="H18" i="32" s="1"/>
  <c r="G22" i="32"/>
  <c r="H22" i="32" s="1"/>
  <c r="G26" i="32"/>
  <c r="H26" i="32" s="1"/>
  <c r="G30" i="32"/>
  <c r="H30" i="32" s="1"/>
  <c r="G34" i="32"/>
  <c r="H34" i="32" s="1"/>
  <c r="G38" i="32"/>
  <c r="H38" i="32" s="1"/>
  <c r="G42" i="32"/>
  <c r="H42" i="32" s="1"/>
  <c r="G46" i="32"/>
  <c r="H46" i="32" s="1"/>
  <c r="G54" i="32"/>
  <c r="H54" i="32" s="1"/>
  <c r="G13" i="33"/>
  <c r="H13" i="33" s="1"/>
  <c r="G21" i="33"/>
  <c r="H21" i="33" s="1"/>
  <c r="G25" i="33"/>
  <c r="H25" i="33" s="1"/>
  <c r="G29" i="33"/>
  <c r="H29" i="33" s="1"/>
  <c r="G33" i="33"/>
  <c r="H33" i="33" s="1"/>
  <c r="G41" i="33"/>
  <c r="H41" i="33" s="1"/>
  <c r="G45" i="33"/>
  <c r="H45" i="33" s="1"/>
  <c r="G49" i="33"/>
  <c r="H49" i="33" s="1"/>
  <c r="G12" i="34"/>
  <c r="H12" i="34" s="1"/>
  <c r="G17" i="34"/>
  <c r="H17" i="34" s="1"/>
  <c r="G21" i="34"/>
  <c r="H21" i="34" s="1"/>
  <c r="G25" i="34"/>
  <c r="H25" i="34" s="1"/>
  <c r="G29" i="34"/>
  <c r="H29" i="34" s="1"/>
  <c r="G33" i="34"/>
  <c r="H33" i="34" s="1"/>
  <c r="G37" i="34"/>
  <c r="H37" i="34" s="1"/>
  <c r="G45" i="34"/>
  <c r="H45" i="34" s="1"/>
  <c r="G49" i="34"/>
  <c r="H49" i="34" s="1"/>
  <c r="G53" i="34"/>
  <c r="H53" i="34" s="1"/>
  <c r="G11" i="36"/>
  <c r="H11" i="36" s="1"/>
  <c r="G15" i="36"/>
  <c r="H15" i="36" s="1"/>
  <c r="G19" i="36"/>
  <c r="H19" i="36" s="1"/>
  <c r="G23" i="36"/>
  <c r="H23" i="36" s="1"/>
  <c r="G27" i="36"/>
  <c r="H27" i="36" s="1"/>
  <c r="G31" i="36"/>
  <c r="H31" i="36" s="1"/>
  <c r="G35" i="36"/>
  <c r="H35" i="36" s="1"/>
  <c r="G39" i="36"/>
  <c r="H39" i="36" s="1"/>
  <c r="G43" i="36"/>
  <c r="H43" i="36" s="1"/>
  <c r="G47" i="36"/>
  <c r="H47" i="36" s="1"/>
  <c r="G55" i="36"/>
  <c r="H55" i="36" s="1"/>
  <c r="G10" i="37"/>
  <c r="H10" i="37" s="1"/>
  <c r="G14" i="37"/>
  <c r="H14" i="37" s="1"/>
  <c r="G22" i="37"/>
  <c r="H22" i="37" s="1"/>
  <c r="G26" i="37"/>
  <c r="H26" i="37" s="1"/>
  <c r="G34" i="37"/>
  <c r="H34" i="37" s="1"/>
  <c r="G38" i="37"/>
  <c r="H38" i="37" s="1"/>
  <c r="G46" i="37"/>
  <c r="H46" i="37" s="1"/>
  <c r="G50" i="37"/>
  <c r="H50" i="37" s="1"/>
  <c r="E25" i="26"/>
  <c r="E41" i="26"/>
  <c r="E55" i="32"/>
  <c r="E17" i="27"/>
  <c r="E21" i="27"/>
  <c r="E33" i="27"/>
  <c r="E37" i="27"/>
  <c r="E49" i="27"/>
  <c r="E43" i="29"/>
  <c r="E16" i="32"/>
  <c r="E23" i="32"/>
  <c r="E39" i="32"/>
  <c r="E13" i="32"/>
  <c r="E16" i="33"/>
  <c r="E19" i="35"/>
  <c r="E51" i="35"/>
  <c r="E21" i="37"/>
  <c r="E37" i="37"/>
  <c r="E53" i="37"/>
  <c r="E21" i="26"/>
  <c r="E37" i="26"/>
  <c r="E53" i="26"/>
  <c r="E35" i="36"/>
  <c r="E31" i="31"/>
  <c r="E39" i="31"/>
  <c r="E43" i="31"/>
  <c r="E47" i="31"/>
  <c r="E7" i="32"/>
  <c r="E10" i="32"/>
  <c r="E15" i="32"/>
  <c r="E41" i="32"/>
  <c r="E45" i="32"/>
  <c r="E10" i="33"/>
  <c r="E34" i="33"/>
  <c r="E50" i="33"/>
  <c r="E16" i="36"/>
  <c r="E25" i="36"/>
  <c r="E53" i="36"/>
  <c r="E7" i="31"/>
  <c r="E10" i="31"/>
  <c r="E18" i="31"/>
  <c r="E22" i="31"/>
  <c r="E26" i="31"/>
  <c r="E34" i="31"/>
  <c r="E38" i="31"/>
  <c r="E42" i="31"/>
  <c r="E46" i="31"/>
  <c r="E50" i="31"/>
  <c r="E54" i="31"/>
  <c r="E57" i="31"/>
  <c r="E9" i="32"/>
  <c r="E14" i="32"/>
  <c r="E20" i="32"/>
  <c r="E32" i="32"/>
  <c r="E34" i="32"/>
  <c r="E36" i="32"/>
  <c r="E38" i="32"/>
  <c r="E47" i="32"/>
  <c r="E49" i="32"/>
  <c r="E51" i="32"/>
  <c r="E53" i="32"/>
  <c r="E9" i="33"/>
  <c r="E14" i="33"/>
  <c r="E19" i="33"/>
  <c r="E23" i="33"/>
  <c r="E24" i="33"/>
  <c r="E28" i="33"/>
  <c r="E33" i="33"/>
  <c r="E36" i="33"/>
  <c r="E40" i="33"/>
  <c r="E46" i="33"/>
  <c r="E16" i="34"/>
  <c r="E21" i="34"/>
  <c r="E37" i="34"/>
  <c r="E46" i="34"/>
  <c r="E9" i="35"/>
  <c r="E14" i="35"/>
  <c r="E28" i="35"/>
  <c r="E37" i="35"/>
  <c r="E11" i="36"/>
  <c r="E34" i="36"/>
  <c r="E39" i="36"/>
  <c r="E48" i="36"/>
  <c r="E15" i="37"/>
  <c r="E20" i="37"/>
  <c r="E25" i="37"/>
  <c r="E27" i="31"/>
  <c r="E24" i="32"/>
  <c r="E28" i="32"/>
  <c r="E30" i="32"/>
  <c r="E43" i="32"/>
  <c r="E7" i="33"/>
  <c r="E15" i="33"/>
  <c r="E20" i="33"/>
  <c r="E44" i="33"/>
  <c r="E10" i="34"/>
  <c r="E33" i="34"/>
  <c r="E30" i="36"/>
  <c r="E44" i="36"/>
  <c r="E9" i="37"/>
  <c r="E9" i="31"/>
  <c r="E13" i="31"/>
  <c r="E17" i="31"/>
  <c r="E21" i="31"/>
  <c r="E29" i="31"/>
  <c r="E33" i="31"/>
  <c r="E37" i="31"/>
  <c r="E41" i="31"/>
  <c r="E49" i="31"/>
  <c r="E53" i="31"/>
  <c r="E12" i="32"/>
  <c r="E19" i="32"/>
  <c r="E25" i="32"/>
  <c r="E27" i="32"/>
  <c r="E40" i="32"/>
  <c r="E42" i="32"/>
  <c r="E44" i="32"/>
  <c r="E46" i="32"/>
  <c r="E57" i="32"/>
  <c r="E13" i="33"/>
  <c r="E18" i="33"/>
  <c r="E31" i="33"/>
  <c r="E39" i="33"/>
  <c r="E42" i="33"/>
  <c r="E45" i="33"/>
  <c r="E49" i="33"/>
  <c r="E55" i="33"/>
  <c r="E7" i="34"/>
  <c r="E11" i="34"/>
  <c r="E14" i="34"/>
  <c r="E25" i="34"/>
  <c r="E50" i="34"/>
  <c r="E57" i="34"/>
  <c r="E18" i="35"/>
  <c r="E23" i="35"/>
  <c r="E32" i="35"/>
  <c r="E41" i="35"/>
  <c r="E46" i="35"/>
  <c r="E43" i="36"/>
  <c r="E10" i="37"/>
  <c r="E31" i="37"/>
  <c r="E41" i="37"/>
  <c r="E11" i="31"/>
  <c r="E15" i="31"/>
  <c r="E23" i="31"/>
  <c r="E55" i="31"/>
  <c r="E21" i="32"/>
  <c r="E26" i="32"/>
  <c r="E25" i="33"/>
  <c r="E29" i="33"/>
  <c r="E42" i="34"/>
  <c r="E12" i="31"/>
  <c r="E16" i="31"/>
  <c r="E20" i="31"/>
  <c r="E24" i="31"/>
  <c r="E28" i="31"/>
  <c r="E32" i="31"/>
  <c r="E36" i="31"/>
  <c r="E44" i="31"/>
  <c r="E48" i="31"/>
  <c r="E52" i="31"/>
  <c r="E11" i="32"/>
  <c r="E17" i="32"/>
  <c r="E18" i="32"/>
  <c r="E22" i="32"/>
  <c r="E31" i="32"/>
  <c r="E33" i="32"/>
  <c r="E35" i="32"/>
  <c r="E37" i="32"/>
  <c r="E48" i="32"/>
  <c r="E52" i="32"/>
  <c r="E54" i="32"/>
  <c r="E11" i="33"/>
  <c r="E21" i="33"/>
  <c r="E26" i="33"/>
  <c r="E30" i="33"/>
  <c r="E35" i="33"/>
  <c r="E41" i="33"/>
  <c r="E51" i="33"/>
  <c r="E54" i="33"/>
  <c r="E17" i="34"/>
  <c r="E29" i="34"/>
  <c r="E54" i="34"/>
  <c r="E50" i="35"/>
  <c r="E55" i="35"/>
  <c r="E12" i="36"/>
  <c r="E21" i="36"/>
  <c r="E26" i="37"/>
  <c r="E47" i="37"/>
  <c r="E52" i="37"/>
  <c r="E20" i="34"/>
  <c r="E28" i="34"/>
  <c r="E32" i="34"/>
  <c r="E40" i="34"/>
  <c r="E45" i="34"/>
  <c r="E49" i="34"/>
  <c r="E53" i="34"/>
  <c r="E13" i="35"/>
  <c r="E17" i="35"/>
  <c r="E22" i="35"/>
  <c r="E26" i="35"/>
  <c r="E31" i="35"/>
  <c r="E36" i="35"/>
  <c r="E40" i="35"/>
  <c r="E45" i="35"/>
  <c r="E49" i="35"/>
  <c r="E54" i="35"/>
  <c r="E7" i="36"/>
  <c r="E10" i="36"/>
  <c r="E15" i="36"/>
  <c r="E24" i="36"/>
  <c r="E29" i="36"/>
  <c r="E33" i="36"/>
  <c r="E38" i="36"/>
  <c r="E42" i="36"/>
  <c r="E47" i="36"/>
  <c r="E52" i="36"/>
  <c r="E14" i="37"/>
  <c r="E19" i="37"/>
  <c r="E35" i="37"/>
  <c r="E40" i="37"/>
  <c r="E46" i="37"/>
  <c r="E51" i="37"/>
  <c r="E57" i="33"/>
  <c r="E9" i="34"/>
  <c r="E23" i="34"/>
  <c r="E27" i="34"/>
  <c r="E31" i="34"/>
  <c r="E35" i="34"/>
  <c r="E39" i="34"/>
  <c r="E44" i="34"/>
  <c r="E48" i="34"/>
  <c r="E12" i="35"/>
  <c r="E16" i="35"/>
  <c r="E21" i="35"/>
  <c r="E25" i="35"/>
  <c r="E30" i="35"/>
  <c r="E34" i="35"/>
  <c r="E35" i="35"/>
  <c r="E39" i="35"/>
  <c r="E44" i="35"/>
  <c r="E48" i="35"/>
  <c r="E53" i="35"/>
  <c r="E57" i="35"/>
  <c r="E9" i="36"/>
  <c r="E14" i="36"/>
  <c r="E18" i="36"/>
  <c r="E19" i="36"/>
  <c r="E23" i="36"/>
  <c r="E28" i="36"/>
  <c r="E32" i="36"/>
  <c r="E37" i="36"/>
  <c r="E41" i="36"/>
  <c r="E46" i="36"/>
  <c r="E50" i="36"/>
  <c r="E55" i="36"/>
  <c r="E7" i="37"/>
  <c r="E13" i="37"/>
  <c r="E23" i="37"/>
  <c r="E28" i="37"/>
  <c r="E29" i="37"/>
  <c r="E34" i="37"/>
  <c r="E39" i="37"/>
  <c r="E44" i="37"/>
  <c r="E45" i="37"/>
  <c r="E50" i="37"/>
  <c r="E38" i="33"/>
  <c r="E47" i="33"/>
  <c r="E52" i="33"/>
  <c r="E12" i="34"/>
  <c r="E18" i="34"/>
  <c r="E22" i="34"/>
  <c r="E26" i="34"/>
  <c r="E34" i="34"/>
  <c r="E38" i="34"/>
  <c r="E43" i="34"/>
  <c r="E51" i="34"/>
  <c r="E55" i="34"/>
  <c r="E7" i="35"/>
  <c r="E10" i="35"/>
  <c r="E11" i="35"/>
  <c r="E15" i="35"/>
  <c r="E20" i="35"/>
  <c r="E24" i="35"/>
  <c r="E29" i="35"/>
  <c r="E33" i="35"/>
  <c r="E38" i="35"/>
  <c r="E42" i="35"/>
  <c r="E43" i="35"/>
  <c r="E47" i="35"/>
  <c r="E52" i="35"/>
  <c r="E13" i="36"/>
  <c r="E17" i="36"/>
  <c r="E22" i="36"/>
  <c r="E26" i="36"/>
  <c r="E27" i="36"/>
  <c r="E31" i="36"/>
  <c r="E36" i="36"/>
  <c r="E40" i="36"/>
  <c r="E45" i="36"/>
  <c r="E49" i="36"/>
  <c r="E54" i="36"/>
  <c r="E57" i="36"/>
  <c r="E11" i="37"/>
  <c r="E16" i="37"/>
  <c r="E17" i="37"/>
  <c r="E22" i="37"/>
  <c r="E27" i="37"/>
  <c r="E32" i="37"/>
  <c r="E33" i="37"/>
  <c r="E38" i="37"/>
  <c r="E43" i="37"/>
  <c r="E48" i="37"/>
  <c r="E54" i="37"/>
  <c r="E57" i="37"/>
  <c r="E15" i="27"/>
  <c r="E22" i="29"/>
  <c r="E30" i="29"/>
  <c r="E38" i="29"/>
  <c r="E42" i="29"/>
  <c r="E47" i="29"/>
  <c r="E7" i="30"/>
  <c r="E14" i="30"/>
  <c r="E18" i="30"/>
  <c r="E50" i="30"/>
  <c r="E54" i="30"/>
  <c r="E19" i="27"/>
  <c r="E24" i="27"/>
  <c r="E40" i="27"/>
  <c r="E46" i="27"/>
  <c r="E51" i="27"/>
  <c r="E13" i="29"/>
  <c r="E17" i="29"/>
  <c r="E21" i="29"/>
  <c r="E25" i="29"/>
  <c r="E29" i="29"/>
  <c r="E33" i="29"/>
  <c r="E46" i="29"/>
  <c r="E57" i="29"/>
  <c r="E9" i="30"/>
  <c r="E17" i="30"/>
  <c r="E25" i="30"/>
  <c r="E33" i="30"/>
  <c r="E41" i="30"/>
  <c r="E49" i="30"/>
  <c r="E53" i="30"/>
  <c r="E7" i="27"/>
  <c r="E13" i="27"/>
  <c r="E18" i="27"/>
  <c r="E23" i="27"/>
  <c r="E28" i="27"/>
  <c r="E29" i="27"/>
  <c r="E34" i="27"/>
  <c r="E39" i="27"/>
  <c r="E44" i="27"/>
  <c r="E45" i="27"/>
  <c r="E54" i="27"/>
  <c r="E57" i="27"/>
  <c r="E9" i="28"/>
  <c r="E10" i="28"/>
  <c r="E12" i="29"/>
  <c r="E16" i="29"/>
  <c r="E20" i="29"/>
  <c r="E24" i="29"/>
  <c r="E40" i="29"/>
  <c r="E49" i="29"/>
  <c r="E53" i="29"/>
  <c r="E12" i="30"/>
  <c r="E16" i="30"/>
  <c r="E20" i="30"/>
  <c r="E28" i="30"/>
  <c r="E32" i="30"/>
  <c r="E36" i="30"/>
  <c r="E44" i="30"/>
  <c r="E48" i="30"/>
  <c r="E52" i="30"/>
  <c r="E10" i="27"/>
  <c r="E26" i="27"/>
  <c r="E31" i="27"/>
  <c r="E36" i="27"/>
  <c r="E47" i="27"/>
  <c r="E52" i="27"/>
  <c r="E12" i="28"/>
  <c r="E9" i="29"/>
  <c r="E18" i="29"/>
  <c r="E26" i="29"/>
  <c r="E34" i="29"/>
  <c r="E51" i="29"/>
  <c r="E55" i="29"/>
  <c r="E10" i="30"/>
  <c r="E22" i="30"/>
  <c r="E26" i="30"/>
  <c r="E30" i="30"/>
  <c r="E34" i="30"/>
  <c r="E38" i="30"/>
  <c r="E42" i="30"/>
  <c r="E46" i="30"/>
  <c r="E57" i="30"/>
  <c r="E9" i="27"/>
  <c r="E14" i="27"/>
  <c r="E25" i="27"/>
  <c r="E30" i="27"/>
  <c r="E41" i="27"/>
  <c r="E55" i="27"/>
  <c r="E7" i="28"/>
  <c r="E11" i="28"/>
  <c r="E21" i="30"/>
  <c r="E37" i="30"/>
  <c r="E11" i="27"/>
  <c r="E16" i="27"/>
  <c r="E22" i="27"/>
  <c r="E32" i="27"/>
  <c r="E38" i="27"/>
  <c r="E43" i="27"/>
  <c r="E48" i="27"/>
  <c r="E53" i="27"/>
  <c r="E7" i="29"/>
  <c r="E11" i="29"/>
  <c r="E15" i="29"/>
  <c r="E27" i="29"/>
  <c r="E31" i="29"/>
  <c r="E39" i="29"/>
  <c r="E44" i="29"/>
  <c r="E48" i="29"/>
  <c r="E52" i="29"/>
  <c r="E11" i="30"/>
  <c r="E15" i="30"/>
  <c r="E23" i="30"/>
  <c r="E27" i="30"/>
  <c r="E31" i="30"/>
  <c r="E39" i="30"/>
  <c r="E43" i="30"/>
  <c r="E47" i="30"/>
  <c r="E55" i="30"/>
  <c r="E9" i="26"/>
  <c r="E30" i="26"/>
  <c r="E35" i="26"/>
  <c r="E40" i="26"/>
  <c r="E7" i="26"/>
  <c r="E12" i="26"/>
  <c r="E13" i="26"/>
  <c r="E18" i="26"/>
  <c r="E23" i="26"/>
  <c r="E28" i="26"/>
  <c r="E29" i="26"/>
  <c r="E34" i="26"/>
  <c r="E44" i="26"/>
  <c r="E50" i="26"/>
  <c r="E55" i="26"/>
  <c r="E11" i="26"/>
  <c r="E16" i="26"/>
  <c r="E17" i="26"/>
  <c r="E22" i="26"/>
  <c r="E27" i="26"/>
  <c r="E33" i="26"/>
  <c r="E38" i="26"/>
  <c r="E43" i="26"/>
  <c r="E48" i="26"/>
  <c r="E49" i="26"/>
  <c r="E54" i="26"/>
  <c r="E57" i="26"/>
  <c r="E19" i="26"/>
  <c r="E24" i="26"/>
  <c r="E46" i="26"/>
  <c r="E10" i="26"/>
  <c r="E15" i="26"/>
  <c r="E31" i="26"/>
  <c r="E36" i="26"/>
  <c r="E42" i="26"/>
  <c r="E47" i="26"/>
  <c r="E52" i="26"/>
  <c r="I38" i="29" l="1"/>
  <c r="J38" i="29" s="1"/>
  <c r="I48" i="29"/>
  <c r="I13" i="29"/>
  <c r="I39" i="29"/>
  <c r="I9" i="29"/>
  <c r="I12" i="29"/>
  <c r="I18" i="29"/>
  <c r="I20" i="29"/>
  <c r="I7" i="29"/>
  <c r="J7" i="29" s="1"/>
  <c r="I24" i="29"/>
  <c r="I33" i="29"/>
  <c r="I25" i="29"/>
  <c r="I51" i="29"/>
  <c r="I47" i="29"/>
  <c r="I43" i="29"/>
  <c r="I44" i="29"/>
  <c r="I16" i="29"/>
  <c r="I31" i="29"/>
  <c r="I34" i="29"/>
  <c r="I27" i="29"/>
  <c r="I22" i="29"/>
  <c r="I49" i="29"/>
  <c r="I57" i="29"/>
  <c r="J57" i="29" s="1"/>
  <c r="Q17" i="29" s="1"/>
  <c r="I21" i="29"/>
  <c r="I15" i="29"/>
  <c r="I26" i="29"/>
  <c r="J26" i="29" s="1"/>
  <c r="I11" i="29"/>
  <c r="I55" i="29"/>
  <c r="J55" i="29" s="1"/>
  <c r="I53" i="29"/>
  <c r="I40" i="29"/>
  <c r="I46" i="29"/>
  <c r="I29" i="29"/>
  <c r="I17" i="29"/>
  <c r="I42" i="29"/>
  <c r="I52" i="29"/>
  <c r="I30" i="29"/>
  <c r="I57" i="35"/>
  <c r="J57" i="35" s="1"/>
  <c r="Q17" i="35" s="1"/>
  <c r="I53" i="35"/>
  <c r="I48" i="35"/>
  <c r="I44" i="35"/>
  <c r="I39" i="35"/>
  <c r="I35" i="35"/>
  <c r="I34" i="35"/>
  <c r="I30" i="35"/>
  <c r="I25" i="35"/>
  <c r="I21" i="35"/>
  <c r="I16" i="35"/>
  <c r="I12" i="35"/>
  <c r="I54" i="35"/>
  <c r="I49" i="35"/>
  <c r="I45" i="35"/>
  <c r="I40" i="35"/>
  <c r="I36" i="35"/>
  <c r="I31" i="35"/>
  <c r="I26" i="35"/>
  <c r="I22" i="35"/>
  <c r="I17" i="35"/>
  <c r="I13" i="35"/>
  <c r="I55" i="35"/>
  <c r="I51" i="35"/>
  <c r="I50" i="35"/>
  <c r="I46" i="35"/>
  <c r="I41" i="35"/>
  <c r="I37" i="35"/>
  <c r="I32" i="35"/>
  <c r="I28" i="35"/>
  <c r="I23" i="35"/>
  <c r="I19" i="35"/>
  <c r="I18" i="35"/>
  <c r="I14" i="35"/>
  <c r="I9" i="35"/>
  <c r="I11" i="35"/>
  <c r="I52" i="35"/>
  <c r="I47" i="35"/>
  <c r="I42" i="35"/>
  <c r="I33" i="35"/>
  <c r="I24" i="35"/>
  <c r="I7" i="35"/>
  <c r="J7" i="35" s="1"/>
  <c r="I43" i="35"/>
  <c r="I38" i="35"/>
  <c r="I29" i="35"/>
  <c r="I20" i="35"/>
  <c r="I15" i="35"/>
  <c r="I10" i="35"/>
  <c r="I50" i="37"/>
  <c r="I45" i="37"/>
  <c r="I44" i="37"/>
  <c r="I39" i="37"/>
  <c r="I34" i="37"/>
  <c r="I29" i="37"/>
  <c r="I28" i="37"/>
  <c r="I23" i="37"/>
  <c r="I13" i="37"/>
  <c r="I7" i="37"/>
  <c r="J7" i="37" s="1"/>
  <c r="I51" i="37"/>
  <c r="I46" i="37"/>
  <c r="I41" i="37"/>
  <c r="I40" i="37"/>
  <c r="I35" i="37"/>
  <c r="I25" i="37"/>
  <c r="I19" i="37"/>
  <c r="I14" i="37"/>
  <c r="I9" i="37"/>
  <c r="I53" i="37"/>
  <c r="I52" i="37"/>
  <c r="I47" i="37"/>
  <c r="I37" i="37"/>
  <c r="I31" i="37"/>
  <c r="I26" i="37"/>
  <c r="I21" i="37"/>
  <c r="I20" i="37"/>
  <c r="I15" i="37"/>
  <c r="I10" i="37"/>
  <c r="I43" i="37"/>
  <c r="I22" i="37"/>
  <c r="I17" i="37"/>
  <c r="I48" i="37"/>
  <c r="I27" i="37"/>
  <c r="I57" i="37"/>
  <c r="J57" i="37" s="1"/>
  <c r="Q17" i="37" s="1"/>
  <c r="I38" i="37"/>
  <c r="I33" i="37"/>
  <c r="I16" i="37"/>
  <c r="I54" i="37"/>
  <c r="I32" i="37"/>
  <c r="I11" i="37"/>
  <c r="I53" i="31"/>
  <c r="I49" i="31"/>
  <c r="I41" i="31"/>
  <c r="I37" i="31"/>
  <c r="I33" i="31"/>
  <c r="I29" i="31"/>
  <c r="I21" i="31"/>
  <c r="I17" i="31"/>
  <c r="I13" i="31"/>
  <c r="I9" i="31"/>
  <c r="I24" i="31"/>
  <c r="I20" i="31"/>
  <c r="I16" i="31"/>
  <c r="I12" i="31"/>
  <c r="I57" i="31"/>
  <c r="J57" i="31" s="1"/>
  <c r="Q17" i="31" s="1"/>
  <c r="I54" i="31"/>
  <c r="I50" i="31"/>
  <c r="I46" i="31"/>
  <c r="I42" i="31"/>
  <c r="I38" i="31"/>
  <c r="I34" i="31"/>
  <c r="I26" i="31"/>
  <c r="I22" i="31"/>
  <c r="I18" i="31"/>
  <c r="I10" i="31"/>
  <c r="I7" i="31"/>
  <c r="J7" i="31" s="1"/>
  <c r="I28" i="31"/>
  <c r="I55" i="31"/>
  <c r="I47" i="31"/>
  <c r="I43" i="31"/>
  <c r="I39" i="31"/>
  <c r="I31" i="31"/>
  <c r="I27" i="31"/>
  <c r="I23" i="31"/>
  <c r="I15" i="31"/>
  <c r="I11" i="31"/>
  <c r="I52" i="31"/>
  <c r="I48" i="31"/>
  <c r="I44" i="31"/>
  <c r="I36" i="31"/>
  <c r="I32" i="31"/>
  <c r="I55" i="36"/>
  <c r="I50" i="36"/>
  <c r="I46" i="36"/>
  <c r="I41" i="36"/>
  <c r="I37" i="36"/>
  <c r="I32" i="36"/>
  <c r="I28" i="36"/>
  <c r="I23" i="36"/>
  <c r="I19" i="36"/>
  <c r="I18" i="36"/>
  <c r="I14" i="36"/>
  <c r="I9" i="36"/>
  <c r="I52" i="36"/>
  <c r="I47" i="36"/>
  <c r="I43" i="36"/>
  <c r="I42" i="36"/>
  <c r="I38" i="36"/>
  <c r="I33" i="36"/>
  <c r="I29" i="36"/>
  <c r="I24" i="36"/>
  <c r="I15" i="36"/>
  <c r="I11" i="36"/>
  <c r="I10" i="36"/>
  <c r="I7" i="36"/>
  <c r="J7" i="36" s="1"/>
  <c r="I53" i="36"/>
  <c r="I48" i="36"/>
  <c r="I44" i="36"/>
  <c r="I39" i="36"/>
  <c r="I35" i="36"/>
  <c r="I34" i="36"/>
  <c r="I30" i="36"/>
  <c r="I25" i="36"/>
  <c r="I21" i="36"/>
  <c r="I16" i="36"/>
  <c r="I12" i="36"/>
  <c r="I54" i="36"/>
  <c r="I45" i="36"/>
  <c r="I36" i="36"/>
  <c r="I31" i="36"/>
  <c r="I26" i="36"/>
  <c r="I17" i="36"/>
  <c r="I57" i="36"/>
  <c r="J57" i="36" s="1"/>
  <c r="Q17" i="36" s="1"/>
  <c r="I27" i="36"/>
  <c r="I22" i="36"/>
  <c r="I13" i="36"/>
  <c r="I49" i="36"/>
  <c r="I40" i="36"/>
  <c r="I19" i="32"/>
  <c r="I13" i="32"/>
  <c r="I12" i="32"/>
  <c r="I18" i="32"/>
  <c r="I17" i="32"/>
  <c r="I20" i="32"/>
  <c r="I14" i="32"/>
  <c r="I9" i="32"/>
  <c r="I16" i="32"/>
  <c r="I15" i="32"/>
  <c r="I10" i="32"/>
  <c r="I7" i="32"/>
  <c r="J7" i="32" s="1"/>
  <c r="I11" i="32"/>
  <c r="I15" i="34"/>
  <c r="I48" i="34"/>
  <c r="I44" i="34"/>
  <c r="I39" i="34"/>
  <c r="I35" i="34"/>
  <c r="I31" i="34"/>
  <c r="I27" i="34"/>
  <c r="I23" i="34"/>
  <c r="I9" i="34"/>
  <c r="I53" i="34"/>
  <c r="I49" i="34"/>
  <c r="I45" i="34"/>
  <c r="I40" i="34"/>
  <c r="I32" i="34"/>
  <c r="I28" i="34"/>
  <c r="I20" i="34"/>
  <c r="I16" i="34"/>
  <c r="I14" i="34"/>
  <c r="I10" i="34"/>
  <c r="I7" i="34"/>
  <c r="J7" i="34" s="1"/>
  <c r="I57" i="34"/>
  <c r="J57" i="34" s="1"/>
  <c r="Q17" i="34" s="1"/>
  <c r="I54" i="34"/>
  <c r="I50" i="34"/>
  <c r="I46" i="34"/>
  <c r="I42" i="34"/>
  <c r="I37" i="34"/>
  <c r="I33" i="34"/>
  <c r="I29" i="34"/>
  <c r="I25" i="34"/>
  <c r="I21" i="34"/>
  <c r="I43" i="34"/>
  <c r="I34" i="34"/>
  <c r="I18" i="34"/>
  <c r="I11" i="34"/>
  <c r="I17" i="34"/>
  <c r="I55" i="34"/>
  <c r="I12" i="34"/>
  <c r="I38" i="34"/>
  <c r="I22" i="34"/>
  <c r="I51" i="34"/>
  <c r="I26" i="34"/>
  <c r="I57" i="33"/>
  <c r="J57" i="33" s="1"/>
  <c r="Q17" i="33" s="1"/>
  <c r="I49" i="33"/>
  <c r="I44" i="33"/>
  <c r="I40" i="33"/>
  <c r="I39" i="33"/>
  <c r="I35" i="33"/>
  <c r="I55" i="33"/>
  <c r="I52" i="33"/>
  <c r="I45" i="33"/>
  <c r="I42" i="33"/>
  <c r="I31" i="33"/>
  <c r="I18" i="33"/>
  <c r="I13" i="33"/>
  <c r="I54" i="33"/>
  <c r="I41" i="33"/>
  <c r="I38" i="33"/>
  <c r="I30" i="33"/>
  <c r="I46" i="33"/>
  <c r="I36" i="33"/>
  <c r="I33" i="33"/>
  <c r="I28" i="33"/>
  <c r="I24" i="33"/>
  <c r="I23" i="33"/>
  <c r="I19" i="33"/>
  <c r="I14" i="33"/>
  <c r="I9" i="33"/>
  <c r="I21" i="33"/>
  <c r="I11" i="33"/>
  <c r="I50" i="33"/>
  <c r="I47" i="33"/>
  <c r="I34" i="33"/>
  <c r="I29" i="33"/>
  <c r="I25" i="33"/>
  <c r="I20" i="33"/>
  <c r="I16" i="33"/>
  <c r="I15" i="33"/>
  <c r="I10" i="33"/>
  <c r="I7" i="33"/>
  <c r="J7" i="33" s="1"/>
  <c r="I51" i="33"/>
  <c r="I26" i="33"/>
  <c r="I52" i="30"/>
  <c r="I48" i="30"/>
  <c r="I44" i="30"/>
  <c r="I36" i="30"/>
  <c r="I32" i="30"/>
  <c r="I28" i="30"/>
  <c r="I20" i="30"/>
  <c r="I16" i="30"/>
  <c r="I12" i="30"/>
  <c r="I46" i="30"/>
  <c r="I38" i="30"/>
  <c r="I30" i="30"/>
  <c r="I22" i="30"/>
  <c r="I14" i="30"/>
  <c r="I47" i="30"/>
  <c r="I43" i="30"/>
  <c r="I39" i="30"/>
  <c r="I31" i="30"/>
  <c r="I27" i="30"/>
  <c r="I23" i="30"/>
  <c r="I11" i="30"/>
  <c r="I53" i="30"/>
  <c r="I49" i="30"/>
  <c r="I41" i="30"/>
  <c r="I37" i="30"/>
  <c r="I33" i="30"/>
  <c r="I25" i="30"/>
  <c r="I21" i="30"/>
  <c r="I17" i="30"/>
  <c r="I9" i="30"/>
  <c r="I57" i="30"/>
  <c r="J57" i="30" s="1"/>
  <c r="Q17" i="30" s="1"/>
  <c r="I54" i="30"/>
  <c r="I50" i="30"/>
  <c r="I42" i="30"/>
  <c r="I34" i="30"/>
  <c r="I26" i="30"/>
  <c r="I18" i="30"/>
  <c r="I10" i="30"/>
  <c r="I7" i="30"/>
  <c r="J7" i="30" s="1"/>
  <c r="I55" i="30"/>
  <c r="I15" i="30"/>
  <c r="I55" i="28"/>
  <c r="I50" i="28"/>
  <c r="I46" i="28"/>
  <c r="I42" i="28"/>
  <c r="I38" i="28"/>
  <c r="I34" i="28"/>
  <c r="I30" i="28"/>
  <c r="I26" i="28"/>
  <c r="I22" i="28"/>
  <c r="I18" i="28"/>
  <c r="I14" i="28"/>
  <c r="I10" i="28"/>
  <c r="I9" i="28"/>
  <c r="I24" i="28"/>
  <c r="I20" i="28"/>
  <c r="I12" i="28"/>
  <c r="I45" i="28"/>
  <c r="I37" i="28"/>
  <c r="I29" i="28"/>
  <c r="I21" i="28"/>
  <c r="I13" i="28"/>
  <c r="I52" i="28"/>
  <c r="I51" i="28"/>
  <c r="I47" i="28"/>
  <c r="I43" i="28"/>
  <c r="I39" i="28"/>
  <c r="I35" i="28"/>
  <c r="I31" i="28"/>
  <c r="I27" i="28"/>
  <c r="I23" i="28"/>
  <c r="I15" i="28"/>
  <c r="I11" i="28"/>
  <c r="I7" i="28"/>
  <c r="J7" i="28" s="1"/>
  <c r="I53" i="28"/>
  <c r="I48" i="28"/>
  <c r="I44" i="28"/>
  <c r="I40" i="28"/>
  <c r="I36" i="28"/>
  <c r="I32" i="28"/>
  <c r="I28" i="28"/>
  <c r="I16" i="28"/>
  <c r="I57" i="28"/>
  <c r="J57" i="28" s="1"/>
  <c r="Q17" i="28" s="1"/>
  <c r="I49" i="28"/>
  <c r="I41" i="28"/>
  <c r="I33" i="28"/>
  <c r="I25" i="28"/>
  <c r="I17" i="28"/>
  <c r="I57" i="27"/>
  <c r="J57" i="27" s="1"/>
  <c r="Q17" i="27" s="1"/>
  <c r="I54" i="27"/>
  <c r="I45" i="27"/>
  <c r="I44" i="27"/>
  <c r="I39" i="27"/>
  <c r="I34" i="27"/>
  <c r="I29" i="27"/>
  <c r="I28" i="27"/>
  <c r="I23" i="27"/>
  <c r="I18" i="27"/>
  <c r="I13" i="27"/>
  <c r="I7" i="27"/>
  <c r="J7" i="27" s="1"/>
  <c r="I31" i="27"/>
  <c r="I15" i="27"/>
  <c r="I10" i="27"/>
  <c r="I53" i="27"/>
  <c r="I49" i="27"/>
  <c r="I48" i="27"/>
  <c r="I43" i="27"/>
  <c r="I38" i="27"/>
  <c r="I33" i="27"/>
  <c r="I32" i="27"/>
  <c r="I22" i="27"/>
  <c r="I11" i="27"/>
  <c r="I55" i="27"/>
  <c r="I51" i="27"/>
  <c r="I46" i="27"/>
  <c r="I41" i="27"/>
  <c r="I40" i="27"/>
  <c r="I30" i="27"/>
  <c r="I25" i="27"/>
  <c r="I24" i="27"/>
  <c r="I19" i="27"/>
  <c r="I14" i="27"/>
  <c r="I9" i="27"/>
  <c r="I52" i="27"/>
  <c r="I47" i="27"/>
  <c r="I37" i="27"/>
  <c r="I36" i="27"/>
  <c r="I26" i="27"/>
  <c r="I21" i="27"/>
  <c r="I17" i="27"/>
  <c r="I16" i="27"/>
  <c r="I57" i="26"/>
  <c r="J57" i="26" s="1"/>
  <c r="Q17" i="26" s="1"/>
  <c r="I54" i="26"/>
  <c r="I49" i="26"/>
  <c r="I48" i="26"/>
  <c r="I43" i="26"/>
  <c r="I38" i="26"/>
  <c r="I33" i="26"/>
  <c r="I27" i="26"/>
  <c r="I22" i="26"/>
  <c r="I17" i="26"/>
  <c r="I16" i="26"/>
  <c r="I11" i="26"/>
  <c r="I53" i="26"/>
  <c r="I52" i="26"/>
  <c r="I47" i="26"/>
  <c r="I42" i="26"/>
  <c r="I21" i="26"/>
  <c r="I15" i="26"/>
  <c r="I55" i="26"/>
  <c r="I50" i="26"/>
  <c r="I44" i="26"/>
  <c r="I34" i="26"/>
  <c r="I29" i="26"/>
  <c r="I28" i="26"/>
  <c r="I23" i="26"/>
  <c r="I18" i="26"/>
  <c r="I13" i="26"/>
  <c r="I12" i="26"/>
  <c r="I7" i="26"/>
  <c r="J7" i="26" s="1"/>
  <c r="I46" i="26"/>
  <c r="I41" i="26"/>
  <c r="I40" i="26"/>
  <c r="I35" i="26"/>
  <c r="I30" i="26"/>
  <c r="I25" i="26"/>
  <c r="I24" i="26"/>
  <c r="I19" i="26"/>
  <c r="I9" i="26"/>
  <c r="I37" i="26"/>
  <c r="I36" i="26"/>
  <c r="I31" i="26"/>
  <c r="I10" i="26"/>
  <c r="F39" i="29" l="1"/>
  <c r="J19" i="26"/>
  <c r="F35" i="26"/>
  <c r="J34" i="26"/>
  <c r="F53" i="26"/>
  <c r="J52" i="26"/>
  <c r="F50" i="26"/>
  <c r="J49" i="26"/>
  <c r="F10" i="27"/>
  <c r="J9" i="27"/>
  <c r="F40" i="26"/>
  <c r="F54" i="26"/>
  <c r="J53" i="26"/>
  <c r="J38" i="26"/>
  <c r="F21" i="27"/>
  <c r="F31" i="27"/>
  <c r="J30" i="27"/>
  <c r="F23" i="27"/>
  <c r="J22" i="27"/>
  <c r="F54" i="27"/>
  <c r="J53" i="27"/>
  <c r="J34" i="27"/>
  <c r="F55" i="28"/>
  <c r="F48" i="28"/>
  <c r="J47" i="28"/>
  <c r="J31" i="26"/>
  <c r="F15" i="26"/>
  <c r="F31" i="26"/>
  <c r="J30" i="26"/>
  <c r="F47" i="26"/>
  <c r="J46" i="26"/>
  <c r="J13" i="26"/>
  <c r="F30" i="26"/>
  <c r="J29" i="26"/>
  <c r="F46" i="26"/>
  <c r="F21" i="26"/>
  <c r="F48" i="26"/>
  <c r="J47" i="26"/>
  <c r="F17" i="26"/>
  <c r="J16" i="26"/>
  <c r="F33" i="26"/>
  <c r="F49" i="26"/>
  <c r="J48" i="26"/>
  <c r="F17" i="27"/>
  <c r="J16" i="27"/>
  <c r="J26" i="27"/>
  <c r="F53" i="27"/>
  <c r="J52" i="27"/>
  <c r="F25" i="27"/>
  <c r="J24" i="27"/>
  <c r="F41" i="27"/>
  <c r="J40" i="27"/>
  <c r="F57" i="27"/>
  <c r="J55" i="27"/>
  <c r="F33" i="27"/>
  <c r="J32" i="27"/>
  <c r="F49" i="27"/>
  <c r="J48" i="27"/>
  <c r="F16" i="27"/>
  <c r="J15" i="27"/>
  <c r="F13" i="27"/>
  <c r="F29" i="27"/>
  <c r="J28" i="27"/>
  <c r="F45" i="27"/>
  <c r="J44" i="27"/>
  <c r="F42" i="28"/>
  <c r="J41" i="28"/>
  <c r="F17" i="28"/>
  <c r="J16" i="28"/>
  <c r="F41" i="28"/>
  <c r="J40" i="28"/>
  <c r="F24" i="28"/>
  <c r="J23" i="28"/>
  <c r="F40" i="28"/>
  <c r="J39" i="28"/>
  <c r="F53" i="28"/>
  <c r="J52" i="28"/>
  <c r="F38" i="28"/>
  <c r="J37" i="28"/>
  <c r="F25" i="28"/>
  <c r="J24" i="28"/>
  <c r="J18" i="28"/>
  <c r="F35" i="28"/>
  <c r="J34" i="28"/>
  <c r="F51" i="28"/>
  <c r="J50" i="28"/>
  <c r="F52" i="30"/>
  <c r="J18" i="30"/>
  <c r="J50" i="30"/>
  <c r="F14" i="30"/>
  <c r="F30" i="30"/>
  <c r="F46" i="30"/>
  <c r="J23" i="30"/>
  <c r="J39" i="30"/>
  <c r="F23" i="30"/>
  <c r="J22" i="30"/>
  <c r="J12" i="30"/>
  <c r="J28" i="30"/>
  <c r="J44" i="30"/>
  <c r="F52" i="33"/>
  <c r="J51" i="33"/>
  <c r="J16" i="33"/>
  <c r="F35" i="33"/>
  <c r="J34" i="33"/>
  <c r="J11" i="33"/>
  <c r="F49" i="33"/>
  <c r="F24" i="33"/>
  <c r="J23" i="33"/>
  <c r="J36" i="33"/>
  <c r="F39" i="33"/>
  <c r="J38" i="33"/>
  <c r="F19" i="33"/>
  <c r="J18" i="33"/>
  <c r="F33" i="33"/>
  <c r="F57" i="33"/>
  <c r="J55" i="33"/>
  <c r="F45" i="33"/>
  <c r="J44" i="33"/>
  <c r="F27" i="34"/>
  <c r="J26" i="34"/>
  <c r="F48" i="34"/>
  <c r="F18" i="34"/>
  <c r="J17" i="34"/>
  <c r="F44" i="34"/>
  <c r="J43" i="34"/>
  <c r="F34" i="34"/>
  <c r="J33" i="34"/>
  <c r="F51" i="34"/>
  <c r="J50" i="34"/>
  <c r="F11" i="34"/>
  <c r="J10" i="34"/>
  <c r="F25" i="34"/>
  <c r="J40" i="34"/>
  <c r="F54" i="34"/>
  <c r="J53" i="34"/>
  <c r="J23" i="34"/>
  <c r="F40" i="34"/>
  <c r="J39" i="34"/>
  <c r="F16" i="34"/>
  <c r="J15" i="34"/>
  <c r="F16" i="32"/>
  <c r="J15" i="32"/>
  <c r="J20" i="32"/>
  <c r="F14" i="32"/>
  <c r="J13" i="32"/>
  <c r="F14" i="36"/>
  <c r="J13" i="36"/>
  <c r="F18" i="36"/>
  <c r="J17" i="36"/>
  <c r="F46" i="36"/>
  <c r="J45" i="36"/>
  <c r="F22" i="36"/>
  <c r="J21" i="36"/>
  <c r="F36" i="36"/>
  <c r="J35" i="36"/>
  <c r="F54" i="36"/>
  <c r="J53" i="36"/>
  <c r="F16" i="36"/>
  <c r="J15" i="36"/>
  <c r="F34" i="36"/>
  <c r="J33" i="36"/>
  <c r="F48" i="36"/>
  <c r="J47" i="36"/>
  <c r="F19" i="36"/>
  <c r="J18" i="36"/>
  <c r="F33" i="36"/>
  <c r="J32" i="36"/>
  <c r="J50" i="36"/>
  <c r="F37" i="31"/>
  <c r="J36" i="31"/>
  <c r="F53" i="31"/>
  <c r="J52" i="31"/>
  <c r="F24" i="31"/>
  <c r="J23" i="31"/>
  <c r="J39" i="31"/>
  <c r="F57" i="31"/>
  <c r="J55" i="31"/>
  <c r="F15" i="31"/>
  <c r="F31" i="31"/>
  <c r="F47" i="31"/>
  <c r="J46" i="31"/>
  <c r="F13" i="31"/>
  <c r="J12" i="31"/>
  <c r="F10" i="31"/>
  <c r="J9" i="31"/>
  <c r="F26" i="31"/>
  <c r="F42" i="31"/>
  <c r="J41" i="31"/>
  <c r="J11" i="37"/>
  <c r="F17" i="37"/>
  <c r="J16" i="37"/>
  <c r="F28" i="37"/>
  <c r="J27" i="37"/>
  <c r="F44" i="37"/>
  <c r="J43" i="37"/>
  <c r="F22" i="37"/>
  <c r="J21" i="37"/>
  <c r="F38" i="37"/>
  <c r="J37" i="37"/>
  <c r="F54" i="37"/>
  <c r="J53" i="37"/>
  <c r="F25" i="37"/>
  <c r="F41" i="37"/>
  <c r="J40" i="37"/>
  <c r="J23" i="37"/>
  <c r="F40" i="37"/>
  <c r="J39" i="37"/>
  <c r="F57" i="37"/>
  <c r="F30" i="35"/>
  <c r="J29" i="35"/>
  <c r="F25" i="35"/>
  <c r="J24" i="35"/>
  <c r="F53" i="35"/>
  <c r="J52" i="35"/>
  <c r="F19" i="35"/>
  <c r="J18" i="35"/>
  <c r="F33" i="35"/>
  <c r="J32" i="35"/>
  <c r="F51" i="35"/>
  <c r="J50" i="35"/>
  <c r="F18" i="35"/>
  <c r="J17" i="35"/>
  <c r="F32" i="35"/>
  <c r="J31" i="35"/>
  <c r="F50" i="35"/>
  <c r="J49" i="35"/>
  <c r="F22" i="35"/>
  <c r="J21" i="35"/>
  <c r="F36" i="35"/>
  <c r="J35" i="35"/>
  <c r="F54" i="35"/>
  <c r="J53" i="35"/>
  <c r="F20" i="29"/>
  <c r="F24" i="29"/>
  <c r="J40" i="29"/>
  <c r="J34" i="29"/>
  <c r="F29" i="29"/>
  <c r="F44" i="29"/>
  <c r="J43" i="29"/>
  <c r="F26" i="29"/>
  <c r="J25" i="29"/>
  <c r="J9" i="29"/>
  <c r="F49" i="29"/>
  <c r="J48" i="29"/>
  <c r="F52" i="26"/>
  <c r="F18" i="26"/>
  <c r="J17" i="26"/>
  <c r="F18" i="27"/>
  <c r="J17" i="27"/>
  <c r="F37" i="27"/>
  <c r="J36" i="27"/>
  <c r="J41" i="27"/>
  <c r="J11" i="27"/>
  <c r="F34" i="27"/>
  <c r="J33" i="27"/>
  <c r="J49" i="27"/>
  <c r="F32" i="27"/>
  <c r="J31" i="27"/>
  <c r="F14" i="27"/>
  <c r="J13" i="27"/>
  <c r="F30" i="27"/>
  <c r="J29" i="27"/>
  <c r="F46" i="27"/>
  <c r="J45" i="27"/>
  <c r="F18" i="28"/>
  <c r="J17" i="28"/>
  <c r="F50" i="28"/>
  <c r="J49" i="28"/>
  <c r="F29" i="28"/>
  <c r="J28" i="28"/>
  <c r="F45" i="28"/>
  <c r="J44" i="28"/>
  <c r="F12" i="28"/>
  <c r="J11" i="28"/>
  <c r="F28" i="28"/>
  <c r="J27" i="28"/>
  <c r="F44" i="28"/>
  <c r="J43" i="28"/>
  <c r="F14" i="28"/>
  <c r="J13" i="28"/>
  <c r="F46" i="28"/>
  <c r="J45" i="28"/>
  <c r="F10" i="28"/>
  <c r="J9" i="28"/>
  <c r="F23" i="28"/>
  <c r="J22" i="28"/>
  <c r="F39" i="28"/>
  <c r="J38" i="28"/>
  <c r="F57" i="28"/>
  <c r="J55" i="28"/>
  <c r="F57" i="30"/>
  <c r="J55" i="30"/>
  <c r="F27" i="30"/>
  <c r="J26" i="30"/>
  <c r="F55" i="30"/>
  <c r="J54" i="30"/>
  <c r="F18" i="30"/>
  <c r="J17" i="30"/>
  <c r="F34" i="30"/>
  <c r="J33" i="30"/>
  <c r="F50" i="30"/>
  <c r="J49" i="30"/>
  <c r="F28" i="30"/>
  <c r="J27" i="30"/>
  <c r="F44" i="30"/>
  <c r="J43" i="30"/>
  <c r="F31" i="30"/>
  <c r="J30" i="30"/>
  <c r="F17" i="30"/>
  <c r="J16" i="30"/>
  <c r="F33" i="30"/>
  <c r="J32" i="30"/>
  <c r="F49" i="30"/>
  <c r="J48" i="30"/>
  <c r="F21" i="33"/>
  <c r="J20" i="33"/>
  <c r="F38" i="33"/>
  <c r="F13" i="33"/>
  <c r="F10" i="33"/>
  <c r="J9" i="33"/>
  <c r="F25" i="33"/>
  <c r="J24" i="33"/>
  <c r="F44" i="33"/>
  <c r="F42" i="33"/>
  <c r="J41" i="33"/>
  <c r="F23" i="33"/>
  <c r="J42" i="33"/>
  <c r="F36" i="33"/>
  <c r="J35" i="33"/>
  <c r="F50" i="33"/>
  <c r="J49" i="33"/>
  <c r="J51" i="34"/>
  <c r="J12" i="34"/>
  <c r="F12" i="34"/>
  <c r="J11" i="34"/>
  <c r="F22" i="34"/>
  <c r="J21" i="34"/>
  <c r="F38" i="34"/>
  <c r="J37" i="34"/>
  <c r="F55" i="34"/>
  <c r="J54" i="34"/>
  <c r="F15" i="34"/>
  <c r="J14" i="34"/>
  <c r="F29" i="34"/>
  <c r="J28" i="34"/>
  <c r="F42" i="34"/>
  <c r="F10" i="34"/>
  <c r="J9" i="34"/>
  <c r="F28" i="34"/>
  <c r="J27" i="34"/>
  <c r="F45" i="34"/>
  <c r="J44" i="34"/>
  <c r="F12" i="32"/>
  <c r="J11" i="32"/>
  <c r="F17" i="32"/>
  <c r="J16" i="32"/>
  <c r="F18" i="32"/>
  <c r="J17" i="32"/>
  <c r="F20" i="32"/>
  <c r="J19" i="32"/>
  <c r="F23" i="36"/>
  <c r="J22" i="36"/>
  <c r="F27" i="36"/>
  <c r="J26" i="36"/>
  <c r="F55" i="36"/>
  <c r="J54" i="36"/>
  <c r="F26" i="36"/>
  <c r="J25" i="36"/>
  <c r="F40" i="36"/>
  <c r="J39" i="36"/>
  <c r="F21" i="36"/>
  <c r="F39" i="36"/>
  <c r="J38" i="36"/>
  <c r="F53" i="36"/>
  <c r="J52" i="36"/>
  <c r="J19" i="36"/>
  <c r="F38" i="36"/>
  <c r="J37" i="36"/>
  <c r="F52" i="36"/>
  <c r="F41" i="31"/>
  <c r="F12" i="31"/>
  <c r="J11" i="31"/>
  <c r="F28" i="31"/>
  <c r="J27" i="31"/>
  <c r="F44" i="31"/>
  <c r="J43" i="31"/>
  <c r="F29" i="31"/>
  <c r="J28" i="31"/>
  <c r="J18" i="31"/>
  <c r="J34" i="31"/>
  <c r="J50" i="31"/>
  <c r="F17" i="31"/>
  <c r="J16" i="31"/>
  <c r="J13" i="31"/>
  <c r="J29" i="31"/>
  <c r="F46" i="31"/>
  <c r="F33" i="37"/>
  <c r="J32" i="37"/>
  <c r="F34" i="37"/>
  <c r="J33" i="37"/>
  <c r="J48" i="37"/>
  <c r="F11" i="37"/>
  <c r="J10" i="37"/>
  <c r="F27" i="37"/>
  <c r="J26" i="37"/>
  <c r="F43" i="37"/>
  <c r="F10" i="37"/>
  <c r="J9" i="37"/>
  <c r="F26" i="37"/>
  <c r="J25" i="37"/>
  <c r="J41" i="37"/>
  <c r="F13" i="37"/>
  <c r="F29" i="37"/>
  <c r="J28" i="37"/>
  <c r="F45" i="37"/>
  <c r="J44" i="37"/>
  <c r="F11" i="35"/>
  <c r="J10" i="35"/>
  <c r="F39" i="35"/>
  <c r="J38" i="35"/>
  <c r="F34" i="35"/>
  <c r="J33" i="35"/>
  <c r="F12" i="35"/>
  <c r="J11" i="35"/>
  <c r="F20" i="35"/>
  <c r="J19" i="35"/>
  <c r="F38" i="35"/>
  <c r="J37" i="35"/>
  <c r="F52" i="35"/>
  <c r="J51" i="35"/>
  <c r="F23" i="35"/>
  <c r="J22" i="35"/>
  <c r="F37" i="35"/>
  <c r="J36" i="35"/>
  <c r="F55" i="35"/>
  <c r="J54" i="35"/>
  <c r="F26" i="35"/>
  <c r="J25" i="35"/>
  <c r="F40" i="35"/>
  <c r="J39" i="35"/>
  <c r="F53" i="29"/>
  <c r="J52" i="29"/>
  <c r="F18" i="29"/>
  <c r="J17" i="29"/>
  <c r="J53" i="29"/>
  <c r="F16" i="29"/>
  <c r="J15" i="29"/>
  <c r="J49" i="29"/>
  <c r="J31" i="29"/>
  <c r="F38" i="29"/>
  <c r="F34" i="29"/>
  <c r="J33" i="29"/>
  <c r="F21" i="29"/>
  <c r="J20" i="29"/>
  <c r="F40" i="29"/>
  <c r="J39" i="29"/>
  <c r="F36" i="26"/>
  <c r="J35" i="26"/>
  <c r="J50" i="26"/>
  <c r="F38" i="26"/>
  <c r="J37" i="26"/>
  <c r="F27" i="26"/>
  <c r="F15" i="27"/>
  <c r="J14" i="27"/>
  <c r="F19" i="27"/>
  <c r="J18" i="27"/>
  <c r="F26" i="28"/>
  <c r="J25" i="28"/>
  <c r="F49" i="28"/>
  <c r="J48" i="28"/>
  <c r="F32" i="28"/>
  <c r="J31" i="28"/>
  <c r="F22" i="28"/>
  <c r="J21" i="28"/>
  <c r="F13" i="28"/>
  <c r="J12" i="28"/>
  <c r="F11" i="28"/>
  <c r="J10" i="28"/>
  <c r="F27" i="28"/>
  <c r="J26" i="28"/>
  <c r="F43" i="28"/>
  <c r="J42" i="28"/>
  <c r="F16" i="30"/>
  <c r="J15" i="30"/>
  <c r="J34" i="30"/>
  <c r="F22" i="30"/>
  <c r="J21" i="30"/>
  <c r="F38" i="30"/>
  <c r="J37" i="30"/>
  <c r="F54" i="30"/>
  <c r="J53" i="30"/>
  <c r="F32" i="30"/>
  <c r="J31" i="30"/>
  <c r="F48" i="30"/>
  <c r="J47" i="30"/>
  <c r="F39" i="30"/>
  <c r="J38" i="30"/>
  <c r="F21" i="30"/>
  <c r="J20" i="30"/>
  <c r="F37" i="30"/>
  <c r="J36" i="30"/>
  <c r="F53" i="30"/>
  <c r="J52" i="30"/>
  <c r="F11" i="33"/>
  <c r="J10" i="33"/>
  <c r="F26" i="33"/>
  <c r="J25" i="33"/>
  <c r="J47" i="33"/>
  <c r="F18" i="33"/>
  <c r="F15" i="33"/>
  <c r="J14" i="33"/>
  <c r="F29" i="33"/>
  <c r="J28" i="33"/>
  <c r="F47" i="33"/>
  <c r="J46" i="33"/>
  <c r="F55" i="33"/>
  <c r="J54" i="33"/>
  <c r="F28" i="33"/>
  <c r="F46" i="33"/>
  <c r="J45" i="33"/>
  <c r="F40" i="33"/>
  <c r="J39" i="33"/>
  <c r="F54" i="33"/>
  <c r="F23" i="34"/>
  <c r="J22" i="34"/>
  <c r="F31" i="34"/>
  <c r="J18" i="34"/>
  <c r="F26" i="34"/>
  <c r="J25" i="34"/>
  <c r="F43" i="34"/>
  <c r="J42" i="34"/>
  <c r="F17" i="34"/>
  <c r="J16" i="34"/>
  <c r="F33" i="34"/>
  <c r="J32" i="34"/>
  <c r="F46" i="34"/>
  <c r="J45" i="34"/>
  <c r="F14" i="34"/>
  <c r="F32" i="34"/>
  <c r="J31" i="34"/>
  <c r="F49" i="34"/>
  <c r="J48" i="34"/>
  <c r="F10" i="32"/>
  <c r="J9" i="32"/>
  <c r="F19" i="32"/>
  <c r="J18" i="32"/>
  <c r="F41" i="36"/>
  <c r="J40" i="36"/>
  <c r="F28" i="36"/>
  <c r="J27" i="36"/>
  <c r="F32" i="36"/>
  <c r="J31" i="36"/>
  <c r="F13" i="36"/>
  <c r="J12" i="36"/>
  <c r="F31" i="36"/>
  <c r="J30" i="36"/>
  <c r="F45" i="36"/>
  <c r="J44" i="36"/>
  <c r="F11" i="36"/>
  <c r="J10" i="36"/>
  <c r="F25" i="36"/>
  <c r="J24" i="36"/>
  <c r="F43" i="36"/>
  <c r="J42" i="36"/>
  <c r="F10" i="36"/>
  <c r="J9" i="36"/>
  <c r="F24" i="36"/>
  <c r="J23" i="36"/>
  <c r="F42" i="36"/>
  <c r="J41" i="36"/>
  <c r="F57" i="36"/>
  <c r="J55" i="36"/>
  <c r="J44" i="31"/>
  <c r="F16" i="31"/>
  <c r="J15" i="31"/>
  <c r="F32" i="31"/>
  <c r="J31" i="31"/>
  <c r="F48" i="31"/>
  <c r="J47" i="31"/>
  <c r="F23" i="31"/>
  <c r="J22" i="31"/>
  <c r="F39" i="31"/>
  <c r="J38" i="31"/>
  <c r="F55" i="31"/>
  <c r="J54" i="31"/>
  <c r="F21" i="31"/>
  <c r="J20" i="31"/>
  <c r="F18" i="31"/>
  <c r="J17" i="31"/>
  <c r="F34" i="31"/>
  <c r="J33" i="31"/>
  <c r="F50" i="31"/>
  <c r="J49" i="31"/>
  <c r="F50" i="37"/>
  <c r="F39" i="37"/>
  <c r="J38" i="37"/>
  <c r="J17" i="37"/>
  <c r="F16" i="37"/>
  <c r="J15" i="37"/>
  <c r="F32" i="37"/>
  <c r="J31" i="37"/>
  <c r="F48" i="37"/>
  <c r="J47" i="37"/>
  <c r="F15" i="37"/>
  <c r="J14" i="37"/>
  <c r="F31" i="37"/>
  <c r="F47" i="37"/>
  <c r="J46" i="37"/>
  <c r="F14" i="37"/>
  <c r="J13" i="37"/>
  <c r="J29" i="37"/>
  <c r="F46" i="37"/>
  <c r="J45" i="37"/>
  <c r="F16" i="35"/>
  <c r="J15" i="35"/>
  <c r="F44" i="35"/>
  <c r="J43" i="35"/>
  <c r="F43" i="35"/>
  <c r="J42" i="35"/>
  <c r="F10" i="35"/>
  <c r="J9" i="35"/>
  <c r="F24" i="35"/>
  <c r="J23" i="35"/>
  <c r="F42" i="35"/>
  <c r="J41" i="35"/>
  <c r="F57" i="35"/>
  <c r="J55" i="35"/>
  <c r="J26" i="35"/>
  <c r="F41" i="35"/>
  <c r="J40" i="35"/>
  <c r="F13" i="35"/>
  <c r="J12" i="35"/>
  <c r="F31" i="35"/>
  <c r="J30" i="35"/>
  <c r="F45" i="35"/>
  <c r="J44" i="35"/>
  <c r="F11" i="29"/>
  <c r="F30" i="29"/>
  <c r="J29" i="29"/>
  <c r="F22" i="29"/>
  <c r="J21" i="29"/>
  <c r="J22" i="29"/>
  <c r="F51" i="29"/>
  <c r="F46" i="29"/>
  <c r="F48" i="29"/>
  <c r="J47" i="29"/>
  <c r="F25" i="29"/>
  <c r="J24" i="29"/>
  <c r="J18" i="29"/>
  <c r="J13" i="29"/>
  <c r="F37" i="26"/>
  <c r="J36" i="26"/>
  <c r="F19" i="26"/>
  <c r="J18" i="26"/>
  <c r="F22" i="26"/>
  <c r="J21" i="26"/>
  <c r="F34" i="26"/>
  <c r="J33" i="26"/>
  <c r="F26" i="27"/>
  <c r="J25" i="27"/>
  <c r="F25" i="26"/>
  <c r="J24" i="26"/>
  <c r="F41" i="26"/>
  <c r="J40" i="26"/>
  <c r="F24" i="26"/>
  <c r="J23" i="26"/>
  <c r="F57" i="26"/>
  <c r="J55" i="26"/>
  <c r="F23" i="26"/>
  <c r="J22" i="26"/>
  <c r="F55" i="26"/>
  <c r="J54" i="26"/>
  <c r="F38" i="27"/>
  <c r="J37" i="27"/>
  <c r="F47" i="27"/>
  <c r="J46" i="27"/>
  <c r="F39" i="27"/>
  <c r="J38" i="27"/>
  <c r="F43" i="27"/>
  <c r="F51" i="27"/>
  <c r="F33" i="28"/>
  <c r="J32" i="28"/>
  <c r="F16" i="28"/>
  <c r="J15" i="28"/>
  <c r="F11" i="26"/>
  <c r="J10" i="26"/>
  <c r="F10" i="26"/>
  <c r="J9" i="26"/>
  <c r="J25" i="26"/>
  <c r="F42" i="26"/>
  <c r="J41" i="26"/>
  <c r="F13" i="26"/>
  <c r="J12" i="26"/>
  <c r="F29" i="26"/>
  <c r="J28" i="26"/>
  <c r="J44" i="26"/>
  <c r="F16" i="26"/>
  <c r="J15" i="26"/>
  <c r="F43" i="26"/>
  <c r="J42" i="26"/>
  <c r="F12" i="26"/>
  <c r="J11" i="26"/>
  <c r="F28" i="26"/>
  <c r="J27" i="26"/>
  <c r="F44" i="26"/>
  <c r="J43" i="26"/>
  <c r="F22" i="27"/>
  <c r="J21" i="27"/>
  <c r="F48" i="27"/>
  <c r="J47" i="27"/>
  <c r="J19" i="27"/>
  <c r="F36" i="27"/>
  <c r="F52" i="27"/>
  <c r="J51" i="27"/>
  <c r="F28" i="27"/>
  <c r="F44" i="27"/>
  <c r="J43" i="27"/>
  <c r="F11" i="27"/>
  <c r="J10" i="27"/>
  <c r="F24" i="27"/>
  <c r="J23" i="27"/>
  <c r="F40" i="27"/>
  <c r="J39" i="27"/>
  <c r="F55" i="27"/>
  <c r="J54" i="27"/>
  <c r="F34" i="28"/>
  <c r="J33" i="28"/>
  <c r="F37" i="28"/>
  <c r="J36" i="28"/>
  <c r="J53" i="28"/>
  <c r="F20" i="28"/>
  <c r="F36" i="28"/>
  <c r="J35" i="28"/>
  <c r="F52" i="28"/>
  <c r="J51" i="28"/>
  <c r="F30" i="28"/>
  <c r="J29" i="28"/>
  <c r="F21" i="28"/>
  <c r="J20" i="28"/>
  <c r="F15" i="28"/>
  <c r="J14" i="28"/>
  <c r="F31" i="28"/>
  <c r="J30" i="28"/>
  <c r="F47" i="28"/>
  <c r="J46" i="28"/>
  <c r="F20" i="30"/>
  <c r="F11" i="30"/>
  <c r="J10" i="30"/>
  <c r="F43" i="30"/>
  <c r="J42" i="30"/>
  <c r="F10" i="30"/>
  <c r="J9" i="30"/>
  <c r="F26" i="30"/>
  <c r="J25" i="30"/>
  <c r="F42" i="30"/>
  <c r="J41" i="30"/>
  <c r="F12" i="30"/>
  <c r="J11" i="30"/>
  <c r="F36" i="30"/>
  <c r="F15" i="30"/>
  <c r="J14" i="30"/>
  <c r="F47" i="30"/>
  <c r="J46" i="30"/>
  <c r="F25" i="30"/>
  <c r="F41" i="30"/>
  <c r="J26" i="33"/>
  <c r="F16" i="33"/>
  <c r="J15" i="33"/>
  <c r="F30" i="33"/>
  <c r="J29" i="33"/>
  <c r="F51" i="33"/>
  <c r="J50" i="33"/>
  <c r="J21" i="33"/>
  <c r="F20" i="33"/>
  <c r="J19" i="33"/>
  <c r="F34" i="33"/>
  <c r="J33" i="33"/>
  <c r="F31" i="33"/>
  <c r="J30" i="33"/>
  <c r="F14" i="33"/>
  <c r="J13" i="33"/>
  <c r="J31" i="33"/>
  <c r="J52" i="33"/>
  <c r="F41" i="33"/>
  <c r="J40" i="33"/>
  <c r="F39" i="34"/>
  <c r="J38" i="34"/>
  <c r="F57" i="34"/>
  <c r="J55" i="34"/>
  <c r="F35" i="34"/>
  <c r="J34" i="34"/>
  <c r="J29" i="34"/>
  <c r="J46" i="34"/>
  <c r="F21" i="34"/>
  <c r="J20" i="34"/>
  <c r="F37" i="34"/>
  <c r="F50" i="34"/>
  <c r="J49" i="34"/>
  <c r="F20" i="34"/>
  <c r="J35" i="34"/>
  <c r="F53" i="34"/>
  <c r="F11" i="32"/>
  <c r="J10" i="32"/>
  <c r="F15" i="32"/>
  <c r="J14" i="32"/>
  <c r="F13" i="32"/>
  <c r="J12" i="32"/>
  <c r="F50" i="36"/>
  <c r="J49" i="36"/>
  <c r="F37" i="36"/>
  <c r="J36" i="36"/>
  <c r="F17" i="36"/>
  <c r="J16" i="36"/>
  <c r="F35" i="36"/>
  <c r="J34" i="36"/>
  <c r="F49" i="36"/>
  <c r="J48" i="36"/>
  <c r="F12" i="36"/>
  <c r="J11" i="36"/>
  <c r="F30" i="36"/>
  <c r="J29" i="36"/>
  <c r="F44" i="36"/>
  <c r="J43" i="36"/>
  <c r="F15" i="36"/>
  <c r="J14" i="36"/>
  <c r="F29" i="36"/>
  <c r="J28" i="36"/>
  <c r="F47" i="36"/>
  <c r="J46" i="36"/>
  <c r="F33" i="31"/>
  <c r="J32" i="31"/>
  <c r="F49" i="31"/>
  <c r="J48" i="31"/>
  <c r="F20" i="31"/>
  <c r="F36" i="31"/>
  <c r="F52" i="31"/>
  <c r="F11" i="31"/>
  <c r="J10" i="31"/>
  <c r="F27" i="31"/>
  <c r="J26" i="31"/>
  <c r="F43" i="31"/>
  <c r="J42" i="31"/>
  <c r="J24" i="31"/>
  <c r="F22" i="31"/>
  <c r="J21" i="31"/>
  <c r="F38" i="31"/>
  <c r="J37" i="31"/>
  <c r="F54" i="31"/>
  <c r="J53" i="31"/>
  <c r="J54" i="37"/>
  <c r="F23" i="37"/>
  <c r="J22" i="37"/>
  <c r="F21" i="37"/>
  <c r="J20" i="37"/>
  <c r="F37" i="37"/>
  <c r="F53" i="37"/>
  <c r="J52" i="37"/>
  <c r="F20" i="37"/>
  <c r="J19" i="37"/>
  <c r="J35" i="37"/>
  <c r="F52" i="37"/>
  <c r="J51" i="37"/>
  <c r="F19" i="37"/>
  <c r="F35" i="37"/>
  <c r="J34" i="37"/>
  <c r="F51" i="37"/>
  <c r="J50" i="37"/>
  <c r="F21" i="35"/>
  <c r="J20" i="35"/>
  <c r="F48" i="35"/>
  <c r="J47" i="35"/>
  <c r="F15" i="35"/>
  <c r="J14" i="35"/>
  <c r="F29" i="35"/>
  <c r="J28" i="35"/>
  <c r="F47" i="35"/>
  <c r="J46" i="35"/>
  <c r="F14" i="35"/>
  <c r="J13" i="35"/>
  <c r="F28" i="35"/>
  <c r="F46" i="35"/>
  <c r="J45" i="35"/>
  <c r="F17" i="35"/>
  <c r="J16" i="35"/>
  <c r="F35" i="35"/>
  <c r="J34" i="35"/>
  <c r="F49" i="35"/>
  <c r="J48" i="35"/>
  <c r="F31" i="29"/>
  <c r="J30" i="29"/>
  <c r="F43" i="29"/>
  <c r="J42" i="29"/>
  <c r="F47" i="29"/>
  <c r="J46" i="29"/>
  <c r="F12" i="29"/>
  <c r="J11" i="29"/>
  <c r="F42" i="29"/>
  <c r="J27" i="29"/>
  <c r="F17" i="29"/>
  <c r="J16" i="29"/>
  <c r="J44" i="29"/>
  <c r="F52" i="29"/>
  <c r="J51" i="29"/>
  <c r="F33" i="29"/>
  <c r="F13" i="29"/>
  <c r="J12" i="29"/>
  <c r="F55" i="29"/>
  <c r="F9" i="29"/>
  <c r="F7" i="29"/>
  <c r="F27" i="29"/>
  <c r="F15" i="29"/>
  <c r="F57" i="29"/>
  <c r="F9" i="33"/>
  <c r="F7" i="33"/>
  <c r="F9" i="37"/>
  <c r="F7" i="37"/>
  <c r="F9" i="27"/>
  <c r="F7" i="27"/>
  <c r="F9" i="28"/>
  <c r="F7" i="28"/>
  <c r="F9" i="32"/>
  <c r="F7" i="32"/>
  <c r="F7" i="36"/>
  <c r="F9" i="36"/>
  <c r="F9" i="31"/>
  <c r="F7" i="31"/>
  <c r="F7" i="26"/>
  <c r="F9" i="26"/>
  <c r="F7" i="34"/>
  <c r="F9" i="34"/>
  <c r="F7" i="30"/>
  <c r="F9" i="30"/>
  <c r="F9" i="35"/>
  <c r="F7" i="35"/>
  <c r="D57" i="3" l="1"/>
  <c r="D10" i="3"/>
  <c r="L10" i="3" s="1"/>
  <c r="D11" i="3"/>
  <c r="D12" i="3"/>
  <c r="L12" i="3" s="1"/>
  <c r="D13" i="3"/>
  <c r="L13" i="3" s="1"/>
  <c r="D14" i="3"/>
  <c r="L14" i="3" s="1"/>
  <c r="D15" i="3"/>
  <c r="L16" i="3"/>
  <c r="D17" i="3"/>
  <c r="L17" i="3" s="1"/>
  <c r="D18" i="3"/>
  <c r="L18" i="3" s="1"/>
  <c r="D19" i="3"/>
  <c r="D20" i="3"/>
  <c r="L20" i="3" s="1"/>
  <c r="D21" i="3"/>
  <c r="L21" i="3" s="1"/>
  <c r="D22" i="3"/>
  <c r="L22" i="3" s="1"/>
  <c r="D23" i="3"/>
  <c r="D24" i="3"/>
  <c r="L24" i="3" s="1"/>
  <c r="D25" i="3"/>
  <c r="L25" i="3" s="1"/>
  <c r="D26" i="3"/>
  <c r="L26" i="3" s="1"/>
  <c r="D28" i="3"/>
  <c r="L28" i="3" s="1"/>
  <c r="D29" i="3"/>
  <c r="L29" i="3" s="1"/>
  <c r="D30" i="3"/>
  <c r="L30" i="3" s="1"/>
  <c r="D31" i="3"/>
  <c r="D32" i="3"/>
  <c r="L32" i="3" s="1"/>
  <c r="D33" i="3"/>
  <c r="L33" i="3" s="1"/>
  <c r="D34" i="3"/>
  <c r="L34" i="3" s="1"/>
  <c r="D35" i="3"/>
  <c r="D36" i="3"/>
  <c r="L36" i="3" s="1"/>
  <c r="L37" i="3"/>
  <c r="D38" i="3"/>
  <c r="L38" i="3" s="1"/>
  <c r="D39" i="3"/>
  <c r="D40" i="3"/>
  <c r="L40" i="3" s="1"/>
  <c r="D41" i="3"/>
  <c r="L41" i="3" s="1"/>
  <c r="D42" i="3"/>
  <c r="L42" i="3" s="1"/>
  <c r="D43" i="3"/>
  <c r="D44" i="3"/>
  <c r="L44" i="3" s="1"/>
  <c r="D45" i="3"/>
  <c r="L45" i="3" s="1"/>
  <c r="D46" i="3"/>
  <c r="L46" i="3" s="1"/>
  <c r="D48" i="3"/>
  <c r="L48" i="3" s="1"/>
  <c r="D49" i="3"/>
  <c r="L49" i="3" s="1"/>
  <c r="D50" i="3"/>
  <c r="L50" i="3" s="1"/>
  <c r="D51" i="3"/>
  <c r="D52" i="3"/>
  <c r="L52" i="3" s="1"/>
  <c r="D53" i="3"/>
  <c r="L53" i="3" s="1"/>
  <c r="D54" i="3"/>
  <c r="L54" i="3" s="1"/>
  <c r="D55" i="3"/>
  <c r="D9" i="3"/>
  <c r="D7" i="3"/>
  <c r="D107" i="5"/>
  <c r="D10" i="5"/>
  <c r="L10" i="5" s="1"/>
  <c r="D11" i="5"/>
  <c r="L11" i="5" s="1"/>
  <c r="D12" i="5"/>
  <c r="L12" i="5" s="1"/>
  <c r="D13" i="5"/>
  <c r="L13" i="5" s="1"/>
  <c r="L14" i="5"/>
  <c r="D15" i="5"/>
  <c r="L15" i="5" s="1"/>
  <c r="D16" i="5"/>
  <c r="L16" i="5" s="1"/>
  <c r="D17" i="5"/>
  <c r="L17" i="5" s="1"/>
  <c r="D18" i="5"/>
  <c r="L18" i="5" s="1"/>
  <c r="L19" i="5"/>
  <c r="D20" i="5"/>
  <c r="L20" i="5" s="1"/>
  <c r="D21" i="5"/>
  <c r="L21" i="5" s="1"/>
  <c r="D22" i="5"/>
  <c r="L22" i="5" s="1"/>
  <c r="D23" i="5"/>
  <c r="L23" i="5" s="1"/>
  <c r="D24" i="5"/>
  <c r="L24" i="5" s="1"/>
  <c r="L25" i="5"/>
  <c r="D26" i="5"/>
  <c r="L26" i="5" s="1"/>
  <c r="D27" i="5"/>
  <c r="L27" i="5" s="1"/>
  <c r="D28" i="5"/>
  <c r="L28" i="5" s="1"/>
  <c r="D29" i="5"/>
  <c r="L29" i="5" s="1"/>
  <c r="D30" i="5"/>
  <c r="L30" i="5" s="1"/>
  <c r="L31" i="5"/>
  <c r="D32" i="5"/>
  <c r="L32" i="5" s="1"/>
  <c r="D33" i="5"/>
  <c r="L33" i="5" s="1"/>
  <c r="D34" i="5"/>
  <c r="L34" i="5" s="1"/>
  <c r="D35" i="5"/>
  <c r="L35" i="5" s="1"/>
  <c r="D36" i="5"/>
  <c r="L36" i="5" s="1"/>
  <c r="L37" i="5"/>
  <c r="D38" i="5"/>
  <c r="L38" i="5" s="1"/>
  <c r="D39" i="5"/>
  <c r="L39" i="5" s="1"/>
  <c r="D40" i="5"/>
  <c r="L40" i="5" s="1"/>
  <c r="D41" i="5"/>
  <c r="L41" i="5" s="1"/>
  <c r="D42" i="5"/>
  <c r="L42" i="5" s="1"/>
  <c r="L43" i="5"/>
  <c r="D44" i="5"/>
  <c r="L44" i="5" s="1"/>
  <c r="D45" i="5"/>
  <c r="L45" i="5" s="1"/>
  <c r="D46" i="5"/>
  <c r="L46" i="5" s="1"/>
  <c r="D47" i="5"/>
  <c r="L47" i="5" s="1"/>
  <c r="D48" i="5"/>
  <c r="L48" i="5" s="1"/>
  <c r="L49" i="5"/>
  <c r="D50" i="5"/>
  <c r="L50" i="5" s="1"/>
  <c r="D51" i="5"/>
  <c r="L51" i="5" s="1"/>
  <c r="D52" i="5"/>
  <c r="L52" i="5" s="1"/>
  <c r="D53" i="5"/>
  <c r="L53" i="5" s="1"/>
  <c r="D54" i="5"/>
  <c r="L54" i="5" s="1"/>
  <c r="L55" i="5"/>
  <c r="D56" i="5"/>
  <c r="L56" i="5" s="1"/>
  <c r="D57" i="5"/>
  <c r="L57" i="5" s="1"/>
  <c r="D58" i="5"/>
  <c r="L58" i="5" s="1"/>
  <c r="D59" i="5"/>
  <c r="L59" i="5" s="1"/>
  <c r="D60" i="5"/>
  <c r="L60" i="5" s="1"/>
  <c r="L61" i="5"/>
  <c r="D62" i="5"/>
  <c r="L62" i="5" s="1"/>
  <c r="D63" i="5"/>
  <c r="L63" i="5" s="1"/>
  <c r="D64" i="5"/>
  <c r="L64" i="5" s="1"/>
  <c r="D65" i="5"/>
  <c r="L65" i="5" s="1"/>
  <c r="D66" i="5"/>
  <c r="L66" i="5" s="1"/>
  <c r="L67" i="5"/>
  <c r="D68" i="5"/>
  <c r="L68" i="5" s="1"/>
  <c r="D69" i="5"/>
  <c r="L69" i="5" s="1"/>
  <c r="D70" i="5"/>
  <c r="L70" i="5" s="1"/>
  <c r="D71" i="5"/>
  <c r="L71" i="5" s="1"/>
  <c r="D72" i="5"/>
  <c r="L72" i="5" s="1"/>
  <c r="L73" i="5"/>
  <c r="D74" i="5"/>
  <c r="L74" i="5" s="1"/>
  <c r="D75" i="5"/>
  <c r="L75" i="5" s="1"/>
  <c r="D76" i="5"/>
  <c r="L76" i="5" s="1"/>
  <c r="D77" i="5"/>
  <c r="L77" i="5" s="1"/>
  <c r="D78" i="5"/>
  <c r="L78" i="5" s="1"/>
  <c r="L79" i="5"/>
  <c r="D80" i="5"/>
  <c r="L80" i="5" s="1"/>
  <c r="D81" i="5"/>
  <c r="L81" i="5" s="1"/>
  <c r="D82" i="5"/>
  <c r="L82" i="5" s="1"/>
  <c r="D83" i="5"/>
  <c r="L83" i="5" s="1"/>
  <c r="D84" i="5"/>
  <c r="L84" i="5" s="1"/>
  <c r="L85" i="5"/>
  <c r="D86" i="5"/>
  <c r="L86" i="5" s="1"/>
  <c r="D87" i="5"/>
  <c r="L87" i="5" s="1"/>
  <c r="D88" i="5"/>
  <c r="L88" i="5" s="1"/>
  <c r="D89" i="5"/>
  <c r="L89" i="5" s="1"/>
  <c r="D90" i="5"/>
  <c r="L90" i="5" s="1"/>
  <c r="L91" i="5"/>
  <c r="D92" i="5"/>
  <c r="L92" i="5" s="1"/>
  <c r="D93" i="5"/>
  <c r="L93" i="5" s="1"/>
  <c r="D94" i="5"/>
  <c r="L94" i="5" s="1"/>
  <c r="D95" i="5"/>
  <c r="L95" i="5" s="1"/>
  <c r="D96" i="5"/>
  <c r="L96" i="5" s="1"/>
  <c r="L97" i="5"/>
  <c r="D98" i="5"/>
  <c r="L98" i="5" s="1"/>
  <c r="D99" i="5"/>
  <c r="L99" i="5" s="1"/>
  <c r="D100" i="5"/>
  <c r="L100" i="5" s="1"/>
  <c r="D101" i="5"/>
  <c r="L101" i="5" s="1"/>
  <c r="D104" i="5"/>
  <c r="L104" i="5" s="1"/>
  <c r="D105" i="5"/>
  <c r="L105" i="5" s="1"/>
  <c r="D9" i="5"/>
  <c r="D7" i="5"/>
  <c r="G7" i="5" l="1"/>
  <c r="H7" i="5" s="1"/>
  <c r="L7" i="5"/>
  <c r="L103" i="5"/>
  <c r="G9" i="5"/>
  <c r="H9" i="5" s="1"/>
  <c r="L9" i="5"/>
  <c r="G107" i="5"/>
  <c r="H107" i="5" s="1"/>
  <c r="L107" i="5"/>
  <c r="G55" i="3"/>
  <c r="H55" i="3" s="1"/>
  <c r="L55" i="3"/>
  <c r="G51" i="3"/>
  <c r="H51" i="3" s="1"/>
  <c r="L51" i="3"/>
  <c r="L47" i="3"/>
  <c r="G43" i="3"/>
  <c r="H43" i="3" s="1"/>
  <c r="L43" i="3"/>
  <c r="G39" i="3"/>
  <c r="H39" i="3" s="1"/>
  <c r="L39" i="3"/>
  <c r="G35" i="3"/>
  <c r="H35" i="3" s="1"/>
  <c r="L35" i="3"/>
  <c r="G31" i="3"/>
  <c r="H31" i="3" s="1"/>
  <c r="L31" i="3"/>
  <c r="L27" i="3"/>
  <c r="G23" i="3"/>
  <c r="H23" i="3" s="1"/>
  <c r="L23" i="3"/>
  <c r="G19" i="3"/>
  <c r="H19" i="3" s="1"/>
  <c r="L19" i="3"/>
  <c r="G15" i="3"/>
  <c r="H15" i="3" s="1"/>
  <c r="L15" i="3"/>
  <c r="G11" i="3"/>
  <c r="H11" i="3" s="1"/>
  <c r="L11" i="3"/>
  <c r="G9" i="3"/>
  <c r="H9" i="3" s="1"/>
  <c r="L9" i="3"/>
  <c r="G7" i="3"/>
  <c r="H7" i="3" s="1"/>
  <c r="L7" i="3"/>
  <c r="G57" i="3"/>
  <c r="H57" i="3" s="1"/>
  <c r="L57" i="3"/>
  <c r="G105" i="5"/>
  <c r="H105" i="5" s="1"/>
  <c r="G100" i="5"/>
  <c r="H100" i="5" s="1"/>
  <c r="G96" i="5"/>
  <c r="H96" i="5" s="1"/>
  <c r="G92" i="5"/>
  <c r="H92" i="5" s="1"/>
  <c r="G88" i="5"/>
  <c r="H88" i="5" s="1"/>
  <c r="G84" i="5"/>
  <c r="H84" i="5" s="1"/>
  <c r="G80" i="5"/>
  <c r="H80" i="5" s="1"/>
  <c r="G76" i="5"/>
  <c r="H76" i="5" s="1"/>
  <c r="G72" i="5"/>
  <c r="H72" i="5" s="1"/>
  <c r="G68" i="5"/>
  <c r="H68" i="5" s="1"/>
  <c r="G64" i="5"/>
  <c r="H64" i="5" s="1"/>
  <c r="G60" i="5"/>
  <c r="H60" i="5" s="1"/>
  <c r="G56" i="5"/>
  <c r="H56" i="5" s="1"/>
  <c r="G52" i="5"/>
  <c r="H52" i="5" s="1"/>
  <c r="G48" i="5"/>
  <c r="H48" i="5" s="1"/>
  <c r="G44" i="5"/>
  <c r="H44" i="5" s="1"/>
  <c r="G40" i="5"/>
  <c r="H40" i="5" s="1"/>
  <c r="G36" i="5"/>
  <c r="H36" i="5" s="1"/>
  <c r="G32" i="5"/>
  <c r="H32" i="5" s="1"/>
  <c r="G28" i="5"/>
  <c r="H28" i="5" s="1"/>
  <c r="G24" i="5"/>
  <c r="H24" i="5" s="1"/>
  <c r="G20" i="5"/>
  <c r="H20" i="5" s="1"/>
  <c r="G16" i="5"/>
  <c r="H16" i="5" s="1"/>
  <c r="G12" i="5"/>
  <c r="H12" i="5" s="1"/>
  <c r="G98" i="5"/>
  <c r="H98" i="5" s="1"/>
  <c r="G94" i="5"/>
  <c r="H94" i="5" s="1"/>
  <c r="G86" i="5"/>
  <c r="H86" i="5" s="1"/>
  <c r="G82" i="5"/>
  <c r="H82" i="5" s="1"/>
  <c r="G78" i="5"/>
  <c r="H78" i="5" s="1"/>
  <c r="G74" i="5"/>
  <c r="H74" i="5" s="1"/>
  <c r="G70" i="5"/>
  <c r="H70" i="5" s="1"/>
  <c r="G66" i="5"/>
  <c r="H66" i="5" s="1"/>
  <c r="G62" i="5"/>
  <c r="H62" i="5" s="1"/>
  <c r="G58" i="5"/>
  <c r="H58" i="5" s="1"/>
  <c r="G54" i="5"/>
  <c r="H54" i="5" s="1"/>
  <c r="G50" i="5"/>
  <c r="H50" i="5" s="1"/>
  <c r="G46" i="5"/>
  <c r="H46" i="5" s="1"/>
  <c r="G42" i="5"/>
  <c r="H42" i="5" s="1"/>
  <c r="G38" i="5"/>
  <c r="H38" i="5" s="1"/>
  <c r="G34" i="5"/>
  <c r="H34" i="5" s="1"/>
  <c r="G30" i="5"/>
  <c r="H30" i="5" s="1"/>
  <c r="G26" i="5"/>
  <c r="H26" i="5" s="1"/>
  <c r="G22" i="5"/>
  <c r="H22" i="5" s="1"/>
  <c r="G18" i="5"/>
  <c r="H18" i="5" s="1"/>
  <c r="G53" i="3"/>
  <c r="H53" i="3" s="1"/>
  <c r="G49" i="3"/>
  <c r="H49" i="3" s="1"/>
  <c r="G45" i="3"/>
  <c r="H45" i="3" s="1"/>
  <c r="G93" i="5"/>
  <c r="H93" i="5" s="1"/>
  <c r="G89" i="5"/>
  <c r="H89" i="5" s="1"/>
  <c r="G81" i="5"/>
  <c r="H81" i="5" s="1"/>
  <c r="G77" i="5"/>
  <c r="H77" i="5" s="1"/>
  <c r="G69" i="5"/>
  <c r="H69" i="5" s="1"/>
  <c r="G65" i="5"/>
  <c r="H65" i="5" s="1"/>
  <c r="G57" i="5"/>
  <c r="H57" i="5" s="1"/>
  <c r="G53" i="5"/>
  <c r="H53" i="5" s="1"/>
  <c r="G45" i="5"/>
  <c r="H45" i="5" s="1"/>
  <c r="G41" i="5"/>
  <c r="H41" i="5" s="1"/>
  <c r="G33" i="5"/>
  <c r="H33" i="5" s="1"/>
  <c r="G29" i="5"/>
  <c r="H29" i="5" s="1"/>
  <c r="G41" i="3"/>
  <c r="H41" i="3" s="1"/>
  <c r="G33" i="3"/>
  <c r="H33" i="3" s="1"/>
  <c r="G29" i="3"/>
  <c r="H29" i="3" s="1"/>
  <c r="G25" i="3"/>
  <c r="H25" i="3" s="1"/>
  <c r="G21" i="3"/>
  <c r="H21" i="3" s="1"/>
  <c r="G17" i="3"/>
  <c r="H17" i="3" s="1"/>
  <c r="G13" i="3"/>
  <c r="H13" i="3" s="1"/>
  <c r="G21" i="5"/>
  <c r="H21" i="5" s="1"/>
  <c r="G17" i="5"/>
  <c r="H17" i="5" s="1"/>
  <c r="G13" i="5"/>
  <c r="H13" i="5" s="1"/>
  <c r="G52" i="3"/>
  <c r="H52" i="3" s="1"/>
  <c r="G48" i="3"/>
  <c r="H48" i="3" s="1"/>
  <c r="G44" i="3"/>
  <c r="H44" i="3" s="1"/>
  <c r="G40" i="3"/>
  <c r="H40" i="3" s="1"/>
  <c r="G36" i="3"/>
  <c r="H36" i="3" s="1"/>
  <c r="G32" i="3"/>
  <c r="H32" i="3" s="1"/>
  <c r="G28" i="3"/>
  <c r="H28" i="3" s="1"/>
  <c r="G24" i="3"/>
  <c r="H24" i="3" s="1"/>
  <c r="G20" i="3"/>
  <c r="H20" i="3" s="1"/>
  <c r="G12" i="3"/>
  <c r="H12" i="3" s="1"/>
  <c r="G101" i="5"/>
  <c r="H101" i="5" s="1"/>
  <c r="G102" i="5"/>
  <c r="H102" i="5" s="1"/>
  <c r="G104" i="5"/>
  <c r="H104" i="5" s="1"/>
  <c r="G99" i="5"/>
  <c r="H99" i="5" s="1"/>
  <c r="G95" i="5"/>
  <c r="H95" i="5" s="1"/>
  <c r="G87" i="5"/>
  <c r="H87" i="5" s="1"/>
  <c r="G83" i="5"/>
  <c r="H83" i="5" s="1"/>
  <c r="G75" i="5"/>
  <c r="H75" i="5" s="1"/>
  <c r="G71" i="5"/>
  <c r="H71" i="5" s="1"/>
  <c r="G63" i="5"/>
  <c r="H63" i="5" s="1"/>
  <c r="G59" i="5"/>
  <c r="H59" i="5" s="1"/>
  <c r="G51" i="5"/>
  <c r="H51" i="5" s="1"/>
  <c r="G47" i="5"/>
  <c r="H47" i="5" s="1"/>
  <c r="G39" i="5"/>
  <c r="H39" i="5" s="1"/>
  <c r="G35" i="5"/>
  <c r="H35" i="5" s="1"/>
  <c r="G27" i="5"/>
  <c r="H27" i="5" s="1"/>
  <c r="G23" i="5"/>
  <c r="H23" i="5" s="1"/>
  <c r="G15" i="5"/>
  <c r="H15" i="5" s="1"/>
  <c r="G11" i="5"/>
  <c r="H11" i="5" s="1"/>
  <c r="G54" i="3"/>
  <c r="H54" i="3" s="1"/>
  <c r="G50" i="3"/>
  <c r="H50" i="3" s="1"/>
  <c r="G46" i="3"/>
  <c r="H46" i="3" s="1"/>
  <c r="G42" i="3"/>
  <c r="H42" i="3" s="1"/>
  <c r="G38" i="3"/>
  <c r="H38" i="3" s="1"/>
  <c r="G34" i="3"/>
  <c r="H34" i="3" s="1"/>
  <c r="G30" i="3"/>
  <c r="H30" i="3" s="1"/>
  <c r="G26" i="3"/>
  <c r="H26" i="3" s="1"/>
  <c r="G22" i="3"/>
  <c r="H22" i="3" s="1"/>
  <c r="G18" i="3"/>
  <c r="H18" i="3" s="1"/>
  <c r="G14" i="3"/>
  <c r="H14" i="3" s="1"/>
  <c r="G10" i="3"/>
  <c r="H10" i="3" s="1"/>
  <c r="G90" i="5"/>
  <c r="H90" i="5" s="1"/>
  <c r="G10" i="5"/>
  <c r="H10" i="5" s="1"/>
  <c r="I7" i="3"/>
  <c r="J7" i="3" s="1"/>
  <c r="E96" i="5"/>
  <c r="E84" i="5"/>
  <c r="E72" i="5"/>
  <c r="E60" i="5"/>
  <c r="E48" i="5"/>
  <c r="E36" i="5"/>
  <c r="E24" i="5"/>
  <c r="E12" i="5"/>
  <c r="E7" i="5"/>
  <c r="E99" i="5"/>
  <c r="E95" i="5"/>
  <c r="E87" i="5"/>
  <c r="E83" i="5"/>
  <c r="E75" i="5"/>
  <c r="E71" i="5"/>
  <c r="E63" i="5"/>
  <c r="E59" i="5"/>
  <c r="E51" i="5"/>
  <c r="E47" i="5"/>
  <c r="E39" i="5"/>
  <c r="E35" i="5"/>
  <c r="E27" i="5"/>
  <c r="E23" i="5"/>
  <c r="E15" i="5"/>
  <c r="E11" i="5"/>
  <c r="E104" i="5"/>
  <c r="E92" i="5"/>
  <c r="E76" i="5"/>
  <c r="E64" i="5"/>
  <c r="E52" i="5"/>
  <c r="E40" i="5"/>
  <c r="E28" i="5"/>
  <c r="E16" i="5"/>
  <c r="E9" i="5"/>
  <c r="E98" i="5"/>
  <c r="E94" i="5"/>
  <c r="E90" i="5"/>
  <c r="E86" i="5"/>
  <c r="E82" i="5"/>
  <c r="E78" i="5"/>
  <c r="E74" i="5"/>
  <c r="E70" i="5"/>
  <c r="E66" i="5"/>
  <c r="E62" i="5"/>
  <c r="E58" i="5"/>
  <c r="E54" i="5"/>
  <c r="E50" i="5"/>
  <c r="E46" i="5"/>
  <c r="E42" i="5"/>
  <c r="E38" i="5"/>
  <c r="E34" i="5"/>
  <c r="E30" i="5"/>
  <c r="E26" i="5"/>
  <c r="E22" i="5"/>
  <c r="E18" i="5"/>
  <c r="E10" i="5"/>
  <c r="E100" i="5"/>
  <c r="E88" i="5"/>
  <c r="E80" i="5"/>
  <c r="E68" i="5"/>
  <c r="E56" i="5"/>
  <c r="E44" i="5"/>
  <c r="E32" i="5"/>
  <c r="E20" i="5"/>
  <c r="E105" i="5"/>
  <c r="E101" i="5"/>
  <c r="E93" i="5"/>
  <c r="E89" i="5"/>
  <c r="E81" i="5"/>
  <c r="E77" i="5"/>
  <c r="E69" i="5"/>
  <c r="E65" i="5"/>
  <c r="E57" i="5"/>
  <c r="E53" i="5"/>
  <c r="E45" i="5"/>
  <c r="E41" i="5"/>
  <c r="E33" i="5"/>
  <c r="E29" i="5"/>
  <c r="E21" i="5"/>
  <c r="E17" i="5"/>
  <c r="E13" i="5"/>
  <c r="E107" i="5"/>
  <c r="D10" i="2"/>
  <c r="L10" i="2" s="1"/>
  <c r="D11" i="2"/>
  <c r="L11" i="2" s="1"/>
  <c r="L12" i="2"/>
  <c r="D13" i="2"/>
  <c r="L13" i="2" s="1"/>
  <c r="D14" i="2"/>
  <c r="L14" i="2" s="1"/>
  <c r="D15" i="2"/>
  <c r="L15" i="2" s="1"/>
  <c r="D16" i="2"/>
  <c r="L16" i="2" s="1"/>
  <c r="D17" i="2"/>
  <c r="L17" i="2" s="1"/>
  <c r="D18" i="2"/>
  <c r="L18" i="2" s="1"/>
  <c r="D19" i="2"/>
  <c r="L19" i="2" s="1"/>
  <c r="L20" i="2"/>
  <c r="D21" i="2"/>
  <c r="L21" i="2" s="1"/>
  <c r="D22" i="2"/>
  <c r="L22" i="2" s="1"/>
  <c r="D23" i="2"/>
  <c r="L23" i="2" s="1"/>
  <c r="D24" i="2"/>
  <c r="L24" i="2" s="1"/>
  <c r="D25" i="2"/>
  <c r="L25" i="2" s="1"/>
  <c r="D26" i="2"/>
  <c r="L26" i="2" s="1"/>
  <c r="D27" i="2"/>
  <c r="L27" i="2" s="1"/>
  <c r="L28" i="2"/>
  <c r="D29" i="2"/>
  <c r="L29" i="2" s="1"/>
  <c r="D30" i="2"/>
  <c r="L30" i="2" s="1"/>
  <c r="D31" i="2"/>
  <c r="L31" i="2" s="1"/>
  <c r="D32" i="2"/>
  <c r="L32" i="2" s="1"/>
  <c r="D33" i="2"/>
  <c r="L33" i="2" s="1"/>
  <c r="D34" i="2"/>
  <c r="L34" i="2" s="1"/>
  <c r="D35" i="2"/>
  <c r="L35" i="2" s="1"/>
  <c r="L36" i="2"/>
  <c r="D37" i="2"/>
  <c r="L37" i="2" s="1"/>
  <c r="D38" i="2"/>
  <c r="L38" i="2" s="1"/>
  <c r="D39" i="2"/>
  <c r="L39" i="2" s="1"/>
  <c r="D40" i="2"/>
  <c r="L40" i="2" s="1"/>
  <c r="D41" i="2"/>
  <c r="L41" i="2" s="1"/>
  <c r="D42" i="2"/>
  <c r="L42" i="2" s="1"/>
  <c r="D43" i="2"/>
  <c r="L43" i="2" s="1"/>
  <c r="D44" i="2"/>
  <c r="L44" i="2" s="1"/>
  <c r="L45" i="2"/>
  <c r="D46" i="2"/>
  <c r="L46" i="2" s="1"/>
  <c r="D47" i="2"/>
  <c r="L47" i="2" s="1"/>
  <c r="D48" i="2"/>
  <c r="L48" i="2" s="1"/>
  <c r="D49" i="2"/>
  <c r="L49" i="2" s="1"/>
  <c r="D50" i="2"/>
  <c r="L50" i="2" s="1"/>
  <c r="D51" i="2"/>
  <c r="L51" i="2" s="1"/>
  <c r="D52" i="2"/>
  <c r="L52" i="2" s="1"/>
  <c r="L53" i="2"/>
  <c r="D54" i="2"/>
  <c r="L54" i="2" s="1"/>
  <c r="D55" i="2"/>
  <c r="L55" i="2" s="1"/>
  <c r="D56" i="2"/>
  <c r="L56" i="2" s="1"/>
  <c r="D57" i="2"/>
  <c r="L57" i="2" s="1"/>
  <c r="D58" i="2"/>
  <c r="L58" i="2" s="1"/>
  <c r="D59" i="2"/>
  <c r="L59" i="2" s="1"/>
  <c r="D60" i="2"/>
  <c r="L60" i="2" s="1"/>
  <c r="L61" i="2"/>
  <c r="D62" i="2"/>
  <c r="L62" i="2" s="1"/>
  <c r="D63" i="2"/>
  <c r="L63" i="2" s="1"/>
  <c r="D64" i="2"/>
  <c r="L64" i="2" s="1"/>
  <c r="D65" i="2"/>
  <c r="L65" i="2" s="1"/>
  <c r="D66" i="2"/>
  <c r="L66" i="2" s="1"/>
  <c r="D67" i="2"/>
  <c r="L67" i="2" s="1"/>
  <c r="D68" i="2"/>
  <c r="L68" i="2" s="1"/>
  <c r="L69" i="2"/>
  <c r="D70" i="2"/>
  <c r="L70" i="2" s="1"/>
  <c r="D71" i="2"/>
  <c r="L71" i="2" s="1"/>
  <c r="D72" i="2"/>
  <c r="L72" i="2" s="1"/>
  <c r="D73" i="2"/>
  <c r="L73" i="2" s="1"/>
  <c r="D74" i="2"/>
  <c r="L74" i="2" s="1"/>
  <c r="D75" i="2"/>
  <c r="L75" i="2" s="1"/>
  <c r="D76" i="2"/>
  <c r="L76" i="2" s="1"/>
  <c r="D77" i="2"/>
  <c r="L77" i="2" s="1"/>
  <c r="L78" i="2"/>
  <c r="D79" i="2"/>
  <c r="L79" i="2" s="1"/>
  <c r="D80" i="2"/>
  <c r="L80" i="2" s="1"/>
  <c r="D81" i="2"/>
  <c r="L81" i="2" s="1"/>
  <c r="D82" i="2"/>
  <c r="L82" i="2" s="1"/>
  <c r="D83" i="2"/>
  <c r="L83" i="2" s="1"/>
  <c r="D84" i="2"/>
  <c r="L84" i="2" s="1"/>
  <c r="D85" i="2"/>
  <c r="L85" i="2" s="1"/>
  <c r="L86" i="2"/>
  <c r="D87" i="2"/>
  <c r="L87" i="2" s="1"/>
  <c r="D88" i="2"/>
  <c r="L88" i="2" s="1"/>
  <c r="D89" i="2"/>
  <c r="L89" i="2" s="1"/>
  <c r="D90" i="2"/>
  <c r="L90" i="2" s="1"/>
  <c r="D91" i="2"/>
  <c r="L91" i="2" s="1"/>
  <c r="D92" i="2"/>
  <c r="L92" i="2" s="1"/>
  <c r="D93" i="2"/>
  <c r="L93" i="2" s="1"/>
  <c r="L94" i="2"/>
  <c r="D95" i="2"/>
  <c r="L95" i="2" s="1"/>
  <c r="D96" i="2"/>
  <c r="L96" i="2" s="1"/>
  <c r="D97" i="2"/>
  <c r="L97" i="2" s="1"/>
  <c r="D98" i="2"/>
  <c r="L98" i="2" s="1"/>
  <c r="D99" i="2"/>
  <c r="L99" i="2" s="1"/>
  <c r="D100" i="2"/>
  <c r="L100" i="2" s="1"/>
  <c r="D101" i="2"/>
  <c r="L101" i="2" s="1"/>
  <c r="D103" i="2"/>
  <c r="D104" i="2"/>
  <c r="L104" i="2" s="1"/>
  <c r="D105" i="2"/>
  <c r="L105" i="2" s="1"/>
  <c r="D9" i="2"/>
  <c r="D7" i="2"/>
  <c r="I38" i="3" l="1"/>
  <c r="I21" i="3"/>
  <c r="I39" i="3"/>
  <c r="I36" i="3"/>
  <c r="J36" i="3" s="1"/>
  <c r="I49" i="3"/>
  <c r="J49" i="3" s="1"/>
  <c r="I43" i="3"/>
  <c r="I29" i="3"/>
  <c r="I102" i="5"/>
  <c r="J102" i="5" s="1"/>
  <c r="I48" i="3"/>
  <c r="I54" i="3"/>
  <c r="J54" i="3" s="1"/>
  <c r="I25" i="3"/>
  <c r="J25" i="3" s="1"/>
  <c r="I15" i="3"/>
  <c r="I9" i="3"/>
  <c r="I32" i="3"/>
  <c r="I35" i="3"/>
  <c r="J35" i="3" s="1"/>
  <c r="I22" i="3"/>
  <c r="I17" i="3"/>
  <c r="I53" i="3"/>
  <c r="J53" i="3" s="1"/>
  <c r="I52" i="3"/>
  <c r="J52" i="3" s="1"/>
  <c r="I20" i="3"/>
  <c r="I11" i="3"/>
  <c r="I10" i="3"/>
  <c r="F10" i="3" s="1"/>
  <c r="G7" i="2"/>
  <c r="H7" i="2" s="1"/>
  <c r="L7" i="2"/>
  <c r="G103" i="2"/>
  <c r="H103" i="2" s="1"/>
  <c r="L103" i="2"/>
  <c r="G9" i="2"/>
  <c r="H9" i="2" s="1"/>
  <c r="L9" i="2"/>
  <c r="I57" i="3"/>
  <c r="J57" i="3" s="1"/>
  <c r="Q17" i="3" s="1"/>
  <c r="I45" i="3"/>
  <c r="I44" i="3"/>
  <c r="J44" i="3" s="1"/>
  <c r="I12" i="3"/>
  <c r="I50" i="3"/>
  <c r="I18" i="3"/>
  <c r="I41" i="3"/>
  <c r="I31" i="3"/>
  <c r="J31" i="3" s="1"/>
  <c r="I13" i="3"/>
  <c r="I28" i="3"/>
  <c r="J28" i="3" s="1"/>
  <c r="I34" i="3"/>
  <c r="J34" i="3" s="1"/>
  <c r="I33" i="3"/>
  <c r="J33" i="3" s="1"/>
  <c r="I55" i="3"/>
  <c r="J55" i="3" s="1"/>
  <c r="I23" i="3"/>
  <c r="J23" i="3" s="1"/>
  <c r="I40" i="3"/>
  <c r="F40" i="3" s="1"/>
  <c r="I24" i="3"/>
  <c r="I51" i="3"/>
  <c r="I19" i="3"/>
  <c r="I46" i="3"/>
  <c r="I30" i="3"/>
  <c r="I14" i="3"/>
  <c r="J14" i="3" s="1"/>
  <c r="I42" i="3"/>
  <c r="I26" i="3"/>
  <c r="F22" i="3"/>
  <c r="J21" i="3"/>
  <c r="J9" i="3"/>
  <c r="F15" i="3"/>
  <c r="J15" i="3"/>
  <c r="J29" i="3"/>
  <c r="F21" i="3"/>
  <c r="J20" i="3"/>
  <c r="J43" i="3"/>
  <c r="F12" i="3"/>
  <c r="J11" i="3"/>
  <c r="F11" i="3"/>
  <c r="J22" i="3"/>
  <c r="J17" i="3"/>
  <c r="J39" i="3"/>
  <c r="J48" i="3"/>
  <c r="F39" i="3"/>
  <c r="J38" i="3"/>
  <c r="J18" i="3"/>
  <c r="G97" i="2"/>
  <c r="H97" i="2" s="1"/>
  <c r="G93" i="2"/>
  <c r="H93" i="2" s="1"/>
  <c r="G89" i="2"/>
  <c r="H89" i="2" s="1"/>
  <c r="G85" i="2"/>
  <c r="H85" i="2" s="1"/>
  <c r="G81" i="2"/>
  <c r="H81" i="2" s="1"/>
  <c r="G77" i="2"/>
  <c r="H77" i="2" s="1"/>
  <c r="G73" i="2"/>
  <c r="H73" i="2" s="1"/>
  <c r="G65" i="2"/>
  <c r="H65" i="2" s="1"/>
  <c r="G57" i="2"/>
  <c r="H57" i="2" s="1"/>
  <c r="G49" i="2"/>
  <c r="H49" i="2" s="1"/>
  <c r="G41" i="2"/>
  <c r="H41" i="2" s="1"/>
  <c r="G37" i="2"/>
  <c r="H37" i="2" s="1"/>
  <c r="G33" i="2"/>
  <c r="H33" i="2" s="1"/>
  <c r="G29" i="2"/>
  <c r="H29" i="2" s="1"/>
  <c r="G25" i="2"/>
  <c r="H25" i="2" s="1"/>
  <c r="G21" i="2"/>
  <c r="H21" i="2" s="1"/>
  <c r="G17" i="2"/>
  <c r="H17" i="2" s="1"/>
  <c r="G13" i="2"/>
  <c r="H13" i="2" s="1"/>
  <c r="G105" i="2"/>
  <c r="H105" i="2" s="1"/>
  <c r="G100" i="2"/>
  <c r="H100" i="2" s="1"/>
  <c r="G96" i="2"/>
  <c r="H96" i="2" s="1"/>
  <c r="G92" i="2"/>
  <c r="H92" i="2" s="1"/>
  <c r="G88" i="2"/>
  <c r="H88" i="2" s="1"/>
  <c r="G84" i="2"/>
  <c r="H84" i="2" s="1"/>
  <c r="G80" i="2"/>
  <c r="H80" i="2" s="1"/>
  <c r="G76" i="2"/>
  <c r="H76" i="2" s="1"/>
  <c r="G72" i="2"/>
  <c r="H72" i="2" s="1"/>
  <c r="G68" i="2"/>
  <c r="H68" i="2" s="1"/>
  <c r="G64" i="2"/>
  <c r="H64" i="2" s="1"/>
  <c r="G60" i="2"/>
  <c r="H60" i="2" s="1"/>
  <c r="G56" i="2"/>
  <c r="H56" i="2" s="1"/>
  <c r="G52" i="2"/>
  <c r="H52" i="2" s="1"/>
  <c r="G48" i="2"/>
  <c r="H48" i="2" s="1"/>
  <c r="G44" i="2"/>
  <c r="H44" i="2" s="1"/>
  <c r="G40" i="2"/>
  <c r="H40" i="2" s="1"/>
  <c r="G32" i="2"/>
  <c r="H32" i="2" s="1"/>
  <c r="G24" i="2"/>
  <c r="H24" i="2" s="1"/>
  <c r="G16" i="2"/>
  <c r="H16" i="2" s="1"/>
  <c r="G104" i="2"/>
  <c r="H104" i="2" s="1"/>
  <c r="G99" i="2"/>
  <c r="H99" i="2" s="1"/>
  <c r="G95" i="2"/>
  <c r="H95" i="2" s="1"/>
  <c r="G91" i="2"/>
  <c r="H91" i="2" s="1"/>
  <c r="G11" i="2"/>
  <c r="H11" i="2" s="1"/>
  <c r="G101" i="2"/>
  <c r="H101" i="2" s="1"/>
  <c r="G87" i="2"/>
  <c r="H87" i="2" s="1"/>
  <c r="G83" i="2"/>
  <c r="H83" i="2" s="1"/>
  <c r="G79" i="2"/>
  <c r="H79" i="2" s="1"/>
  <c r="G75" i="2"/>
  <c r="H75" i="2" s="1"/>
  <c r="G71" i="2"/>
  <c r="H71" i="2" s="1"/>
  <c r="G67" i="2"/>
  <c r="H67" i="2" s="1"/>
  <c r="G63" i="2"/>
  <c r="H63" i="2" s="1"/>
  <c r="G59" i="2"/>
  <c r="H59" i="2" s="1"/>
  <c r="G55" i="2"/>
  <c r="H55" i="2" s="1"/>
  <c r="G51" i="2"/>
  <c r="H51" i="2" s="1"/>
  <c r="G47" i="2"/>
  <c r="H47" i="2" s="1"/>
  <c r="G43" i="2"/>
  <c r="H43" i="2" s="1"/>
  <c r="G39" i="2"/>
  <c r="H39" i="2" s="1"/>
  <c r="G35" i="2"/>
  <c r="H35" i="2" s="1"/>
  <c r="G31" i="2"/>
  <c r="H31" i="2" s="1"/>
  <c r="G27" i="2"/>
  <c r="H27" i="2" s="1"/>
  <c r="G23" i="2"/>
  <c r="H23" i="2" s="1"/>
  <c r="G19" i="2"/>
  <c r="H19" i="2" s="1"/>
  <c r="G15" i="2"/>
  <c r="H15" i="2" s="1"/>
  <c r="G98" i="2"/>
  <c r="H98" i="2" s="1"/>
  <c r="G90" i="2"/>
  <c r="H90" i="2" s="1"/>
  <c r="G82" i="2"/>
  <c r="H82" i="2" s="1"/>
  <c r="G74" i="2"/>
  <c r="H74" i="2" s="1"/>
  <c r="G70" i="2"/>
  <c r="H70" i="2" s="1"/>
  <c r="G66" i="2"/>
  <c r="H66" i="2" s="1"/>
  <c r="G62" i="2"/>
  <c r="H62" i="2" s="1"/>
  <c r="G58" i="2"/>
  <c r="H58" i="2" s="1"/>
  <c r="G54" i="2"/>
  <c r="H54" i="2" s="1"/>
  <c r="G50" i="2"/>
  <c r="H50" i="2" s="1"/>
  <c r="G46" i="2"/>
  <c r="H46" i="2" s="1"/>
  <c r="G42" i="2"/>
  <c r="H42" i="2" s="1"/>
  <c r="G38" i="2"/>
  <c r="H38" i="2" s="1"/>
  <c r="G34" i="2"/>
  <c r="H34" i="2" s="1"/>
  <c r="G30" i="2"/>
  <c r="H30" i="2" s="1"/>
  <c r="G26" i="2"/>
  <c r="H26" i="2" s="1"/>
  <c r="G22" i="2"/>
  <c r="H22" i="2" s="1"/>
  <c r="G18" i="2"/>
  <c r="H18" i="2" s="1"/>
  <c r="G14" i="2"/>
  <c r="H14" i="2" s="1"/>
  <c r="G10" i="2"/>
  <c r="H10" i="2" s="1"/>
  <c r="F9" i="3"/>
  <c r="F7" i="3"/>
  <c r="G15" i="6"/>
  <c r="H15" i="6" s="1"/>
  <c r="G14" i="6"/>
  <c r="H14" i="6" s="1"/>
  <c r="G13" i="6"/>
  <c r="H13" i="6" s="1"/>
  <c r="G12" i="6"/>
  <c r="H12" i="6" s="1"/>
  <c r="G11" i="6"/>
  <c r="H11" i="6" s="1"/>
  <c r="G10" i="6"/>
  <c r="H10" i="6" s="1"/>
  <c r="G9" i="6"/>
  <c r="H9" i="6" s="1"/>
  <c r="G8" i="6"/>
  <c r="H8" i="6" s="1"/>
  <c r="G7" i="6"/>
  <c r="H7" i="6" s="1"/>
  <c r="F57" i="3" l="1"/>
  <c r="F52" i="3"/>
  <c r="F48" i="3"/>
  <c r="F41" i="3"/>
  <c r="F31" i="3"/>
  <c r="F33" i="3"/>
  <c r="F17" i="3"/>
  <c r="F18" i="3"/>
  <c r="F49" i="3"/>
  <c r="F29" i="3"/>
  <c r="F53" i="3"/>
  <c r="F23" i="3"/>
  <c r="F24" i="3"/>
  <c r="F50" i="3"/>
  <c r="F45" i="3"/>
  <c r="F28" i="3"/>
  <c r="F26" i="3"/>
  <c r="F54" i="3"/>
  <c r="J51" i="3"/>
  <c r="J45" i="3"/>
  <c r="F55" i="3"/>
  <c r="J10" i="3"/>
  <c r="F32" i="3"/>
  <c r="J32" i="3"/>
  <c r="F30" i="3"/>
  <c r="F44" i="3"/>
  <c r="F20" i="3"/>
  <c r="F42" i="3"/>
  <c r="F13" i="3"/>
  <c r="F25" i="3"/>
  <c r="F14" i="3"/>
  <c r="F51" i="3"/>
  <c r="F46" i="3"/>
  <c r="J30" i="3"/>
  <c r="J46" i="3"/>
  <c r="J24" i="3"/>
  <c r="J50" i="3"/>
  <c r="J13" i="3"/>
  <c r="J26" i="3"/>
  <c r="J40" i="3"/>
  <c r="F35" i="3"/>
  <c r="F38" i="3"/>
  <c r="J12" i="3"/>
  <c r="J41" i="3"/>
  <c r="J42" i="3"/>
  <c r="J19" i="3"/>
  <c r="F19" i="3"/>
  <c r="F43" i="3"/>
  <c r="F34" i="3"/>
  <c r="F36" i="3"/>
  <c r="I14" i="2"/>
  <c r="I27" i="2"/>
  <c r="I107" i="5"/>
  <c r="J107" i="5" s="1"/>
  <c r="Q17" i="5" s="1"/>
  <c r="I105" i="5"/>
  <c r="I104" i="5"/>
  <c r="I101" i="5"/>
  <c r="I100" i="5"/>
  <c r="I99" i="5"/>
  <c r="I98" i="5"/>
  <c r="I96" i="5"/>
  <c r="I95" i="5"/>
  <c r="I94" i="5"/>
  <c r="I93" i="5"/>
  <c r="I92" i="5"/>
  <c r="I90" i="5"/>
  <c r="I89" i="5"/>
  <c r="I88" i="5"/>
  <c r="I87" i="5"/>
  <c r="I86" i="5"/>
  <c r="I84" i="5"/>
  <c r="I83" i="5"/>
  <c r="I82" i="5"/>
  <c r="I81" i="5"/>
  <c r="I80" i="5"/>
  <c r="I78" i="5"/>
  <c r="I77" i="5"/>
  <c r="I76" i="5"/>
  <c r="I75" i="5"/>
  <c r="I74" i="5"/>
  <c r="I72" i="5"/>
  <c r="I71" i="5"/>
  <c r="I70" i="5"/>
  <c r="I69" i="5"/>
  <c r="I68" i="5"/>
  <c r="I66" i="5"/>
  <c r="I65" i="5"/>
  <c r="I64" i="5"/>
  <c r="I63" i="5"/>
  <c r="I62" i="5"/>
  <c r="I60" i="5"/>
  <c r="I59" i="5"/>
  <c r="I58" i="5"/>
  <c r="I57" i="5"/>
  <c r="I56" i="5"/>
  <c r="I54" i="5"/>
  <c r="I53" i="5"/>
  <c r="I52" i="5"/>
  <c r="I51" i="5"/>
  <c r="I50" i="5"/>
  <c r="I48" i="5"/>
  <c r="I47" i="5"/>
  <c r="I46" i="5"/>
  <c r="I45" i="5"/>
  <c r="I44" i="5"/>
  <c r="I42" i="5"/>
  <c r="I41" i="5"/>
  <c r="I40" i="5"/>
  <c r="I39" i="5"/>
  <c r="I38" i="5"/>
  <c r="I36" i="5"/>
  <c r="I35" i="5"/>
  <c r="I34" i="5"/>
  <c r="I33" i="5"/>
  <c r="I32" i="5"/>
  <c r="I30" i="5"/>
  <c r="I29" i="5"/>
  <c r="I28" i="5"/>
  <c r="I27" i="5"/>
  <c r="I26" i="5"/>
  <c r="I24" i="5"/>
  <c r="I23" i="5"/>
  <c r="I22" i="5"/>
  <c r="I21" i="5"/>
  <c r="I20" i="5"/>
  <c r="I18" i="5"/>
  <c r="I17" i="5"/>
  <c r="I16" i="5"/>
  <c r="I15" i="5"/>
  <c r="I13" i="5"/>
  <c r="I12" i="5"/>
  <c r="I11" i="5"/>
  <c r="I10" i="5"/>
  <c r="I9" i="5"/>
  <c r="I7" i="5"/>
  <c r="E7" i="3"/>
  <c r="E9" i="3"/>
  <c r="E10" i="3"/>
  <c r="E11" i="3"/>
  <c r="E12" i="3"/>
  <c r="E13" i="3"/>
  <c r="E14" i="3"/>
  <c r="E15" i="3"/>
  <c r="E17" i="3"/>
  <c r="E18" i="3"/>
  <c r="E19" i="3"/>
  <c r="E20" i="3"/>
  <c r="E21" i="3"/>
  <c r="E22" i="3"/>
  <c r="E23" i="3"/>
  <c r="E24" i="3"/>
  <c r="E25" i="3"/>
  <c r="E26" i="3"/>
  <c r="E28" i="3"/>
  <c r="E29" i="3"/>
  <c r="E30" i="3"/>
  <c r="E31" i="3"/>
  <c r="E32" i="3"/>
  <c r="E33" i="3"/>
  <c r="E34" i="3"/>
  <c r="E35" i="3"/>
  <c r="E36" i="3"/>
  <c r="E38" i="3"/>
  <c r="E39" i="3"/>
  <c r="E40" i="3"/>
  <c r="E41" i="3"/>
  <c r="E42" i="3"/>
  <c r="E43" i="3"/>
  <c r="E44" i="3"/>
  <c r="E45" i="3"/>
  <c r="E46" i="3"/>
  <c r="E48" i="3"/>
  <c r="E49" i="3"/>
  <c r="E50" i="3"/>
  <c r="E51" i="3"/>
  <c r="E52" i="3"/>
  <c r="E53" i="3"/>
  <c r="E54" i="3"/>
  <c r="E55" i="3"/>
  <c r="E57" i="3"/>
  <c r="E7" i="2"/>
  <c r="I7" i="2"/>
  <c r="E9" i="2"/>
  <c r="I9" i="2"/>
  <c r="E10" i="2"/>
  <c r="I10" i="2"/>
  <c r="E11" i="2"/>
  <c r="I11" i="2"/>
  <c r="E13" i="2"/>
  <c r="I13" i="2"/>
  <c r="E14" i="2"/>
  <c r="E15" i="2"/>
  <c r="I15" i="2"/>
  <c r="E16" i="2"/>
  <c r="I16" i="2"/>
  <c r="E17" i="2"/>
  <c r="I17" i="2"/>
  <c r="E18" i="2"/>
  <c r="I18" i="2"/>
  <c r="E19" i="2"/>
  <c r="I19" i="2"/>
  <c r="E21" i="2"/>
  <c r="I21" i="2"/>
  <c r="E22" i="2"/>
  <c r="I22" i="2"/>
  <c r="E23" i="2"/>
  <c r="I23" i="2"/>
  <c r="E24" i="2"/>
  <c r="I24" i="2"/>
  <c r="E25" i="2"/>
  <c r="I25" i="2"/>
  <c r="E26" i="2"/>
  <c r="I26" i="2"/>
  <c r="E27" i="2"/>
  <c r="E29" i="2"/>
  <c r="I29" i="2"/>
  <c r="E30" i="2"/>
  <c r="I30" i="2"/>
  <c r="E31" i="2"/>
  <c r="I31" i="2"/>
  <c r="E32" i="2"/>
  <c r="I32" i="2"/>
  <c r="E33" i="2"/>
  <c r="I33" i="2"/>
  <c r="E34" i="2"/>
  <c r="I34" i="2"/>
  <c r="E35" i="2"/>
  <c r="I35" i="2"/>
  <c r="E37" i="2"/>
  <c r="I37" i="2"/>
  <c r="E38" i="2"/>
  <c r="I38" i="2"/>
  <c r="E39" i="2"/>
  <c r="I39" i="2"/>
  <c r="E40" i="2"/>
  <c r="I40" i="2"/>
  <c r="E41" i="2"/>
  <c r="I41" i="2"/>
  <c r="E42" i="2"/>
  <c r="I42" i="2"/>
  <c r="E43" i="2"/>
  <c r="I43" i="2"/>
  <c r="E44" i="2"/>
  <c r="I44" i="2"/>
  <c r="E46" i="2"/>
  <c r="I46" i="2"/>
  <c r="E47" i="2"/>
  <c r="I47" i="2"/>
  <c r="E48" i="2"/>
  <c r="I48" i="2"/>
  <c r="E49" i="2"/>
  <c r="I49" i="2"/>
  <c r="E50" i="2"/>
  <c r="I50" i="2"/>
  <c r="E51" i="2"/>
  <c r="I51" i="2"/>
  <c r="E52" i="2"/>
  <c r="I52" i="2"/>
  <c r="E54" i="2"/>
  <c r="I54" i="2"/>
  <c r="E55" i="2"/>
  <c r="I55" i="2"/>
  <c r="E56" i="2"/>
  <c r="I56" i="2"/>
  <c r="E57" i="2"/>
  <c r="I57" i="2"/>
  <c r="E58" i="2"/>
  <c r="I58" i="2"/>
  <c r="E59" i="2"/>
  <c r="I59" i="2"/>
  <c r="E60" i="2"/>
  <c r="I60" i="2"/>
  <c r="E62" i="2"/>
  <c r="I62" i="2"/>
  <c r="E63" i="2"/>
  <c r="I63" i="2"/>
  <c r="E64" i="2"/>
  <c r="I64" i="2"/>
  <c r="E65" i="2"/>
  <c r="I65" i="2"/>
  <c r="E66" i="2"/>
  <c r="I66" i="2"/>
  <c r="E67" i="2"/>
  <c r="I67" i="2"/>
  <c r="E68" i="2"/>
  <c r="I68" i="2"/>
  <c r="E70" i="2"/>
  <c r="I70" i="2"/>
  <c r="E71" i="2"/>
  <c r="I71" i="2"/>
  <c r="E72" i="2"/>
  <c r="I72" i="2"/>
  <c r="E73" i="2"/>
  <c r="I73" i="2"/>
  <c r="E74" i="2"/>
  <c r="I74" i="2"/>
  <c r="E75" i="2"/>
  <c r="I75" i="2"/>
  <c r="E76" i="2"/>
  <c r="I76" i="2"/>
  <c r="E77" i="2"/>
  <c r="I77" i="2"/>
  <c r="E79" i="2"/>
  <c r="I79" i="2"/>
  <c r="E80" i="2"/>
  <c r="I80" i="2"/>
  <c r="E81" i="2"/>
  <c r="I81" i="2"/>
  <c r="E82" i="2"/>
  <c r="I82" i="2"/>
  <c r="E83" i="2"/>
  <c r="I83" i="2"/>
  <c r="E84" i="2"/>
  <c r="I84" i="2"/>
  <c r="E85" i="2"/>
  <c r="I85" i="2"/>
  <c r="E87" i="2"/>
  <c r="I87" i="2"/>
  <c r="E88" i="2"/>
  <c r="I88" i="2"/>
  <c r="E89" i="2"/>
  <c r="I89" i="2"/>
  <c r="E90" i="2"/>
  <c r="I90" i="2"/>
  <c r="E91" i="2"/>
  <c r="I91" i="2"/>
  <c r="E92" i="2"/>
  <c r="I92" i="2"/>
  <c r="E93" i="2"/>
  <c r="I93" i="2"/>
  <c r="E95" i="2"/>
  <c r="I95" i="2"/>
  <c r="E96" i="2"/>
  <c r="I96" i="2"/>
  <c r="E97" i="2"/>
  <c r="I97" i="2"/>
  <c r="E98" i="2"/>
  <c r="I98" i="2"/>
  <c r="E99" i="2"/>
  <c r="I99" i="2"/>
  <c r="E100" i="2"/>
  <c r="I100" i="2"/>
  <c r="E101" i="2"/>
  <c r="I101" i="2"/>
  <c r="E103" i="2"/>
  <c r="I103" i="2"/>
  <c r="E104" i="2"/>
  <c r="I104" i="2"/>
  <c r="E105" i="2"/>
  <c r="I105" i="2"/>
  <c r="E107" i="2"/>
  <c r="I107" i="2"/>
  <c r="J107" i="2" s="1"/>
  <c r="Q17" i="2" s="1"/>
  <c r="F103" i="2" l="1"/>
  <c r="F105" i="2"/>
  <c r="J104" i="2"/>
  <c r="F98" i="2"/>
  <c r="J97" i="2"/>
  <c r="F92" i="2"/>
  <c r="J91" i="2"/>
  <c r="F88" i="2"/>
  <c r="J87" i="2"/>
  <c r="F82" i="2"/>
  <c r="J81" i="2"/>
  <c r="J77" i="2"/>
  <c r="F72" i="2"/>
  <c r="J71" i="2"/>
  <c r="F68" i="2"/>
  <c r="J67" i="2"/>
  <c r="F64" i="2"/>
  <c r="J63" i="2"/>
  <c r="F58" i="2"/>
  <c r="J57" i="2"/>
  <c r="F54" i="2"/>
  <c r="F50" i="2"/>
  <c r="J49" i="2"/>
  <c r="F44" i="2"/>
  <c r="J43" i="2"/>
  <c r="F40" i="2"/>
  <c r="J39" i="2"/>
  <c r="J35" i="2"/>
  <c r="F32" i="2"/>
  <c r="J31" i="2"/>
  <c r="F13" i="2"/>
  <c r="F7" i="2"/>
  <c r="J7" i="2"/>
  <c r="J13" i="5"/>
  <c r="F22" i="5"/>
  <c r="J21" i="5"/>
  <c r="F30" i="5"/>
  <c r="J29" i="5"/>
  <c r="F38" i="5"/>
  <c r="F46" i="5"/>
  <c r="J45" i="5"/>
  <c r="F54" i="5"/>
  <c r="J53" i="5"/>
  <c r="F58" i="5"/>
  <c r="J57" i="5"/>
  <c r="F66" i="5"/>
  <c r="J65" i="5"/>
  <c r="F74" i="5"/>
  <c r="F78" i="5"/>
  <c r="J77" i="5"/>
  <c r="F82" i="5"/>
  <c r="J81" i="5"/>
  <c r="F86" i="5"/>
  <c r="F90" i="5"/>
  <c r="J89" i="5"/>
  <c r="F94" i="5"/>
  <c r="J93" i="5"/>
  <c r="F98" i="5"/>
  <c r="F102" i="5"/>
  <c r="J101" i="5"/>
  <c r="F27" i="2"/>
  <c r="J26" i="2"/>
  <c r="F25" i="2"/>
  <c r="J24" i="2"/>
  <c r="F23" i="2"/>
  <c r="J22" i="2"/>
  <c r="F21" i="2"/>
  <c r="F19" i="2"/>
  <c r="J18" i="2"/>
  <c r="F17" i="2"/>
  <c r="J16" i="2"/>
  <c r="F11" i="5"/>
  <c r="J10" i="5"/>
  <c r="F15" i="5"/>
  <c r="J18" i="5"/>
  <c r="F23" i="5"/>
  <c r="J22" i="5"/>
  <c r="F27" i="5"/>
  <c r="J26" i="5"/>
  <c r="J30" i="5"/>
  <c r="F35" i="5"/>
  <c r="J34" i="5"/>
  <c r="F39" i="5"/>
  <c r="J38" i="5"/>
  <c r="J42" i="5"/>
  <c r="F47" i="5"/>
  <c r="J46" i="5"/>
  <c r="F51" i="5"/>
  <c r="J50" i="5"/>
  <c r="J54" i="5"/>
  <c r="F59" i="5"/>
  <c r="J58" i="5"/>
  <c r="F63" i="5"/>
  <c r="J62" i="5"/>
  <c r="J66" i="5"/>
  <c r="F71" i="5"/>
  <c r="J70" i="5"/>
  <c r="F75" i="5"/>
  <c r="J74" i="5"/>
  <c r="J78" i="5"/>
  <c r="F83" i="5"/>
  <c r="J82" i="5"/>
  <c r="F87" i="5"/>
  <c r="J86" i="5"/>
  <c r="J90" i="5"/>
  <c r="F95" i="5"/>
  <c r="J94" i="5"/>
  <c r="F99" i="5"/>
  <c r="J98" i="5"/>
  <c r="F104" i="5"/>
  <c r="J27" i="2"/>
  <c r="F100" i="2"/>
  <c r="J99" i="2"/>
  <c r="F96" i="2"/>
  <c r="J95" i="2"/>
  <c r="F90" i="2"/>
  <c r="J89" i="2"/>
  <c r="J85" i="2"/>
  <c r="F80" i="2"/>
  <c r="J79" i="2"/>
  <c r="F76" i="2"/>
  <c r="J75" i="2"/>
  <c r="F70" i="2"/>
  <c r="F66" i="2"/>
  <c r="J65" i="2"/>
  <c r="F60" i="2"/>
  <c r="J59" i="2"/>
  <c r="F56" i="2"/>
  <c r="J55" i="2"/>
  <c r="F52" i="2"/>
  <c r="J51" i="2"/>
  <c r="F48" i="2"/>
  <c r="J47" i="2"/>
  <c r="F42" i="2"/>
  <c r="J41" i="2"/>
  <c r="F38" i="2"/>
  <c r="J37" i="2"/>
  <c r="F34" i="2"/>
  <c r="J33" i="2"/>
  <c r="F30" i="2"/>
  <c r="J29" i="2"/>
  <c r="F11" i="2"/>
  <c r="J10" i="2"/>
  <c r="F10" i="5"/>
  <c r="J9" i="5"/>
  <c r="F18" i="5"/>
  <c r="J17" i="5"/>
  <c r="F26" i="5"/>
  <c r="F34" i="5"/>
  <c r="J33" i="5"/>
  <c r="F42" i="5"/>
  <c r="J41" i="5"/>
  <c r="F50" i="5"/>
  <c r="F62" i="5"/>
  <c r="F70" i="5"/>
  <c r="J69" i="5"/>
  <c r="F107" i="2"/>
  <c r="J105" i="2"/>
  <c r="F104" i="2"/>
  <c r="J103" i="2"/>
  <c r="F101" i="2"/>
  <c r="J100" i="2"/>
  <c r="F99" i="2"/>
  <c r="J98" i="2"/>
  <c r="F97" i="2"/>
  <c r="J96" i="2"/>
  <c r="F95" i="2"/>
  <c r="F93" i="2"/>
  <c r="J92" i="2"/>
  <c r="F91" i="2"/>
  <c r="J90" i="2"/>
  <c r="F89" i="2"/>
  <c r="J88" i="2"/>
  <c r="F87" i="2"/>
  <c r="F85" i="2"/>
  <c r="J84" i="2"/>
  <c r="F83" i="2"/>
  <c r="J82" i="2"/>
  <c r="F81" i="2"/>
  <c r="J80" i="2"/>
  <c r="F79" i="2"/>
  <c r="F77" i="2"/>
  <c r="J76" i="2"/>
  <c r="F75" i="2"/>
  <c r="J74" i="2"/>
  <c r="F73" i="2"/>
  <c r="J72" i="2"/>
  <c r="F71" i="2"/>
  <c r="J70" i="2"/>
  <c r="J68" i="2"/>
  <c r="F67" i="2"/>
  <c r="J66" i="2"/>
  <c r="F65" i="2"/>
  <c r="J64" i="2"/>
  <c r="F63" i="2"/>
  <c r="J62" i="2"/>
  <c r="J60" i="2"/>
  <c r="F59" i="2"/>
  <c r="J58" i="2"/>
  <c r="F57" i="2"/>
  <c r="J56" i="2"/>
  <c r="F55" i="2"/>
  <c r="J54" i="2"/>
  <c r="J52" i="2"/>
  <c r="F51" i="2"/>
  <c r="J50" i="2"/>
  <c r="F49" i="2"/>
  <c r="J48" i="2"/>
  <c r="F47" i="2"/>
  <c r="J46" i="2"/>
  <c r="J44" i="2"/>
  <c r="F43" i="2"/>
  <c r="J42" i="2"/>
  <c r="F41" i="2"/>
  <c r="J40" i="2"/>
  <c r="F39" i="2"/>
  <c r="J38" i="2"/>
  <c r="F37" i="2"/>
  <c r="F35" i="2"/>
  <c r="J34" i="2"/>
  <c r="F33" i="2"/>
  <c r="J32" i="2"/>
  <c r="F31" i="2"/>
  <c r="J30" i="2"/>
  <c r="F29" i="2"/>
  <c r="F14" i="2"/>
  <c r="J13" i="2"/>
  <c r="J11" i="2"/>
  <c r="F10" i="2"/>
  <c r="J9" i="2"/>
  <c r="F12" i="5"/>
  <c r="J11" i="5"/>
  <c r="F16" i="5"/>
  <c r="J15" i="5"/>
  <c r="F20" i="5"/>
  <c r="F24" i="5"/>
  <c r="J23" i="5"/>
  <c r="F28" i="5"/>
  <c r="J27" i="5"/>
  <c r="F32" i="5"/>
  <c r="F36" i="5"/>
  <c r="J35" i="5"/>
  <c r="F40" i="5"/>
  <c r="J39" i="5"/>
  <c r="F44" i="5"/>
  <c r="F48" i="5"/>
  <c r="J47" i="5"/>
  <c r="F52" i="5"/>
  <c r="J51" i="5"/>
  <c r="F56" i="5"/>
  <c r="F60" i="5"/>
  <c r="J59" i="5"/>
  <c r="F64" i="5"/>
  <c r="J63" i="5"/>
  <c r="F68" i="5"/>
  <c r="F72" i="5"/>
  <c r="J71" i="5"/>
  <c r="F76" i="5"/>
  <c r="J75" i="5"/>
  <c r="F80" i="5"/>
  <c r="F84" i="5"/>
  <c r="J83" i="5"/>
  <c r="F88" i="5"/>
  <c r="J87" i="5"/>
  <c r="F92" i="5"/>
  <c r="F96" i="5"/>
  <c r="J95" i="5"/>
  <c r="F100" i="5"/>
  <c r="J99" i="5"/>
  <c r="F105" i="5"/>
  <c r="J104" i="5"/>
  <c r="F15" i="2"/>
  <c r="J14" i="2"/>
  <c r="J101" i="2"/>
  <c r="J93" i="2"/>
  <c r="F84" i="2"/>
  <c r="J83" i="2"/>
  <c r="F74" i="2"/>
  <c r="J73" i="2"/>
  <c r="F62" i="2"/>
  <c r="F46" i="2"/>
  <c r="F26" i="2"/>
  <c r="J25" i="2"/>
  <c r="F24" i="2"/>
  <c r="J23" i="2"/>
  <c r="F22" i="2"/>
  <c r="J21" i="2"/>
  <c r="J19" i="2"/>
  <c r="F18" i="2"/>
  <c r="J17" i="2"/>
  <c r="F16" i="2"/>
  <c r="J15" i="2"/>
  <c r="F7" i="5"/>
  <c r="J7" i="5"/>
  <c r="F13" i="5"/>
  <c r="J12" i="5"/>
  <c r="F17" i="5"/>
  <c r="J16" i="5"/>
  <c r="F21" i="5"/>
  <c r="J20" i="5"/>
  <c r="J24" i="5"/>
  <c r="F29" i="5"/>
  <c r="J28" i="5"/>
  <c r="F33" i="5"/>
  <c r="J32" i="5"/>
  <c r="J36" i="5"/>
  <c r="F41" i="5"/>
  <c r="J40" i="5"/>
  <c r="F45" i="5"/>
  <c r="J44" i="5"/>
  <c r="J48" i="5"/>
  <c r="F53" i="5"/>
  <c r="J52" i="5"/>
  <c r="F57" i="5"/>
  <c r="J56" i="5"/>
  <c r="J60" i="5"/>
  <c r="F65" i="5"/>
  <c r="J64" i="5"/>
  <c r="F69" i="5"/>
  <c r="J68" i="5"/>
  <c r="J72" i="5"/>
  <c r="F77" i="5"/>
  <c r="J76" i="5"/>
  <c r="F81" i="5"/>
  <c r="J80" i="5"/>
  <c r="J84" i="5"/>
  <c r="F89" i="5"/>
  <c r="J88" i="5"/>
  <c r="F93" i="5"/>
  <c r="J92" i="5"/>
  <c r="J96" i="5"/>
  <c r="F101" i="5"/>
  <c r="J100" i="5"/>
  <c r="F107" i="5"/>
  <c r="J105" i="5"/>
  <c r="F9" i="2"/>
  <c r="F9" i="5"/>
  <c r="I52" i="32"/>
  <c r="I46" i="32"/>
  <c r="I42" i="32"/>
  <c r="I38" i="32"/>
  <c r="I34" i="32"/>
  <c r="I30" i="32"/>
  <c r="I26" i="32"/>
  <c r="I22" i="32"/>
  <c r="I43" i="32"/>
  <c r="I33" i="32"/>
  <c r="I51" i="32"/>
  <c r="I39" i="32"/>
  <c r="I54" i="32"/>
  <c r="I48" i="32"/>
  <c r="I44" i="32"/>
  <c r="I40" i="32"/>
  <c r="I36" i="32"/>
  <c r="I32" i="32"/>
  <c r="I28" i="32"/>
  <c r="I24" i="32"/>
  <c r="I57" i="32"/>
  <c r="J57" i="32" s="1"/>
  <c r="Q17" i="32" s="1"/>
  <c r="I41" i="32"/>
  <c r="I31" i="32"/>
  <c r="I27" i="32"/>
  <c r="I55" i="32"/>
  <c r="I49" i="32"/>
  <c r="I37" i="32"/>
  <c r="I23" i="32"/>
  <c r="I45" i="32"/>
  <c r="I25" i="32"/>
  <c r="I53" i="32"/>
  <c r="I47" i="32"/>
  <c r="I21" i="32"/>
  <c r="F21" i="32" s="1"/>
  <c r="I35" i="32"/>
  <c r="F28" i="32" l="1"/>
  <c r="J27" i="32"/>
  <c r="F25" i="32"/>
  <c r="J24" i="32"/>
  <c r="F41" i="32"/>
  <c r="J40" i="32"/>
  <c r="F51" i="32"/>
  <c r="F34" i="32"/>
  <c r="J33" i="32"/>
  <c r="F31" i="32"/>
  <c r="J30" i="32"/>
  <c r="F47" i="32"/>
  <c r="J46" i="32"/>
  <c r="F48" i="32"/>
  <c r="J47" i="32"/>
  <c r="F38" i="32"/>
  <c r="J37" i="32"/>
  <c r="F45" i="32"/>
  <c r="J44" i="32"/>
  <c r="F40" i="32"/>
  <c r="J39" i="32"/>
  <c r="F44" i="32"/>
  <c r="J43" i="32"/>
  <c r="F35" i="32"/>
  <c r="J34" i="32"/>
  <c r="F53" i="32"/>
  <c r="J52" i="32"/>
  <c r="F24" i="32"/>
  <c r="J23" i="32"/>
  <c r="F32" i="32"/>
  <c r="J31" i="32"/>
  <c r="J49" i="32"/>
  <c r="F33" i="32"/>
  <c r="J32" i="32"/>
  <c r="F52" i="32"/>
  <c r="J51" i="32"/>
  <c r="F23" i="32"/>
  <c r="J22" i="32"/>
  <c r="F39" i="32"/>
  <c r="J38" i="32"/>
  <c r="F54" i="32"/>
  <c r="J53" i="32"/>
  <c r="J28" i="32"/>
  <c r="F36" i="32"/>
  <c r="J35" i="32"/>
  <c r="F26" i="32"/>
  <c r="J25" i="32"/>
  <c r="F42" i="32"/>
  <c r="J41" i="32"/>
  <c r="F49" i="32"/>
  <c r="J48" i="32"/>
  <c r="F22" i="32"/>
  <c r="J21" i="32"/>
  <c r="F46" i="32"/>
  <c r="J45" i="32"/>
  <c r="F57" i="32"/>
  <c r="J55" i="32"/>
  <c r="F37" i="32"/>
  <c r="J36" i="32"/>
  <c r="F55" i="32"/>
  <c r="J54" i="32"/>
  <c r="F30" i="32"/>
  <c r="F27" i="32"/>
  <c r="J26" i="32"/>
  <c r="F43" i="32"/>
  <c r="J42" i="32"/>
</calcChain>
</file>

<file path=xl/sharedStrings.xml><?xml version="1.0" encoding="utf-8"?>
<sst xmlns="http://schemas.openxmlformats.org/spreadsheetml/2006/main" count="683" uniqueCount="186">
  <si>
    <t>표준편차</t>
    <phoneticPr fontId="1" type="noConversion"/>
  </si>
  <si>
    <t>응시자 수</t>
    <phoneticPr fontId="1" type="noConversion"/>
  </si>
  <si>
    <t>평균</t>
    <phoneticPr fontId="1" type="noConversion"/>
  </si>
  <si>
    <t>국어</t>
    <phoneticPr fontId="1" type="noConversion"/>
  </si>
  <si>
    <t>영어</t>
    <phoneticPr fontId="1" type="noConversion"/>
  </si>
  <si>
    <t>한국사</t>
    <phoneticPr fontId="1" type="noConversion"/>
  </si>
  <si>
    <t>B2:J57</t>
    <phoneticPr fontId="1" type="noConversion"/>
  </si>
  <si>
    <t>생활과 윤리</t>
    <phoneticPr fontId="1" type="noConversion"/>
  </si>
  <si>
    <t>윤리와 사상</t>
    <phoneticPr fontId="1" type="noConversion"/>
  </si>
  <si>
    <t>한국지리</t>
    <phoneticPr fontId="1" type="noConversion"/>
  </si>
  <si>
    <t>세계지리</t>
    <phoneticPr fontId="1" type="noConversion"/>
  </si>
  <si>
    <t>동아시아사</t>
    <phoneticPr fontId="1" type="noConversion"/>
  </si>
  <si>
    <t>세계사</t>
    <phoneticPr fontId="1" type="noConversion"/>
  </si>
  <si>
    <t>경제</t>
    <phoneticPr fontId="1" type="noConversion"/>
  </si>
  <si>
    <t>사회∙문화</t>
    <phoneticPr fontId="1" type="noConversion"/>
  </si>
  <si>
    <t>화학Ⅰ</t>
    <phoneticPr fontId="1" type="noConversion"/>
  </si>
  <si>
    <t>생명과학Ⅰ</t>
    <phoneticPr fontId="1" type="noConversion"/>
  </si>
  <si>
    <t>지구과학Ⅰ</t>
    <phoneticPr fontId="1" type="noConversion"/>
  </si>
  <si>
    <t>화학Ⅱ</t>
    <phoneticPr fontId="1" type="noConversion"/>
  </si>
  <si>
    <t>생명과학Ⅱ</t>
    <phoneticPr fontId="1" type="noConversion"/>
  </si>
  <si>
    <t>지구과학Ⅱ</t>
    <phoneticPr fontId="1" type="noConversion"/>
  </si>
  <si>
    <t>물리Ⅰ</t>
  </si>
  <si>
    <t>물리Ⅱ</t>
  </si>
  <si>
    <t>1등급</t>
    <phoneticPr fontId="1" type="noConversion"/>
  </si>
  <si>
    <t>2등급</t>
    <phoneticPr fontId="1" type="noConversion"/>
  </si>
  <si>
    <t>3등급</t>
    <phoneticPr fontId="1" type="noConversion"/>
  </si>
  <si>
    <t>4등급</t>
    <phoneticPr fontId="1" type="noConversion"/>
  </si>
  <si>
    <t>5등급</t>
    <phoneticPr fontId="1" type="noConversion"/>
  </si>
  <si>
    <t>6등급</t>
    <phoneticPr fontId="1" type="noConversion"/>
  </si>
  <si>
    <t>7등급</t>
    <phoneticPr fontId="1" type="noConversion"/>
  </si>
  <si>
    <t>8등급</t>
    <phoneticPr fontId="1" type="noConversion"/>
  </si>
  <si>
    <t>9등급</t>
  </si>
  <si>
    <t>9등급</t>
    <phoneticPr fontId="1" type="noConversion"/>
  </si>
  <si>
    <t>1등급</t>
    <phoneticPr fontId="1" type="noConversion"/>
  </si>
  <si>
    <t>2등급</t>
  </si>
  <si>
    <t>3등급</t>
  </si>
  <si>
    <t>4등급</t>
  </si>
  <si>
    <t>5등급</t>
  </si>
  <si>
    <t>6등급</t>
  </si>
  <si>
    <t>7등급</t>
  </si>
  <si>
    <t>8등급</t>
  </si>
  <si>
    <t>국</t>
    <phoneticPr fontId="1" type="noConversion"/>
  </si>
  <si>
    <t>생</t>
    <phoneticPr fontId="1" type="noConversion"/>
  </si>
  <si>
    <t>윤</t>
    <phoneticPr fontId="1" type="noConversion"/>
  </si>
  <si>
    <t>한</t>
    <phoneticPr fontId="1" type="noConversion"/>
  </si>
  <si>
    <t>세</t>
    <phoneticPr fontId="1" type="noConversion"/>
  </si>
  <si>
    <t>동</t>
    <phoneticPr fontId="1" type="noConversion"/>
  </si>
  <si>
    <t>경</t>
    <phoneticPr fontId="1" type="noConversion"/>
  </si>
  <si>
    <t>사</t>
    <phoneticPr fontId="1" type="noConversion"/>
  </si>
  <si>
    <t>물1</t>
    <phoneticPr fontId="1" type="noConversion"/>
  </si>
  <si>
    <t>화1</t>
    <phoneticPr fontId="1" type="noConversion"/>
  </si>
  <si>
    <t>생1</t>
    <phoneticPr fontId="1" type="noConversion"/>
  </si>
  <si>
    <t>지1</t>
    <phoneticPr fontId="1" type="noConversion"/>
  </si>
  <si>
    <t>이 아래로 붙여넣기</t>
    <phoneticPr fontId="1" type="noConversion"/>
  </si>
  <si>
    <t>.</t>
    <phoneticPr fontId="1" type="noConversion"/>
  </si>
  <si>
    <t>물리학Ⅰ</t>
    <phoneticPr fontId="1" type="noConversion"/>
  </si>
  <si>
    <t>정치와 법</t>
    <phoneticPr fontId="1" type="noConversion"/>
  </si>
  <si>
    <t>수학</t>
    <phoneticPr fontId="1" type="noConversion"/>
  </si>
  <si>
    <t>정</t>
    <phoneticPr fontId="1" type="noConversion"/>
  </si>
  <si>
    <t>수</t>
    <phoneticPr fontId="1" type="noConversion"/>
  </si>
  <si>
    <t>영</t>
    <phoneticPr fontId="1" type="noConversion"/>
  </si>
  <si>
    <t>한</t>
    <phoneticPr fontId="1" type="noConversion"/>
  </si>
  <si>
    <r>
      <rPr>
        <sz val="11"/>
        <color theme="1"/>
        <rFont val="맑은 고딕"/>
        <family val="2"/>
        <charset val="129"/>
      </rPr>
      <t>오차</t>
    </r>
    <r>
      <rPr>
        <sz val="11"/>
        <color theme="1"/>
        <rFont val="Microsoft Sans Serif"/>
        <family val="2"/>
      </rPr>
      <t xml:space="preserve"> </t>
    </r>
    <r>
      <rPr>
        <sz val="11"/>
        <color theme="1"/>
        <rFont val="맑은 고딕"/>
        <family val="2"/>
        <charset val="129"/>
      </rPr>
      <t>경고</t>
    </r>
    <phoneticPr fontId="1" type="noConversion"/>
  </si>
  <si>
    <t>오차 경고</t>
    <phoneticPr fontId="1" type="noConversion"/>
  </si>
  <si>
    <t>B2:K108</t>
    <phoneticPr fontId="1" type="noConversion"/>
  </si>
  <si>
    <t>B2:K16</t>
    <phoneticPr fontId="1" type="noConversion"/>
  </si>
  <si>
    <t>B3:M39</t>
    <phoneticPr fontId="1" type="noConversion"/>
  </si>
  <si>
    <t>2022학년도 6월 고2 전국연합학력평가</t>
  </si>
  <si>
    <t>53.35</t>
  </si>
  <si>
    <t>22.77</t>
  </si>
  <si>
    <t>41.74</t>
  </si>
  <si>
    <t>24.03</t>
  </si>
  <si>
    <t>57.67</t>
  </si>
  <si>
    <t>21.97</t>
  </si>
  <si>
    <t>23.53</t>
  </si>
  <si>
    <t>11.72</t>
  </si>
  <si>
    <t>24.91</t>
  </si>
  <si>
    <t>11.09</t>
  </si>
  <si>
    <t>24.38</t>
  </si>
  <si>
    <t>11.95</t>
  </si>
  <si>
    <t>25.92</t>
  </si>
  <si>
    <t>11.51</t>
  </si>
  <si>
    <t>21.00</t>
  </si>
  <si>
    <t>10.29</t>
  </si>
  <si>
    <t>22.94</t>
  </si>
  <si>
    <t>12.94</t>
  </si>
  <si>
    <t>21.18</t>
  </si>
  <si>
    <t>12.31</t>
  </si>
  <si>
    <t>23.73</t>
  </si>
  <si>
    <t>12.38</t>
  </si>
  <si>
    <t>23.24</t>
  </si>
  <si>
    <t>10.48</t>
  </si>
  <si>
    <t>26.85</t>
  </si>
  <si>
    <t>12.47</t>
  </si>
  <si>
    <t>22.63</t>
  </si>
  <si>
    <t>12.17</t>
  </si>
  <si>
    <t>24.30</t>
  </si>
  <si>
    <t>10.32</t>
  </si>
  <si>
    <t>22.01</t>
  </si>
  <si>
    <t>10.33</t>
  </si>
  <si>
    <t>23.96</t>
  </si>
  <si>
    <t>11.96</t>
  </si>
  <si>
    <t>국어</t>
  </si>
  <si>
    <t>수학</t>
  </si>
  <si>
    <t>표준점수</t>
  </si>
  <si>
    <t>남자</t>
  </si>
  <si>
    <t>여자</t>
  </si>
  <si>
    <t>계</t>
  </si>
  <si>
    <t>누적(계)</t>
  </si>
  <si>
    <t>생활과 윤리</t>
  </si>
  <si>
    <t>윤리와 사상</t>
  </si>
  <si>
    <t>한국지리</t>
  </si>
  <si>
    <t>세계지리</t>
  </si>
  <si>
    <t>동아시아사</t>
  </si>
  <si>
    <t>세계사</t>
  </si>
  <si>
    <t>경제</t>
  </si>
  <si>
    <t>정치와 법</t>
  </si>
  <si>
    <t>사회·문화</t>
  </si>
  <si>
    <t>물리학 I</t>
  </si>
  <si>
    <t>화학 I</t>
  </si>
  <si>
    <t>생명과학 I</t>
  </si>
  <si>
    <t>지구과학 I</t>
  </si>
  <si>
    <r>
      <rPr>
        <sz val="12"/>
        <color theme="1"/>
        <rFont val="맑은 고딕"/>
        <family val="2"/>
        <charset val="129"/>
      </rPr>
      <t>시험명</t>
    </r>
  </si>
  <si>
    <r>
      <rPr>
        <sz val="12"/>
        <color theme="1"/>
        <rFont val="맑은 고딕"/>
        <family val="2"/>
        <charset val="129"/>
      </rPr>
      <t>평균</t>
    </r>
    <phoneticPr fontId="1" type="noConversion"/>
  </si>
  <si>
    <r>
      <rPr>
        <sz val="12"/>
        <color theme="1"/>
        <rFont val="맑은 고딕"/>
        <family val="2"/>
        <charset val="129"/>
      </rPr>
      <t>응시자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수</t>
    </r>
    <phoneticPr fontId="1" type="noConversion"/>
  </si>
  <si>
    <r>
      <rPr>
        <sz val="12"/>
        <color theme="1"/>
        <rFont val="맑은 고딕"/>
        <family val="2"/>
        <charset val="129"/>
      </rPr>
      <t>과목</t>
    </r>
    <phoneticPr fontId="1" type="noConversion"/>
  </si>
  <si>
    <r>
      <rPr>
        <sz val="12"/>
        <color theme="1"/>
        <rFont val="맑은 고딕"/>
        <family val="2"/>
        <charset val="129"/>
      </rPr>
      <t>국어</t>
    </r>
    <phoneticPr fontId="1" type="noConversion"/>
  </si>
  <si>
    <r>
      <rPr>
        <sz val="12"/>
        <color theme="1"/>
        <rFont val="맑은 고딕"/>
        <family val="2"/>
        <charset val="129"/>
      </rPr>
      <t>표준편차</t>
    </r>
    <phoneticPr fontId="1" type="noConversion"/>
  </si>
  <si>
    <r>
      <rPr>
        <sz val="12"/>
        <color theme="1"/>
        <rFont val="맑은 고딕"/>
        <family val="2"/>
        <charset val="129"/>
      </rPr>
      <t>수학</t>
    </r>
    <phoneticPr fontId="1" type="noConversion"/>
  </si>
  <si>
    <r>
      <rPr>
        <sz val="13"/>
        <color theme="1"/>
        <rFont val="맑은 고딕"/>
        <family val="3"/>
        <charset val="129"/>
      </rPr>
      <t>원점수</t>
    </r>
    <phoneticPr fontId="1" type="noConversion"/>
  </si>
  <si>
    <r>
      <rPr>
        <sz val="13"/>
        <color theme="1"/>
        <rFont val="맑은 고딕"/>
        <family val="3"/>
        <charset val="129"/>
      </rPr>
      <t>표준점수</t>
    </r>
    <phoneticPr fontId="1" type="noConversion"/>
  </si>
  <si>
    <r>
      <rPr>
        <sz val="13"/>
        <color theme="1"/>
        <rFont val="맑은 고딕"/>
        <family val="3"/>
        <charset val="129"/>
      </rPr>
      <t>등급</t>
    </r>
    <phoneticPr fontId="1" type="noConversion"/>
  </si>
  <si>
    <r>
      <rPr>
        <sz val="13"/>
        <color theme="1"/>
        <rFont val="맑은 고딕"/>
        <family val="3"/>
        <charset val="129"/>
      </rPr>
      <t>백분위</t>
    </r>
    <phoneticPr fontId="1" type="noConversion"/>
  </si>
  <si>
    <r>
      <rPr>
        <sz val="13"/>
        <color theme="1"/>
        <rFont val="맑은 고딕"/>
        <family val="3"/>
        <charset val="129"/>
      </rPr>
      <t>인원</t>
    </r>
    <phoneticPr fontId="1" type="noConversion"/>
  </si>
  <si>
    <r>
      <rPr>
        <sz val="13"/>
        <color theme="1"/>
        <rFont val="맑은 고딕"/>
        <family val="3"/>
        <charset val="129"/>
      </rPr>
      <t>비율</t>
    </r>
    <phoneticPr fontId="1" type="noConversion"/>
  </si>
  <si>
    <r>
      <rPr>
        <sz val="13"/>
        <color theme="1"/>
        <rFont val="맑은 고딕"/>
        <family val="3"/>
        <charset val="129"/>
      </rPr>
      <t>누적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3"/>
        <charset val="129"/>
      </rPr>
      <t>인원</t>
    </r>
    <phoneticPr fontId="1" type="noConversion"/>
  </si>
  <si>
    <r>
      <rPr>
        <sz val="13"/>
        <color theme="1"/>
        <rFont val="맑은 고딕"/>
        <family val="3"/>
        <charset val="129"/>
      </rPr>
      <t>누적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3"/>
        <charset val="129"/>
      </rPr>
      <t>비율</t>
    </r>
    <phoneticPr fontId="1" type="noConversion"/>
  </si>
  <si>
    <r>
      <rPr>
        <sz val="12"/>
        <color theme="1"/>
        <rFont val="맑은 고딕"/>
        <family val="2"/>
        <charset val="129"/>
      </rPr>
      <t>영어</t>
    </r>
    <phoneticPr fontId="1" type="noConversion"/>
  </si>
  <si>
    <r>
      <rPr>
        <sz val="12"/>
        <color theme="1"/>
        <rFont val="맑은 고딕"/>
        <family val="2"/>
        <charset val="129"/>
      </rPr>
      <t>한국사</t>
    </r>
    <phoneticPr fontId="1" type="noConversion"/>
  </si>
  <si>
    <r>
      <rPr>
        <sz val="13"/>
        <color theme="1"/>
        <rFont val="맑은 고딕"/>
        <family val="2"/>
        <charset val="129"/>
      </rPr>
      <t>등급</t>
    </r>
    <phoneticPr fontId="1" type="noConversion"/>
  </si>
  <si>
    <r>
      <rPr>
        <sz val="13"/>
        <color theme="1"/>
        <rFont val="맑은 고딕"/>
        <family val="2"/>
        <charset val="129"/>
      </rPr>
      <t>원점수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2"/>
        <charset val="129"/>
      </rPr>
      <t>등급컷</t>
    </r>
    <phoneticPr fontId="1" type="noConversion"/>
  </si>
  <si>
    <r>
      <rPr>
        <sz val="13"/>
        <color theme="1"/>
        <rFont val="맑은 고딕"/>
        <family val="2"/>
        <charset val="129"/>
      </rPr>
      <t>인원</t>
    </r>
    <phoneticPr fontId="1" type="noConversion"/>
  </si>
  <si>
    <r>
      <rPr>
        <sz val="13"/>
        <color theme="1"/>
        <rFont val="맑은 고딕"/>
        <family val="2"/>
        <charset val="129"/>
      </rPr>
      <t>비율</t>
    </r>
    <phoneticPr fontId="1" type="noConversion"/>
  </si>
  <si>
    <r>
      <rPr>
        <sz val="13"/>
        <color theme="1"/>
        <rFont val="맑은 고딕"/>
        <family val="2"/>
        <charset val="129"/>
      </rPr>
      <t>누적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2"/>
        <charset val="129"/>
      </rPr>
      <t>인원</t>
    </r>
    <phoneticPr fontId="1" type="noConversion"/>
  </si>
  <si>
    <r>
      <rPr>
        <sz val="13"/>
        <color theme="1"/>
        <rFont val="맑은 고딕"/>
        <family val="2"/>
        <charset val="129"/>
      </rPr>
      <t>누적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2"/>
        <charset val="129"/>
      </rPr>
      <t>비율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</si>
  <si>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생활과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윤리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</si>
  <si>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지구과학</t>
    </r>
    <r>
      <rPr>
        <sz val="12"/>
        <color theme="1"/>
        <rFont val="맑은 고딕"/>
        <family val="3"/>
        <charset val="129"/>
      </rPr>
      <t>Ⅰ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</si>
  <si>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생명과학</t>
    </r>
    <r>
      <rPr>
        <sz val="12"/>
        <color theme="1"/>
        <rFont val="맑은 고딕"/>
        <family val="3"/>
        <charset val="129"/>
      </rPr>
      <t>Ⅰ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</si>
  <si>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화학</t>
    </r>
    <r>
      <rPr>
        <sz val="12"/>
        <color theme="1"/>
        <rFont val="맑은 고딕"/>
        <family val="3"/>
        <charset val="129"/>
      </rPr>
      <t>Ⅰ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</si>
  <si>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물리학</t>
    </r>
    <r>
      <rPr>
        <sz val="12"/>
        <color theme="1"/>
        <rFont val="맑은 고딕"/>
        <family val="3"/>
        <charset val="129"/>
      </rPr>
      <t>Ⅰ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</si>
  <si>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사회</t>
    </r>
    <r>
      <rPr>
        <sz val="12"/>
        <color theme="1"/>
        <rFont val="맑은 고딕"/>
        <family val="3"/>
        <charset val="129"/>
      </rPr>
      <t>∙</t>
    </r>
    <r>
      <rPr>
        <sz val="12"/>
        <color theme="1"/>
        <rFont val="맑은 고딕"/>
        <family val="2"/>
        <charset val="129"/>
      </rPr>
      <t>문화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</si>
  <si>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정치와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법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</si>
  <si>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경제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</si>
  <si>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세계사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</si>
  <si>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동아시아사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</si>
  <si>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세계지리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</si>
  <si>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한국지리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</si>
  <si>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윤리와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사상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</si>
  <si>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과목</t>
    </r>
  </si>
  <si>
    <r>
      <rPr>
        <sz val="12"/>
        <color theme="1"/>
        <rFont val="맑은 고딕"/>
        <family val="2"/>
        <charset val="129"/>
      </rPr>
      <t>전과목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등급컷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모아보기</t>
    </r>
    <phoneticPr fontId="1" type="noConversion"/>
  </si>
  <si>
    <r>
      <rPr>
        <b/>
        <sz val="13"/>
        <color theme="1"/>
        <rFont val="맑은 고딕"/>
        <family val="3"/>
        <charset val="129"/>
      </rPr>
      <t>국어</t>
    </r>
    <r>
      <rPr>
        <b/>
        <sz val="13"/>
        <color theme="1"/>
        <rFont val="Microsoft Sans Serif"/>
        <family val="2"/>
      </rPr>
      <t>/</t>
    </r>
    <r>
      <rPr>
        <b/>
        <sz val="13"/>
        <color theme="1"/>
        <rFont val="맑은 고딕"/>
        <family val="3"/>
        <charset val="129"/>
      </rPr>
      <t>수학</t>
    </r>
    <phoneticPr fontId="1" type="noConversion"/>
  </si>
  <si>
    <r>
      <rPr>
        <b/>
        <sz val="13"/>
        <color theme="1"/>
        <rFont val="맑은 고딕"/>
        <family val="3"/>
        <charset val="129"/>
      </rPr>
      <t>국어</t>
    </r>
    <phoneticPr fontId="1" type="noConversion"/>
  </si>
  <si>
    <r>
      <rPr>
        <b/>
        <sz val="13"/>
        <color theme="1"/>
        <rFont val="맑은 고딕"/>
        <family val="3"/>
        <charset val="129"/>
      </rPr>
      <t>수학</t>
    </r>
    <phoneticPr fontId="1" type="noConversion"/>
  </si>
  <si>
    <r>
      <t>1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</si>
  <si>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2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</si>
  <si>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3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</si>
  <si>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4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</si>
  <si>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5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</si>
  <si>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6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</si>
  <si>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7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</si>
  <si>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8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</si>
  <si>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rPr>
        <b/>
        <sz val="13"/>
        <color theme="1"/>
        <rFont val="맑은 고딕"/>
        <family val="3"/>
        <charset val="129"/>
      </rPr>
      <t>사회탐구</t>
    </r>
    <phoneticPr fontId="1" type="noConversion"/>
  </si>
  <si>
    <r>
      <rPr>
        <b/>
        <sz val="13"/>
        <color theme="1"/>
        <rFont val="맑은 고딕"/>
        <family val="3"/>
        <charset val="129"/>
      </rPr>
      <t>생활과</t>
    </r>
    <r>
      <rPr>
        <b/>
        <sz val="13"/>
        <color theme="1"/>
        <rFont val="Microsoft Sans Serif"/>
        <family val="2"/>
      </rPr>
      <t xml:space="preserve"> </t>
    </r>
    <r>
      <rPr>
        <b/>
        <sz val="13"/>
        <color theme="1"/>
        <rFont val="맑은 고딕"/>
        <family val="3"/>
        <charset val="129"/>
      </rPr>
      <t>윤리</t>
    </r>
    <phoneticPr fontId="1" type="noConversion"/>
  </si>
  <si>
    <r>
      <rPr>
        <b/>
        <sz val="13"/>
        <color theme="1"/>
        <rFont val="맑은 고딕"/>
        <family val="3"/>
        <charset val="129"/>
      </rPr>
      <t>윤리와</t>
    </r>
    <r>
      <rPr>
        <b/>
        <sz val="13"/>
        <color theme="1"/>
        <rFont val="Microsoft Sans Serif"/>
        <family val="2"/>
      </rPr>
      <t xml:space="preserve"> </t>
    </r>
    <r>
      <rPr>
        <b/>
        <sz val="13"/>
        <color theme="1"/>
        <rFont val="맑은 고딕"/>
        <family val="3"/>
        <charset val="129"/>
      </rPr>
      <t>사상</t>
    </r>
    <phoneticPr fontId="1" type="noConversion"/>
  </si>
  <si>
    <r>
      <rPr>
        <b/>
        <sz val="13"/>
        <color theme="1"/>
        <rFont val="맑은 고딕"/>
        <family val="3"/>
        <charset val="129"/>
      </rPr>
      <t>한국지리</t>
    </r>
    <phoneticPr fontId="1" type="noConversion"/>
  </si>
  <si>
    <r>
      <rPr>
        <b/>
        <sz val="13"/>
        <color theme="1"/>
        <rFont val="맑은 고딕"/>
        <family val="3"/>
        <charset val="129"/>
      </rPr>
      <t>세계지리</t>
    </r>
    <phoneticPr fontId="1" type="noConversion"/>
  </si>
  <si>
    <r>
      <rPr>
        <b/>
        <sz val="13"/>
        <color theme="1"/>
        <rFont val="맑은 고딕"/>
        <family val="3"/>
        <charset val="129"/>
      </rPr>
      <t>동아시아사</t>
    </r>
    <phoneticPr fontId="1" type="noConversion"/>
  </si>
  <si>
    <r>
      <rPr>
        <b/>
        <sz val="13"/>
        <color theme="1"/>
        <rFont val="맑은 고딕"/>
        <family val="3"/>
        <charset val="129"/>
      </rPr>
      <t>세계사</t>
    </r>
    <phoneticPr fontId="1" type="noConversion"/>
  </si>
  <si>
    <r>
      <rPr>
        <b/>
        <sz val="13"/>
        <color theme="1"/>
        <rFont val="맑은 고딕"/>
        <family val="3"/>
        <charset val="129"/>
      </rPr>
      <t>경제</t>
    </r>
    <phoneticPr fontId="1" type="noConversion"/>
  </si>
  <si>
    <r>
      <rPr>
        <b/>
        <sz val="13"/>
        <color theme="1"/>
        <rFont val="맑은 고딕"/>
        <family val="3"/>
        <charset val="129"/>
      </rPr>
      <t>정치와</t>
    </r>
    <r>
      <rPr>
        <b/>
        <sz val="13"/>
        <color theme="1"/>
        <rFont val="Microsoft Sans Serif"/>
        <family val="2"/>
      </rPr>
      <t xml:space="preserve"> </t>
    </r>
    <r>
      <rPr>
        <b/>
        <sz val="13"/>
        <color theme="1"/>
        <rFont val="맑은 고딕"/>
        <family val="3"/>
        <charset val="129"/>
      </rPr>
      <t>법</t>
    </r>
    <phoneticPr fontId="1" type="noConversion"/>
  </si>
  <si>
    <r>
      <rPr>
        <b/>
        <sz val="13"/>
        <color theme="1"/>
        <rFont val="맑은 고딕"/>
        <family val="3"/>
        <charset val="129"/>
      </rPr>
      <t>사회∙문화</t>
    </r>
    <phoneticPr fontId="1" type="noConversion"/>
  </si>
  <si>
    <r>
      <rPr>
        <b/>
        <sz val="13"/>
        <color theme="1"/>
        <rFont val="맑은 고딕"/>
        <family val="3"/>
        <charset val="129"/>
      </rPr>
      <t>과학탐구</t>
    </r>
    <phoneticPr fontId="1" type="noConversion"/>
  </si>
  <si>
    <r>
      <rPr>
        <b/>
        <sz val="13"/>
        <color theme="1"/>
        <rFont val="맑은 고딕"/>
        <family val="3"/>
        <charset val="129"/>
      </rPr>
      <t>물리학</t>
    </r>
    <r>
      <rPr>
        <b/>
        <sz val="13"/>
        <color theme="1"/>
        <rFont val="MS PGothic"/>
        <family val="2"/>
        <charset val="128"/>
      </rPr>
      <t>Ⅰ</t>
    </r>
    <phoneticPr fontId="1" type="noConversion"/>
  </si>
  <si>
    <r>
      <rPr>
        <b/>
        <sz val="13"/>
        <color theme="1"/>
        <rFont val="맑은 고딕"/>
        <family val="3"/>
        <charset val="129"/>
      </rPr>
      <t>화학</t>
    </r>
    <r>
      <rPr>
        <b/>
        <sz val="13"/>
        <color theme="1"/>
        <rFont val="MS PGothic"/>
        <family val="2"/>
        <charset val="128"/>
      </rPr>
      <t>Ⅰ</t>
    </r>
    <phoneticPr fontId="1" type="noConversion"/>
  </si>
  <si>
    <r>
      <rPr>
        <b/>
        <sz val="13"/>
        <color theme="1"/>
        <rFont val="맑은 고딕"/>
        <family val="3"/>
        <charset val="129"/>
      </rPr>
      <t>생명과학</t>
    </r>
    <r>
      <rPr>
        <b/>
        <sz val="13"/>
        <color theme="1"/>
        <rFont val="MS PGothic"/>
        <family val="2"/>
        <charset val="128"/>
      </rPr>
      <t>Ⅰ</t>
    </r>
    <phoneticPr fontId="1" type="noConversion"/>
  </si>
  <si>
    <r>
      <rPr>
        <b/>
        <sz val="13"/>
        <color theme="1"/>
        <rFont val="맑은 고딕"/>
        <family val="3"/>
        <charset val="129"/>
      </rPr>
      <t>지구과학</t>
    </r>
    <r>
      <rPr>
        <b/>
        <sz val="13"/>
        <color theme="1"/>
        <rFont val="MS PGothic"/>
        <family val="2"/>
        <charset val="128"/>
      </rPr>
      <t>Ⅰ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</si>
</sst>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#,##0.00_ "/>
    <numFmt numFmtId="177" formatCode="#,##0_ "/>
    <numFmt numFmtId="178" formatCode="0.00_);[Red]\(0.00\)"/>
  </numFmts>
  <fonts count="4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name val="Arial"/>
      <family val="2"/>
    </font>
    <font>
      <b/>
      <sz val="18"/>
      <color theme="3"/>
      <name val="맑은 고딕"/>
      <family val="2"/>
      <charset val="129"/>
      <scheme val="major"/>
    </font>
    <font>
      <sz val="11"/>
      <color rgb="FF9C6500"/>
      <name val="맑은 고딕"/>
      <family val="2"/>
      <charset val="129"/>
      <scheme val="minor"/>
    </font>
    <font>
      <u/>
      <sz val="11"/>
      <color rgb="FF0000FF"/>
      <name val="맑은 고딕"/>
      <family val="2"/>
      <charset val="129"/>
      <scheme val="minor"/>
    </font>
    <font>
      <u/>
      <sz val="11"/>
      <color rgb="FF800080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</font>
    <font>
      <sz val="12"/>
      <color theme="1"/>
      <name val="맑은 고딕"/>
      <family val="3"/>
      <charset val="129"/>
    </font>
    <font>
      <sz val="11"/>
      <color theme="1"/>
      <name val="Microsoft Sans Serif"/>
      <family val="2"/>
    </font>
    <font>
      <sz val="12"/>
      <color theme="1"/>
      <name val="Microsoft Sans Serif"/>
      <family val="2"/>
    </font>
    <font>
      <sz val="12"/>
      <color theme="1"/>
      <name val="맑은 고딕"/>
      <family val="2"/>
      <charset val="129"/>
    </font>
    <font>
      <sz val="11"/>
      <color rgb="FF000000"/>
      <name val="맑은 고딕"/>
      <family val="3"/>
      <charset val="129"/>
    </font>
    <font>
      <sz val="8"/>
      <name val="돋움"/>
      <family val="3"/>
      <charset val="129"/>
    </font>
    <font>
      <sz val="10"/>
      <name val="돋움"/>
      <family val="3"/>
      <charset val="129"/>
    </font>
    <font>
      <sz val="9"/>
      <name val="돋움"/>
      <family val="3"/>
      <charset val="129"/>
    </font>
    <font>
      <sz val="13"/>
      <color theme="1"/>
      <name val="Microsoft Sans Serif"/>
      <family val="2"/>
    </font>
    <font>
      <sz val="13"/>
      <color theme="1"/>
      <name val="맑은 고딕"/>
      <family val="3"/>
      <charset val="129"/>
    </font>
    <font>
      <sz val="13"/>
      <name val="Microsoft Sans Serif"/>
      <family val="2"/>
    </font>
    <font>
      <sz val="13"/>
      <color theme="1"/>
      <name val="맑은 고딕"/>
      <family val="2"/>
      <charset val="129"/>
    </font>
    <font>
      <b/>
      <sz val="13"/>
      <color theme="1"/>
      <name val="Microsoft Sans Serif"/>
      <family val="2"/>
    </font>
    <font>
      <b/>
      <sz val="13"/>
      <color indexed="8"/>
      <name val="Microsoft Sans Serif"/>
      <family val="2"/>
    </font>
    <font>
      <b/>
      <sz val="13"/>
      <color theme="1"/>
      <name val="맑은 고딕"/>
      <family val="3"/>
      <charset val="129"/>
    </font>
    <font>
      <b/>
      <sz val="13"/>
      <color theme="1"/>
      <name val="MS PGothic"/>
      <family val="2"/>
      <charset val="128"/>
    </font>
  </fonts>
  <fills count="40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</fills>
  <borders count="73">
    <border>
      <left/>
      <right/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D4D4D4"/>
      </left>
      <right/>
      <top style="thin">
        <color rgb="FFD4D4D4"/>
      </top>
      <bottom/>
      <diagonal/>
    </border>
    <border>
      <left/>
      <right/>
      <top style="thin">
        <color rgb="FFD4D4D4"/>
      </top>
      <bottom/>
      <diagonal/>
    </border>
    <border>
      <left/>
      <right style="thin">
        <color rgb="FFD4D4D4"/>
      </right>
      <top style="thin">
        <color rgb="FFD4D4D4"/>
      </top>
      <bottom/>
      <diagonal/>
    </border>
    <border>
      <left style="thin">
        <color rgb="FFD4D4D4"/>
      </left>
      <right/>
      <top/>
      <bottom/>
      <diagonal/>
    </border>
    <border>
      <left/>
      <right style="thin">
        <color rgb="FFD4D4D4"/>
      </right>
      <top/>
      <bottom/>
      <diagonal/>
    </border>
    <border>
      <left style="thin">
        <color rgb="FFD4D4D4"/>
      </left>
      <right/>
      <top/>
      <bottom style="thin">
        <color rgb="FFD4D4D4"/>
      </bottom>
      <diagonal/>
    </border>
    <border>
      <left/>
      <right/>
      <top/>
      <bottom style="thin">
        <color rgb="FFD4D4D4"/>
      </bottom>
      <diagonal/>
    </border>
    <border>
      <left/>
      <right style="thin">
        <color rgb="FFD4D4D4"/>
      </right>
      <top/>
      <bottom style="thin">
        <color rgb="FFD4D4D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/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50">
    <xf numFmtId="0" fontId="0" fillId="0" borderId="0">
      <alignment vertical="center"/>
    </xf>
    <xf numFmtId="0" fontId="2" fillId="0" borderId="0"/>
    <xf numFmtId="0" fontId="5" fillId="0" borderId="26" applyNumberFormat="0" applyFill="0" applyAlignment="0" applyProtection="0">
      <alignment vertical="center"/>
    </xf>
    <xf numFmtId="0" fontId="6" fillId="0" borderId="27" applyNumberFormat="0" applyFill="0" applyAlignment="0" applyProtection="0">
      <alignment vertical="center"/>
    </xf>
    <xf numFmtId="0" fontId="7" fillId="0" borderId="28" applyNumberFormat="0" applyFill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10" borderId="29" applyNumberFormat="0" applyAlignment="0" applyProtection="0">
      <alignment vertical="center"/>
    </xf>
    <xf numFmtId="0" fontId="11" fillId="11" borderId="30" applyNumberFormat="0" applyAlignment="0" applyProtection="0">
      <alignment vertical="center"/>
    </xf>
    <xf numFmtId="0" fontId="12" fillId="11" borderId="29" applyNumberFormat="0" applyAlignment="0" applyProtection="0">
      <alignment vertical="center"/>
    </xf>
    <xf numFmtId="0" fontId="13" fillId="0" borderId="31" applyNumberFormat="0" applyFill="0" applyAlignment="0" applyProtection="0">
      <alignment vertical="center"/>
    </xf>
    <xf numFmtId="0" fontId="14" fillId="12" borderId="32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34" applyNumberFormat="0" applyFill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18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18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18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18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18" fillId="34" borderId="0" applyNumberFormat="0" applyBorder="0" applyAlignment="0" applyProtection="0">
      <alignment vertical="center"/>
    </xf>
    <xf numFmtId="0" fontId="4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18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13" borderId="33" applyNumberFormat="0" applyFont="0" applyAlignment="0" applyProtection="0">
      <alignment vertical="center"/>
    </xf>
    <xf numFmtId="0" fontId="2" fillId="0" borderId="0"/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4" fillId="0" borderId="0">
      <alignment vertical="center"/>
    </xf>
    <xf numFmtId="0" fontId="19" fillId="0" borderId="0"/>
  </cellStyleXfs>
  <cellXfs count="20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0" xfId="0" quotePrefix="1" applyFill="1" applyAlignment="1">
      <alignment horizontal="center" vertical="center"/>
    </xf>
    <xf numFmtId="0" fontId="0" fillId="6" borderId="0" xfId="0" applyFill="1">
      <alignment vertical="center"/>
    </xf>
    <xf numFmtId="0" fontId="0" fillId="0" borderId="36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36" xfId="0" applyBorder="1">
      <alignment vertical="center"/>
    </xf>
    <xf numFmtId="0" fontId="0" fillId="0" borderId="35" xfId="0" applyBorder="1">
      <alignment vertical="center"/>
    </xf>
    <xf numFmtId="0" fontId="0" fillId="0" borderId="37" xfId="0" applyBorder="1">
      <alignment vertical="center"/>
    </xf>
    <xf numFmtId="0" fontId="0" fillId="0" borderId="16" xfId="0" applyBorder="1">
      <alignment vertical="center"/>
    </xf>
    <xf numFmtId="0" fontId="0" fillId="0" borderId="38" xfId="0" applyBorder="1">
      <alignment vertical="center"/>
    </xf>
    <xf numFmtId="0" fontId="0" fillId="0" borderId="38" xfId="0" applyBorder="1" applyAlignment="1">
      <alignment horizontal="center" vertical="center"/>
    </xf>
    <xf numFmtId="0" fontId="0" fillId="38" borderId="0" xfId="0" applyFill="1">
      <alignment vertical="center"/>
    </xf>
    <xf numFmtId="0" fontId="24" fillId="0" borderId="0" xfId="0" applyFont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8" fillId="6" borderId="0" xfId="0" applyFont="1" applyFill="1" applyAlignment="1">
      <alignment horizontal="center" vertical="center"/>
    </xf>
    <xf numFmtId="0" fontId="28" fillId="6" borderId="0" xfId="0" applyFont="1" applyFill="1">
      <alignment vertical="center"/>
    </xf>
    <xf numFmtId="0" fontId="29" fillId="5" borderId="15" xfId="0" applyFont="1" applyFill="1" applyBorder="1" applyAlignment="1">
      <alignment horizontal="center" vertical="center"/>
    </xf>
    <xf numFmtId="0" fontId="28" fillId="0" borderId="0" xfId="0" applyFont="1">
      <alignment vertical="center"/>
    </xf>
    <xf numFmtId="0" fontId="28" fillId="6" borderId="0" xfId="0" quotePrefix="1" applyFont="1" applyFill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5" fillId="6" borderId="0" xfId="0" applyFont="1" applyFill="1">
      <alignment vertical="center"/>
    </xf>
    <xf numFmtId="0" fontId="25" fillId="0" borderId="0" xfId="0" applyFont="1">
      <alignment vertical="center"/>
    </xf>
    <xf numFmtId="0" fontId="0" fillId="6" borderId="58" xfId="0" applyFill="1" applyBorder="1">
      <alignment vertical="center"/>
    </xf>
    <xf numFmtId="0" fontId="0" fillId="6" borderId="59" xfId="0" applyFill="1" applyBorder="1">
      <alignment vertical="center"/>
    </xf>
    <xf numFmtId="0" fontId="0" fillId="6" borderId="60" xfId="0" applyFill="1" applyBorder="1">
      <alignment vertical="center"/>
    </xf>
    <xf numFmtId="0" fontId="0" fillId="6" borderId="61" xfId="0" applyFill="1" applyBorder="1">
      <alignment vertical="center"/>
    </xf>
    <xf numFmtId="0" fontId="0" fillId="6" borderId="62" xfId="0" applyFill="1" applyBorder="1">
      <alignment vertical="center"/>
    </xf>
    <xf numFmtId="0" fontId="28" fillId="6" borderId="0" xfId="0" applyFont="1" applyFill="1" applyBorder="1" applyAlignment="1">
      <alignment horizontal="center" vertical="center"/>
    </xf>
    <xf numFmtId="0" fontId="28" fillId="6" borderId="0" xfId="0" applyFont="1" applyFill="1" applyBorder="1">
      <alignment vertical="center"/>
    </xf>
    <xf numFmtId="0" fontId="0" fillId="6" borderId="63" xfId="0" applyFill="1" applyBorder="1">
      <alignment vertical="center"/>
    </xf>
    <xf numFmtId="0" fontId="0" fillId="6" borderId="64" xfId="0" applyFill="1" applyBorder="1">
      <alignment vertical="center"/>
    </xf>
    <xf numFmtId="0" fontId="0" fillId="6" borderId="65" xfId="0" applyFill="1" applyBorder="1">
      <alignment vertical="center"/>
    </xf>
    <xf numFmtId="0" fontId="28" fillId="6" borderId="61" xfId="0" applyFont="1" applyFill="1" applyBorder="1">
      <alignment vertical="center"/>
    </xf>
    <xf numFmtId="0" fontId="28" fillId="6" borderId="62" xfId="0" applyFont="1" applyFill="1" applyBorder="1">
      <alignment vertical="center"/>
    </xf>
    <xf numFmtId="0" fontId="29" fillId="6" borderId="0" xfId="0" applyFont="1" applyFill="1" applyBorder="1" applyAlignment="1">
      <alignment horizontal="center" vertical="center"/>
    </xf>
    <xf numFmtId="0" fontId="29" fillId="6" borderId="0" xfId="0" applyFont="1" applyFill="1" applyBorder="1">
      <alignment vertical="center"/>
    </xf>
    <xf numFmtId="0" fontId="3" fillId="6" borderId="59" xfId="0" applyFont="1" applyFill="1" applyBorder="1" applyAlignment="1">
      <alignment horizontal="center" vertical="center"/>
    </xf>
    <xf numFmtId="0" fontId="0" fillId="6" borderId="59" xfId="0" applyFill="1" applyBorder="1" applyAlignment="1">
      <alignment horizontal="center" vertical="center"/>
    </xf>
    <xf numFmtId="0" fontId="25" fillId="6" borderId="61" xfId="0" applyFont="1" applyFill="1" applyBorder="1">
      <alignment vertical="center"/>
    </xf>
    <xf numFmtId="0" fontId="25" fillId="6" borderId="62" xfId="0" applyFont="1" applyFill="1" applyBorder="1">
      <alignment vertical="center"/>
    </xf>
    <xf numFmtId="0" fontId="25" fillId="6" borderId="63" xfId="0" applyFont="1" applyFill="1" applyBorder="1">
      <alignment vertical="center"/>
    </xf>
    <xf numFmtId="0" fontId="29" fillId="6" borderId="64" xfId="0" applyFont="1" applyFill="1" applyBorder="1" applyAlignment="1">
      <alignment horizontal="center" vertical="center"/>
    </xf>
    <xf numFmtId="0" fontId="29" fillId="6" borderId="64" xfId="0" applyFont="1" applyFill="1" applyBorder="1">
      <alignment vertical="center"/>
    </xf>
    <xf numFmtId="0" fontId="25" fillId="6" borderId="65" xfId="0" applyFont="1" applyFill="1" applyBorder="1">
      <alignment vertical="center"/>
    </xf>
    <xf numFmtId="0" fontId="33" fillId="0" borderId="6" xfId="45" applyFont="1" applyBorder="1" applyAlignment="1">
      <alignment horizontal="center" vertical="center"/>
    </xf>
    <xf numFmtId="38" fontId="33" fillId="0" borderId="6" xfId="45" applyNumberFormat="1" applyFont="1" applyBorder="1" applyAlignment="1">
      <alignment horizontal="center" vertical="center"/>
    </xf>
    <xf numFmtId="0" fontId="33" fillId="0" borderId="6" xfId="45" applyFont="1" applyBorder="1" applyAlignment="1">
      <alignment horizontal="center" vertical="center"/>
    </xf>
    <xf numFmtId="38" fontId="33" fillId="0" borderId="6" xfId="45" applyNumberFormat="1" applyFont="1" applyBorder="1" applyAlignment="1">
      <alignment horizontal="center" vertical="center"/>
    </xf>
    <xf numFmtId="177" fontId="34" fillId="0" borderId="67" xfId="45" applyNumberFormat="1" applyFont="1" applyBorder="1" applyAlignment="1">
      <alignment horizontal="center" vertical="center"/>
    </xf>
    <xf numFmtId="38" fontId="34" fillId="0" borderId="67" xfId="45" applyNumberFormat="1" applyFont="1" applyBorder="1" applyAlignment="1">
      <alignment horizontal="center" vertical="center"/>
    </xf>
    <xf numFmtId="38" fontId="34" fillId="0" borderId="67" xfId="45" applyNumberFormat="1" applyFont="1" applyFill="1" applyBorder="1" applyAlignment="1">
      <alignment horizontal="center" vertical="center"/>
    </xf>
    <xf numFmtId="0" fontId="33" fillId="0" borderId="66" xfId="45" applyFont="1" applyBorder="1" applyAlignment="1">
      <alignment horizontal="center" vertical="center"/>
    </xf>
    <xf numFmtId="38" fontId="33" fillId="0" borderId="66" xfId="45" applyNumberFormat="1" applyFont="1" applyBorder="1" applyAlignment="1">
      <alignment horizontal="center" vertical="center"/>
    </xf>
    <xf numFmtId="0" fontId="33" fillId="0" borderId="66" xfId="45" applyFont="1" applyBorder="1" applyAlignment="1">
      <alignment horizontal="center" vertical="center"/>
    </xf>
    <xf numFmtId="38" fontId="33" fillId="0" borderId="66" xfId="45" applyNumberFormat="1" applyFont="1" applyBorder="1" applyAlignment="1">
      <alignment horizontal="center" vertical="center"/>
    </xf>
    <xf numFmtId="38" fontId="32" fillId="0" borderId="66" xfId="45" applyNumberFormat="1" applyFont="1" applyBorder="1" applyAlignment="1">
      <alignment horizontal="center" vertical="center"/>
    </xf>
    <xf numFmtId="38" fontId="32" fillId="0" borderId="66" xfId="45" applyNumberFormat="1" applyFont="1" applyFill="1" applyBorder="1" applyAlignment="1">
      <alignment horizontal="center" vertical="center"/>
    </xf>
    <xf numFmtId="0" fontId="33" fillId="0" borderId="66" xfId="45" applyFont="1" applyBorder="1" applyAlignment="1">
      <alignment horizontal="center" vertical="center"/>
    </xf>
    <xf numFmtId="38" fontId="33" fillId="0" borderId="66" xfId="45" applyNumberFormat="1" applyFont="1" applyBorder="1" applyAlignment="1">
      <alignment horizontal="center" vertical="center"/>
    </xf>
    <xf numFmtId="38" fontId="32" fillId="0" borderId="66" xfId="45" applyNumberFormat="1" applyFont="1" applyBorder="1" applyAlignment="1">
      <alignment horizontal="center" vertical="center"/>
    </xf>
    <xf numFmtId="38" fontId="32" fillId="0" borderId="66" xfId="45" applyNumberFormat="1" applyFont="1" applyFill="1" applyBorder="1" applyAlignment="1">
      <alignment horizontal="center" vertical="center"/>
    </xf>
    <xf numFmtId="0" fontId="33" fillId="0" borderId="66" xfId="45" applyFont="1" applyBorder="1" applyAlignment="1">
      <alignment horizontal="center" vertical="center"/>
    </xf>
    <xf numFmtId="38" fontId="33" fillId="0" borderId="66" xfId="45" applyNumberFormat="1" applyFont="1" applyBorder="1" applyAlignment="1">
      <alignment horizontal="center" vertical="center"/>
    </xf>
    <xf numFmtId="38" fontId="32" fillId="0" borderId="66" xfId="45" applyNumberFormat="1" applyFont="1" applyBorder="1" applyAlignment="1">
      <alignment horizontal="center" vertical="center"/>
    </xf>
    <xf numFmtId="38" fontId="32" fillId="0" borderId="66" xfId="45" applyNumberFormat="1" applyFont="1" applyFill="1" applyBorder="1" applyAlignment="1">
      <alignment horizontal="center" vertical="center"/>
    </xf>
    <xf numFmtId="0" fontId="33" fillId="0" borderId="66" xfId="45" applyFont="1" applyBorder="1" applyAlignment="1">
      <alignment horizontal="center" vertical="center"/>
    </xf>
    <xf numFmtId="38" fontId="33" fillId="0" borderId="66" xfId="45" applyNumberFormat="1" applyFont="1" applyBorder="1" applyAlignment="1">
      <alignment horizontal="center" vertical="center"/>
    </xf>
    <xf numFmtId="0" fontId="33" fillId="0" borderId="66" xfId="34" applyFont="1" applyBorder="1" applyAlignment="1">
      <alignment horizontal="center" vertical="center"/>
    </xf>
    <xf numFmtId="38" fontId="33" fillId="0" borderId="66" xfId="34" applyNumberFormat="1" applyFont="1" applyBorder="1" applyAlignment="1">
      <alignment horizontal="center" vertical="center"/>
    </xf>
    <xf numFmtId="38" fontId="32" fillId="0" borderId="66" xfId="45" applyNumberFormat="1" applyFont="1" applyBorder="1" applyAlignment="1">
      <alignment horizontal="center" vertical="center"/>
    </xf>
    <xf numFmtId="38" fontId="32" fillId="0" borderId="66" xfId="45" applyNumberFormat="1" applyFont="1" applyFill="1" applyBorder="1" applyAlignment="1">
      <alignment horizontal="center" vertical="center"/>
    </xf>
    <xf numFmtId="0" fontId="0" fillId="38" borderId="0" xfId="0" applyFill="1" applyAlignment="1">
      <alignment horizontal="center" vertical="center"/>
    </xf>
    <xf numFmtId="177" fontId="34" fillId="0" borderId="66" xfId="45" applyNumberFormat="1" applyFont="1" applyBorder="1" applyAlignment="1">
      <alignment horizontal="center" vertical="center"/>
    </xf>
    <xf numFmtId="38" fontId="34" fillId="0" borderId="66" xfId="45" applyNumberFormat="1" applyFont="1" applyBorder="1" applyAlignment="1">
      <alignment horizontal="center" vertical="center"/>
    </xf>
    <xf numFmtId="38" fontId="32" fillId="0" borderId="66" xfId="45" applyNumberFormat="1" applyFont="1" applyBorder="1" applyAlignment="1">
      <alignment horizontal="center" vertical="center"/>
    </xf>
    <xf numFmtId="38" fontId="32" fillId="0" borderId="68" xfId="45" applyNumberFormat="1" applyFont="1" applyBorder="1" applyAlignment="1">
      <alignment horizontal="center" vertical="center"/>
    </xf>
    <xf numFmtId="38" fontId="32" fillId="0" borderId="69" xfId="45" applyNumberFormat="1" applyFont="1" applyBorder="1" applyAlignment="1">
      <alignment horizontal="center" vertical="center"/>
    </xf>
    <xf numFmtId="38" fontId="32" fillId="0" borderId="70" xfId="45" applyNumberFormat="1" applyFont="1" applyBorder="1" applyAlignment="1">
      <alignment horizontal="center" vertical="center"/>
    </xf>
    <xf numFmtId="38" fontId="32" fillId="0" borderId="66" xfId="45" applyNumberFormat="1" applyFont="1" applyBorder="1" applyAlignment="1">
      <alignment horizontal="center" vertical="center" wrapText="1" shrinkToFit="1"/>
    </xf>
    <xf numFmtId="0" fontId="29" fillId="5" borderId="21" xfId="0" applyFont="1" applyFill="1" applyBorder="1" applyAlignment="1">
      <alignment horizontal="center" vertical="center"/>
    </xf>
    <xf numFmtId="0" fontId="29" fillId="6" borderId="23" xfId="0" applyFont="1" applyFill="1" applyBorder="1" applyAlignment="1">
      <alignment horizontal="center" vertical="center"/>
    </xf>
    <xf numFmtId="0" fontId="29" fillId="6" borderId="20" xfId="0" applyFont="1" applyFill="1" applyBorder="1" applyAlignment="1">
      <alignment horizontal="center" vertical="center"/>
    </xf>
    <xf numFmtId="0" fontId="29" fillId="6" borderId="22" xfId="0" applyFont="1" applyFill="1" applyBorder="1" applyAlignment="1">
      <alignment horizontal="center" vertical="center"/>
    </xf>
    <xf numFmtId="2" fontId="29" fillId="0" borderId="20" xfId="0" applyNumberFormat="1" applyFont="1" applyBorder="1" applyAlignment="1">
      <alignment horizontal="center" vertical="center"/>
    </xf>
    <xf numFmtId="3" fontId="29" fillId="0" borderId="19" xfId="0" applyNumberFormat="1" applyFont="1" applyBorder="1" applyAlignment="1">
      <alignment horizontal="center" vertical="center"/>
    </xf>
    <xf numFmtId="0" fontId="29" fillId="5" borderId="4" xfId="0" applyFont="1" applyFill="1" applyBorder="1" applyAlignment="1">
      <alignment horizontal="center" vertical="center"/>
    </xf>
    <xf numFmtId="0" fontId="29" fillId="6" borderId="3" xfId="0" applyFont="1" applyFill="1" applyBorder="1" applyAlignment="1">
      <alignment horizontal="center" vertical="center"/>
    </xf>
    <xf numFmtId="0" fontId="29" fillId="6" borderId="18" xfId="0" applyFont="1" applyFill="1" applyBorder="1" applyAlignment="1">
      <alignment horizontal="center" vertical="center"/>
    </xf>
    <xf numFmtId="0" fontId="29" fillId="6" borderId="1" xfId="0" applyFont="1" applyFill="1" applyBorder="1" applyAlignment="1">
      <alignment horizontal="center" vertical="center"/>
    </xf>
    <xf numFmtId="0" fontId="29" fillId="5" borderId="17" xfId="0" applyFont="1" applyFill="1" applyBorder="1" applyAlignment="1">
      <alignment horizontal="center" vertical="center"/>
    </xf>
    <xf numFmtId="2" fontId="29" fillId="0" borderId="16" xfId="0" applyNumberFormat="1" applyFont="1" applyBorder="1" applyAlignment="1">
      <alignment horizontal="center" vertical="center"/>
    </xf>
    <xf numFmtId="0" fontId="35" fillId="5" borderId="15" xfId="0" applyFont="1" applyFill="1" applyBorder="1" applyAlignment="1">
      <alignment horizontal="center" vertical="center"/>
    </xf>
    <xf numFmtId="0" fontId="35" fillId="5" borderId="14" xfId="0" applyFont="1" applyFill="1" applyBorder="1" applyAlignment="1">
      <alignment horizontal="center" vertical="center"/>
    </xf>
    <xf numFmtId="0" fontId="35" fillId="5" borderId="13" xfId="0" applyFont="1" applyFill="1" applyBorder="1" applyAlignment="1">
      <alignment horizontal="center" vertical="center"/>
    </xf>
    <xf numFmtId="0" fontId="35" fillId="5" borderId="12" xfId="0" applyFont="1" applyFill="1" applyBorder="1" applyAlignment="1">
      <alignment horizontal="center" vertical="center"/>
    </xf>
    <xf numFmtId="0" fontId="35" fillId="0" borderId="11" xfId="0" applyFont="1" applyBorder="1" applyAlignment="1">
      <alignment horizontal="center" vertical="center"/>
    </xf>
    <xf numFmtId="0" fontId="35" fillId="0" borderId="8" xfId="0" applyFont="1" applyBorder="1" applyAlignment="1">
      <alignment horizontal="center" vertical="center"/>
    </xf>
    <xf numFmtId="178" fontId="35" fillId="0" borderId="8" xfId="0" applyNumberFormat="1" applyFont="1" applyBorder="1" applyAlignment="1">
      <alignment horizontal="center" vertical="center"/>
    </xf>
    <xf numFmtId="177" fontId="37" fillId="0" borderId="8" xfId="1" applyNumberFormat="1" applyFont="1" applyBorder="1" applyAlignment="1">
      <alignment horizontal="center" vertical="center"/>
    </xf>
    <xf numFmtId="10" fontId="37" fillId="0" borderId="7" xfId="1" applyNumberFormat="1" applyFont="1" applyBorder="1" applyAlignment="1">
      <alignment horizontal="center" vertical="center"/>
    </xf>
    <xf numFmtId="177" fontId="35" fillId="0" borderId="10" xfId="0" applyNumberFormat="1" applyFont="1" applyBorder="1" applyAlignment="1">
      <alignment horizontal="center" vertical="center"/>
    </xf>
    <xf numFmtId="10" fontId="37" fillId="0" borderId="5" xfId="1" applyNumberFormat="1" applyFont="1" applyBorder="1" applyAlignment="1">
      <alignment horizontal="center" vertical="center"/>
    </xf>
    <xf numFmtId="0" fontId="35" fillId="0" borderId="9" xfId="0" applyFont="1" applyBorder="1" applyAlignment="1">
      <alignment horizontal="center" vertical="center"/>
    </xf>
    <xf numFmtId="0" fontId="35" fillId="4" borderId="8" xfId="0" applyFont="1" applyFill="1" applyBorder="1" applyAlignment="1">
      <alignment horizontal="center" vertical="center"/>
    </xf>
    <xf numFmtId="178" fontId="35" fillId="4" borderId="8" xfId="0" applyNumberFormat="1" applyFont="1" applyFill="1" applyBorder="1" applyAlignment="1">
      <alignment horizontal="center" vertical="center"/>
    </xf>
    <xf numFmtId="0" fontId="35" fillId="4" borderId="6" xfId="0" applyFont="1" applyFill="1" applyBorder="1">
      <alignment vertical="center"/>
    </xf>
    <xf numFmtId="0" fontId="37" fillId="4" borderId="7" xfId="1" applyFont="1" applyFill="1" applyBorder="1" applyAlignment="1">
      <alignment horizontal="center" vertical="center"/>
    </xf>
    <xf numFmtId="177" fontId="35" fillId="4" borderId="8" xfId="0" applyNumberFormat="1" applyFont="1" applyFill="1" applyBorder="1" applyAlignment="1">
      <alignment horizontal="center" vertical="center"/>
    </xf>
    <xf numFmtId="176" fontId="37" fillId="4" borderId="5" xfId="1" applyNumberFormat="1" applyFont="1" applyFill="1" applyBorder="1" applyAlignment="1">
      <alignment horizontal="center" vertical="center"/>
    </xf>
    <xf numFmtId="177" fontId="35" fillId="0" borderId="6" xfId="0" applyNumberFormat="1" applyFont="1" applyBorder="1" applyAlignment="1">
      <alignment horizontal="center" vertical="center"/>
    </xf>
    <xf numFmtId="0" fontId="35" fillId="0" borderId="71" xfId="0" applyFont="1" applyBorder="1" applyAlignment="1">
      <alignment horizontal="center" vertical="center"/>
    </xf>
    <xf numFmtId="178" fontId="35" fillId="0" borderId="71" xfId="0" applyNumberFormat="1" applyFont="1" applyBorder="1" applyAlignment="1">
      <alignment horizontal="center" vertical="center"/>
    </xf>
    <xf numFmtId="177" fontId="37" fillId="0" borderId="71" xfId="1" applyNumberFormat="1" applyFont="1" applyBorder="1" applyAlignment="1">
      <alignment horizontal="center" vertical="center"/>
    </xf>
    <xf numFmtId="10" fontId="37" fillId="0" borderId="71" xfId="1" applyNumberFormat="1" applyFont="1" applyBorder="1" applyAlignment="1">
      <alignment horizontal="center" vertical="center"/>
    </xf>
    <xf numFmtId="177" fontId="35" fillId="0" borderId="71" xfId="0" applyNumberFormat="1" applyFont="1" applyBorder="1" applyAlignment="1">
      <alignment horizontal="center" vertical="center"/>
    </xf>
    <xf numFmtId="10" fontId="37" fillId="0" borderId="72" xfId="1" applyNumberFormat="1" applyFont="1" applyBorder="1" applyAlignment="1">
      <alignment horizontal="center" vertical="center"/>
    </xf>
    <xf numFmtId="0" fontId="35" fillId="0" borderId="8" xfId="0" applyFont="1" applyBorder="1" applyAlignment="1">
      <alignment horizontal="center" vertical="center"/>
    </xf>
    <xf numFmtId="178" fontId="35" fillId="0" borderId="8" xfId="0" applyNumberFormat="1" applyFont="1" applyBorder="1" applyAlignment="1">
      <alignment horizontal="center" vertical="center"/>
    </xf>
    <xf numFmtId="177" fontId="37" fillId="0" borderId="8" xfId="1" applyNumberFormat="1" applyFont="1" applyBorder="1" applyAlignment="1">
      <alignment horizontal="center" vertical="center"/>
    </xf>
    <xf numFmtId="10" fontId="37" fillId="0" borderId="8" xfId="1" applyNumberFormat="1" applyFont="1" applyBorder="1" applyAlignment="1">
      <alignment horizontal="center" vertical="center"/>
    </xf>
    <xf numFmtId="177" fontId="35" fillId="0" borderId="8" xfId="0" applyNumberFormat="1" applyFont="1" applyBorder="1" applyAlignment="1">
      <alignment horizontal="center" vertical="center"/>
    </xf>
    <xf numFmtId="10" fontId="37" fillId="0" borderId="25" xfId="1" applyNumberFormat="1" applyFont="1" applyBorder="1" applyAlignment="1">
      <alignment horizontal="center" vertical="center"/>
    </xf>
    <xf numFmtId="0" fontId="35" fillId="6" borderId="9" xfId="0" applyFont="1" applyFill="1" applyBorder="1" applyAlignment="1">
      <alignment horizontal="center" vertical="center"/>
    </xf>
    <xf numFmtId="0" fontId="35" fillId="6" borderId="8" xfId="0" applyFont="1" applyFill="1" applyBorder="1" applyAlignment="1">
      <alignment horizontal="center" vertical="center"/>
    </xf>
    <xf numFmtId="177" fontId="35" fillId="6" borderId="6" xfId="0" applyNumberFormat="1" applyFont="1" applyFill="1" applyBorder="1" applyAlignment="1">
      <alignment horizontal="center" vertical="center"/>
    </xf>
    <xf numFmtId="0" fontId="35" fillId="6" borderId="71" xfId="0" applyFont="1" applyFill="1" applyBorder="1" applyAlignment="1">
      <alignment horizontal="center" vertical="center"/>
    </xf>
    <xf numFmtId="177" fontId="35" fillId="6" borderId="71" xfId="0" applyNumberFormat="1" applyFont="1" applyFill="1" applyBorder="1" applyAlignment="1">
      <alignment horizontal="center" vertical="center"/>
    </xf>
    <xf numFmtId="0" fontId="35" fillId="6" borderId="8" xfId="0" applyFont="1" applyFill="1" applyBorder="1" applyAlignment="1">
      <alignment horizontal="center" vertical="center"/>
    </xf>
    <xf numFmtId="177" fontId="35" fillId="6" borderId="8" xfId="0" applyNumberFormat="1" applyFont="1" applyFill="1" applyBorder="1" applyAlignment="1">
      <alignment horizontal="center" vertical="center"/>
    </xf>
    <xf numFmtId="177" fontId="35" fillId="4" borderId="6" xfId="0" applyNumberFormat="1" applyFont="1" applyFill="1" applyBorder="1" applyAlignment="1">
      <alignment horizontal="center" vertical="center"/>
    </xf>
    <xf numFmtId="0" fontId="35" fillId="3" borderId="4" xfId="0" applyFont="1" applyFill="1" applyBorder="1" applyAlignment="1">
      <alignment horizontal="center" vertical="center"/>
    </xf>
    <xf numFmtId="0" fontId="35" fillId="2" borderId="2" xfId="0" applyFont="1" applyFill="1" applyBorder="1" applyAlignment="1">
      <alignment horizontal="center" vertical="center"/>
    </xf>
    <xf numFmtId="178" fontId="35" fillId="2" borderId="2" xfId="0" applyNumberFormat="1" applyFont="1" applyFill="1" applyBorder="1" applyAlignment="1">
      <alignment horizontal="center" vertical="center"/>
    </xf>
    <xf numFmtId="177" fontId="37" fillId="2" borderId="2" xfId="1" applyNumberFormat="1" applyFont="1" applyFill="1" applyBorder="1" applyAlignment="1">
      <alignment horizontal="center" vertical="center"/>
    </xf>
    <xf numFmtId="10" fontId="37" fillId="2" borderId="2" xfId="1" applyNumberFormat="1" applyFont="1" applyFill="1" applyBorder="1" applyAlignment="1">
      <alignment horizontal="center" vertical="center"/>
    </xf>
    <xf numFmtId="177" fontId="35" fillId="2" borderId="2" xfId="0" applyNumberFormat="1" applyFont="1" applyFill="1" applyBorder="1" applyAlignment="1">
      <alignment horizontal="center" vertical="center"/>
    </xf>
    <xf numFmtId="10" fontId="37" fillId="2" borderId="1" xfId="1" applyNumberFormat="1" applyFont="1" applyFill="1" applyBorder="1" applyAlignment="1">
      <alignment horizontal="center" vertical="center"/>
    </xf>
    <xf numFmtId="0" fontId="35" fillId="5" borderId="19" xfId="0" applyFont="1" applyFill="1" applyBorder="1" applyAlignment="1">
      <alignment horizontal="center" vertical="center"/>
    </xf>
    <xf numFmtId="0" fontId="35" fillId="5" borderId="43" xfId="0" applyFont="1" applyFill="1" applyBorder="1" applyAlignment="1">
      <alignment horizontal="center" vertical="center"/>
    </xf>
    <xf numFmtId="0" fontId="39" fillId="39" borderId="21" xfId="0" applyFont="1" applyFill="1" applyBorder="1" applyAlignment="1">
      <alignment horizontal="center" vertical="center"/>
    </xf>
    <xf numFmtId="0" fontId="39" fillId="39" borderId="22" xfId="0" applyFont="1" applyFill="1" applyBorder="1" applyAlignment="1">
      <alignment horizontal="center" vertical="center"/>
    </xf>
    <xf numFmtId="3" fontId="35" fillId="0" borderId="45" xfId="0" applyNumberFormat="1" applyFont="1" applyBorder="1" applyAlignment="1">
      <alignment horizontal="center" vertical="center"/>
    </xf>
    <xf numFmtId="10" fontId="35" fillId="0" borderId="10" xfId="0" applyNumberFormat="1" applyFont="1" applyBorder="1" applyAlignment="1">
      <alignment horizontal="center" vertical="center"/>
    </xf>
    <xf numFmtId="3" fontId="35" fillId="0" borderId="10" xfId="0" applyNumberFormat="1" applyFont="1" applyBorder="1" applyAlignment="1">
      <alignment horizontal="center" vertical="center"/>
    </xf>
    <xf numFmtId="10" fontId="35" fillId="0" borderId="39" xfId="0" applyNumberFormat="1" applyFont="1" applyBorder="1" applyAlignment="1">
      <alignment horizontal="center" vertical="center"/>
    </xf>
    <xf numFmtId="0" fontId="39" fillId="39" borderId="9" xfId="0" applyFont="1" applyFill="1" applyBorder="1" applyAlignment="1">
      <alignment horizontal="center" vertical="center"/>
    </xf>
    <xf numFmtId="0" fontId="39" fillId="39" borderId="56" xfId="0" applyFont="1" applyFill="1" applyBorder="1" applyAlignment="1">
      <alignment horizontal="center" vertical="center"/>
    </xf>
    <xf numFmtId="3" fontId="35" fillId="0" borderId="54" xfId="0" applyNumberFormat="1" applyFont="1" applyBorder="1" applyAlignment="1">
      <alignment horizontal="center" vertical="center"/>
    </xf>
    <xf numFmtId="10" fontId="35" fillId="0" borderId="8" xfId="0" applyNumberFormat="1" applyFont="1" applyBorder="1" applyAlignment="1">
      <alignment horizontal="center" vertical="center"/>
    </xf>
    <xf numFmtId="3" fontId="35" fillId="0" borderId="6" xfId="0" applyNumberFormat="1" applyFont="1" applyBorder="1" applyAlignment="1">
      <alignment horizontal="center" vertical="center"/>
    </xf>
    <xf numFmtId="10" fontId="35" fillId="0" borderId="25" xfId="0" applyNumberFormat="1" applyFont="1" applyBorder="1" applyAlignment="1">
      <alignment horizontal="center" vertical="center"/>
    </xf>
    <xf numFmtId="0" fontId="39" fillId="39" borderId="4" xfId="0" applyFont="1" applyFill="1" applyBorder="1" applyAlignment="1">
      <alignment horizontal="center" vertical="center"/>
    </xf>
    <xf numFmtId="0" fontId="39" fillId="39" borderId="1" xfId="0" applyFont="1" applyFill="1" applyBorder="1" applyAlignment="1">
      <alignment horizontal="center" vertical="center"/>
    </xf>
    <xf numFmtId="3" fontId="35" fillId="0" borderId="55" xfId="0" applyNumberFormat="1" applyFont="1" applyBorder="1" applyAlignment="1">
      <alignment horizontal="center" vertical="center"/>
    </xf>
    <xf numFmtId="10" fontId="35" fillId="0" borderId="24" xfId="0" applyNumberFormat="1" applyFont="1" applyBorder="1" applyAlignment="1">
      <alignment horizontal="center" vertical="center"/>
    </xf>
    <xf numFmtId="3" fontId="35" fillId="0" borderId="2" xfId="0" applyNumberFormat="1" applyFont="1" applyBorder="1" applyAlignment="1">
      <alignment horizontal="center" vertical="center"/>
    </xf>
    <xf numFmtId="10" fontId="35" fillId="0" borderId="40" xfId="0" applyNumberFormat="1" applyFont="1" applyBorder="1" applyAlignment="1">
      <alignment horizontal="center" vertical="center"/>
    </xf>
    <xf numFmtId="0" fontId="40" fillId="39" borderId="21" xfId="0" applyFont="1" applyFill="1" applyBorder="1" applyAlignment="1">
      <alignment horizontal="center" vertical="center"/>
    </xf>
    <xf numFmtId="0" fontId="40" fillId="39" borderId="22" xfId="0" applyFont="1" applyFill="1" applyBorder="1" applyAlignment="1">
      <alignment horizontal="center" vertical="center"/>
    </xf>
    <xf numFmtId="0" fontId="40" fillId="39" borderId="9" xfId="0" applyFont="1" applyFill="1" applyBorder="1" applyAlignment="1">
      <alignment horizontal="center" vertical="center"/>
    </xf>
    <xf numFmtId="0" fontId="40" fillId="39" borderId="56" xfId="0" applyFont="1" applyFill="1" applyBorder="1" applyAlignment="1">
      <alignment horizontal="center" vertical="center"/>
    </xf>
    <xf numFmtId="0" fontId="40" fillId="39" borderId="4" xfId="0" applyFont="1" applyFill="1" applyBorder="1" applyAlignment="1">
      <alignment horizontal="center" vertical="center"/>
    </xf>
    <xf numFmtId="0" fontId="40" fillId="39" borderId="1" xfId="0" applyFont="1" applyFill="1" applyBorder="1" applyAlignment="1">
      <alignment horizontal="center" vertical="center"/>
    </xf>
    <xf numFmtId="176" fontId="37" fillId="4" borderId="7" xfId="1" applyNumberFormat="1" applyFont="1" applyFill="1" applyBorder="1" applyAlignment="1">
      <alignment horizontal="center" vertical="center"/>
    </xf>
    <xf numFmtId="0" fontId="35" fillId="6" borderId="11" xfId="0" applyFont="1" applyFill="1" applyBorder="1" applyAlignment="1">
      <alignment horizontal="center" vertical="center"/>
    </xf>
    <xf numFmtId="0" fontId="35" fillId="4" borderId="6" xfId="0" applyFont="1" applyFill="1" applyBorder="1" applyAlignment="1">
      <alignment horizontal="center" vertical="center"/>
    </xf>
    <xf numFmtId="0" fontId="35" fillId="2" borderId="17" xfId="0" applyFont="1" applyFill="1" applyBorder="1" applyAlignment="1">
      <alignment horizontal="center" vertical="center"/>
    </xf>
    <xf numFmtId="0" fontId="35" fillId="2" borderId="24" xfId="0" applyFont="1" applyFill="1" applyBorder="1" applyAlignment="1">
      <alignment horizontal="center" vertical="center"/>
    </xf>
    <xf numFmtId="177" fontId="37" fillId="2" borderId="24" xfId="1" applyNumberFormat="1" applyFont="1" applyFill="1" applyBorder="1" applyAlignment="1">
      <alignment horizontal="center" vertical="center"/>
    </xf>
    <xf numFmtId="10" fontId="37" fillId="2" borderId="16" xfId="1" applyNumberFormat="1" applyFont="1" applyFill="1" applyBorder="1" applyAlignment="1">
      <alignment horizontal="center" vertical="center"/>
    </xf>
    <xf numFmtId="0" fontId="35" fillId="0" borderId="6" xfId="0" applyFont="1" applyBorder="1" applyAlignment="1">
      <alignment horizontal="center" vertical="center"/>
    </xf>
    <xf numFmtId="0" fontId="29" fillId="6" borderId="10" xfId="0" applyFont="1" applyFill="1" applyBorder="1" applyAlignment="1">
      <alignment horizontal="center" vertical="center"/>
    </xf>
    <xf numFmtId="0" fontId="29" fillId="6" borderId="39" xfId="0" applyFont="1" applyFill="1" applyBorder="1" applyAlignment="1">
      <alignment horizontal="center" vertical="center"/>
    </xf>
    <xf numFmtId="0" fontId="29" fillId="6" borderId="2" xfId="0" applyFont="1" applyFill="1" applyBorder="1" applyAlignment="1">
      <alignment horizontal="center" vertical="center"/>
    </xf>
    <xf numFmtId="0" fontId="29" fillId="6" borderId="41" xfId="0" applyFont="1" applyFill="1" applyBorder="1" applyAlignment="1">
      <alignment horizontal="center" vertical="center"/>
    </xf>
    <xf numFmtId="0" fontId="39" fillId="39" borderId="42" xfId="0" applyFont="1" applyFill="1" applyBorder="1" applyAlignment="1">
      <alignment horizontal="center" vertical="center"/>
    </xf>
    <xf numFmtId="0" fontId="39" fillId="39" borderId="43" xfId="0" applyFont="1" applyFill="1" applyBorder="1" applyAlignment="1">
      <alignment horizontal="center" vertical="center"/>
    </xf>
    <xf numFmtId="0" fontId="39" fillId="39" borderId="12" xfId="0" applyFont="1" applyFill="1" applyBorder="1" applyAlignment="1">
      <alignment horizontal="center" vertical="center"/>
    </xf>
    <xf numFmtId="0" fontId="35" fillId="6" borderId="0" xfId="0" applyFont="1" applyFill="1" applyBorder="1" applyAlignment="1">
      <alignment horizontal="center" vertical="center"/>
    </xf>
    <xf numFmtId="0" fontId="35" fillId="6" borderId="0" xfId="0" applyFont="1" applyFill="1" applyBorder="1">
      <alignment vertical="center"/>
    </xf>
    <xf numFmtId="0" fontId="39" fillId="39" borderId="44" xfId="0" applyFont="1" applyFill="1" applyBorder="1" applyAlignment="1">
      <alignment horizontal="center" vertical="center"/>
    </xf>
    <xf numFmtId="0" fontId="35" fillId="6" borderId="21" xfId="0" applyFont="1" applyFill="1" applyBorder="1" applyAlignment="1">
      <alignment horizontal="center" vertical="center"/>
    </xf>
    <xf numFmtId="0" fontId="35" fillId="6" borderId="22" xfId="0" applyFont="1" applyFill="1" applyBorder="1" applyAlignment="1">
      <alignment horizontal="center" vertical="center"/>
    </xf>
    <xf numFmtId="0" fontId="39" fillId="39" borderId="46" xfId="0" applyFont="1" applyFill="1" applyBorder="1" applyAlignment="1">
      <alignment horizontal="center" vertical="center"/>
    </xf>
    <xf numFmtId="0" fontId="35" fillId="6" borderId="5" xfId="0" applyFont="1" applyFill="1" applyBorder="1" applyAlignment="1">
      <alignment horizontal="center" vertical="center"/>
    </xf>
    <xf numFmtId="0" fontId="39" fillId="39" borderId="48" xfId="0" applyFont="1" applyFill="1" applyBorder="1" applyAlignment="1">
      <alignment horizontal="center" vertical="center"/>
    </xf>
    <xf numFmtId="0" fontId="35" fillId="6" borderId="17" xfId="0" applyFont="1" applyFill="1" applyBorder="1" applyAlignment="1">
      <alignment horizontal="center" vertical="center"/>
    </xf>
    <xf numFmtId="0" fontId="35" fillId="6" borderId="16" xfId="0" applyFont="1" applyFill="1" applyBorder="1" applyAlignment="1">
      <alignment horizontal="center" vertical="center"/>
    </xf>
    <xf numFmtId="0" fontId="39" fillId="39" borderId="57" xfId="0" applyFont="1" applyFill="1" applyBorder="1" applyAlignment="1">
      <alignment horizontal="center" vertical="center"/>
    </xf>
    <xf numFmtId="0" fontId="39" fillId="39" borderId="15" xfId="0" applyFont="1" applyFill="1" applyBorder="1" applyAlignment="1">
      <alignment horizontal="center" vertical="center"/>
    </xf>
    <xf numFmtId="0" fontId="39" fillId="39" borderId="14" xfId="0" applyFont="1" applyFill="1" applyBorder="1" applyAlignment="1">
      <alignment horizontal="center" vertical="center"/>
    </xf>
    <xf numFmtId="0" fontId="39" fillId="39" borderId="50" xfId="0" applyFont="1" applyFill="1" applyBorder="1" applyAlignment="1">
      <alignment horizontal="center" vertical="center"/>
    </xf>
    <xf numFmtId="0" fontId="35" fillId="6" borderId="25" xfId="0" applyFont="1" applyFill="1" applyBorder="1" applyAlignment="1">
      <alignment horizontal="center" vertical="center"/>
    </xf>
    <xf numFmtId="0" fontId="39" fillId="39" borderId="51" xfId="0" applyFont="1" applyFill="1" applyBorder="1" applyAlignment="1">
      <alignment horizontal="center" vertical="center"/>
    </xf>
    <xf numFmtId="0" fontId="35" fillId="6" borderId="6" xfId="0" applyFont="1" applyFill="1" applyBorder="1" applyAlignment="1">
      <alignment horizontal="center" vertical="center"/>
    </xf>
    <xf numFmtId="0" fontId="35" fillId="6" borderId="52" xfId="0" applyFont="1" applyFill="1" applyBorder="1" applyAlignment="1">
      <alignment horizontal="center" vertical="center"/>
    </xf>
    <xf numFmtId="0" fontId="39" fillId="39" borderId="53" xfId="0" applyFont="1" applyFill="1" applyBorder="1" applyAlignment="1">
      <alignment horizontal="center" vertical="center"/>
    </xf>
    <xf numFmtId="0" fontId="35" fillId="6" borderId="4" xfId="0" applyFont="1" applyFill="1" applyBorder="1" applyAlignment="1">
      <alignment horizontal="center" vertical="center"/>
    </xf>
    <xf numFmtId="0" fontId="35" fillId="6" borderId="2" xfId="0" applyFont="1" applyFill="1" applyBorder="1" applyAlignment="1">
      <alignment horizontal="center" vertical="center"/>
    </xf>
    <xf numFmtId="0" fontId="35" fillId="6" borderId="41" xfId="0" applyFont="1" applyFill="1" applyBorder="1" applyAlignment="1">
      <alignment horizontal="center" vertical="center"/>
    </xf>
    <xf numFmtId="0" fontId="35" fillId="6" borderId="45" xfId="0" applyFont="1" applyFill="1" applyBorder="1" applyAlignment="1">
      <alignment horizontal="center" vertical="center"/>
    </xf>
    <xf numFmtId="0" fontId="35" fillId="6" borderId="47" xfId="0" applyFont="1" applyFill="1" applyBorder="1" applyAlignment="1">
      <alignment horizontal="center" vertical="center"/>
    </xf>
    <xf numFmtId="0" fontId="35" fillId="6" borderId="49" xfId="0" applyFont="1" applyFill="1" applyBorder="1" applyAlignment="1">
      <alignment horizontal="center" vertical="center"/>
    </xf>
  </cellXfs>
  <cellStyles count="50">
    <cellStyle name="20% - 강조색1" xfId="17" builtinId="30" customBuiltin="1"/>
    <cellStyle name="20% - 강조색2" xfId="20" builtinId="34" customBuiltin="1"/>
    <cellStyle name="20% - 강조색3" xfId="23" builtinId="38" customBuiltin="1"/>
    <cellStyle name="20% - 강조색4" xfId="26" builtinId="42" customBuiltin="1"/>
    <cellStyle name="20% - 강조색5" xfId="29" builtinId="46" customBuiltin="1"/>
    <cellStyle name="20% - 강조색6" xfId="32" builtinId="50" customBuiltin="1"/>
    <cellStyle name="40% - 강조색1" xfId="18" builtinId="31" customBuiltin="1"/>
    <cellStyle name="40% - 강조색2" xfId="21" builtinId="35" customBuiltin="1"/>
    <cellStyle name="40% - 강조색3" xfId="24" builtinId="39" customBuiltin="1"/>
    <cellStyle name="40% - 강조색4" xfId="27" builtinId="43" customBuiltin="1"/>
    <cellStyle name="40% - 강조색5" xfId="30" builtinId="47" customBuiltin="1"/>
    <cellStyle name="40% - 강조색6" xfId="33" builtinId="51" customBuiltin="1"/>
    <cellStyle name="60% - 강조색1 2" xfId="37" xr:uid="{00000000-0005-0000-0000-000032000000}"/>
    <cellStyle name="60% - 강조색2 2" xfId="38" xr:uid="{00000000-0005-0000-0000-000033000000}"/>
    <cellStyle name="60% - 강조색3 2" xfId="39" xr:uid="{00000000-0005-0000-0000-000034000000}"/>
    <cellStyle name="60% - 강조색4 2" xfId="40" xr:uid="{00000000-0005-0000-0000-000035000000}"/>
    <cellStyle name="60% - 강조색5 2" xfId="41" xr:uid="{00000000-0005-0000-0000-000036000000}"/>
    <cellStyle name="60% - 강조색6 2" xfId="42" xr:uid="{00000000-0005-0000-0000-000037000000}"/>
    <cellStyle name="강조색1" xfId="16" builtinId="29" customBuiltin="1"/>
    <cellStyle name="강조색2" xfId="19" builtinId="33" customBuiltin="1"/>
    <cellStyle name="강조색3" xfId="22" builtinId="37" customBuiltin="1"/>
    <cellStyle name="강조색4" xfId="25" builtinId="41" customBuiltin="1"/>
    <cellStyle name="강조색5" xfId="28" builtinId="45" customBuiltin="1"/>
    <cellStyle name="강조색6" xfId="31" builtinId="49" customBuiltin="1"/>
    <cellStyle name="경고문" xfId="13" builtinId="11" customBuiltin="1"/>
    <cellStyle name="계산" xfId="10" builtinId="22" customBuiltin="1"/>
    <cellStyle name="나쁨" xfId="7" builtinId="27" customBuiltin="1"/>
    <cellStyle name="메모 2" xfId="44" xr:uid="{00000000-0005-0000-0000-00001B000000}"/>
    <cellStyle name="보통 2" xfId="36" xr:uid="{00000000-0005-0000-0000-000039000000}"/>
    <cellStyle name="설명 텍스트" xfId="14" builtinId="53" customBuiltin="1"/>
    <cellStyle name="셀 확인" xfId="12" builtinId="23" customBuiltin="1"/>
    <cellStyle name="연결된 셀" xfId="11" builtinId="24" customBuiltin="1"/>
    <cellStyle name="열어 본 하이퍼링크 2" xfId="47" xr:uid="{00000000-0005-0000-0000-000020000000}"/>
    <cellStyle name="요약" xfId="15" builtinId="25" customBuiltin="1"/>
    <cellStyle name="입력" xfId="8" builtinId="20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제목 5" xfId="35" xr:uid="{00000000-0005-0000-0000-00003B000000}"/>
    <cellStyle name="좋음" xfId="6" builtinId="26" customBuiltin="1"/>
    <cellStyle name="출력" xfId="9" builtinId="21" customBuiltin="1"/>
    <cellStyle name="표준" xfId="0" builtinId="0"/>
    <cellStyle name="표준 2" xfId="34" xr:uid="{00000000-0005-0000-0000-00002B000000}"/>
    <cellStyle name="표준 3" xfId="45" xr:uid="{00000000-0005-0000-0000-00002C000000}"/>
    <cellStyle name="표준 3 2" xfId="49" xr:uid="{00000000-0005-0000-0000-00002D000000}"/>
    <cellStyle name="표준 4" xfId="1" xr:uid="{2FF9B68B-8794-4F1F-9B6D-29886EAF3713}"/>
    <cellStyle name="표준 4 2" xfId="43" xr:uid="{00000000-0005-0000-0000-00002E000000}"/>
    <cellStyle name="표준 5" xfId="48" xr:uid="{00000000-0005-0000-0000-00002F000000}"/>
    <cellStyle name="하이퍼링크 2" xfId="46" xr:uid="{00000000-0005-0000-0000-000030000000}"/>
  </cellStyles>
  <dxfs count="62"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</dxfs>
  <tableStyles count="0" defaultTableStyle="TableStyleMedium2" defaultPivotStyle="PivotStyleLight16"/>
  <colors>
    <mruColors>
      <color rgb="FFD4D4D4"/>
      <color rgb="FFCCFFCC"/>
      <color rgb="FFFFFF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4</xdr:row>
          <xdr:rowOff>107950</xdr:rowOff>
        </xdr:from>
        <xdr:to>
          <xdr:col>9</xdr:col>
          <xdr:colOff>88900</xdr:colOff>
          <xdr:row>7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자동 병합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6F596D-1499-418A-8860-3C8EB1877B25}">
  <sheetPr codeName="Sheet1"/>
  <dimension ref="B3:E20"/>
  <sheetViews>
    <sheetView tabSelected="1" zoomScale="115" zoomScaleNormal="115" workbookViewId="0">
      <selection activeCell="C4" sqref="C4:E20"/>
    </sheetView>
  </sheetViews>
  <sheetFormatPr defaultRowHeight="17" x14ac:dyDescent="0.45"/>
  <cols>
    <col min="2" max="2" width="15.75" style="1" customWidth="1"/>
    <col min="3" max="5" width="12.58203125" style="1" customWidth="1"/>
  </cols>
  <sheetData>
    <row r="3" spans="2:5" x14ac:dyDescent="0.45">
      <c r="C3" s="1" t="s">
        <v>1</v>
      </c>
      <c r="D3" s="1" t="s">
        <v>2</v>
      </c>
      <c r="E3" s="1" t="s">
        <v>0</v>
      </c>
    </row>
    <row r="4" spans="2:5" x14ac:dyDescent="0.45">
      <c r="B4" s="16" t="s">
        <v>3</v>
      </c>
      <c r="C4" s="50">
        <v>265905</v>
      </c>
      <c r="D4" s="49" t="s">
        <v>68</v>
      </c>
      <c r="E4" s="49" t="s">
        <v>69</v>
      </c>
    </row>
    <row r="5" spans="2:5" x14ac:dyDescent="0.45">
      <c r="B5" s="16" t="s">
        <v>57</v>
      </c>
      <c r="C5" s="50">
        <v>264466</v>
      </c>
      <c r="D5" s="49" t="s">
        <v>70</v>
      </c>
      <c r="E5" s="49" t="s">
        <v>71</v>
      </c>
    </row>
    <row r="6" spans="2:5" x14ac:dyDescent="0.45">
      <c r="B6" s="16" t="s">
        <v>4</v>
      </c>
      <c r="C6" s="50">
        <v>262512</v>
      </c>
      <c r="D6" s="49" t="s">
        <v>72</v>
      </c>
      <c r="E6" s="49" t="s">
        <v>73</v>
      </c>
    </row>
    <row r="7" spans="2:5" x14ac:dyDescent="0.45">
      <c r="B7" s="16" t="s">
        <v>5</v>
      </c>
      <c r="C7" s="50">
        <v>261642</v>
      </c>
      <c r="D7" s="49" t="s">
        <v>74</v>
      </c>
      <c r="E7" s="49" t="s">
        <v>75</v>
      </c>
    </row>
    <row r="8" spans="2:5" x14ac:dyDescent="0.45">
      <c r="B8" s="16" t="s">
        <v>7</v>
      </c>
      <c r="C8" s="50">
        <v>56150</v>
      </c>
      <c r="D8" s="49" t="s">
        <v>76</v>
      </c>
      <c r="E8" s="49" t="s">
        <v>77</v>
      </c>
    </row>
    <row r="9" spans="2:5" x14ac:dyDescent="0.45">
      <c r="B9" s="16" t="s">
        <v>8</v>
      </c>
      <c r="C9" s="50">
        <v>35434</v>
      </c>
      <c r="D9" s="49" t="s">
        <v>78</v>
      </c>
      <c r="E9" s="49" t="s">
        <v>79</v>
      </c>
    </row>
    <row r="10" spans="2:5" x14ac:dyDescent="0.45">
      <c r="B10" s="16" t="s">
        <v>9</v>
      </c>
      <c r="C10" s="50">
        <v>25834</v>
      </c>
      <c r="D10" s="49" t="s">
        <v>80</v>
      </c>
      <c r="E10" s="49" t="s">
        <v>81</v>
      </c>
    </row>
    <row r="11" spans="2:5" x14ac:dyDescent="0.45">
      <c r="B11" s="16" t="s">
        <v>10</v>
      </c>
      <c r="C11" s="50">
        <v>17569</v>
      </c>
      <c r="D11" s="49" t="s">
        <v>82</v>
      </c>
      <c r="E11" s="49" t="s">
        <v>83</v>
      </c>
    </row>
    <row r="12" spans="2:5" x14ac:dyDescent="0.45">
      <c r="B12" s="16" t="s">
        <v>11</v>
      </c>
      <c r="C12" s="50">
        <v>9849</v>
      </c>
      <c r="D12" s="49" t="s">
        <v>84</v>
      </c>
      <c r="E12" s="49" t="s">
        <v>85</v>
      </c>
    </row>
    <row r="13" spans="2:5" x14ac:dyDescent="0.45">
      <c r="B13" s="16" t="s">
        <v>12</v>
      </c>
      <c r="C13" s="50">
        <v>17574</v>
      </c>
      <c r="D13" s="49" t="s">
        <v>86</v>
      </c>
      <c r="E13" s="49" t="s">
        <v>87</v>
      </c>
    </row>
    <row r="14" spans="2:5" x14ac:dyDescent="0.45">
      <c r="B14" s="16" t="s">
        <v>56</v>
      </c>
      <c r="C14" s="50">
        <v>12377</v>
      </c>
      <c r="D14" s="49" t="s">
        <v>88</v>
      </c>
      <c r="E14" s="49" t="s">
        <v>89</v>
      </c>
    </row>
    <row r="15" spans="2:5" x14ac:dyDescent="0.45">
      <c r="B15" s="16" t="s">
        <v>13</v>
      </c>
      <c r="C15" s="50">
        <v>33912</v>
      </c>
      <c r="D15" s="49" t="s">
        <v>90</v>
      </c>
      <c r="E15" s="49" t="s">
        <v>91</v>
      </c>
    </row>
    <row r="16" spans="2:5" x14ac:dyDescent="0.45">
      <c r="B16" s="16" t="s">
        <v>14</v>
      </c>
      <c r="C16" s="50">
        <v>47071</v>
      </c>
      <c r="D16" s="49" t="s">
        <v>92</v>
      </c>
      <c r="E16" s="49" t="s">
        <v>93</v>
      </c>
    </row>
    <row r="17" spans="2:5" x14ac:dyDescent="0.45">
      <c r="B17" s="16" t="s">
        <v>55</v>
      </c>
      <c r="C17" s="50">
        <v>44407</v>
      </c>
      <c r="D17" s="49" t="s">
        <v>94</v>
      </c>
      <c r="E17" s="49" t="s">
        <v>95</v>
      </c>
    </row>
    <row r="18" spans="2:5" x14ac:dyDescent="0.45">
      <c r="B18" s="16" t="s">
        <v>15</v>
      </c>
      <c r="C18" s="50">
        <v>64777</v>
      </c>
      <c r="D18" s="49" t="s">
        <v>96</v>
      </c>
      <c r="E18" s="49" t="s">
        <v>97</v>
      </c>
    </row>
    <row r="19" spans="2:5" x14ac:dyDescent="0.45">
      <c r="B19" s="16" t="s">
        <v>16</v>
      </c>
      <c r="C19" s="50">
        <v>95599</v>
      </c>
      <c r="D19" s="49" t="s">
        <v>98</v>
      </c>
      <c r="E19" s="49" t="s">
        <v>99</v>
      </c>
    </row>
    <row r="20" spans="2:5" x14ac:dyDescent="0.45">
      <c r="B20" s="16" t="s">
        <v>17</v>
      </c>
      <c r="C20" s="50">
        <v>58651</v>
      </c>
      <c r="D20" s="49" t="s">
        <v>100</v>
      </c>
      <c r="E20" s="49" t="s">
        <v>101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표점증발병합_및_복사영역선택">
                <anchor moveWithCells="1" sizeWithCells="1">
                  <from>
                    <xdr:col>6</xdr:col>
                    <xdr:colOff>323850</xdr:colOff>
                    <xdr:row>4</xdr:row>
                    <xdr:rowOff>107950</xdr:rowOff>
                  </from>
                  <to>
                    <xdr:col>9</xdr:col>
                    <xdr:colOff>88900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BFFD9-ECD1-4F20-92E4-14F247EF20FA}">
  <sheetPr codeName="Sheet2"/>
  <dimension ref="A3:V156"/>
  <sheetViews>
    <sheetView workbookViewId="0">
      <selection activeCell="C4" sqref="C4:D156"/>
    </sheetView>
  </sheetViews>
  <sheetFormatPr defaultRowHeight="17" x14ac:dyDescent="0.45"/>
  <cols>
    <col min="2" max="2" width="12.58203125" customWidth="1"/>
    <col min="3" max="3" width="18" customWidth="1"/>
    <col min="4" max="4" width="15.6640625" customWidth="1"/>
    <col min="5" max="22" width="12.58203125" customWidth="1"/>
  </cols>
  <sheetData>
    <row r="3" spans="1:22" x14ac:dyDescent="0.45">
      <c r="C3" s="76" t="s">
        <v>53</v>
      </c>
      <c r="D3" s="76"/>
      <c r="E3" s="1"/>
      <c r="F3" s="1"/>
      <c r="G3" s="1"/>
      <c r="H3" s="1"/>
      <c r="I3" s="1"/>
      <c r="J3" s="1"/>
      <c r="K3" s="1"/>
      <c r="L3" s="1"/>
      <c r="M3" s="1"/>
      <c r="N3" s="1"/>
      <c r="O3" s="1" t="s">
        <v>21</v>
      </c>
      <c r="P3" s="1" t="s">
        <v>15</v>
      </c>
      <c r="Q3" s="1" t="s">
        <v>16</v>
      </c>
      <c r="R3" s="1" t="s">
        <v>17</v>
      </c>
      <c r="S3" s="1" t="s">
        <v>22</v>
      </c>
      <c r="T3" s="1" t="s">
        <v>18</v>
      </c>
      <c r="U3" s="1" t="s">
        <v>19</v>
      </c>
      <c r="V3" s="1" t="s">
        <v>20</v>
      </c>
    </row>
    <row r="4" spans="1:22" x14ac:dyDescent="0.45">
      <c r="A4" t="s">
        <v>41</v>
      </c>
      <c r="B4" s="1" t="s">
        <v>23</v>
      </c>
      <c r="C4" s="51">
        <v>133</v>
      </c>
      <c r="D4" s="52">
        <v>12542</v>
      </c>
    </row>
    <row r="5" spans="1:22" x14ac:dyDescent="0.45">
      <c r="B5" s="1" t="s">
        <v>24</v>
      </c>
      <c r="C5" s="51">
        <v>126</v>
      </c>
      <c r="D5" s="52">
        <v>18465</v>
      </c>
    </row>
    <row r="6" spans="1:22" x14ac:dyDescent="0.45">
      <c r="B6" s="1" t="s">
        <v>25</v>
      </c>
      <c r="C6" s="51">
        <v>117</v>
      </c>
      <c r="D6" s="52">
        <v>30884</v>
      </c>
    </row>
    <row r="7" spans="1:22" x14ac:dyDescent="0.45">
      <c r="B7" s="1" t="s">
        <v>26</v>
      </c>
      <c r="C7" s="51">
        <v>107</v>
      </c>
      <c r="D7" s="52">
        <v>46100</v>
      </c>
    </row>
    <row r="8" spans="1:22" x14ac:dyDescent="0.45">
      <c r="B8" s="1" t="s">
        <v>27</v>
      </c>
      <c r="C8" s="51">
        <v>94</v>
      </c>
      <c r="D8" s="52">
        <v>56604</v>
      </c>
    </row>
    <row r="9" spans="1:22" x14ac:dyDescent="0.45">
      <c r="B9" s="1" t="s">
        <v>28</v>
      </c>
      <c r="C9" s="51">
        <v>81</v>
      </c>
      <c r="D9" s="52">
        <v>42952</v>
      </c>
    </row>
    <row r="10" spans="1:22" x14ac:dyDescent="0.45">
      <c r="B10" s="1" t="s">
        <v>29</v>
      </c>
      <c r="C10" s="51">
        <v>72</v>
      </c>
      <c r="D10" s="52">
        <v>38837</v>
      </c>
    </row>
    <row r="11" spans="1:22" x14ac:dyDescent="0.45">
      <c r="B11" s="1" t="s">
        <v>30</v>
      </c>
      <c r="C11" s="51">
        <v>69</v>
      </c>
      <c r="D11" s="52">
        <v>9186</v>
      </c>
    </row>
    <row r="12" spans="1:22" x14ac:dyDescent="0.45">
      <c r="B12" s="1" t="s">
        <v>32</v>
      </c>
      <c r="C12" s="51">
        <v>53</v>
      </c>
      <c r="D12" s="52">
        <v>10335</v>
      </c>
    </row>
    <row r="13" spans="1:22" x14ac:dyDescent="0.45">
      <c r="A13" t="s">
        <v>59</v>
      </c>
      <c r="B13" s="1" t="s">
        <v>33</v>
      </c>
      <c r="C13" s="51">
        <v>135</v>
      </c>
      <c r="D13" s="52">
        <v>13396</v>
      </c>
    </row>
    <row r="14" spans="1:22" x14ac:dyDescent="0.45">
      <c r="B14" s="1" t="s">
        <v>34</v>
      </c>
      <c r="C14" s="51">
        <v>127</v>
      </c>
      <c r="D14" s="52">
        <v>16199</v>
      </c>
    </row>
    <row r="15" spans="1:22" x14ac:dyDescent="0.45">
      <c r="B15" s="1" t="s">
        <v>35</v>
      </c>
      <c r="C15" s="51">
        <v>118</v>
      </c>
      <c r="D15" s="52">
        <v>31841</v>
      </c>
    </row>
    <row r="16" spans="1:22" x14ac:dyDescent="0.45">
      <c r="B16" s="1" t="s">
        <v>36</v>
      </c>
      <c r="C16" s="51">
        <v>106</v>
      </c>
      <c r="D16" s="52">
        <v>45415</v>
      </c>
    </row>
    <row r="17" spans="1:4" x14ac:dyDescent="0.45">
      <c r="B17" s="1" t="s">
        <v>37</v>
      </c>
      <c r="C17" s="51">
        <v>91</v>
      </c>
      <c r="D17" s="52">
        <v>53647</v>
      </c>
    </row>
    <row r="18" spans="1:4" x14ac:dyDescent="0.45">
      <c r="B18" s="1" t="s">
        <v>38</v>
      </c>
      <c r="C18" s="51">
        <v>79</v>
      </c>
      <c r="D18" s="52">
        <v>61039</v>
      </c>
    </row>
    <row r="19" spans="1:4" x14ac:dyDescent="0.45">
      <c r="B19" s="1" t="s">
        <v>39</v>
      </c>
      <c r="C19" s="51">
        <v>76</v>
      </c>
      <c r="D19" s="52">
        <v>17292</v>
      </c>
    </row>
    <row r="20" spans="1:4" x14ac:dyDescent="0.45">
      <c r="B20" s="1" t="s">
        <v>40</v>
      </c>
      <c r="C20" s="51">
        <v>73</v>
      </c>
      <c r="D20" s="52">
        <v>17944</v>
      </c>
    </row>
    <row r="21" spans="1:4" x14ac:dyDescent="0.45">
      <c r="B21" s="1" t="s">
        <v>31</v>
      </c>
      <c r="C21" s="51">
        <v>65</v>
      </c>
      <c r="D21" s="52">
        <v>7693</v>
      </c>
    </row>
    <row r="22" spans="1:4" x14ac:dyDescent="0.45">
      <c r="A22" t="s">
        <v>60</v>
      </c>
      <c r="B22" s="1" t="s">
        <v>23</v>
      </c>
      <c r="C22" s="51">
        <v>90</v>
      </c>
      <c r="D22" s="52">
        <v>19672</v>
      </c>
    </row>
    <row r="23" spans="1:4" x14ac:dyDescent="0.45">
      <c r="B23" s="1" t="s">
        <v>24</v>
      </c>
      <c r="C23" s="51">
        <v>80</v>
      </c>
      <c r="D23" s="52">
        <v>26833</v>
      </c>
    </row>
    <row r="24" spans="1:4" x14ac:dyDescent="0.45">
      <c r="B24" s="1" t="s">
        <v>25</v>
      </c>
      <c r="C24" s="51">
        <v>70</v>
      </c>
      <c r="D24" s="52">
        <v>39483</v>
      </c>
    </row>
    <row r="25" spans="1:4" x14ac:dyDescent="0.45">
      <c r="B25" s="1" t="s">
        <v>26</v>
      </c>
      <c r="C25" s="51">
        <v>60</v>
      </c>
      <c r="D25" s="52">
        <v>43534</v>
      </c>
    </row>
    <row r="26" spans="1:4" x14ac:dyDescent="0.45">
      <c r="B26" s="1" t="s">
        <v>27</v>
      </c>
      <c r="C26" s="51">
        <v>50</v>
      </c>
      <c r="D26" s="52">
        <v>38915</v>
      </c>
    </row>
    <row r="27" spans="1:4" x14ac:dyDescent="0.45">
      <c r="B27" s="1" t="s">
        <v>28</v>
      </c>
      <c r="C27" s="51">
        <v>40</v>
      </c>
      <c r="D27" s="52">
        <v>33600</v>
      </c>
    </row>
    <row r="28" spans="1:4" x14ac:dyDescent="0.45">
      <c r="B28" s="1" t="s">
        <v>29</v>
      </c>
      <c r="C28" s="51">
        <v>30</v>
      </c>
      <c r="D28" s="52">
        <v>27215</v>
      </c>
    </row>
    <row r="29" spans="1:4" x14ac:dyDescent="0.45">
      <c r="B29" s="1" t="s">
        <v>30</v>
      </c>
      <c r="C29" s="51">
        <v>20</v>
      </c>
      <c r="D29" s="52">
        <v>21605</v>
      </c>
    </row>
    <row r="30" spans="1:4" x14ac:dyDescent="0.45">
      <c r="B30" s="1" t="s">
        <v>32</v>
      </c>
      <c r="C30" s="51">
        <v>0</v>
      </c>
      <c r="D30" s="52">
        <v>11655</v>
      </c>
    </row>
    <row r="31" spans="1:4" x14ac:dyDescent="0.45">
      <c r="A31" t="s">
        <v>61</v>
      </c>
      <c r="B31" s="1" t="s">
        <v>23</v>
      </c>
      <c r="C31" s="51">
        <v>40</v>
      </c>
      <c r="D31" s="52">
        <v>29283</v>
      </c>
    </row>
    <row r="32" spans="1:4" x14ac:dyDescent="0.45">
      <c r="B32" s="1" t="s">
        <v>24</v>
      </c>
      <c r="C32" s="51">
        <v>35</v>
      </c>
      <c r="D32" s="52">
        <v>24158</v>
      </c>
    </row>
    <row r="33" spans="1:4" x14ac:dyDescent="0.45">
      <c r="B33" s="1" t="s">
        <v>25</v>
      </c>
      <c r="C33" s="51">
        <v>30</v>
      </c>
      <c r="D33" s="52">
        <v>29718</v>
      </c>
    </row>
    <row r="34" spans="1:4" x14ac:dyDescent="0.45">
      <c r="B34" s="1" t="s">
        <v>26</v>
      </c>
      <c r="C34" s="51">
        <v>25</v>
      </c>
      <c r="D34" s="52">
        <v>33094</v>
      </c>
    </row>
    <row r="35" spans="1:4" x14ac:dyDescent="0.45">
      <c r="B35" s="1" t="s">
        <v>27</v>
      </c>
      <c r="C35" s="51">
        <v>20</v>
      </c>
      <c r="D35" s="52">
        <v>35088</v>
      </c>
    </row>
    <row r="36" spans="1:4" x14ac:dyDescent="0.45">
      <c r="B36" s="1" t="s">
        <v>28</v>
      </c>
      <c r="C36" s="51">
        <v>15</v>
      </c>
      <c r="D36" s="52">
        <v>37231</v>
      </c>
    </row>
    <row r="37" spans="1:4" x14ac:dyDescent="0.45">
      <c r="B37" s="1" t="s">
        <v>29</v>
      </c>
      <c r="C37" s="51">
        <v>10</v>
      </c>
      <c r="D37" s="52">
        <v>42811</v>
      </c>
    </row>
    <row r="38" spans="1:4" x14ac:dyDescent="0.45">
      <c r="B38" s="1" t="s">
        <v>30</v>
      </c>
      <c r="C38" s="51">
        <v>5</v>
      </c>
      <c r="D38" s="52">
        <v>26046</v>
      </c>
    </row>
    <row r="39" spans="1:4" x14ac:dyDescent="0.45">
      <c r="B39" s="1" t="s">
        <v>32</v>
      </c>
      <c r="C39" s="51">
        <v>0</v>
      </c>
      <c r="D39" s="52">
        <v>4213</v>
      </c>
    </row>
    <row r="40" spans="1:4" x14ac:dyDescent="0.45">
      <c r="A40" t="s">
        <v>42</v>
      </c>
      <c r="B40" s="1" t="s">
        <v>33</v>
      </c>
      <c r="C40" s="51">
        <v>66</v>
      </c>
      <c r="D40" s="52">
        <v>2354</v>
      </c>
    </row>
    <row r="41" spans="1:4" x14ac:dyDescent="0.45">
      <c r="B41" s="1" t="s">
        <v>34</v>
      </c>
      <c r="C41" s="51">
        <v>62</v>
      </c>
      <c r="D41" s="52">
        <v>4524</v>
      </c>
    </row>
    <row r="42" spans="1:4" x14ac:dyDescent="0.45">
      <c r="B42" s="1" t="s">
        <v>35</v>
      </c>
      <c r="C42" s="51">
        <v>58</v>
      </c>
      <c r="D42" s="52">
        <v>6781</v>
      </c>
    </row>
    <row r="43" spans="1:4" x14ac:dyDescent="0.45">
      <c r="B43" s="1" t="s">
        <v>36</v>
      </c>
      <c r="C43" s="51">
        <v>54</v>
      </c>
      <c r="D43" s="52">
        <v>10381</v>
      </c>
    </row>
    <row r="44" spans="1:4" x14ac:dyDescent="0.45">
      <c r="B44" s="1" t="s">
        <v>37</v>
      </c>
      <c r="C44" s="51">
        <v>48</v>
      </c>
      <c r="D44" s="52">
        <v>10348</v>
      </c>
    </row>
    <row r="45" spans="1:4" x14ac:dyDescent="0.45">
      <c r="B45" s="1" t="s">
        <v>38</v>
      </c>
      <c r="C45" s="51">
        <v>40</v>
      </c>
      <c r="D45" s="52">
        <v>9685</v>
      </c>
    </row>
    <row r="46" spans="1:4" x14ac:dyDescent="0.45">
      <c r="B46" s="1" t="s">
        <v>39</v>
      </c>
      <c r="C46" s="51">
        <v>36</v>
      </c>
      <c r="D46" s="52">
        <v>6586</v>
      </c>
    </row>
    <row r="47" spans="1:4" x14ac:dyDescent="0.45">
      <c r="B47" s="1" t="s">
        <v>40</v>
      </c>
      <c r="C47" s="51">
        <v>34</v>
      </c>
      <c r="D47" s="52">
        <v>4024</v>
      </c>
    </row>
    <row r="48" spans="1:4" x14ac:dyDescent="0.45">
      <c r="B48" s="1" t="s">
        <v>31</v>
      </c>
      <c r="C48" s="51">
        <v>28</v>
      </c>
      <c r="D48" s="52">
        <v>1467</v>
      </c>
    </row>
    <row r="49" spans="1:4" x14ac:dyDescent="0.45">
      <c r="A49" t="s">
        <v>43</v>
      </c>
      <c r="B49" s="1" t="s">
        <v>23</v>
      </c>
      <c r="C49" s="51">
        <v>67</v>
      </c>
      <c r="D49" s="52">
        <v>1895</v>
      </c>
    </row>
    <row r="50" spans="1:4" x14ac:dyDescent="0.45">
      <c r="B50" s="1" t="s">
        <v>24</v>
      </c>
      <c r="C50" s="51">
        <v>64</v>
      </c>
      <c r="D50" s="52">
        <v>2150</v>
      </c>
    </row>
    <row r="51" spans="1:4" x14ac:dyDescent="0.45">
      <c r="B51" s="1" t="s">
        <v>25</v>
      </c>
      <c r="C51" s="51">
        <v>59</v>
      </c>
      <c r="D51" s="52">
        <v>4244</v>
      </c>
    </row>
    <row r="52" spans="1:4" x14ac:dyDescent="0.45">
      <c r="B52" s="1" t="s">
        <v>26</v>
      </c>
      <c r="C52" s="51">
        <v>53</v>
      </c>
      <c r="D52" s="52">
        <v>6069</v>
      </c>
    </row>
    <row r="53" spans="1:4" x14ac:dyDescent="0.45">
      <c r="B53" s="1" t="s">
        <v>27</v>
      </c>
      <c r="C53" s="51">
        <v>46</v>
      </c>
      <c r="D53" s="52">
        <v>6942</v>
      </c>
    </row>
    <row r="54" spans="1:4" x14ac:dyDescent="0.45">
      <c r="B54" s="1" t="s">
        <v>28</v>
      </c>
      <c r="C54" s="51">
        <v>40</v>
      </c>
      <c r="D54" s="52">
        <v>7804</v>
      </c>
    </row>
    <row r="55" spans="1:4" x14ac:dyDescent="0.45">
      <c r="B55" s="1" t="s">
        <v>29</v>
      </c>
      <c r="C55" s="51">
        <v>38</v>
      </c>
      <c r="D55" s="52">
        <v>3562</v>
      </c>
    </row>
    <row r="56" spans="1:4" x14ac:dyDescent="0.45">
      <c r="B56" s="1" t="s">
        <v>30</v>
      </c>
      <c r="C56" s="51">
        <v>35</v>
      </c>
      <c r="D56" s="52">
        <v>2038</v>
      </c>
    </row>
    <row r="57" spans="1:4" x14ac:dyDescent="0.45">
      <c r="B57" s="1" t="s">
        <v>32</v>
      </c>
      <c r="C57" s="51">
        <v>30</v>
      </c>
      <c r="D57" s="52">
        <v>730</v>
      </c>
    </row>
    <row r="58" spans="1:4" x14ac:dyDescent="0.45">
      <c r="A58" t="s">
        <v>44</v>
      </c>
      <c r="B58" s="1" t="s">
        <v>33</v>
      </c>
      <c r="C58" s="51">
        <v>67</v>
      </c>
      <c r="D58" s="52">
        <v>1327</v>
      </c>
    </row>
    <row r="59" spans="1:4" x14ac:dyDescent="0.45">
      <c r="B59" s="1" t="s">
        <v>34</v>
      </c>
      <c r="C59" s="51">
        <v>63</v>
      </c>
      <c r="D59" s="52">
        <v>1833</v>
      </c>
    </row>
    <row r="60" spans="1:4" x14ac:dyDescent="0.45">
      <c r="B60" s="1" t="s">
        <v>35</v>
      </c>
      <c r="C60" s="51">
        <v>59</v>
      </c>
      <c r="D60" s="52">
        <v>2904</v>
      </c>
    </row>
    <row r="61" spans="1:4" x14ac:dyDescent="0.45">
      <c r="B61" s="1" t="s">
        <v>36</v>
      </c>
      <c r="C61" s="51">
        <v>54</v>
      </c>
      <c r="D61" s="52">
        <v>4309</v>
      </c>
    </row>
    <row r="62" spans="1:4" x14ac:dyDescent="0.45">
      <c r="B62" s="1" t="s">
        <v>37</v>
      </c>
      <c r="C62" s="51">
        <v>47</v>
      </c>
      <c r="D62" s="52">
        <v>5628</v>
      </c>
    </row>
    <row r="63" spans="1:4" x14ac:dyDescent="0.45">
      <c r="B63" s="1" t="s">
        <v>38</v>
      </c>
      <c r="C63" s="51">
        <v>41</v>
      </c>
      <c r="D63" s="52">
        <v>4040</v>
      </c>
    </row>
    <row r="64" spans="1:4" x14ac:dyDescent="0.45">
      <c r="B64" s="1" t="s">
        <v>39</v>
      </c>
      <c r="C64" s="51">
        <v>37</v>
      </c>
      <c r="D64" s="52">
        <v>3413</v>
      </c>
    </row>
    <row r="65" spans="1:4" x14ac:dyDescent="0.45">
      <c r="B65" s="1" t="s">
        <v>40</v>
      </c>
      <c r="C65" s="51">
        <v>34</v>
      </c>
      <c r="D65" s="52">
        <v>1832</v>
      </c>
    </row>
    <row r="66" spans="1:4" x14ac:dyDescent="0.45">
      <c r="B66" s="1" t="s">
        <v>31</v>
      </c>
      <c r="C66" s="51">
        <v>27</v>
      </c>
      <c r="D66" s="52">
        <v>548</v>
      </c>
    </row>
    <row r="67" spans="1:4" x14ac:dyDescent="0.45">
      <c r="A67" t="s">
        <v>45</v>
      </c>
      <c r="B67" s="1" t="s">
        <v>23</v>
      </c>
      <c r="C67" s="51">
        <v>69</v>
      </c>
      <c r="D67" s="52">
        <v>728</v>
      </c>
    </row>
    <row r="68" spans="1:4" x14ac:dyDescent="0.45">
      <c r="B68" s="1" t="s">
        <v>24</v>
      </c>
      <c r="C68" s="51">
        <v>64</v>
      </c>
      <c r="D68" s="52">
        <v>1247</v>
      </c>
    </row>
    <row r="69" spans="1:4" x14ac:dyDescent="0.45">
      <c r="B69" s="1" t="s">
        <v>25</v>
      </c>
      <c r="C69" s="51">
        <v>58</v>
      </c>
      <c r="D69" s="52">
        <v>2278</v>
      </c>
    </row>
    <row r="70" spans="1:4" x14ac:dyDescent="0.45">
      <c r="B70" s="1" t="s">
        <v>26</v>
      </c>
      <c r="C70" s="51">
        <v>52</v>
      </c>
      <c r="D70" s="52">
        <v>3138</v>
      </c>
    </row>
    <row r="71" spans="1:4" x14ac:dyDescent="0.45">
      <c r="B71" s="1" t="s">
        <v>27</v>
      </c>
      <c r="C71" s="51">
        <v>46</v>
      </c>
      <c r="D71" s="52">
        <v>3508</v>
      </c>
    </row>
    <row r="72" spans="1:4" x14ac:dyDescent="0.45">
      <c r="B72" s="1" t="s">
        <v>28</v>
      </c>
      <c r="C72" s="51">
        <v>41</v>
      </c>
      <c r="D72" s="52">
        <v>2838</v>
      </c>
    </row>
    <row r="73" spans="1:4" x14ac:dyDescent="0.45">
      <c r="B73" s="1" t="s">
        <v>29</v>
      </c>
      <c r="C73" s="51">
        <v>37</v>
      </c>
      <c r="D73" s="52">
        <v>2778</v>
      </c>
    </row>
    <row r="74" spans="1:4" x14ac:dyDescent="0.45">
      <c r="B74" s="1" t="s">
        <v>30</v>
      </c>
      <c r="C74" s="51">
        <v>35</v>
      </c>
      <c r="D74" s="52">
        <v>533</v>
      </c>
    </row>
    <row r="75" spans="1:4" x14ac:dyDescent="0.45">
      <c r="B75" s="1" t="s">
        <v>32</v>
      </c>
      <c r="C75" s="51">
        <v>30</v>
      </c>
      <c r="D75" s="52">
        <v>521</v>
      </c>
    </row>
    <row r="76" spans="1:4" x14ac:dyDescent="0.45">
      <c r="A76" t="s">
        <v>46</v>
      </c>
      <c r="B76" s="1" t="s">
        <v>33</v>
      </c>
      <c r="C76" s="51">
        <v>69</v>
      </c>
      <c r="D76" s="52">
        <v>547</v>
      </c>
    </row>
    <row r="77" spans="1:4" x14ac:dyDescent="0.45">
      <c r="B77" s="1" t="s">
        <v>34</v>
      </c>
      <c r="C77" s="51">
        <v>65</v>
      </c>
      <c r="D77" s="52">
        <v>641</v>
      </c>
    </row>
    <row r="78" spans="1:4" x14ac:dyDescent="0.45">
      <c r="B78" s="1" t="s">
        <v>35</v>
      </c>
      <c r="C78" s="51">
        <v>59</v>
      </c>
      <c r="D78" s="52">
        <v>1196</v>
      </c>
    </row>
    <row r="79" spans="1:4" x14ac:dyDescent="0.45">
      <c r="B79" s="1" t="s">
        <v>36</v>
      </c>
      <c r="C79" s="51">
        <v>52</v>
      </c>
      <c r="D79" s="52">
        <v>1655</v>
      </c>
    </row>
    <row r="80" spans="1:4" x14ac:dyDescent="0.45">
      <c r="B80" s="1" t="s">
        <v>37</v>
      </c>
      <c r="C80" s="51">
        <v>45</v>
      </c>
      <c r="D80" s="52">
        <v>2150</v>
      </c>
    </row>
    <row r="81" spans="1:4" x14ac:dyDescent="0.45">
      <c r="B81" s="1" t="s">
        <v>38</v>
      </c>
      <c r="C81" s="51">
        <v>42</v>
      </c>
      <c r="D81" s="52">
        <v>1433</v>
      </c>
    </row>
    <row r="82" spans="1:4" x14ac:dyDescent="0.45">
      <c r="B82" s="1" t="s">
        <v>39</v>
      </c>
      <c r="C82" s="51">
        <v>38</v>
      </c>
      <c r="D82" s="52">
        <v>1803</v>
      </c>
    </row>
    <row r="83" spans="1:4" x14ac:dyDescent="0.45">
      <c r="B83" s="1" t="s">
        <v>40</v>
      </c>
      <c r="C83" s="51">
        <v>37</v>
      </c>
      <c r="D83" s="52">
        <v>106</v>
      </c>
    </row>
    <row r="84" spans="1:4" x14ac:dyDescent="0.45">
      <c r="B84" s="1" t="s">
        <v>31</v>
      </c>
      <c r="C84" s="51">
        <v>32</v>
      </c>
      <c r="D84" s="52">
        <v>318</v>
      </c>
    </row>
    <row r="85" spans="1:4" x14ac:dyDescent="0.45">
      <c r="A85" t="s">
        <v>45</v>
      </c>
      <c r="B85" s="1" t="s">
        <v>23</v>
      </c>
      <c r="C85" s="51">
        <v>71</v>
      </c>
      <c r="D85" s="52">
        <v>820</v>
      </c>
    </row>
    <row r="86" spans="1:4" x14ac:dyDescent="0.45">
      <c r="B86" s="1" t="s">
        <v>24</v>
      </c>
      <c r="C86" s="51">
        <v>65</v>
      </c>
      <c r="D86" s="52">
        <v>1262</v>
      </c>
    </row>
    <row r="87" spans="1:4" x14ac:dyDescent="0.45">
      <c r="B87" s="1" t="s">
        <v>25</v>
      </c>
      <c r="C87" s="51">
        <v>58</v>
      </c>
      <c r="D87" s="52">
        <v>1991</v>
      </c>
    </row>
    <row r="88" spans="1:4" x14ac:dyDescent="0.45">
      <c r="B88" s="1" t="s">
        <v>26</v>
      </c>
      <c r="C88" s="51">
        <v>50</v>
      </c>
      <c r="D88" s="52">
        <v>3337</v>
      </c>
    </row>
    <row r="89" spans="1:4" x14ac:dyDescent="0.45">
      <c r="B89" s="1" t="s">
        <v>27</v>
      </c>
      <c r="C89" s="51">
        <v>45</v>
      </c>
      <c r="D89" s="52">
        <v>3317</v>
      </c>
    </row>
    <row r="90" spans="1:4" x14ac:dyDescent="0.45">
      <c r="B90" s="1" t="s">
        <v>28</v>
      </c>
      <c r="C90" s="51">
        <v>42</v>
      </c>
      <c r="D90" s="52">
        <v>3420</v>
      </c>
    </row>
    <row r="91" spans="1:4" x14ac:dyDescent="0.45">
      <c r="B91" s="1" t="s">
        <v>29</v>
      </c>
      <c r="C91" s="51">
        <v>39</v>
      </c>
      <c r="D91" s="52">
        <v>2088</v>
      </c>
    </row>
    <row r="92" spans="1:4" x14ac:dyDescent="0.45">
      <c r="B92" s="1" t="s">
        <v>30</v>
      </c>
      <c r="C92" s="51">
        <v>38</v>
      </c>
      <c r="D92" s="52">
        <v>694</v>
      </c>
    </row>
    <row r="93" spans="1:4" x14ac:dyDescent="0.45">
      <c r="B93" s="1" t="s">
        <v>32</v>
      </c>
      <c r="C93" s="51">
        <v>33</v>
      </c>
      <c r="D93" s="52">
        <v>645</v>
      </c>
    </row>
    <row r="94" spans="1:4" x14ac:dyDescent="0.45">
      <c r="A94" t="s">
        <v>58</v>
      </c>
      <c r="B94" s="1" t="s">
        <v>33</v>
      </c>
      <c r="C94" s="51">
        <v>69</v>
      </c>
      <c r="D94" s="52">
        <v>498</v>
      </c>
    </row>
    <row r="95" spans="1:4" x14ac:dyDescent="0.45">
      <c r="B95" s="1" t="s">
        <v>34</v>
      </c>
      <c r="C95" s="51">
        <v>64</v>
      </c>
      <c r="D95" s="52">
        <v>917</v>
      </c>
    </row>
    <row r="96" spans="1:4" x14ac:dyDescent="0.45">
      <c r="B96" s="1" t="s">
        <v>35</v>
      </c>
      <c r="C96" s="51">
        <v>58</v>
      </c>
      <c r="D96" s="52">
        <v>1531</v>
      </c>
    </row>
    <row r="97" spans="1:4" x14ac:dyDescent="0.45">
      <c r="B97" s="1" t="s">
        <v>36</v>
      </c>
      <c r="C97" s="51">
        <v>53</v>
      </c>
      <c r="D97" s="52">
        <v>2131</v>
      </c>
    </row>
    <row r="98" spans="1:4" x14ac:dyDescent="0.45">
      <c r="B98" s="1" t="s">
        <v>37</v>
      </c>
      <c r="C98" s="51">
        <v>46</v>
      </c>
      <c r="D98" s="52">
        <v>2555</v>
      </c>
    </row>
    <row r="99" spans="1:4" x14ac:dyDescent="0.45">
      <c r="B99" s="1" t="s">
        <v>38</v>
      </c>
      <c r="C99" s="51">
        <v>41</v>
      </c>
      <c r="D99" s="52">
        <v>2236</v>
      </c>
    </row>
    <row r="100" spans="1:4" x14ac:dyDescent="0.45">
      <c r="B100" s="1" t="s">
        <v>39</v>
      </c>
      <c r="C100" s="51">
        <v>37</v>
      </c>
      <c r="D100" s="52">
        <v>1567</v>
      </c>
    </row>
    <row r="101" spans="1:4" x14ac:dyDescent="0.45">
      <c r="B101" s="1" t="s">
        <v>40</v>
      </c>
      <c r="C101" s="51">
        <v>35</v>
      </c>
      <c r="D101" s="52">
        <v>508</v>
      </c>
    </row>
    <row r="102" spans="1:4" x14ac:dyDescent="0.45">
      <c r="B102" s="1" t="s">
        <v>31</v>
      </c>
      <c r="C102" s="51">
        <v>31</v>
      </c>
      <c r="D102" s="52">
        <v>434</v>
      </c>
    </row>
    <row r="103" spans="1:4" x14ac:dyDescent="0.45">
      <c r="A103" t="s">
        <v>47</v>
      </c>
      <c r="B103" s="1" t="s">
        <v>23</v>
      </c>
      <c r="C103" s="51">
        <v>70</v>
      </c>
      <c r="D103" s="52">
        <v>1433</v>
      </c>
    </row>
    <row r="104" spans="1:4" x14ac:dyDescent="0.45">
      <c r="B104" s="1" t="s">
        <v>24</v>
      </c>
      <c r="C104" s="51">
        <v>64</v>
      </c>
      <c r="D104" s="52">
        <v>2316</v>
      </c>
    </row>
    <row r="105" spans="1:4" x14ac:dyDescent="0.45">
      <c r="B105" s="1" t="s">
        <v>25</v>
      </c>
      <c r="C105" s="51">
        <v>57</v>
      </c>
      <c r="D105" s="52">
        <v>4814</v>
      </c>
    </row>
    <row r="106" spans="1:4" x14ac:dyDescent="0.45">
      <c r="B106" s="1" t="s">
        <v>26</v>
      </c>
      <c r="C106" s="51">
        <v>52</v>
      </c>
      <c r="D106" s="52">
        <v>5796</v>
      </c>
    </row>
    <row r="107" spans="1:4" x14ac:dyDescent="0.45">
      <c r="B107" s="1" t="s">
        <v>27</v>
      </c>
      <c r="C107" s="51">
        <v>46</v>
      </c>
      <c r="D107" s="52">
        <v>7115</v>
      </c>
    </row>
    <row r="108" spans="1:4" x14ac:dyDescent="0.45">
      <c r="B108" s="1" t="s">
        <v>28</v>
      </c>
      <c r="C108" s="51">
        <v>41</v>
      </c>
      <c r="D108" s="52">
        <v>5183</v>
      </c>
    </row>
    <row r="109" spans="1:4" x14ac:dyDescent="0.45">
      <c r="B109" s="1" t="s">
        <v>29</v>
      </c>
      <c r="C109" s="51">
        <v>37</v>
      </c>
      <c r="D109" s="52">
        <v>5008</v>
      </c>
    </row>
    <row r="110" spans="1:4" x14ac:dyDescent="0.45">
      <c r="B110" s="1" t="s">
        <v>30</v>
      </c>
      <c r="C110" s="51">
        <v>35</v>
      </c>
      <c r="D110" s="52">
        <v>1525</v>
      </c>
    </row>
    <row r="111" spans="1:4" x14ac:dyDescent="0.45">
      <c r="B111" s="1" t="s">
        <v>32</v>
      </c>
      <c r="C111" s="51">
        <v>28</v>
      </c>
      <c r="D111" s="52">
        <v>722</v>
      </c>
    </row>
    <row r="112" spans="1:4" x14ac:dyDescent="0.45">
      <c r="A112" t="s">
        <v>48</v>
      </c>
      <c r="B112" s="1" t="s">
        <v>33</v>
      </c>
      <c r="C112" s="51">
        <v>67</v>
      </c>
      <c r="D112" s="52">
        <v>2361</v>
      </c>
    </row>
    <row r="113" spans="1:4" x14ac:dyDescent="0.45">
      <c r="B113" s="1" t="s">
        <v>34</v>
      </c>
      <c r="C113" s="51">
        <v>64</v>
      </c>
      <c r="D113" s="52">
        <v>3025</v>
      </c>
    </row>
    <row r="114" spans="1:4" x14ac:dyDescent="0.45">
      <c r="B114" s="1" t="s">
        <v>35</v>
      </c>
      <c r="C114" s="51">
        <v>59</v>
      </c>
      <c r="D114" s="52">
        <v>5576</v>
      </c>
    </row>
    <row r="115" spans="1:4" x14ac:dyDescent="0.45">
      <c r="B115" s="1" t="s">
        <v>36</v>
      </c>
      <c r="C115" s="51">
        <v>53</v>
      </c>
      <c r="D115" s="52">
        <v>9145</v>
      </c>
    </row>
    <row r="116" spans="1:4" x14ac:dyDescent="0.45">
      <c r="B116" s="1" t="s">
        <v>37</v>
      </c>
      <c r="C116" s="51">
        <v>47</v>
      </c>
      <c r="D116" s="52">
        <v>8276</v>
      </c>
    </row>
    <row r="117" spans="1:4" x14ac:dyDescent="0.45">
      <c r="B117" s="1" t="s">
        <v>38</v>
      </c>
      <c r="C117" s="51">
        <v>40</v>
      </c>
      <c r="D117" s="52">
        <v>9201</v>
      </c>
    </row>
    <row r="118" spans="1:4" x14ac:dyDescent="0.45">
      <c r="B118" s="1" t="s">
        <v>39</v>
      </c>
      <c r="C118" s="51">
        <v>37</v>
      </c>
      <c r="D118" s="52">
        <v>4450</v>
      </c>
    </row>
    <row r="119" spans="1:4" x14ac:dyDescent="0.45">
      <c r="B119" s="1" t="s">
        <v>40</v>
      </c>
      <c r="C119" s="51">
        <v>35</v>
      </c>
      <c r="D119" s="52">
        <v>3450</v>
      </c>
    </row>
    <row r="120" spans="1:4" x14ac:dyDescent="0.45">
      <c r="B120" s="1" t="s">
        <v>31</v>
      </c>
      <c r="C120" s="51">
        <v>28</v>
      </c>
      <c r="D120" s="52">
        <v>1587</v>
      </c>
    </row>
    <row r="121" spans="1:4" x14ac:dyDescent="0.45">
      <c r="A121" t="s">
        <v>49</v>
      </c>
      <c r="B121" s="1" t="s">
        <v>23</v>
      </c>
      <c r="C121" s="51">
        <v>70</v>
      </c>
      <c r="D121" s="52">
        <v>1977</v>
      </c>
    </row>
    <row r="122" spans="1:4" x14ac:dyDescent="0.45">
      <c r="B122" s="1" t="s">
        <v>24</v>
      </c>
      <c r="C122" s="51">
        <v>65</v>
      </c>
      <c r="D122" s="52">
        <v>3219</v>
      </c>
    </row>
    <row r="123" spans="1:4" x14ac:dyDescent="0.45">
      <c r="B123" s="1" t="s">
        <v>25</v>
      </c>
      <c r="C123" s="51">
        <v>59</v>
      </c>
      <c r="D123" s="52">
        <v>5328</v>
      </c>
    </row>
    <row r="124" spans="1:4" x14ac:dyDescent="0.45">
      <c r="B124" s="1" t="s">
        <v>26</v>
      </c>
      <c r="C124" s="51">
        <v>51</v>
      </c>
      <c r="D124" s="52">
        <v>7292</v>
      </c>
    </row>
    <row r="125" spans="1:4" x14ac:dyDescent="0.45">
      <c r="B125" s="1" t="s">
        <v>27</v>
      </c>
      <c r="C125" s="51">
        <v>45</v>
      </c>
      <c r="D125" s="52">
        <v>10580</v>
      </c>
    </row>
    <row r="126" spans="1:4" x14ac:dyDescent="0.45">
      <c r="B126" s="1" t="s">
        <v>28</v>
      </c>
      <c r="C126" s="51">
        <v>41</v>
      </c>
      <c r="D126" s="52">
        <v>6600</v>
      </c>
    </row>
    <row r="127" spans="1:4" x14ac:dyDescent="0.45">
      <c r="B127" s="1" t="s">
        <v>29</v>
      </c>
      <c r="C127" s="51">
        <v>40</v>
      </c>
      <c r="D127" s="52">
        <v>4713</v>
      </c>
    </row>
    <row r="128" spans="1:4" x14ac:dyDescent="0.45">
      <c r="B128" s="1" t="s">
        <v>30</v>
      </c>
      <c r="C128" s="51">
        <v>37</v>
      </c>
      <c r="D128" s="52">
        <v>3163</v>
      </c>
    </row>
    <row r="129" spans="1:4" x14ac:dyDescent="0.45">
      <c r="B129" s="1" t="s">
        <v>32</v>
      </c>
      <c r="C129" s="51">
        <v>31</v>
      </c>
      <c r="D129" s="52">
        <v>1535</v>
      </c>
    </row>
    <row r="130" spans="1:4" x14ac:dyDescent="0.45">
      <c r="A130" t="s">
        <v>50</v>
      </c>
      <c r="B130" s="1" t="s">
        <v>33</v>
      </c>
      <c r="C130" s="51">
        <v>69</v>
      </c>
      <c r="D130" s="52">
        <v>3058</v>
      </c>
    </row>
    <row r="131" spans="1:4" x14ac:dyDescent="0.45">
      <c r="B131" s="1" t="s">
        <v>34</v>
      </c>
      <c r="C131" s="51">
        <v>64</v>
      </c>
      <c r="D131" s="52">
        <v>4294</v>
      </c>
    </row>
    <row r="132" spans="1:4" x14ac:dyDescent="0.45">
      <c r="B132" s="1" t="s">
        <v>35</v>
      </c>
      <c r="C132" s="51">
        <v>57</v>
      </c>
      <c r="D132" s="52">
        <v>8811</v>
      </c>
    </row>
    <row r="133" spans="1:4" x14ac:dyDescent="0.45">
      <c r="B133" s="1" t="s">
        <v>36</v>
      </c>
      <c r="C133" s="51">
        <v>52</v>
      </c>
      <c r="D133" s="52">
        <v>10970</v>
      </c>
    </row>
    <row r="134" spans="1:4" x14ac:dyDescent="0.45">
      <c r="B134" s="1" t="s">
        <v>37</v>
      </c>
      <c r="C134" s="51">
        <v>46</v>
      </c>
      <c r="D134" s="52">
        <v>13854</v>
      </c>
    </row>
    <row r="135" spans="1:4" x14ac:dyDescent="0.45">
      <c r="B135" s="1" t="s">
        <v>38</v>
      </c>
      <c r="C135" s="51">
        <v>42</v>
      </c>
      <c r="D135" s="52">
        <v>9451</v>
      </c>
    </row>
    <row r="136" spans="1:4" x14ac:dyDescent="0.45">
      <c r="B136" s="1" t="s">
        <v>39</v>
      </c>
      <c r="C136" s="51">
        <v>38</v>
      </c>
      <c r="D136" s="52">
        <v>8245</v>
      </c>
    </row>
    <row r="137" spans="1:4" x14ac:dyDescent="0.45">
      <c r="B137" s="1" t="s">
        <v>40</v>
      </c>
      <c r="C137" s="51">
        <v>35</v>
      </c>
      <c r="D137" s="52">
        <v>3777</v>
      </c>
    </row>
    <row r="138" spans="1:4" x14ac:dyDescent="0.45">
      <c r="B138" s="1" t="s">
        <v>31</v>
      </c>
      <c r="C138" s="51">
        <v>26</v>
      </c>
      <c r="D138" s="52">
        <v>2317</v>
      </c>
    </row>
    <row r="139" spans="1:4" x14ac:dyDescent="0.45">
      <c r="A139" t="s">
        <v>51</v>
      </c>
      <c r="B139" s="1" t="s">
        <v>23</v>
      </c>
      <c r="C139" s="51">
        <v>71</v>
      </c>
      <c r="D139" s="52">
        <v>3999</v>
      </c>
    </row>
    <row r="140" spans="1:4" x14ac:dyDescent="0.45">
      <c r="B140" s="1" t="s">
        <v>24</v>
      </c>
      <c r="C140" s="51">
        <v>64</v>
      </c>
      <c r="D140" s="52">
        <v>8001</v>
      </c>
    </row>
    <row r="141" spans="1:4" x14ac:dyDescent="0.45">
      <c r="B141" s="1" t="s">
        <v>25</v>
      </c>
      <c r="C141" s="51">
        <v>57</v>
      </c>
      <c r="D141" s="52">
        <v>11953</v>
      </c>
    </row>
    <row r="142" spans="1:4" x14ac:dyDescent="0.45">
      <c r="B142" s="1" t="s">
        <v>26</v>
      </c>
      <c r="C142" s="51">
        <v>51</v>
      </c>
      <c r="D142" s="52">
        <v>16618</v>
      </c>
    </row>
    <row r="143" spans="1:4" x14ac:dyDescent="0.45">
      <c r="B143" s="1" t="s">
        <v>27</v>
      </c>
      <c r="C143" s="51">
        <v>46</v>
      </c>
      <c r="D143" s="52">
        <v>17737</v>
      </c>
    </row>
    <row r="144" spans="1:4" x14ac:dyDescent="0.45">
      <c r="B144" s="1" t="s">
        <v>28</v>
      </c>
      <c r="C144" s="51">
        <v>41</v>
      </c>
      <c r="D144" s="52">
        <v>18325</v>
      </c>
    </row>
    <row r="145" spans="1:4" x14ac:dyDescent="0.45">
      <c r="B145" s="1" t="s">
        <v>29</v>
      </c>
      <c r="C145" s="51">
        <v>38</v>
      </c>
      <c r="D145" s="52">
        <v>12047</v>
      </c>
    </row>
    <row r="146" spans="1:4" x14ac:dyDescent="0.45">
      <c r="B146" s="1" t="s">
        <v>30</v>
      </c>
      <c r="C146" s="51">
        <v>36</v>
      </c>
      <c r="D146" s="52">
        <v>3578</v>
      </c>
    </row>
    <row r="147" spans="1:4" x14ac:dyDescent="0.45">
      <c r="B147" s="1" t="s">
        <v>32</v>
      </c>
      <c r="C147" s="51">
        <v>29</v>
      </c>
      <c r="D147" s="52">
        <v>3341</v>
      </c>
    </row>
    <row r="148" spans="1:4" x14ac:dyDescent="0.45">
      <c r="A148" t="s">
        <v>52</v>
      </c>
      <c r="B148" s="1" t="s">
        <v>33</v>
      </c>
      <c r="C148" s="51">
        <v>68</v>
      </c>
      <c r="D148" s="52">
        <v>3699</v>
      </c>
    </row>
    <row r="149" spans="1:4" x14ac:dyDescent="0.45">
      <c r="B149" s="1" t="s">
        <v>34</v>
      </c>
      <c r="C149" s="51">
        <v>64</v>
      </c>
      <c r="D149" s="52">
        <v>2980</v>
      </c>
    </row>
    <row r="150" spans="1:4" x14ac:dyDescent="0.45">
      <c r="B150" s="1" t="s">
        <v>35</v>
      </c>
      <c r="C150" s="51">
        <v>58</v>
      </c>
      <c r="D150" s="52">
        <v>8410</v>
      </c>
    </row>
    <row r="151" spans="1:4" x14ac:dyDescent="0.45">
      <c r="B151" s="1" t="s">
        <v>36</v>
      </c>
      <c r="C151" s="51">
        <v>52</v>
      </c>
      <c r="D151" s="52">
        <v>9740</v>
      </c>
    </row>
    <row r="152" spans="1:4" x14ac:dyDescent="0.45">
      <c r="B152" s="1" t="s">
        <v>37</v>
      </c>
      <c r="C152" s="51">
        <v>46</v>
      </c>
      <c r="D152" s="52">
        <v>11512</v>
      </c>
    </row>
    <row r="153" spans="1:4" x14ac:dyDescent="0.45">
      <c r="B153" s="1" t="s">
        <v>38</v>
      </c>
      <c r="C153" s="51">
        <v>41</v>
      </c>
      <c r="D153" s="52">
        <v>9762</v>
      </c>
    </row>
    <row r="154" spans="1:4" x14ac:dyDescent="0.45">
      <c r="B154" s="1" t="s">
        <v>39</v>
      </c>
      <c r="C154" s="51">
        <v>38</v>
      </c>
      <c r="D154" s="52">
        <v>6578</v>
      </c>
    </row>
    <row r="155" spans="1:4" x14ac:dyDescent="0.45">
      <c r="B155" s="1" t="s">
        <v>40</v>
      </c>
      <c r="C155" s="51">
        <v>36</v>
      </c>
      <c r="D155" s="52">
        <v>4031</v>
      </c>
    </row>
    <row r="156" spans="1:4" x14ac:dyDescent="0.45">
      <c r="B156" s="1" t="s">
        <v>31</v>
      </c>
      <c r="C156" s="51">
        <v>30</v>
      </c>
      <c r="D156" s="52">
        <v>1939</v>
      </c>
    </row>
  </sheetData>
  <mergeCells count="1">
    <mergeCell ref="C3:D3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3C3CE-17EB-47DF-B598-C7487F2B56E7}">
  <sheetPr codeName="Sheet3"/>
  <dimension ref="A1:J102"/>
  <sheetViews>
    <sheetView workbookViewId="0">
      <selection activeCell="A3" sqref="A3:J91"/>
    </sheetView>
  </sheetViews>
  <sheetFormatPr defaultRowHeight="17" x14ac:dyDescent="0.45"/>
  <sheetData>
    <row r="1" spans="1:10" x14ac:dyDescent="0.45">
      <c r="A1" s="15"/>
    </row>
    <row r="3" spans="1:10" x14ac:dyDescent="0.45">
      <c r="A3" s="77" t="s">
        <v>102</v>
      </c>
      <c r="B3" s="78"/>
      <c r="C3" s="78"/>
      <c r="D3" s="78"/>
      <c r="E3" s="78"/>
      <c r="F3" s="77" t="s">
        <v>103</v>
      </c>
      <c r="G3" s="78"/>
      <c r="H3" s="78"/>
      <c r="I3" s="78"/>
      <c r="J3" s="78"/>
    </row>
    <row r="4" spans="1:10" x14ac:dyDescent="0.45">
      <c r="A4" s="53" t="s">
        <v>104</v>
      </c>
      <c r="B4" s="54" t="s">
        <v>105</v>
      </c>
      <c r="C4" s="54" t="s">
        <v>106</v>
      </c>
      <c r="D4" s="54" t="s">
        <v>107</v>
      </c>
      <c r="E4" s="55" t="s">
        <v>108</v>
      </c>
      <c r="F4" s="53" t="s">
        <v>104</v>
      </c>
      <c r="G4" s="54" t="s">
        <v>105</v>
      </c>
      <c r="H4" s="54" t="s">
        <v>106</v>
      </c>
      <c r="I4" s="54" t="s">
        <v>107</v>
      </c>
      <c r="J4" s="55" t="s">
        <v>108</v>
      </c>
    </row>
    <row r="5" spans="1:10" x14ac:dyDescent="0.45">
      <c r="A5" s="56">
        <v>141</v>
      </c>
      <c r="B5" s="57">
        <v>346</v>
      </c>
      <c r="C5" s="57">
        <v>406</v>
      </c>
      <c r="D5" s="57">
        <v>761</v>
      </c>
      <c r="E5" s="57">
        <v>761</v>
      </c>
      <c r="F5" s="56">
        <v>148</v>
      </c>
      <c r="G5" s="57">
        <v>363</v>
      </c>
      <c r="H5" s="57">
        <v>108</v>
      </c>
      <c r="I5" s="57">
        <v>475</v>
      </c>
      <c r="J5" s="57">
        <v>475</v>
      </c>
    </row>
    <row r="6" spans="1:10" x14ac:dyDescent="0.45">
      <c r="A6" s="56">
        <v>139</v>
      </c>
      <c r="B6" s="57">
        <v>734</v>
      </c>
      <c r="C6" s="57">
        <v>808</v>
      </c>
      <c r="D6" s="57">
        <v>1565</v>
      </c>
      <c r="E6" s="57">
        <v>2326</v>
      </c>
      <c r="F6" s="56">
        <v>146</v>
      </c>
      <c r="G6" s="57">
        <v>31</v>
      </c>
      <c r="H6" s="57">
        <v>13</v>
      </c>
      <c r="I6" s="57">
        <v>44</v>
      </c>
      <c r="J6" s="57">
        <v>519</v>
      </c>
    </row>
    <row r="7" spans="1:10" x14ac:dyDescent="0.45">
      <c r="A7" s="56">
        <v>138</v>
      </c>
      <c r="B7" s="57">
        <v>197</v>
      </c>
      <c r="C7" s="57">
        <v>154</v>
      </c>
      <c r="D7" s="57">
        <v>355</v>
      </c>
      <c r="E7" s="57">
        <v>2681</v>
      </c>
      <c r="F7" s="56">
        <v>145</v>
      </c>
      <c r="G7" s="57">
        <v>881</v>
      </c>
      <c r="H7" s="57">
        <v>329</v>
      </c>
      <c r="I7" s="57">
        <v>1223</v>
      </c>
      <c r="J7" s="57">
        <v>1742</v>
      </c>
    </row>
    <row r="8" spans="1:10" x14ac:dyDescent="0.45">
      <c r="A8" s="56">
        <v>137</v>
      </c>
      <c r="B8" s="57">
        <v>1285</v>
      </c>
      <c r="C8" s="57">
        <v>1399</v>
      </c>
      <c r="D8" s="57">
        <v>2719</v>
      </c>
      <c r="E8" s="57">
        <v>5400</v>
      </c>
      <c r="F8" s="56">
        <v>143</v>
      </c>
      <c r="G8" s="57">
        <v>125</v>
      </c>
      <c r="H8" s="57">
        <v>55</v>
      </c>
      <c r="I8" s="57">
        <v>183</v>
      </c>
      <c r="J8" s="57">
        <v>1925</v>
      </c>
    </row>
    <row r="9" spans="1:10" x14ac:dyDescent="0.45">
      <c r="A9" s="56">
        <v>136</v>
      </c>
      <c r="B9" s="57">
        <v>799</v>
      </c>
      <c r="C9" s="57">
        <v>1028</v>
      </c>
      <c r="D9" s="57">
        <v>1844</v>
      </c>
      <c r="E9" s="57">
        <v>7244</v>
      </c>
      <c r="F9" s="56">
        <v>142</v>
      </c>
      <c r="G9" s="57">
        <v>1535</v>
      </c>
      <c r="H9" s="57">
        <v>724</v>
      </c>
      <c r="I9" s="57">
        <v>2285</v>
      </c>
      <c r="J9" s="57">
        <v>4210</v>
      </c>
    </row>
    <row r="10" spans="1:10" x14ac:dyDescent="0.45">
      <c r="A10" s="56">
        <v>135</v>
      </c>
      <c r="B10" s="57">
        <v>699</v>
      </c>
      <c r="C10" s="57">
        <v>816</v>
      </c>
      <c r="D10" s="57">
        <v>1537</v>
      </c>
      <c r="E10" s="57">
        <v>8781</v>
      </c>
      <c r="F10" s="56">
        <v>141</v>
      </c>
      <c r="G10" s="57">
        <v>3</v>
      </c>
      <c r="H10" s="57">
        <v>1</v>
      </c>
      <c r="I10" s="57">
        <v>4</v>
      </c>
      <c r="J10" s="57">
        <v>4214</v>
      </c>
    </row>
    <row r="11" spans="1:10" x14ac:dyDescent="0.45">
      <c r="A11" s="56">
        <v>134</v>
      </c>
      <c r="B11" s="57">
        <v>809</v>
      </c>
      <c r="C11" s="57">
        <v>951</v>
      </c>
      <c r="D11" s="57">
        <v>1778</v>
      </c>
      <c r="E11" s="57">
        <v>10559</v>
      </c>
      <c r="F11" s="56">
        <v>140</v>
      </c>
      <c r="G11" s="57">
        <v>25</v>
      </c>
      <c r="H11" s="57">
        <v>9</v>
      </c>
      <c r="I11" s="57">
        <v>34</v>
      </c>
      <c r="J11" s="57">
        <v>4248</v>
      </c>
    </row>
    <row r="12" spans="1:10" x14ac:dyDescent="0.45">
      <c r="A12" s="56">
        <v>133</v>
      </c>
      <c r="B12" s="57">
        <v>901</v>
      </c>
      <c r="C12" s="57">
        <v>1054</v>
      </c>
      <c r="D12" s="57">
        <v>1983</v>
      </c>
      <c r="E12" s="57">
        <v>12542</v>
      </c>
      <c r="F12" s="56">
        <v>139</v>
      </c>
      <c r="G12" s="57">
        <v>2447</v>
      </c>
      <c r="H12" s="57">
        <v>1359</v>
      </c>
      <c r="I12" s="57">
        <v>3852</v>
      </c>
      <c r="J12" s="57">
        <v>8100</v>
      </c>
    </row>
    <row r="13" spans="1:10" x14ac:dyDescent="0.45">
      <c r="A13" s="56">
        <v>132</v>
      </c>
      <c r="B13" s="57">
        <v>799</v>
      </c>
      <c r="C13" s="57">
        <v>974</v>
      </c>
      <c r="D13" s="57">
        <v>1805</v>
      </c>
      <c r="E13" s="57">
        <v>14347</v>
      </c>
      <c r="F13" s="56">
        <v>138</v>
      </c>
      <c r="G13" s="57">
        <v>11</v>
      </c>
      <c r="H13" s="57">
        <v>3</v>
      </c>
      <c r="I13" s="57">
        <v>14</v>
      </c>
      <c r="J13" s="57">
        <v>8114</v>
      </c>
    </row>
    <row r="14" spans="1:10" x14ac:dyDescent="0.45">
      <c r="A14" s="56">
        <v>131</v>
      </c>
      <c r="B14" s="57">
        <v>1057</v>
      </c>
      <c r="C14" s="57">
        <v>1156</v>
      </c>
      <c r="D14" s="57">
        <v>2242</v>
      </c>
      <c r="E14" s="57">
        <v>16589</v>
      </c>
      <c r="F14" s="56">
        <v>137</v>
      </c>
      <c r="G14" s="57">
        <v>57</v>
      </c>
      <c r="H14" s="57">
        <v>31</v>
      </c>
      <c r="I14" s="57">
        <v>90</v>
      </c>
      <c r="J14" s="57">
        <v>8204</v>
      </c>
    </row>
    <row r="15" spans="1:10" x14ac:dyDescent="0.45">
      <c r="A15" s="56">
        <v>130</v>
      </c>
      <c r="B15" s="57">
        <v>2031</v>
      </c>
      <c r="C15" s="57">
        <v>2360</v>
      </c>
      <c r="D15" s="57">
        <v>4439</v>
      </c>
      <c r="E15" s="57">
        <v>21028</v>
      </c>
      <c r="F15" s="56">
        <v>136</v>
      </c>
      <c r="G15" s="57">
        <v>566</v>
      </c>
      <c r="H15" s="57">
        <v>349</v>
      </c>
      <c r="I15" s="57">
        <v>932</v>
      </c>
      <c r="J15" s="57">
        <v>9136</v>
      </c>
    </row>
    <row r="16" spans="1:10" x14ac:dyDescent="0.45">
      <c r="A16" s="56">
        <v>129</v>
      </c>
      <c r="B16" s="57">
        <v>1032</v>
      </c>
      <c r="C16" s="57">
        <v>1297</v>
      </c>
      <c r="D16" s="57">
        <v>2373</v>
      </c>
      <c r="E16" s="57">
        <v>23401</v>
      </c>
      <c r="F16" s="56">
        <v>135</v>
      </c>
      <c r="G16" s="57">
        <v>2581</v>
      </c>
      <c r="H16" s="57">
        <v>1630</v>
      </c>
      <c r="I16" s="57">
        <v>4260</v>
      </c>
      <c r="J16" s="57">
        <v>13396</v>
      </c>
    </row>
    <row r="17" spans="1:10" x14ac:dyDescent="0.45">
      <c r="A17" s="56">
        <v>128</v>
      </c>
      <c r="B17" s="57">
        <v>1123</v>
      </c>
      <c r="C17" s="57">
        <v>1260</v>
      </c>
      <c r="D17" s="57">
        <v>2427</v>
      </c>
      <c r="E17" s="57">
        <v>25828</v>
      </c>
      <c r="F17" s="56">
        <v>134</v>
      </c>
      <c r="G17" s="57">
        <v>136</v>
      </c>
      <c r="H17" s="57">
        <v>90</v>
      </c>
      <c r="I17" s="57">
        <v>227</v>
      </c>
      <c r="J17" s="57">
        <v>13623</v>
      </c>
    </row>
    <row r="18" spans="1:10" x14ac:dyDescent="0.45">
      <c r="A18" s="56">
        <v>127</v>
      </c>
      <c r="B18" s="57">
        <v>1159</v>
      </c>
      <c r="C18" s="57">
        <v>1392</v>
      </c>
      <c r="D18" s="57">
        <v>2583</v>
      </c>
      <c r="E18" s="57">
        <v>28411</v>
      </c>
      <c r="F18" s="56">
        <v>133</v>
      </c>
      <c r="G18" s="57">
        <v>882</v>
      </c>
      <c r="H18" s="57">
        <v>652</v>
      </c>
      <c r="I18" s="57">
        <v>1556</v>
      </c>
      <c r="J18" s="57">
        <v>15179</v>
      </c>
    </row>
    <row r="19" spans="1:10" x14ac:dyDescent="0.45">
      <c r="A19" s="56">
        <v>126</v>
      </c>
      <c r="B19" s="57">
        <v>1198</v>
      </c>
      <c r="C19" s="57">
        <v>1364</v>
      </c>
      <c r="D19" s="57">
        <v>2596</v>
      </c>
      <c r="E19" s="57">
        <v>31007</v>
      </c>
      <c r="F19" s="56">
        <v>132</v>
      </c>
      <c r="G19" s="57">
        <v>2847</v>
      </c>
      <c r="H19" s="57">
        <v>2267</v>
      </c>
      <c r="I19" s="57">
        <v>5189</v>
      </c>
      <c r="J19" s="57">
        <v>20368</v>
      </c>
    </row>
    <row r="20" spans="1:10" x14ac:dyDescent="0.45">
      <c r="A20" s="56">
        <v>125</v>
      </c>
      <c r="B20" s="57">
        <v>1173</v>
      </c>
      <c r="C20" s="57">
        <v>1493</v>
      </c>
      <c r="D20" s="57">
        <v>2705</v>
      </c>
      <c r="E20" s="57">
        <v>33712</v>
      </c>
      <c r="F20" s="56">
        <v>131</v>
      </c>
      <c r="G20" s="57">
        <v>33</v>
      </c>
      <c r="H20" s="57">
        <v>20</v>
      </c>
      <c r="I20" s="57">
        <v>53</v>
      </c>
      <c r="J20" s="57">
        <v>20421</v>
      </c>
    </row>
    <row r="21" spans="1:10" x14ac:dyDescent="0.45">
      <c r="A21" s="56">
        <v>124</v>
      </c>
      <c r="B21" s="57">
        <v>1258</v>
      </c>
      <c r="C21" s="57">
        <v>1468</v>
      </c>
      <c r="D21" s="57">
        <v>2774</v>
      </c>
      <c r="E21" s="57">
        <v>36486</v>
      </c>
      <c r="F21" s="56">
        <v>130</v>
      </c>
      <c r="G21" s="57">
        <v>243</v>
      </c>
      <c r="H21" s="57">
        <v>173</v>
      </c>
      <c r="I21" s="57">
        <v>420</v>
      </c>
      <c r="J21" s="57">
        <v>20841</v>
      </c>
    </row>
    <row r="22" spans="1:10" x14ac:dyDescent="0.45">
      <c r="A22" s="56">
        <v>123</v>
      </c>
      <c r="B22" s="57">
        <v>2567</v>
      </c>
      <c r="C22" s="57">
        <v>3316</v>
      </c>
      <c r="D22" s="57">
        <v>5972</v>
      </c>
      <c r="E22" s="57">
        <v>42458</v>
      </c>
      <c r="F22" s="56">
        <v>129</v>
      </c>
      <c r="G22" s="57">
        <v>4295</v>
      </c>
      <c r="H22" s="57">
        <v>3469</v>
      </c>
      <c r="I22" s="57">
        <v>7869</v>
      </c>
      <c r="J22" s="57">
        <v>28710</v>
      </c>
    </row>
    <row r="23" spans="1:10" x14ac:dyDescent="0.45">
      <c r="A23" s="56">
        <v>122</v>
      </c>
      <c r="B23" s="57">
        <v>1330</v>
      </c>
      <c r="C23" s="57">
        <v>1618</v>
      </c>
      <c r="D23" s="57">
        <v>3000</v>
      </c>
      <c r="E23" s="57">
        <v>45458</v>
      </c>
      <c r="F23" s="56">
        <v>128</v>
      </c>
      <c r="G23" s="57">
        <v>81</v>
      </c>
      <c r="H23" s="57">
        <v>53</v>
      </c>
      <c r="I23" s="57">
        <v>136</v>
      </c>
      <c r="J23" s="57">
        <v>28846</v>
      </c>
    </row>
    <row r="24" spans="1:10" x14ac:dyDescent="0.45">
      <c r="A24" s="56">
        <v>121</v>
      </c>
      <c r="B24" s="57">
        <v>1411</v>
      </c>
      <c r="C24" s="57">
        <v>1700</v>
      </c>
      <c r="D24" s="57">
        <v>3166</v>
      </c>
      <c r="E24" s="57">
        <v>48624</v>
      </c>
      <c r="F24" s="56">
        <v>127</v>
      </c>
      <c r="G24" s="57">
        <v>401</v>
      </c>
      <c r="H24" s="57">
        <v>340</v>
      </c>
      <c r="I24" s="57">
        <v>749</v>
      </c>
      <c r="J24" s="57">
        <v>29595</v>
      </c>
    </row>
    <row r="25" spans="1:10" x14ac:dyDescent="0.45">
      <c r="A25" s="56">
        <v>120</v>
      </c>
      <c r="B25" s="57">
        <v>1433</v>
      </c>
      <c r="C25" s="57">
        <v>1754</v>
      </c>
      <c r="D25" s="57">
        <v>3244</v>
      </c>
      <c r="E25" s="57">
        <v>51868</v>
      </c>
      <c r="F25" s="56">
        <v>126</v>
      </c>
      <c r="G25" s="57">
        <v>1634</v>
      </c>
      <c r="H25" s="57">
        <v>1415</v>
      </c>
      <c r="I25" s="57">
        <v>3095</v>
      </c>
      <c r="J25" s="57">
        <v>32690</v>
      </c>
    </row>
    <row r="26" spans="1:10" x14ac:dyDescent="0.45">
      <c r="A26" s="56">
        <v>119</v>
      </c>
      <c r="B26" s="57">
        <v>1426</v>
      </c>
      <c r="C26" s="57">
        <v>1811</v>
      </c>
      <c r="D26" s="57">
        <v>3304</v>
      </c>
      <c r="E26" s="57">
        <v>55172</v>
      </c>
      <c r="F26" s="56">
        <v>125</v>
      </c>
      <c r="G26" s="57">
        <v>3070</v>
      </c>
      <c r="H26" s="57">
        <v>2661</v>
      </c>
      <c r="I26" s="57">
        <v>5807</v>
      </c>
      <c r="J26" s="57">
        <v>38497</v>
      </c>
    </row>
    <row r="27" spans="1:10" x14ac:dyDescent="0.45">
      <c r="A27" s="56">
        <v>118</v>
      </c>
      <c r="B27" s="57">
        <v>1426</v>
      </c>
      <c r="C27" s="57">
        <v>1841</v>
      </c>
      <c r="D27" s="57">
        <v>3330</v>
      </c>
      <c r="E27" s="57">
        <v>58502</v>
      </c>
      <c r="F27" s="56">
        <v>124</v>
      </c>
      <c r="G27" s="57">
        <v>793</v>
      </c>
      <c r="H27" s="57">
        <v>651</v>
      </c>
      <c r="I27" s="57">
        <v>1465</v>
      </c>
      <c r="J27" s="57">
        <v>39962</v>
      </c>
    </row>
    <row r="28" spans="1:10" x14ac:dyDescent="0.45">
      <c r="A28" s="56">
        <v>117</v>
      </c>
      <c r="B28" s="57">
        <v>1448</v>
      </c>
      <c r="C28" s="57">
        <v>1872</v>
      </c>
      <c r="D28" s="57">
        <v>3389</v>
      </c>
      <c r="E28" s="57">
        <v>61891</v>
      </c>
      <c r="F28" s="56">
        <v>123</v>
      </c>
      <c r="G28" s="57">
        <v>1880</v>
      </c>
      <c r="H28" s="57">
        <v>1807</v>
      </c>
      <c r="I28" s="57">
        <v>3745</v>
      </c>
      <c r="J28" s="57">
        <v>43707</v>
      </c>
    </row>
    <row r="29" spans="1:10" x14ac:dyDescent="0.45">
      <c r="A29" s="56">
        <v>116</v>
      </c>
      <c r="B29" s="57">
        <v>3208</v>
      </c>
      <c r="C29" s="57">
        <v>3908</v>
      </c>
      <c r="D29" s="57">
        <v>7256</v>
      </c>
      <c r="E29" s="57">
        <v>69147</v>
      </c>
      <c r="F29" s="56">
        <v>122</v>
      </c>
      <c r="G29" s="57">
        <v>2712</v>
      </c>
      <c r="H29" s="57">
        <v>2569</v>
      </c>
      <c r="I29" s="57">
        <v>5370</v>
      </c>
      <c r="J29" s="57">
        <v>49077</v>
      </c>
    </row>
    <row r="30" spans="1:10" x14ac:dyDescent="0.45">
      <c r="A30" s="56">
        <v>115</v>
      </c>
      <c r="B30" s="57">
        <v>1501</v>
      </c>
      <c r="C30" s="57">
        <v>1933</v>
      </c>
      <c r="D30" s="57">
        <v>3511</v>
      </c>
      <c r="E30" s="57">
        <v>72658</v>
      </c>
      <c r="F30" s="56">
        <v>121</v>
      </c>
      <c r="G30" s="57">
        <v>222</v>
      </c>
      <c r="H30" s="57">
        <v>250</v>
      </c>
      <c r="I30" s="57">
        <v>480</v>
      </c>
      <c r="J30" s="57">
        <v>49557</v>
      </c>
    </row>
    <row r="31" spans="1:10" x14ac:dyDescent="0.45">
      <c r="A31" s="56">
        <v>114</v>
      </c>
      <c r="B31" s="57">
        <v>1656</v>
      </c>
      <c r="C31" s="57">
        <v>2051</v>
      </c>
      <c r="D31" s="57">
        <v>3770</v>
      </c>
      <c r="E31" s="57">
        <v>76428</v>
      </c>
      <c r="F31" s="56">
        <v>120</v>
      </c>
      <c r="G31" s="57">
        <v>918</v>
      </c>
      <c r="H31" s="57">
        <v>964</v>
      </c>
      <c r="I31" s="57">
        <v>1921</v>
      </c>
      <c r="J31" s="57">
        <v>51478</v>
      </c>
    </row>
    <row r="32" spans="1:10" x14ac:dyDescent="0.45">
      <c r="A32" s="56">
        <v>113</v>
      </c>
      <c r="B32" s="57">
        <v>1665</v>
      </c>
      <c r="C32" s="57">
        <v>2038</v>
      </c>
      <c r="D32" s="57">
        <v>3775</v>
      </c>
      <c r="E32" s="57">
        <v>80203</v>
      </c>
      <c r="F32" s="56">
        <v>119</v>
      </c>
      <c r="G32" s="57">
        <v>4580</v>
      </c>
      <c r="H32" s="57">
        <v>4357</v>
      </c>
      <c r="I32" s="57">
        <v>9075</v>
      </c>
      <c r="J32" s="57">
        <v>60553</v>
      </c>
    </row>
    <row r="33" spans="1:10" x14ac:dyDescent="0.45">
      <c r="A33" s="56">
        <v>112</v>
      </c>
      <c r="B33" s="57">
        <v>1669</v>
      </c>
      <c r="C33" s="57">
        <v>2047</v>
      </c>
      <c r="D33" s="57">
        <v>3779</v>
      </c>
      <c r="E33" s="57">
        <v>83982</v>
      </c>
      <c r="F33" s="56">
        <v>118</v>
      </c>
      <c r="G33" s="57">
        <v>407</v>
      </c>
      <c r="H33" s="57">
        <v>455</v>
      </c>
      <c r="I33" s="57">
        <v>883</v>
      </c>
      <c r="J33" s="57">
        <v>61436</v>
      </c>
    </row>
    <row r="34" spans="1:10" x14ac:dyDescent="0.45">
      <c r="A34" s="56">
        <v>111</v>
      </c>
      <c r="B34" s="57">
        <v>1753</v>
      </c>
      <c r="C34" s="57">
        <v>2125</v>
      </c>
      <c r="D34" s="57">
        <v>3951</v>
      </c>
      <c r="E34" s="57">
        <v>87933</v>
      </c>
      <c r="F34" s="56">
        <v>117</v>
      </c>
      <c r="G34" s="57">
        <v>1250</v>
      </c>
      <c r="H34" s="57">
        <v>1353</v>
      </c>
      <c r="I34" s="57">
        <v>2652</v>
      </c>
      <c r="J34" s="57">
        <v>64088</v>
      </c>
    </row>
    <row r="35" spans="1:10" x14ac:dyDescent="0.45">
      <c r="A35" s="56">
        <v>110</v>
      </c>
      <c r="B35" s="57">
        <v>1674</v>
      </c>
      <c r="C35" s="57">
        <v>2135</v>
      </c>
      <c r="D35" s="57">
        <v>3864</v>
      </c>
      <c r="E35" s="57">
        <v>91797</v>
      </c>
      <c r="F35" s="56">
        <v>116</v>
      </c>
      <c r="G35" s="57">
        <v>2346</v>
      </c>
      <c r="H35" s="57">
        <v>2313</v>
      </c>
      <c r="I35" s="57">
        <v>4752</v>
      </c>
      <c r="J35" s="57">
        <v>68840</v>
      </c>
    </row>
    <row r="36" spans="1:10" x14ac:dyDescent="0.45">
      <c r="A36" s="56">
        <v>109</v>
      </c>
      <c r="B36" s="57">
        <v>1811</v>
      </c>
      <c r="C36" s="57">
        <v>2217</v>
      </c>
      <c r="D36" s="57">
        <v>4120</v>
      </c>
      <c r="E36" s="57">
        <v>95917</v>
      </c>
      <c r="F36" s="56">
        <v>115</v>
      </c>
      <c r="G36" s="57">
        <v>1786</v>
      </c>
      <c r="H36" s="57">
        <v>1640</v>
      </c>
      <c r="I36" s="57">
        <v>3491</v>
      </c>
      <c r="J36" s="57">
        <v>72331</v>
      </c>
    </row>
    <row r="37" spans="1:10" x14ac:dyDescent="0.45">
      <c r="A37" s="56">
        <v>108</v>
      </c>
      <c r="B37" s="57">
        <v>3567</v>
      </c>
      <c r="C37" s="57">
        <v>4364</v>
      </c>
      <c r="D37" s="57">
        <v>8086</v>
      </c>
      <c r="E37" s="57">
        <v>104003</v>
      </c>
      <c r="F37" s="56">
        <v>114</v>
      </c>
      <c r="G37" s="57">
        <v>2365</v>
      </c>
      <c r="H37" s="57">
        <v>2655</v>
      </c>
      <c r="I37" s="57">
        <v>5115</v>
      </c>
      <c r="J37" s="57">
        <v>77446</v>
      </c>
    </row>
    <row r="38" spans="1:10" x14ac:dyDescent="0.45">
      <c r="A38" s="56">
        <v>107</v>
      </c>
      <c r="B38" s="57">
        <v>1732</v>
      </c>
      <c r="C38" s="57">
        <v>2170</v>
      </c>
      <c r="D38" s="57">
        <v>3988</v>
      </c>
      <c r="E38" s="57">
        <v>107991</v>
      </c>
      <c r="F38" s="56">
        <v>113</v>
      </c>
      <c r="G38" s="57">
        <v>2165</v>
      </c>
      <c r="H38" s="57">
        <v>2247</v>
      </c>
      <c r="I38" s="57">
        <v>4478</v>
      </c>
      <c r="J38" s="57">
        <v>81924</v>
      </c>
    </row>
    <row r="39" spans="1:10" x14ac:dyDescent="0.45">
      <c r="A39" s="56">
        <v>106</v>
      </c>
      <c r="B39" s="57">
        <v>1705</v>
      </c>
      <c r="C39" s="57">
        <v>2194</v>
      </c>
      <c r="D39" s="57">
        <v>3980</v>
      </c>
      <c r="E39" s="57">
        <v>111971</v>
      </c>
      <c r="F39" s="56">
        <v>112</v>
      </c>
      <c r="G39" s="57">
        <v>1211</v>
      </c>
      <c r="H39" s="57">
        <v>1230</v>
      </c>
      <c r="I39" s="57">
        <v>2473</v>
      </c>
      <c r="J39" s="57">
        <v>84397</v>
      </c>
    </row>
    <row r="40" spans="1:10" x14ac:dyDescent="0.45">
      <c r="A40" s="56">
        <v>105</v>
      </c>
      <c r="B40" s="57">
        <v>1723</v>
      </c>
      <c r="C40" s="57">
        <v>2173</v>
      </c>
      <c r="D40" s="57">
        <v>3989</v>
      </c>
      <c r="E40" s="57">
        <v>115960</v>
      </c>
      <c r="F40" s="56">
        <v>111</v>
      </c>
      <c r="G40" s="57">
        <v>1075</v>
      </c>
      <c r="H40" s="57">
        <v>1278</v>
      </c>
      <c r="I40" s="57">
        <v>2403</v>
      </c>
      <c r="J40" s="57">
        <v>86800</v>
      </c>
    </row>
    <row r="41" spans="1:10" x14ac:dyDescent="0.45">
      <c r="A41" s="56">
        <v>104</v>
      </c>
      <c r="B41" s="57">
        <v>1671</v>
      </c>
      <c r="C41" s="57">
        <v>2099</v>
      </c>
      <c r="D41" s="57">
        <v>3854</v>
      </c>
      <c r="E41" s="57">
        <v>119814</v>
      </c>
      <c r="F41" s="56">
        <v>110</v>
      </c>
      <c r="G41" s="57">
        <v>2061</v>
      </c>
      <c r="H41" s="57">
        <v>2107</v>
      </c>
      <c r="I41" s="57">
        <v>4239</v>
      </c>
      <c r="J41" s="57">
        <v>91039</v>
      </c>
    </row>
    <row r="42" spans="1:10" x14ac:dyDescent="0.45">
      <c r="A42" s="56">
        <v>103</v>
      </c>
      <c r="B42" s="57">
        <v>1794</v>
      </c>
      <c r="C42" s="57">
        <v>2156</v>
      </c>
      <c r="D42" s="57">
        <v>4035</v>
      </c>
      <c r="E42" s="57">
        <v>123849</v>
      </c>
      <c r="F42" s="56">
        <v>109</v>
      </c>
      <c r="G42" s="57">
        <v>2838</v>
      </c>
      <c r="H42" s="57">
        <v>2938</v>
      </c>
      <c r="I42" s="57">
        <v>5884</v>
      </c>
      <c r="J42" s="57">
        <v>96923</v>
      </c>
    </row>
    <row r="43" spans="1:10" x14ac:dyDescent="0.45">
      <c r="A43" s="56">
        <v>102</v>
      </c>
      <c r="B43" s="57">
        <v>1737</v>
      </c>
      <c r="C43" s="57">
        <v>2125</v>
      </c>
      <c r="D43" s="57">
        <v>3959</v>
      </c>
      <c r="E43" s="57">
        <v>127808</v>
      </c>
      <c r="F43" s="56">
        <v>108</v>
      </c>
      <c r="G43" s="57">
        <v>1540</v>
      </c>
      <c r="H43" s="57">
        <v>1848</v>
      </c>
      <c r="I43" s="57">
        <v>3446</v>
      </c>
      <c r="J43" s="57">
        <v>100369</v>
      </c>
    </row>
    <row r="44" spans="1:10" x14ac:dyDescent="0.45">
      <c r="A44" s="56">
        <v>101</v>
      </c>
      <c r="B44" s="57">
        <v>3410</v>
      </c>
      <c r="C44" s="57">
        <v>4148</v>
      </c>
      <c r="D44" s="57">
        <v>7709</v>
      </c>
      <c r="E44" s="57">
        <v>135517</v>
      </c>
      <c r="F44" s="56">
        <v>107</v>
      </c>
      <c r="G44" s="57">
        <v>1876</v>
      </c>
      <c r="H44" s="57">
        <v>1946</v>
      </c>
      <c r="I44" s="57">
        <v>3902</v>
      </c>
      <c r="J44" s="57">
        <v>104271</v>
      </c>
    </row>
    <row r="45" spans="1:10" x14ac:dyDescent="0.45">
      <c r="A45" s="56">
        <v>100</v>
      </c>
      <c r="B45" s="57">
        <v>1703</v>
      </c>
      <c r="C45" s="57">
        <v>1997</v>
      </c>
      <c r="D45" s="57">
        <v>3778</v>
      </c>
      <c r="E45" s="57">
        <v>139295</v>
      </c>
      <c r="F45" s="56">
        <v>106</v>
      </c>
      <c r="G45" s="57">
        <v>1240</v>
      </c>
      <c r="H45" s="57">
        <v>1297</v>
      </c>
      <c r="I45" s="57">
        <v>2580</v>
      </c>
      <c r="J45" s="57">
        <v>106851</v>
      </c>
    </row>
    <row r="46" spans="1:10" x14ac:dyDescent="0.45">
      <c r="A46" s="56">
        <v>99</v>
      </c>
      <c r="B46" s="57">
        <v>1677</v>
      </c>
      <c r="C46" s="57">
        <v>2088</v>
      </c>
      <c r="D46" s="57">
        <v>3857</v>
      </c>
      <c r="E46" s="57">
        <v>143152</v>
      </c>
      <c r="F46" s="56">
        <v>105</v>
      </c>
      <c r="G46" s="57">
        <v>1372</v>
      </c>
      <c r="H46" s="57">
        <v>1530</v>
      </c>
      <c r="I46" s="57">
        <v>2967</v>
      </c>
      <c r="J46" s="57">
        <v>109818</v>
      </c>
    </row>
    <row r="47" spans="1:10" x14ac:dyDescent="0.45">
      <c r="A47" s="56">
        <v>98</v>
      </c>
      <c r="B47" s="57">
        <v>1696</v>
      </c>
      <c r="C47" s="57">
        <v>1959</v>
      </c>
      <c r="D47" s="57">
        <v>3736</v>
      </c>
      <c r="E47" s="57">
        <v>146888</v>
      </c>
      <c r="F47" s="56">
        <v>104</v>
      </c>
      <c r="G47" s="57">
        <v>3162</v>
      </c>
      <c r="H47" s="57">
        <v>3547</v>
      </c>
      <c r="I47" s="57">
        <v>6838</v>
      </c>
      <c r="J47" s="57">
        <v>116656</v>
      </c>
    </row>
    <row r="48" spans="1:10" x14ac:dyDescent="0.45">
      <c r="A48" s="56">
        <v>97</v>
      </c>
      <c r="B48" s="57">
        <v>1666</v>
      </c>
      <c r="C48" s="57">
        <v>1913</v>
      </c>
      <c r="D48" s="57">
        <v>3677</v>
      </c>
      <c r="E48" s="57">
        <v>150565</v>
      </c>
      <c r="F48" s="56">
        <v>103</v>
      </c>
      <c r="G48" s="57">
        <v>1195</v>
      </c>
      <c r="H48" s="57">
        <v>1478</v>
      </c>
      <c r="I48" s="57">
        <v>2726</v>
      </c>
      <c r="J48" s="57">
        <v>119382</v>
      </c>
    </row>
    <row r="49" spans="1:10" x14ac:dyDescent="0.45">
      <c r="A49" s="56">
        <v>96</v>
      </c>
      <c r="B49" s="57">
        <v>1640</v>
      </c>
      <c r="C49" s="57">
        <v>1855</v>
      </c>
      <c r="D49" s="57">
        <v>3594</v>
      </c>
      <c r="E49" s="57">
        <v>154159</v>
      </c>
      <c r="F49" s="56">
        <v>102</v>
      </c>
      <c r="G49" s="57">
        <v>1636</v>
      </c>
      <c r="H49" s="57">
        <v>1988</v>
      </c>
      <c r="I49" s="57">
        <v>3697</v>
      </c>
      <c r="J49" s="57">
        <v>123079</v>
      </c>
    </row>
    <row r="50" spans="1:10" x14ac:dyDescent="0.45">
      <c r="A50" s="56">
        <v>95</v>
      </c>
      <c r="B50" s="57">
        <v>1628</v>
      </c>
      <c r="C50" s="57">
        <v>1881</v>
      </c>
      <c r="D50" s="57">
        <v>3594</v>
      </c>
      <c r="E50" s="57">
        <v>157753</v>
      </c>
      <c r="F50" s="56">
        <v>101</v>
      </c>
      <c r="G50" s="57">
        <v>1471</v>
      </c>
      <c r="H50" s="57">
        <v>1608</v>
      </c>
      <c r="I50" s="57">
        <v>3139</v>
      </c>
      <c r="J50" s="57">
        <v>126218</v>
      </c>
    </row>
    <row r="51" spans="1:10" x14ac:dyDescent="0.45">
      <c r="A51" s="56">
        <v>94</v>
      </c>
      <c r="B51" s="57">
        <v>3148</v>
      </c>
      <c r="C51" s="57">
        <v>3519</v>
      </c>
      <c r="D51" s="57">
        <v>6842</v>
      </c>
      <c r="E51" s="57">
        <v>164595</v>
      </c>
      <c r="F51" s="56">
        <v>100</v>
      </c>
      <c r="G51" s="57">
        <v>1170</v>
      </c>
      <c r="H51" s="57">
        <v>1408</v>
      </c>
      <c r="I51" s="57">
        <v>2625</v>
      </c>
      <c r="J51" s="57">
        <v>128843</v>
      </c>
    </row>
    <row r="52" spans="1:10" x14ac:dyDescent="0.45">
      <c r="A52" s="56">
        <v>93</v>
      </c>
      <c r="B52" s="57">
        <v>1531</v>
      </c>
      <c r="C52" s="57">
        <v>1723</v>
      </c>
      <c r="D52" s="57">
        <v>3347</v>
      </c>
      <c r="E52" s="57">
        <v>167942</v>
      </c>
      <c r="F52" s="56">
        <v>99</v>
      </c>
      <c r="G52" s="57">
        <v>2859</v>
      </c>
      <c r="H52" s="57">
        <v>3521</v>
      </c>
      <c r="I52" s="57">
        <v>6512</v>
      </c>
      <c r="J52" s="57">
        <v>135355</v>
      </c>
    </row>
    <row r="53" spans="1:10" x14ac:dyDescent="0.45">
      <c r="A53" s="56">
        <v>92</v>
      </c>
      <c r="B53" s="57">
        <v>1480</v>
      </c>
      <c r="C53" s="57">
        <v>1677</v>
      </c>
      <c r="D53" s="57">
        <v>3231</v>
      </c>
      <c r="E53" s="57">
        <v>171173</v>
      </c>
      <c r="F53" s="56">
        <v>98</v>
      </c>
      <c r="G53" s="57">
        <v>1090</v>
      </c>
      <c r="H53" s="57">
        <v>1338</v>
      </c>
      <c r="I53" s="57">
        <v>2475</v>
      </c>
      <c r="J53" s="57">
        <v>137830</v>
      </c>
    </row>
    <row r="54" spans="1:10" x14ac:dyDescent="0.45">
      <c r="A54" s="56">
        <v>91</v>
      </c>
      <c r="B54" s="57">
        <v>1544</v>
      </c>
      <c r="C54" s="57">
        <v>1594</v>
      </c>
      <c r="D54" s="57">
        <v>3221</v>
      </c>
      <c r="E54" s="57">
        <v>174394</v>
      </c>
      <c r="F54" s="56">
        <v>97</v>
      </c>
      <c r="G54" s="57">
        <v>1416</v>
      </c>
      <c r="H54" s="57">
        <v>1632</v>
      </c>
      <c r="I54" s="57">
        <v>3102</v>
      </c>
      <c r="J54" s="57">
        <v>140932</v>
      </c>
    </row>
    <row r="55" spans="1:10" x14ac:dyDescent="0.45">
      <c r="A55" s="56">
        <v>90</v>
      </c>
      <c r="B55" s="57">
        <v>1469</v>
      </c>
      <c r="C55" s="57">
        <v>1651</v>
      </c>
      <c r="D55" s="57">
        <v>3202</v>
      </c>
      <c r="E55" s="57">
        <v>177596</v>
      </c>
      <c r="F55" s="56">
        <v>96</v>
      </c>
      <c r="G55" s="57">
        <v>1346</v>
      </c>
      <c r="H55" s="57">
        <v>1705</v>
      </c>
      <c r="I55" s="57">
        <v>3122</v>
      </c>
      <c r="J55" s="57">
        <v>144054</v>
      </c>
    </row>
    <row r="56" spans="1:10" x14ac:dyDescent="0.45">
      <c r="A56" s="56">
        <v>89</v>
      </c>
      <c r="B56" s="57">
        <v>1524</v>
      </c>
      <c r="C56" s="57">
        <v>1549</v>
      </c>
      <c r="D56" s="57">
        <v>3151</v>
      </c>
      <c r="E56" s="57">
        <v>180747</v>
      </c>
      <c r="F56" s="56">
        <v>95</v>
      </c>
      <c r="G56" s="57">
        <v>1070</v>
      </c>
      <c r="H56" s="57">
        <v>1359</v>
      </c>
      <c r="I56" s="57">
        <v>2477</v>
      </c>
      <c r="J56" s="57">
        <v>146531</v>
      </c>
    </row>
    <row r="57" spans="1:10" x14ac:dyDescent="0.45">
      <c r="A57" s="56">
        <v>88</v>
      </c>
      <c r="B57" s="57">
        <v>1461</v>
      </c>
      <c r="C57" s="57">
        <v>1544</v>
      </c>
      <c r="D57" s="57">
        <v>3098</v>
      </c>
      <c r="E57" s="57">
        <v>183845</v>
      </c>
      <c r="F57" s="56">
        <v>94</v>
      </c>
      <c r="G57" s="57">
        <v>2632</v>
      </c>
      <c r="H57" s="57">
        <v>3097</v>
      </c>
      <c r="I57" s="57">
        <v>5837</v>
      </c>
      <c r="J57" s="57">
        <v>152368</v>
      </c>
    </row>
    <row r="58" spans="1:10" x14ac:dyDescent="0.45">
      <c r="A58" s="56">
        <v>87</v>
      </c>
      <c r="B58" s="57">
        <v>2911</v>
      </c>
      <c r="C58" s="57">
        <v>2923</v>
      </c>
      <c r="D58" s="57">
        <v>5998</v>
      </c>
      <c r="E58" s="57">
        <v>189843</v>
      </c>
      <c r="F58" s="56">
        <v>93</v>
      </c>
      <c r="G58" s="57">
        <v>1089</v>
      </c>
      <c r="H58" s="57">
        <v>1351</v>
      </c>
      <c r="I58" s="57">
        <v>2490</v>
      </c>
      <c r="J58" s="57">
        <v>154858</v>
      </c>
    </row>
    <row r="59" spans="1:10" x14ac:dyDescent="0.45">
      <c r="A59" s="56">
        <v>86</v>
      </c>
      <c r="B59" s="57">
        <v>1496</v>
      </c>
      <c r="C59" s="57">
        <v>1339</v>
      </c>
      <c r="D59" s="57">
        <v>2922</v>
      </c>
      <c r="E59" s="57">
        <v>192765</v>
      </c>
      <c r="F59" s="56">
        <v>92</v>
      </c>
      <c r="G59" s="57">
        <v>1217</v>
      </c>
      <c r="H59" s="57">
        <v>1448</v>
      </c>
      <c r="I59" s="57">
        <v>2731</v>
      </c>
      <c r="J59" s="57">
        <v>157589</v>
      </c>
    </row>
    <row r="60" spans="1:10" x14ac:dyDescent="0.45">
      <c r="A60" s="56">
        <v>85</v>
      </c>
      <c r="B60" s="57">
        <v>1506</v>
      </c>
      <c r="C60" s="57">
        <v>1283</v>
      </c>
      <c r="D60" s="57">
        <v>2878</v>
      </c>
      <c r="E60" s="57">
        <v>195643</v>
      </c>
      <c r="F60" s="56">
        <v>91</v>
      </c>
      <c r="G60" s="57">
        <v>1285</v>
      </c>
      <c r="H60" s="57">
        <v>1567</v>
      </c>
      <c r="I60" s="57">
        <v>2909</v>
      </c>
      <c r="J60" s="57">
        <v>160498</v>
      </c>
    </row>
    <row r="61" spans="1:10" x14ac:dyDescent="0.45">
      <c r="A61" s="56">
        <v>84</v>
      </c>
      <c r="B61" s="57">
        <v>1468</v>
      </c>
      <c r="C61" s="57">
        <v>1298</v>
      </c>
      <c r="D61" s="57">
        <v>2878</v>
      </c>
      <c r="E61" s="57">
        <v>198521</v>
      </c>
      <c r="F61" s="56">
        <v>90</v>
      </c>
      <c r="G61" s="57">
        <v>1145</v>
      </c>
      <c r="H61" s="57">
        <v>1379</v>
      </c>
      <c r="I61" s="57">
        <v>2584</v>
      </c>
      <c r="J61" s="57">
        <v>163082</v>
      </c>
    </row>
    <row r="62" spans="1:10" x14ac:dyDescent="0.45">
      <c r="A62" s="56">
        <v>83</v>
      </c>
      <c r="B62" s="57">
        <v>1581</v>
      </c>
      <c r="C62" s="57">
        <v>1368</v>
      </c>
      <c r="D62" s="57">
        <v>3065</v>
      </c>
      <c r="E62" s="57">
        <v>201586</v>
      </c>
      <c r="F62" s="56">
        <v>89</v>
      </c>
      <c r="G62" s="57">
        <v>2408</v>
      </c>
      <c r="H62" s="57">
        <v>2897</v>
      </c>
      <c r="I62" s="57">
        <v>5425</v>
      </c>
      <c r="J62" s="57">
        <v>168507</v>
      </c>
    </row>
    <row r="63" spans="1:10" x14ac:dyDescent="0.45">
      <c r="A63" s="56">
        <v>82</v>
      </c>
      <c r="B63" s="57">
        <v>1536</v>
      </c>
      <c r="C63" s="57">
        <v>1313</v>
      </c>
      <c r="D63" s="57">
        <v>2940</v>
      </c>
      <c r="E63" s="57">
        <v>204526</v>
      </c>
      <c r="F63" s="56">
        <v>88</v>
      </c>
      <c r="G63" s="57">
        <v>1141</v>
      </c>
      <c r="H63" s="57">
        <v>1366</v>
      </c>
      <c r="I63" s="57">
        <v>2559</v>
      </c>
      <c r="J63" s="57">
        <v>171066</v>
      </c>
    </row>
    <row r="64" spans="1:10" x14ac:dyDescent="0.45">
      <c r="A64" s="56">
        <v>81</v>
      </c>
      <c r="B64" s="57">
        <v>1642</v>
      </c>
      <c r="C64" s="57">
        <v>1264</v>
      </c>
      <c r="D64" s="57">
        <v>3021</v>
      </c>
      <c r="E64" s="57">
        <v>207547</v>
      </c>
      <c r="F64" s="56">
        <v>87</v>
      </c>
      <c r="G64" s="57">
        <v>1287</v>
      </c>
      <c r="H64" s="57">
        <v>1346</v>
      </c>
      <c r="I64" s="57">
        <v>2689</v>
      </c>
      <c r="J64" s="57">
        <v>173755</v>
      </c>
    </row>
    <row r="65" spans="1:10" x14ac:dyDescent="0.45">
      <c r="A65" s="56">
        <v>80</v>
      </c>
      <c r="B65" s="57">
        <v>1616</v>
      </c>
      <c r="C65" s="57">
        <v>1277</v>
      </c>
      <c r="D65" s="57">
        <v>3010</v>
      </c>
      <c r="E65" s="57">
        <v>210557</v>
      </c>
      <c r="F65" s="56">
        <v>86</v>
      </c>
      <c r="G65" s="57">
        <v>1338</v>
      </c>
      <c r="H65" s="57">
        <v>1581</v>
      </c>
      <c r="I65" s="57">
        <v>2985</v>
      </c>
      <c r="J65" s="57">
        <v>176740</v>
      </c>
    </row>
    <row r="66" spans="1:10" x14ac:dyDescent="0.45">
      <c r="A66" s="56">
        <v>79</v>
      </c>
      <c r="B66" s="57">
        <v>3300</v>
      </c>
      <c r="C66" s="57">
        <v>2438</v>
      </c>
      <c r="D66" s="57">
        <v>5986</v>
      </c>
      <c r="E66" s="57">
        <v>216543</v>
      </c>
      <c r="F66" s="56">
        <v>85</v>
      </c>
      <c r="G66" s="57">
        <v>1279</v>
      </c>
      <c r="H66" s="57">
        <v>1437</v>
      </c>
      <c r="I66" s="57">
        <v>2790</v>
      </c>
      <c r="J66" s="57">
        <v>179530</v>
      </c>
    </row>
    <row r="67" spans="1:10" x14ac:dyDescent="0.45">
      <c r="A67" s="56">
        <v>78</v>
      </c>
      <c r="B67" s="57">
        <v>1632</v>
      </c>
      <c r="C67" s="57">
        <v>1195</v>
      </c>
      <c r="D67" s="57">
        <v>2950</v>
      </c>
      <c r="E67" s="57">
        <v>219493</v>
      </c>
      <c r="F67" s="56">
        <v>84</v>
      </c>
      <c r="G67" s="57">
        <v>2967</v>
      </c>
      <c r="H67" s="57">
        <v>3554</v>
      </c>
      <c r="I67" s="57">
        <v>6701</v>
      </c>
      <c r="J67" s="57">
        <v>186231</v>
      </c>
    </row>
    <row r="68" spans="1:10" x14ac:dyDescent="0.45">
      <c r="A68" s="56">
        <v>77</v>
      </c>
      <c r="B68" s="57">
        <v>1929</v>
      </c>
      <c r="C68" s="57">
        <v>1268</v>
      </c>
      <c r="D68" s="57">
        <v>3348</v>
      </c>
      <c r="E68" s="57">
        <v>222841</v>
      </c>
      <c r="F68" s="56">
        <v>83</v>
      </c>
      <c r="G68" s="57">
        <v>1491</v>
      </c>
      <c r="H68" s="57">
        <v>1715</v>
      </c>
      <c r="I68" s="57">
        <v>3278</v>
      </c>
      <c r="J68" s="57">
        <v>189509</v>
      </c>
    </row>
    <row r="69" spans="1:10" x14ac:dyDescent="0.45">
      <c r="A69" s="56">
        <v>76</v>
      </c>
      <c r="B69" s="57">
        <v>1742</v>
      </c>
      <c r="C69" s="57">
        <v>1232</v>
      </c>
      <c r="D69" s="57">
        <v>3115</v>
      </c>
      <c r="E69" s="57">
        <v>225956</v>
      </c>
      <c r="F69" s="56">
        <v>82</v>
      </c>
      <c r="G69" s="57">
        <v>1779</v>
      </c>
      <c r="H69" s="57">
        <v>1944</v>
      </c>
      <c r="I69" s="57">
        <v>3833</v>
      </c>
      <c r="J69" s="57">
        <v>193342</v>
      </c>
    </row>
    <row r="70" spans="1:10" x14ac:dyDescent="0.45">
      <c r="A70" s="56">
        <v>75</v>
      </c>
      <c r="B70" s="57">
        <v>2050</v>
      </c>
      <c r="C70" s="57">
        <v>1136</v>
      </c>
      <c r="D70" s="57">
        <v>3354</v>
      </c>
      <c r="E70" s="57">
        <v>229310</v>
      </c>
      <c r="F70" s="56">
        <v>81</v>
      </c>
      <c r="G70" s="57">
        <v>2200</v>
      </c>
      <c r="H70" s="57">
        <v>2525</v>
      </c>
      <c r="I70" s="57">
        <v>4859</v>
      </c>
      <c r="J70" s="57">
        <v>198201</v>
      </c>
    </row>
    <row r="71" spans="1:10" x14ac:dyDescent="0.45">
      <c r="A71" s="56">
        <v>74</v>
      </c>
      <c r="B71" s="57">
        <v>2247</v>
      </c>
      <c r="C71" s="57">
        <v>1301</v>
      </c>
      <c r="D71" s="57">
        <v>3775</v>
      </c>
      <c r="E71" s="57">
        <v>233085</v>
      </c>
      <c r="F71" s="56">
        <v>80</v>
      </c>
      <c r="G71" s="57">
        <v>1762</v>
      </c>
      <c r="H71" s="57">
        <v>2020</v>
      </c>
      <c r="I71" s="57">
        <v>3889</v>
      </c>
      <c r="J71" s="57">
        <v>202090</v>
      </c>
    </row>
    <row r="72" spans="1:10" x14ac:dyDescent="0.45">
      <c r="A72" s="56">
        <v>73</v>
      </c>
      <c r="B72" s="57">
        <v>1997</v>
      </c>
      <c r="C72" s="57">
        <v>1044</v>
      </c>
      <c r="D72" s="57">
        <v>3202</v>
      </c>
      <c r="E72" s="57">
        <v>236287</v>
      </c>
      <c r="F72" s="56">
        <v>79</v>
      </c>
      <c r="G72" s="57">
        <v>10379</v>
      </c>
      <c r="H72" s="57">
        <v>8244</v>
      </c>
      <c r="I72" s="57">
        <v>19447</v>
      </c>
      <c r="J72" s="57">
        <v>221537</v>
      </c>
    </row>
    <row r="73" spans="1:10" x14ac:dyDescent="0.45">
      <c r="A73" s="56">
        <v>72</v>
      </c>
      <c r="B73" s="57">
        <v>6578</v>
      </c>
      <c r="C73" s="57">
        <v>2756</v>
      </c>
      <c r="D73" s="57">
        <v>10097</v>
      </c>
      <c r="E73" s="57">
        <v>246384</v>
      </c>
      <c r="F73" s="56">
        <v>78</v>
      </c>
      <c r="G73" s="57">
        <v>2129</v>
      </c>
      <c r="H73" s="57">
        <v>2325</v>
      </c>
      <c r="I73" s="57">
        <v>4612</v>
      </c>
      <c r="J73" s="57">
        <v>226149</v>
      </c>
    </row>
    <row r="74" spans="1:10" x14ac:dyDescent="0.45">
      <c r="A74" s="56">
        <v>71</v>
      </c>
      <c r="B74" s="57">
        <v>2904</v>
      </c>
      <c r="C74" s="57">
        <v>1370</v>
      </c>
      <c r="D74" s="57">
        <v>4622</v>
      </c>
      <c r="E74" s="57">
        <v>251006</v>
      </c>
      <c r="F74" s="56">
        <v>77</v>
      </c>
      <c r="G74" s="57">
        <v>2670</v>
      </c>
      <c r="H74" s="57">
        <v>2508</v>
      </c>
      <c r="I74" s="57">
        <v>5332</v>
      </c>
      <c r="J74" s="57">
        <v>231481</v>
      </c>
    </row>
    <row r="75" spans="1:10" x14ac:dyDescent="0.45">
      <c r="A75" s="56">
        <v>70</v>
      </c>
      <c r="B75" s="57">
        <v>1330</v>
      </c>
      <c r="C75" s="57">
        <v>648</v>
      </c>
      <c r="D75" s="57">
        <v>2087</v>
      </c>
      <c r="E75" s="57">
        <v>253093</v>
      </c>
      <c r="F75" s="56">
        <v>76</v>
      </c>
      <c r="G75" s="57">
        <v>3738</v>
      </c>
      <c r="H75" s="57">
        <v>3307</v>
      </c>
      <c r="I75" s="57">
        <v>7348</v>
      </c>
      <c r="J75" s="57">
        <v>238829</v>
      </c>
    </row>
    <row r="76" spans="1:10" x14ac:dyDescent="0.45">
      <c r="A76" s="56">
        <v>69</v>
      </c>
      <c r="B76" s="57">
        <v>1585</v>
      </c>
      <c r="C76" s="57">
        <v>736</v>
      </c>
      <c r="D76" s="57">
        <v>2477</v>
      </c>
      <c r="E76" s="57">
        <v>255570</v>
      </c>
      <c r="F76" s="56">
        <v>75</v>
      </c>
      <c r="G76" s="57">
        <v>4867</v>
      </c>
      <c r="H76" s="57">
        <v>4779</v>
      </c>
      <c r="I76" s="57">
        <v>10007</v>
      </c>
      <c r="J76" s="57">
        <v>248836</v>
      </c>
    </row>
    <row r="77" spans="1:10" x14ac:dyDescent="0.45">
      <c r="A77" s="56">
        <v>68</v>
      </c>
      <c r="B77" s="57">
        <v>1419</v>
      </c>
      <c r="C77" s="57">
        <v>686</v>
      </c>
      <c r="D77" s="57">
        <v>2258</v>
      </c>
      <c r="E77" s="57">
        <v>257828</v>
      </c>
      <c r="F77" s="56">
        <v>74</v>
      </c>
      <c r="G77" s="57">
        <v>2410</v>
      </c>
      <c r="H77" s="57">
        <v>2394</v>
      </c>
      <c r="I77" s="57">
        <v>4978</v>
      </c>
      <c r="J77" s="57">
        <v>253814</v>
      </c>
    </row>
    <row r="78" spans="1:10" x14ac:dyDescent="0.45">
      <c r="A78" s="56">
        <v>67</v>
      </c>
      <c r="B78" s="57">
        <v>947</v>
      </c>
      <c r="C78" s="57">
        <v>439</v>
      </c>
      <c r="D78" s="57">
        <v>1478</v>
      </c>
      <c r="E78" s="57">
        <v>259306</v>
      </c>
      <c r="F78" s="56">
        <v>73</v>
      </c>
      <c r="G78" s="57">
        <v>1418</v>
      </c>
      <c r="H78" s="57">
        <v>1457</v>
      </c>
      <c r="I78" s="57">
        <v>2959</v>
      </c>
      <c r="J78" s="57">
        <v>256773</v>
      </c>
    </row>
    <row r="79" spans="1:10" x14ac:dyDescent="0.45">
      <c r="A79" s="56">
        <v>66</v>
      </c>
      <c r="B79" s="57">
        <v>780</v>
      </c>
      <c r="C79" s="57">
        <v>340</v>
      </c>
      <c r="D79" s="57">
        <v>1190</v>
      </c>
      <c r="E79" s="57">
        <v>260496</v>
      </c>
      <c r="F79" s="56">
        <v>72</v>
      </c>
      <c r="G79" s="57">
        <v>785</v>
      </c>
      <c r="H79" s="57">
        <v>688</v>
      </c>
      <c r="I79" s="57">
        <v>1521</v>
      </c>
      <c r="J79" s="57">
        <v>258294</v>
      </c>
    </row>
    <row r="80" spans="1:10" x14ac:dyDescent="0.45">
      <c r="A80" s="56">
        <v>65</v>
      </c>
      <c r="B80" s="57">
        <v>1154</v>
      </c>
      <c r="C80" s="57">
        <v>513</v>
      </c>
      <c r="D80" s="57">
        <v>1775</v>
      </c>
      <c r="E80" s="57">
        <v>262271</v>
      </c>
      <c r="F80" s="56">
        <v>71</v>
      </c>
      <c r="G80" s="57">
        <v>698</v>
      </c>
      <c r="H80" s="57">
        <v>663</v>
      </c>
      <c r="I80" s="57">
        <v>1399</v>
      </c>
      <c r="J80" s="57">
        <v>259693</v>
      </c>
    </row>
    <row r="81" spans="1:10" x14ac:dyDescent="0.45">
      <c r="A81" s="56">
        <v>64</v>
      </c>
      <c r="B81" s="57">
        <v>404</v>
      </c>
      <c r="C81" s="57">
        <v>180</v>
      </c>
      <c r="D81" s="57">
        <v>618</v>
      </c>
      <c r="E81" s="57">
        <v>262889</v>
      </c>
      <c r="F81" s="56">
        <v>70</v>
      </c>
      <c r="G81" s="57">
        <v>725</v>
      </c>
      <c r="H81" s="57">
        <v>573</v>
      </c>
      <c r="I81" s="57">
        <v>1337</v>
      </c>
      <c r="J81" s="57">
        <v>261030</v>
      </c>
    </row>
    <row r="82" spans="1:10" x14ac:dyDescent="0.45">
      <c r="A82" s="56">
        <v>63</v>
      </c>
      <c r="B82" s="57">
        <v>283</v>
      </c>
      <c r="C82" s="57">
        <v>121</v>
      </c>
      <c r="D82" s="57">
        <v>430</v>
      </c>
      <c r="E82" s="57">
        <v>263319</v>
      </c>
      <c r="F82" s="56">
        <v>69</v>
      </c>
      <c r="G82" s="57">
        <v>611</v>
      </c>
      <c r="H82" s="57">
        <v>518</v>
      </c>
      <c r="I82" s="57">
        <v>1177</v>
      </c>
      <c r="J82" s="57">
        <v>262207</v>
      </c>
    </row>
    <row r="83" spans="1:10" x14ac:dyDescent="0.45">
      <c r="A83" s="56">
        <v>62</v>
      </c>
      <c r="B83" s="57">
        <v>249</v>
      </c>
      <c r="C83" s="57">
        <v>121</v>
      </c>
      <c r="D83" s="57">
        <v>391</v>
      </c>
      <c r="E83" s="57">
        <v>263710</v>
      </c>
      <c r="F83" s="56">
        <v>68</v>
      </c>
      <c r="G83" s="57">
        <v>245</v>
      </c>
      <c r="H83" s="57">
        <v>215</v>
      </c>
      <c r="I83" s="57">
        <v>478</v>
      </c>
      <c r="J83" s="57">
        <v>262685</v>
      </c>
    </row>
    <row r="84" spans="1:10" x14ac:dyDescent="0.45">
      <c r="A84" s="56">
        <v>61</v>
      </c>
      <c r="B84" s="57">
        <v>134</v>
      </c>
      <c r="C84" s="57">
        <v>55</v>
      </c>
      <c r="D84" s="57">
        <v>205</v>
      </c>
      <c r="E84" s="57">
        <v>263915</v>
      </c>
      <c r="F84" s="56">
        <v>67</v>
      </c>
      <c r="G84" s="57">
        <v>167</v>
      </c>
      <c r="H84" s="57">
        <v>162</v>
      </c>
      <c r="I84" s="57">
        <v>348</v>
      </c>
      <c r="J84" s="57">
        <v>263033</v>
      </c>
    </row>
    <row r="85" spans="1:10" x14ac:dyDescent="0.45">
      <c r="A85" s="56">
        <v>60</v>
      </c>
      <c r="B85" s="57">
        <v>200</v>
      </c>
      <c r="C85" s="57">
        <v>77</v>
      </c>
      <c r="D85" s="57">
        <v>298</v>
      </c>
      <c r="E85" s="57">
        <v>264213</v>
      </c>
      <c r="F85" s="56">
        <v>65</v>
      </c>
      <c r="G85" s="57">
        <v>896</v>
      </c>
      <c r="H85" s="57">
        <v>405</v>
      </c>
      <c r="I85" s="57">
        <v>1433</v>
      </c>
      <c r="J85" s="57">
        <v>264466</v>
      </c>
    </row>
    <row r="86" spans="1:10" x14ac:dyDescent="0.45">
      <c r="A86" s="56">
        <v>59</v>
      </c>
      <c r="B86" s="57">
        <v>54</v>
      </c>
      <c r="C86" s="57">
        <v>17</v>
      </c>
      <c r="D86" s="57">
        <v>79</v>
      </c>
      <c r="E86" s="57">
        <v>264292</v>
      </c>
      <c r="F86" s="56"/>
      <c r="G86" s="57"/>
      <c r="H86" s="57"/>
      <c r="I86" s="57"/>
      <c r="J86" s="57"/>
    </row>
    <row r="87" spans="1:10" x14ac:dyDescent="0.45">
      <c r="A87" s="56">
        <v>58</v>
      </c>
      <c r="B87" s="57">
        <v>162</v>
      </c>
      <c r="C87" s="57">
        <v>56</v>
      </c>
      <c r="D87" s="57">
        <v>244</v>
      </c>
      <c r="E87" s="57">
        <v>264536</v>
      </c>
      <c r="F87" s="56"/>
      <c r="G87" s="57"/>
      <c r="H87" s="57"/>
      <c r="I87" s="57"/>
      <c r="J87" s="57"/>
    </row>
    <row r="88" spans="1:10" x14ac:dyDescent="0.45">
      <c r="A88" s="56">
        <v>57</v>
      </c>
      <c r="B88" s="57">
        <v>67</v>
      </c>
      <c r="C88" s="57">
        <v>27</v>
      </c>
      <c r="D88" s="57">
        <v>100</v>
      </c>
      <c r="E88" s="57">
        <v>264636</v>
      </c>
      <c r="F88" s="56"/>
      <c r="G88" s="57"/>
      <c r="H88" s="57"/>
      <c r="I88" s="57"/>
      <c r="J88" s="57"/>
    </row>
    <row r="89" spans="1:10" x14ac:dyDescent="0.45">
      <c r="A89" s="56">
        <v>56</v>
      </c>
      <c r="B89" s="57">
        <v>1</v>
      </c>
      <c r="C89" s="57">
        <v>2</v>
      </c>
      <c r="D89" s="57">
        <v>4</v>
      </c>
      <c r="E89" s="57">
        <v>264640</v>
      </c>
      <c r="F89" s="56"/>
      <c r="G89" s="57"/>
      <c r="H89" s="57"/>
      <c r="I89" s="57"/>
      <c r="J89" s="57"/>
    </row>
    <row r="90" spans="1:10" x14ac:dyDescent="0.45">
      <c r="A90" s="56">
        <v>55</v>
      </c>
      <c r="B90" s="57">
        <v>60</v>
      </c>
      <c r="C90" s="57">
        <v>24</v>
      </c>
      <c r="D90" s="57">
        <v>98</v>
      </c>
      <c r="E90" s="57">
        <v>264738</v>
      </c>
      <c r="F90" s="56"/>
      <c r="G90" s="57"/>
      <c r="H90" s="57"/>
      <c r="I90" s="57"/>
      <c r="J90" s="57"/>
    </row>
    <row r="91" spans="1:10" x14ac:dyDescent="0.45">
      <c r="A91" s="56">
        <v>53</v>
      </c>
      <c r="B91" s="57">
        <v>748</v>
      </c>
      <c r="C91" s="57">
        <v>268</v>
      </c>
      <c r="D91" s="57">
        <v>1167</v>
      </c>
      <c r="E91" s="57">
        <v>265905</v>
      </c>
      <c r="F91" s="56"/>
      <c r="G91" s="57"/>
      <c r="H91" s="57"/>
      <c r="I91" s="57"/>
      <c r="J91" s="57"/>
    </row>
    <row r="92" spans="1:10" x14ac:dyDescent="0.45">
      <c r="A92" s="9"/>
      <c r="D92" s="10"/>
      <c r="F92" s="9"/>
      <c r="I92" s="10"/>
    </row>
    <row r="93" spans="1:10" x14ac:dyDescent="0.45">
      <c r="A93" s="9"/>
      <c r="D93" s="10"/>
      <c r="F93" s="9"/>
      <c r="I93" s="10"/>
    </row>
    <row r="94" spans="1:10" x14ac:dyDescent="0.45">
      <c r="A94" s="9"/>
      <c r="D94" s="10"/>
      <c r="F94" s="9"/>
      <c r="I94" s="10"/>
    </row>
    <row r="95" spans="1:10" x14ac:dyDescent="0.45">
      <c r="A95" s="9"/>
      <c r="D95" s="10"/>
      <c r="F95" s="9"/>
      <c r="I95" s="10"/>
    </row>
    <row r="96" spans="1:10" x14ac:dyDescent="0.45">
      <c r="A96" s="9"/>
      <c r="D96" s="10"/>
      <c r="F96" s="9"/>
      <c r="I96" s="10"/>
    </row>
    <row r="97" spans="1:9" x14ac:dyDescent="0.45">
      <c r="A97" s="9"/>
      <c r="D97" s="10"/>
      <c r="F97" s="9"/>
      <c r="I97" s="10"/>
    </row>
    <row r="98" spans="1:9" x14ac:dyDescent="0.45">
      <c r="A98" s="9"/>
      <c r="D98" s="10"/>
      <c r="F98" s="9"/>
      <c r="I98" s="10"/>
    </row>
    <row r="99" spans="1:9" x14ac:dyDescent="0.45">
      <c r="A99" s="9"/>
      <c r="D99" s="10"/>
      <c r="F99" s="9"/>
      <c r="I99" s="10"/>
    </row>
    <row r="100" spans="1:9" x14ac:dyDescent="0.45">
      <c r="A100" s="9"/>
      <c r="D100" s="10"/>
      <c r="F100" s="9"/>
      <c r="I100" s="10"/>
    </row>
    <row r="101" spans="1:9" x14ac:dyDescent="0.45">
      <c r="A101" s="9"/>
      <c r="D101" s="10"/>
      <c r="F101" s="9"/>
      <c r="I101" s="10"/>
    </row>
    <row r="102" spans="1:9" ht="17.5" thickBot="1" x14ac:dyDescent="0.5">
      <c r="A102" s="11"/>
      <c r="B102" s="13"/>
      <c r="C102" s="13"/>
      <c r="D102" s="12"/>
      <c r="F102" s="11"/>
      <c r="G102" s="13"/>
      <c r="H102" s="13"/>
      <c r="I102" s="12"/>
    </row>
  </sheetData>
  <mergeCells count="2">
    <mergeCell ref="A3:E3"/>
    <mergeCell ref="F3:J3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0E877-379A-49E2-992A-061D04B66978}">
  <sheetPr codeName="Sheet4"/>
  <dimension ref="A1:T224"/>
  <sheetViews>
    <sheetView topLeftCell="A169" workbookViewId="0">
      <selection activeCell="A175" sqref="A175:T224"/>
    </sheetView>
  </sheetViews>
  <sheetFormatPr defaultRowHeight="17" x14ac:dyDescent="0.45"/>
  <sheetData>
    <row r="1" spans="1:20" x14ac:dyDescent="0.45">
      <c r="A1" s="15"/>
    </row>
    <row r="3" spans="1:20" x14ac:dyDescent="0.45">
      <c r="A3" s="79" t="s">
        <v>109</v>
      </c>
      <c r="B3" s="79"/>
      <c r="C3" s="79"/>
      <c r="D3" s="79"/>
      <c r="E3" s="79"/>
      <c r="F3" s="79" t="s">
        <v>110</v>
      </c>
      <c r="G3" s="79"/>
      <c r="H3" s="79"/>
      <c r="I3" s="79"/>
      <c r="J3" s="79"/>
      <c r="K3" s="79" t="s">
        <v>111</v>
      </c>
      <c r="L3" s="79"/>
      <c r="M3" s="79"/>
      <c r="N3" s="79"/>
      <c r="O3" s="79"/>
      <c r="P3" s="79" t="s">
        <v>112</v>
      </c>
      <c r="Q3" s="79"/>
      <c r="R3" s="79"/>
      <c r="S3" s="79"/>
      <c r="T3" s="79"/>
    </row>
    <row r="4" spans="1:20" x14ac:dyDescent="0.45">
      <c r="A4" s="60" t="s">
        <v>104</v>
      </c>
      <c r="B4" s="60" t="s">
        <v>105</v>
      </c>
      <c r="C4" s="60" t="s">
        <v>106</v>
      </c>
      <c r="D4" s="60" t="s">
        <v>107</v>
      </c>
      <c r="E4" s="61" t="s">
        <v>108</v>
      </c>
      <c r="F4" s="60" t="s">
        <v>104</v>
      </c>
      <c r="G4" s="60" t="s">
        <v>105</v>
      </c>
      <c r="H4" s="60" t="s">
        <v>106</v>
      </c>
      <c r="I4" s="60" t="s">
        <v>107</v>
      </c>
      <c r="J4" s="61" t="s">
        <v>108</v>
      </c>
      <c r="K4" s="60" t="s">
        <v>104</v>
      </c>
      <c r="L4" s="60" t="s">
        <v>105</v>
      </c>
      <c r="M4" s="60" t="s">
        <v>106</v>
      </c>
      <c r="N4" s="60" t="s">
        <v>107</v>
      </c>
      <c r="O4" s="61" t="s">
        <v>108</v>
      </c>
      <c r="P4" s="60" t="s">
        <v>104</v>
      </c>
      <c r="Q4" s="60" t="s">
        <v>105</v>
      </c>
      <c r="R4" s="60" t="s">
        <v>106</v>
      </c>
      <c r="S4" s="60" t="s">
        <v>107</v>
      </c>
      <c r="T4" s="61" t="s">
        <v>108</v>
      </c>
    </row>
    <row r="5" spans="1:20" x14ac:dyDescent="0.45">
      <c r="A5" s="58">
        <v>73</v>
      </c>
      <c r="B5" s="59">
        <v>106</v>
      </c>
      <c r="C5" s="59">
        <v>175</v>
      </c>
      <c r="D5" s="59">
        <v>287</v>
      </c>
      <c r="E5" s="59">
        <v>287</v>
      </c>
      <c r="F5" s="58">
        <v>71</v>
      </c>
      <c r="G5" s="59">
        <v>152</v>
      </c>
      <c r="H5" s="59">
        <v>299</v>
      </c>
      <c r="I5" s="59">
        <v>452</v>
      </c>
      <c r="J5" s="59">
        <v>452</v>
      </c>
      <c r="K5" s="58">
        <v>71</v>
      </c>
      <c r="L5" s="59">
        <v>162</v>
      </c>
      <c r="M5" s="59">
        <v>153</v>
      </c>
      <c r="N5" s="59">
        <v>315</v>
      </c>
      <c r="O5" s="59">
        <v>315</v>
      </c>
      <c r="P5" s="58">
        <v>78</v>
      </c>
      <c r="Q5" s="59">
        <v>34</v>
      </c>
      <c r="R5" s="59">
        <v>34</v>
      </c>
      <c r="S5" s="59">
        <v>68</v>
      </c>
      <c r="T5" s="59">
        <v>68</v>
      </c>
    </row>
    <row r="6" spans="1:20" x14ac:dyDescent="0.45">
      <c r="A6" s="58">
        <v>71</v>
      </c>
      <c r="B6" s="59">
        <v>68</v>
      </c>
      <c r="C6" s="59">
        <v>155</v>
      </c>
      <c r="D6" s="59">
        <v>226</v>
      </c>
      <c r="E6" s="59">
        <v>513</v>
      </c>
      <c r="F6" s="58">
        <v>70</v>
      </c>
      <c r="G6" s="59">
        <v>102</v>
      </c>
      <c r="H6" s="59">
        <v>178</v>
      </c>
      <c r="I6" s="59">
        <v>282</v>
      </c>
      <c r="J6" s="59">
        <v>734</v>
      </c>
      <c r="K6" s="58">
        <v>69</v>
      </c>
      <c r="L6" s="59">
        <v>50</v>
      </c>
      <c r="M6" s="59">
        <v>59</v>
      </c>
      <c r="N6" s="59">
        <v>111</v>
      </c>
      <c r="O6" s="59">
        <v>426</v>
      </c>
      <c r="P6" s="58">
        <v>76</v>
      </c>
      <c r="Q6" s="59">
        <v>16</v>
      </c>
      <c r="R6" s="59">
        <v>22</v>
      </c>
      <c r="S6" s="59">
        <v>38</v>
      </c>
      <c r="T6" s="59">
        <v>106</v>
      </c>
    </row>
    <row r="7" spans="1:20" x14ac:dyDescent="0.45">
      <c r="A7" s="58">
        <v>70</v>
      </c>
      <c r="B7" s="59">
        <v>128</v>
      </c>
      <c r="C7" s="59">
        <v>280</v>
      </c>
      <c r="D7" s="59">
        <v>410</v>
      </c>
      <c r="E7" s="59">
        <v>923</v>
      </c>
      <c r="F7" s="58">
        <v>69</v>
      </c>
      <c r="G7" s="59">
        <v>163</v>
      </c>
      <c r="H7" s="59">
        <v>353</v>
      </c>
      <c r="I7" s="59">
        <v>517</v>
      </c>
      <c r="J7" s="59">
        <v>1251</v>
      </c>
      <c r="K7" s="58">
        <v>68</v>
      </c>
      <c r="L7" s="59">
        <v>266</v>
      </c>
      <c r="M7" s="59">
        <v>255</v>
      </c>
      <c r="N7" s="59">
        <v>523</v>
      </c>
      <c r="O7" s="59">
        <v>949</v>
      </c>
      <c r="P7" s="58">
        <v>75</v>
      </c>
      <c r="Q7" s="59">
        <v>43</v>
      </c>
      <c r="R7" s="59">
        <v>37</v>
      </c>
      <c r="S7" s="59">
        <v>82</v>
      </c>
      <c r="T7" s="59">
        <v>188</v>
      </c>
    </row>
    <row r="8" spans="1:20" x14ac:dyDescent="0.45">
      <c r="A8" s="58">
        <v>69</v>
      </c>
      <c r="B8" s="59">
        <v>39</v>
      </c>
      <c r="C8" s="59">
        <v>62</v>
      </c>
      <c r="D8" s="59">
        <v>104</v>
      </c>
      <c r="E8" s="59">
        <v>1027</v>
      </c>
      <c r="F8" s="58">
        <v>68</v>
      </c>
      <c r="G8" s="59">
        <v>41</v>
      </c>
      <c r="H8" s="59">
        <v>70</v>
      </c>
      <c r="I8" s="59">
        <v>111</v>
      </c>
      <c r="J8" s="59">
        <v>1362</v>
      </c>
      <c r="K8" s="58">
        <v>67</v>
      </c>
      <c r="L8" s="59">
        <v>171</v>
      </c>
      <c r="M8" s="59">
        <v>205</v>
      </c>
      <c r="N8" s="59">
        <v>378</v>
      </c>
      <c r="O8" s="59">
        <v>1327</v>
      </c>
      <c r="P8" s="58">
        <v>74</v>
      </c>
      <c r="Q8" s="59">
        <v>9</v>
      </c>
      <c r="R8" s="59">
        <v>9</v>
      </c>
      <c r="S8" s="59">
        <v>18</v>
      </c>
      <c r="T8" s="59">
        <v>206</v>
      </c>
    </row>
    <row r="9" spans="1:20" x14ac:dyDescent="0.45">
      <c r="A9" s="58">
        <v>68</v>
      </c>
      <c r="B9" s="59">
        <v>160</v>
      </c>
      <c r="C9" s="59">
        <v>320</v>
      </c>
      <c r="D9" s="59">
        <v>487</v>
      </c>
      <c r="E9" s="59">
        <v>1514</v>
      </c>
      <c r="F9" s="58">
        <v>67</v>
      </c>
      <c r="G9" s="59">
        <v>155</v>
      </c>
      <c r="H9" s="59">
        <v>376</v>
      </c>
      <c r="I9" s="59">
        <v>533</v>
      </c>
      <c r="J9" s="59">
        <v>1895</v>
      </c>
      <c r="K9" s="58">
        <v>66</v>
      </c>
      <c r="L9" s="59">
        <v>284</v>
      </c>
      <c r="M9" s="59">
        <v>322</v>
      </c>
      <c r="N9" s="59">
        <v>611</v>
      </c>
      <c r="O9" s="59">
        <v>1938</v>
      </c>
      <c r="P9" s="58">
        <v>73</v>
      </c>
      <c r="Q9" s="59">
        <v>48</v>
      </c>
      <c r="R9" s="59">
        <v>49</v>
      </c>
      <c r="S9" s="59">
        <v>97</v>
      </c>
      <c r="T9" s="59">
        <v>303</v>
      </c>
    </row>
    <row r="10" spans="1:20" x14ac:dyDescent="0.45">
      <c r="A10" s="58">
        <v>67</v>
      </c>
      <c r="B10" s="59">
        <v>128</v>
      </c>
      <c r="C10" s="59">
        <v>297</v>
      </c>
      <c r="D10" s="59">
        <v>427</v>
      </c>
      <c r="E10" s="59">
        <v>1941</v>
      </c>
      <c r="F10" s="58">
        <v>66</v>
      </c>
      <c r="G10" s="59">
        <v>262</v>
      </c>
      <c r="H10" s="59">
        <v>600</v>
      </c>
      <c r="I10" s="59">
        <v>868</v>
      </c>
      <c r="J10" s="59">
        <v>2763</v>
      </c>
      <c r="K10" s="58">
        <v>65</v>
      </c>
      <c r="L10" s="59">
        <v>60</v>
      </c>
      <c r="M10" s="59">
        <v>97</v>
      </c>
      <c r="N10" s="59">
        <v>158</v>
      </c>
      <c r="O10" s="59">
        <v>2096</v>
      </c>
      <c r="P10" s="58">
        <v>72</v>
      </c>
      <c r="Q10" s="59">
        <v>54</v>
      </c>
      <c r="R10" s="59">
        <v>39</v>
      </c>
      <c r="S10" s="59">
        <v>94</v>
      </c>
      <c r="T10" s="59">
        <v>397</v>
      </c>
    </row>
    <row r="11" spans="1:20" x14ac:dyDescent="0.45">
      <c r="A11" s="58">
        <v>66</v>
      </c>
      <c r="B11" s="59">
        <v>124</v>
      </c>
      <c r="C11" s="59">
        <v>287</v>
      </c>
      <c r="D11" s="59">
        <v>413</v>
      </c>
      <c r="E11" s="59">
        <v>2354</v>
      </c>
      <c r="F11" s="58">
        <v>65</v>
      </c>
      <c r="G11" s="59">
        <v>222</v>
      </c>
      <c r="H11" s="59">
        <v>510</v>
      </c>
      <c r="I11" s="59">
        <v>737</v>
      </c>
      <c r="J11" s="59">
        <v>3500</v>
      </c>
      <c r="K11" s="58">
        <v>64</v>
      </c>
      <c r="L11" s="59">
        <v>233</v>
      </c>
      <c r="M11" s="59">
        <v>316</v>
      </c>
      <c r="N11" s="59">
        <v>555</v>
      </c>
      <c r="O11" s="59">
        <v>2651</v>
      </c>
      <c r="P11" s="58">
        <v>71</v>
      </c>
      <c r="Q11" s="59">
        <v>32</v>
      </c>
      <c r="R11" s="59">
        <v>32</v>
      </c>
      <c r="S11" s="59">
        <v>65</v>
      </c>
      <c r="T11" s="59">
        <v>462</v>
      </c>
    </row>
    <row r="12" spans="1:20" x14ac:dyDescent="0.45">
      <c r="A12" s="58">
        <v>65</v>
      </c>
      <c r="B12" s="59">
        <v>450</v>
      </c>
      <c r="C12" s="59">
        <v>894</v>
      </c>
      <c r="D12" s="59">
        <v>1355</v>
      </c>
      <c r="E12" s="59">
        <v>3709</v>
      </c>
      <c r="F12" s="58">
        <v>64</v>
      </c>
      <c r="G12" s="59">
        <v>161</v>
      </c>
      <c r="H12" s="59">
        <v>380</v>
      </c>
      <c r="I12" s="59">
        <v>545</v>
      </c>
      <c r="J12" s="59">
        <v>4045</v>
      </c>
      <c r="K12" s="58">
        <v>63</v>
      </c>
      <c r="L12" s="59">
        <v>215</v>
      </c>
      <c r="M12" s="59">
        <v>289</v>
      </c>
      <c r="N12" s="59">
        <v>509</v>
      </c>
      <c r="O12" s="59">
        <v>3160</v>
      </c>
      <c r="P12" s="58">
        <v>70</v>
      </c>
      <c r="Q12" s="59">
        <v>70</v>
      </c>
      <c r="R12" s="59">
        <v>87</v>
      </c>
      <c r="S12" s="59">
        <v>158</v>
      </c>
      <c r="T12" s="59">
        <v>620</v>
      </c>
    </row>
    <row r="13" spans="1:20" x14ac:dyDescent="0.45">
      <c r="A13" s="58">
        <v>64</v>
      </c>
      <c r="B13" s="59">
        <v>324</v>
      </c>
      <c r="C13" s="59">
        <v>708</v>
      </c>
      <c r="D13" s="59">
        <v>1036</v>
      </c>
      <c r="E13" s="59">
        <v>4745</v>
      </c>
      <c r="F13" s="58">
        <v>63</v>
      </c>
      <c r="G13" s="59">
        <v>149</v>
      </c>
      <c r="H13" s="59">
        <v>398</v>
      </c>
      <c r="I13" s="59">
        <v>553</v>
      </c>
      <c r="J13" s="59">
        <v>4598</v>
      </c>
      <c r="K13" s="58">
        <v>62</v>
      </c>
      <c r="L13" s="59">
        <v>159</v>
      </c>
      <c r="M13" s="59">
        <v>241</v>
      </c>
      <c r="N13" s="59">
        <v>403</v>
      </c>
      <c r="O13" s="59">
        <v>3563</v>
      </c>
      <c r="P13" s="58">
        <v>69</v>
      </c>
      <c r="Q13" s="59">
        <v>52</v>
      </c>
      <c r="R13" s="59">
        <v>56</v>
      </c>
      <c r="S13" s="59">
        <v>108</v>
      </c>
      <c r="T13" s="59">
        <v>728</v>
      </c>
    </row>
    <row r="14" spans="1:20" x14ac:dyDescent="0.45">
      <c r="A14" s="58">
        <v>63</v>
      </c>
      <c r="B14" s="59">
        <v>348</v>
      </c>
      <c r="C14" s="59">
        <v>771</v>
      </c>
      <c r="D14" s="59">
        <v>1123</v>
      </c>
      <c r="E14" s="59">
        <v>5868</v>
      </c>
      <c r="F14" s="58">
        <v>62</v>
      </c>
      <c r="G14" s="59">
        <v>206</v>
      </c>
      <c r="H14" s="59">
        <v>535</v>
      </c>
      <c r="I14" s="59">
        <v>745</v>
      </c>
      <c r="J14" s="59">
        <v>5343</v>
      </c>
      <c r="K14" s="58">
        <v>61</v>
      </c>
      <c r="L14" s="59">
        <v>280</v>
      </c>
      <c r="M14" s="59">
        <v>386</v>
      </c>
      <c r="N14" s="59">
        <v>672</v>
      </c>
      <c r="O14" s="59">
        <v>4235</v>
      </c>
      <c r="P14" s="58">
        <v>68</v>
      </c>
      <c r="Q14" s="59">
        <v>52</v>
      </c>
      <c r="R14" s="59">
        <v>79</v>
      </c>
      <c r="S14" s="59">
        <v>132</v>
      </c>
      <c r="T14" s="59">
        <v>860</v>
      </c>
    </row>
    <row r="15" spans="1:20" x14ac:dyDescent="0.45">
      <c r="A15" s="58">
        <v>62</v>
      </c>
      <c r="B15" s="59">
        <v>291</v>
      </c>
      <c r="C15" s="59">
        <v>714</v>
      </c>
      <c r="D15" s="59">
        <v>1010</v>
      </c>
      <c r="E15" s="59">
        <v>6878</v>
      </c>
      <c r="F15" s="58">
        <v>61</v>
      </c>
      <c r="G15" s="59">
        <v>401</v>
      </c>
      <c r="H15" s="59">
        <v>998</v>
      </c>
      <c r="I15" s="59">
        <v>1413</v>
      </c>
      <c r="J15" s="59">
        <v>6756</v>
      </c>
      <c r="K15" s="58">
        <v>60</v>
      </c>
      <c r="L15" s="59">
        <v>476</v>
      </c>
      <c r="M15" s="59">
        <v>665</v>
      </c>
      <c r="N15" s="59">
        <v>1150</v>
      </c>
      <c r="O15" s="59">
        <v>5385</v>
      </c>
      <c r="P15" s="58">
        <v>67</v>
      </c>
      <c r="Q15" s="59">
        <v>160</v>
      </c>
      <c r="R15" s="59">
        <v>199</v>
      </c>
      <c r="S15" s="59">
        <v>359</v>
      </c>
      <c r="T15" s="59">
        <v>1219</v>
      </c>
    </row>
    <row r="16" spans="1:20" x14ac:dyDescent="0.45">
      <c r="A16" s="58">
        <v>61</v>
      </c>
      <c r="B16" s="59">
        <v>570</v>
      </c>
      <c r="C16" s="59">
        <v>1125</v>
      </c>
      <c r="D16" s="59">
        <v>1717</v>
      </c>
      <c r="E16" s="59">
        <v>8595</v>
      </c>
      <c r="F16" s="58">
        <v>60</v>
      </c>
      <c r="G16" s="59">
        <v>242</v>
      </c>
      <c r="H16" s="59">
        <v>511</v>
      </c>
      <c r="I16" s="59">
        <v>757</v>
      </c>
      <c r="J16" s="59">
        <v>7513</v>
      </c>
      <c r="K16" s="58">
        <v>59</v>
      </c>
      <c r="L16" s="59">
        <v>271</v>
      </c>
      <c r="M16" s="59">
        <v>403</v>
      </c>
      <c r="N16" s="59">
        <v>679</v>
      </c>
      <c r="O16" s="59">
        <v>6064</v>
      </c>
      <c r="P16" s="58">
        <v>66</v>
      </c>
      <c r="Q16" s="59">
        <v>123</v>
      </c>
      <c r="R16" s="59">
        <v>127</v>
      </c>
      <c r="S16" s="59">
        <v>250</v>
      </c>
      <c r="T16" s="59">
        <v>1469</v>
      </c>
    </row>
    <row r="17" spans="1:20" x14ac:dyDescent="0.45">
      <c r="A17" s="58">
        <v>60</v>
      </c>
      <c r="B17" s="59">
        <v>359</v>
      </c>
      <c r="C17" s="59">
        <v>788</v>
      </c>
      <c r="D17" s="59">
        <v>1155</v>
      </c>
      <c r="E17" s="59">
        <v>9750</v>
      </c>
      <c r="F17" s="58">
        <v>59</v>
      </c>
      <c r="G17" s="59">
        <v>212</v>
      </c>
      <c r="H17" s="59">
        <v>557</v>
      </c>
      <c r="I17" s="59">
        <v>776</v>
      </c>
      <c r="J17" s="59">
        <v>8289</v>
      </c>
      <c r="K17" s="58">
        <v>58</v>
      </c>
      <c r="L17" s="59">
        <v>265</v>
      </c>
      <c r="M17" s="59">
        <v>365</v>
      </c>
      <c r="N17" s="59">
        <v>636</v>
      </c>
      <c r="O17" s="59">
        <v>6700</v>
      </c>
      <c r="P17" s="58">
        <v>65</v>
      </c>
      <c r="Q17" s="59">
        <v>102</v>
      </c>
      <c r="R17" s="59">
        <v>135</v>
      </c>
      <c r="S17" s="59">
        <v>238</v>
      </c>
      <c r="T17" s="59">
        <v>1707</v>
      </c>
    </row>
    <row r="18" spans="1:20" x14ac:dyDescent="0.45">
      <c r="A18" s="58">
        <v>59</v>
      </c>
      <c r="B18" s="59">
        <v>566</v>
      </c>
      <c r="C18" s="59">
        <v>1264</v>
      </c>
      <c r="D18" s="59">
        <v>1838</v>
      </c>
      <c r="E18" s="59">
        <v>11588</v>
      </c>
      <c r="F18" s="58">
        <v>58</v>
      </c>
      <c r="G18" s="59">
        <v>258</v>
      </c>
      <c r="H18" s="59">
        <v>618</v>
      </c>
      <c r="I18" s="59">
        <v>885</v>
      </c>
      <c r="J18" s="59">
        <v>9174</v>
      </c>
      <c r="K18" s="58">
        <v>57</v>
      </c>
      <c r="L18" s="59">
        <v>341</v>
      </c>
      <c r="M18" s="59">
        <v>454</v>
      </c>
      <c r="N18" s="59">
        <v>799</v>
      </c>
      <c r="O18" s="59">
        <v>7499</v>
      </c>
      <c r="P18" s="58">
        <v>64</v>
      </c>
      <c r="Q18" s="59">
        <v>115</v>
      </c>
      <c r="R18" s="59">
        <v>151</v>
      </c>
      <c r="S18" s="59">
        <v>268</v>
      </c>
      <c r="T18" s="59">
        <v>1975</v>
      </c>
    </row>
    <row r="19" spans="1:20" x14ac:dyDescent="0.45">
      <c r="A19" s="58">
        <v>58</v>
      </c>
      <c r="B19" s="59">
        <v>658</v>
      </c>
      <c r="C19" s="59">
        <v>1397</v>
      </c>
      <c r="D19" s="59">
        <v>2071</v>
      </c>
      <c r="E19" s="59">
        <v>13659</v>
      </c>
      <c r="F19" s="58">
        <v>57</v>
      </c>
      <c r="G19" s="59">
        <v>270</v>
      </c>
      <c r="H19" s="59">
        <v>531</v>
      </c>
      <c r="I19" s="59">
        <v>805</v>
      </c>
      <c r="J19" s="59">
        <v>9979</v>
      </c>
      <c r="K19" s="58">
        <v>56</v>
      </c>
      <c r="L19" s="59">
        <v>265</v>
      </c>
      <c r="M19" s="59">
        <v>383</v>
      </c>
      <c r="N19" s="59">
        <v>654</v>
      </c>
      <c r="O19" s="59">
        <v>8153</v>
      </c>
      <c r="P19" s="58">
        <v>63</v>
      </c>
      <c r="Q19" s="59">
        <v>162</v>
      </c>
      <c r="R19" s="59">
        <v>178</v>
      </c>
      <c r="S19" s="59">
        <v>344</v>
      </c>
      <c r="T19" s="59">
        <v>2319</v>
      </c>
    </row>
    <row r="20" spans="1:20" x14ac:dyDescent="0.45">
      <c r="A20" s="58">
        <v>57</v>
      </c>
      <c r="B20" s="59">
        <v>477</v>
      </c>
      <c r="C20" s="59">
        <v>1100</v>
      </c>
      <c r="D20" s="59">
        <v>1593</v>
      </c>
      <c r="E20" s="59">
        <v>15252</v>
      </c>
      <c r="F20" s="58">
        <v>56</v>
      </c>
      <c r="G20" s="59">
        <v>491</v>
      </c>
      <c r="H20" s="59">
        <v>1217</v>
      </c>
      <c r="I20" s="59">
        <v>1724</v>
      </c>
      <c r="J20" s="59">
        <v>11703</v>
      </c>
      <c r="K20" s="58">
        <v>55</v>
      </c>
      <c r="L20" s="59">
        <v>297</v>
      </c>
      <c r="M20" s="59">
        <v>419</v>
      </c>
      <c r="N20" s="59">
        <v>724</v>
      </c>
      <c r="O20" s="59">
        <v>8877</v>
      </c>
      <c r="P20" s="58">
        <v>62</v>
      </c>
      <c r="Q20" s="59">
        <v>150</v>
      </c>
      <c r="R20" s="59">
        <v>146</v>
      </c>
      <c r="S20" s="59">
        <v>300</v>
      </c>
      <c r="T20" s="59">
        <v>2619</v>
      </c>
    </row>
    <row r="21" spans="1:20" x14ac:dyDescent="0.45">
      <c r="A21" s="58">
        <v>56</v>
      </c>
      <c r="B21" s="59">
        <v>681</v>
      </c>
      <c r="C21" s="59">
        <v>1711</v>
      </c>
      <c r="D21" s="59">
        <v>2412</v>
      </c>
      <c r="E21" s="59">
        <v>17664</v>
      </c>
      <c r="F21" s="58">
        <v>55</v>
      </c>
      <c r="G21" s="59">
        <v>250</v>
      </c>
      <c r="H21" s="59">
        <v>610</v>
      </c>
      <c r="I21" s="59">
        <v>865</v>
      </c>
      <c r="J21" s="59">
        <v>12568</v>
      </c>
      <c r="K21" s="58">
        <v>54</v>
      </c>
      <c r="L21" s="59">
        <v>596</v>
      </c>
      <c r="M21" s="59">
        <v>885</v>
      </c>
      <c r="N21" s="59">
        <v>1496</v>
      </c>
      <c r="O21" s="59">
        <v>10373</v>
      </c>
      <c r="P21" s="58">
        <v>61</v>
      </c>
      <c r="Q21" s="59">
        <v>178</v>
      </c>
      <c r="R21" s="59">
        <v>212</v>
      </c>
      <c r="S21" s="59">
        <v>390</v>
      </c>
      <c r="T21" s="59">
        <v>3009</v>
      </c>
    </row>
    <row r="22" spans="1:20" x14ac:dyDescent="0.45">
      <c r="A22" s="58">
        <v>55</v>
      </c>
      <c r="B22" s="59">
        <v>1226</v>
      </c>
      <c r="C22" s="59">
        <v>2701</v>
      </c>
      <c r="D22" s="59">
        <v>3964</v>
      </c>
      <c r="E22" s="59">
        <v>21628</v>
      </c>
      <c r="F22" s="58">
        <v>54</v>
      </c>
      <c r="G22" s="59">
        <v>272</v>
      </c>
      <c r="H22" s="59">
        <v>634</v>
      </c>
      <c r="I22" s="59">
        <v>917</v>
      </c>
      <c r="J22" s="59">
        <v>13485</v>
      </c>
      <c r="K22" s="58">
        <v>53</v>
      </c>
      <c r="L22" s="59">
        <v>339</v>
      </c>
      <c r="M22" s="59">
        <v>473</v>
      </c>
      <c r="N22" s="59">
        <v>819</v>
      </c>
      <c r="O22" s="59">
        <v>11192</v>
      </c>
      <c r="P22" s="58">
        <v>60</v>
      </c>
      <c r="Q22" s="59">
        <v>176</v>
      </c>
      <c r="R22" s="59">
        <v>214</v>
      </c>
      <c r="S22" s="59">
        <v>393</v>
      </c>
      <c r="T22" s="59">
        <v>3402</v>
      </c>
    </row>
    <row r="23" spans="1:20" x14ac:dyDescent="0.45">
      <c r="A23" s="58">
        <v>54</v>
      </c>
      <c r="B23" s="59">
        <v>757</v>
      </c>
      <c r="C23" s="59">
        <v>1629</v>
      </c>
      <c r="D23" s="59">
        <v>2412</v>
      </c>
      <c r="E23" s="59">
        <v>24040</v>
      </c>
      <c r="F23" s="58">
        <v>53</v>
      </c>
      <c r="G23" s="59">
        <v>259</v>
      </c>
      <c r="H23" s="59">
        <v>601</v>
      </c>
      <c r="I23" s="59">
        <v>873</v>
      </c>
      <c r="J23" s="59">
        <v>14358</v>
      </c>
      <c r="K23" s="58">
        <v>52</v>
      </c>
      <c r="L23" s="59">
        <v>313</v>
      </c>
      <c r="M23" s="59">
        <v>385</v>
      </c>
      <c r="N23" s="59">
        <v>703</v>
      </c>
      <c r="O23" s="59">
        <v>11895</v>
      </c>
      <c r="P23" s="58">
        <v>59</v>
      </c>
      <c r="Q23" s="59">
        <v>158</v>
      </c>
      <c r="R23" s="59">
        <v>223</v>
      </c>
      <c r="S23" s="59">
        <v>384</v>
      </c>
      <c r="T23" s="59">
        <v>3786</v>
      </c>
    </row>
    <row r="24" spans="1:20" x14ac:dyDescent="0.45">
      <c r="A24" s="58">
        <v>53</v>
      </c>
      <c r="B24" s="59">
        <v>567</v>
      </c>
      <c r="C24" s="59">
        <v>1196</v>
      </c>
      <c r="D24" s="59">
        <v>1780</v>
      </c>
      <c r="E24" s="59">
        <v>25820</v>
      </c>
      <c r="F24" s="58">
        <v>52</v>
      </c>
      <c r="G24" s="59">
        <v>287</v>
      </c>
      <c r="H24" s="59">
        <v>628</v>
      </c>
      <c r="I24" s="59">
        <v>928</v>
      </c>
      <c r="J24" s="59">
        <v>15286</v>
      </c>
      <c r="K24" s="58">
        <v>51</v>
      </c>
      <c r="L24" s="59">
        <v>308</v>
      </c>
      <c r="M24" s="59">
        <v>454</v>
      </c>
      <c r="N24" s="59">
        <v>769</v>
      </c>
      <c r="O24" s="59">
        <v>12664</v>
      </c>
      <c r="P24" s="58">
        <v>58</v>
      </c>
      <c r="Q24" s="59">
        <v>204</v>
      </c>
      <c r="R24" s="59">
        <v>260</v>
      </c>
      <c r="S24" s="59">
        <v>467</v>
      </c>
      <c r="T24" s="59">
        <v>4253</v>
      </c>
    </row>
    <row r="25" spans="1:20" x14ac:dyDescent="0.45">
      <c r="A25" s="58">
        <v>52</v>
      </c>
      <c r="B25" s="59">
        <v>629</v>
      </c>
      <c r="C25" s="59">
        <v>1459</v>
      </c>
      <c r="D25" s="59">
        <v>2110</v>
      </c>
      <c r="E25" s="59">
        <v>27930</v>
      </c>
      <c r="F25" s="58">
        <v>51</v>
      </c>
      <c r="G25" s="59">
        <v>582</v>
      </c>
      <c r="H25" s="59">
        <v>1207</v>
      </c>
      <c r="I25" s="59">
        <v>1803</v>
      </c>
      <c r="J25" s="59">
        <v>17089</v>
      </c>
      <c r="K25" s="58">
        <v>50</v>
      </c>
      <c r="L25" s="59">
        <v>288</v>
      </c>
      <c r="M25" s="59">
        <v>423</v>
      </c>
      <c r="N25" s="59">
        <v>716</v>
      </c>
      <c r="O25" s="59">
        <v>13380</v>
      </c>
      <c r="P25" s="58">
        <v>57</v>
      </c>
      <c r="Q25" s="59">
        <v>199</v>
      </c>
      <c r="R25" s="59">
        <v>250</v>
      </c>
      <c r="S25" s="59">
        <v>456</v>
      </c>
      <c r="T25" s="59">
        <v>4709</v>
      </c>
    </row>
    <row r="26" spans="1:20" x14ac:dyDescent="0.45">
      <c r="A26" s="58">
        <v>51</v>
      </c>
      <c r="B26" s="59">
        <v>600</v>
      </c>
      <c r="C26" s="59">
        <v>1270</v>
      </c>
      <c r="D26" s="59">
        <v>1890</v>
      </c>
      <c r="E26" s="59">
        <v>29820</v>
      </c>
      <c r="F26" s="58">
        <v>50</v>
      </c>
      <c r="G26" s="59">
        <v>258</v>
      </c>
      <c r="H26" s="59">
        <v>590</v>
      </c>
      <c r="I26" s="59">
        <v>855</v>
      </c>
      <c r="J26" s="59">
        <v>17944</v>
      </c>
      <c r="K26" s="58">
        <v>49</v>
      </c>
      <c r="L26" s="59">
        <v>283</v>
      </c>
      <c r="M26" s="59">
        <v>380</v>
      </c>
      <c r="N26" s="59">
        <v>667</v>
      </c>
      <c r="O26" s="59">
        <v>14047</v>
      </c>
      <c r="P26" s="58">
        <v>56</v>
      </c>
      <c r="Q26" s="59">
        <v>220</v>
      </c>
      <c r="R26" s="59">
        <v>255</v>
      </c>
      <c r="S26" s="59">
        <v>482</v>
      </c>
      <c r="T26" s="59">
        <v>5191</v>
      </c>
    </row>
    <row r="27" spans="1:20" x14ac:dyDescent="0.45">
      <c r="A27" s="58">
        <v>50</v>
      </c>
      <c r="B27" s="59">
        <v>469</v>
      </c>
      <c r="C27" s="59">
        <v>1002</v>
      </c>
      <c r="D27" s="59">
        <v>1487</v>
      </c>
      <c r="E27" s="59">
        <v>31307</v>
      </c>
      <c r="F27" s="58">
        <v>49</v>
      </c>
      <c r="G27" s="59">
        <v>277</v>
      </c>
      <c r="H27" s="59">
        <v>554</v>
      </c>
      <c r="I27" s="59">
        <v>836</v>
      </c>
      <c r="J27" s="59">
        <v>18780</v>
      </c>
      <c r="K27" s="58">
        <v>48</v>
      </c>
      <c r="L27" s="59">
        <v>293</v>
      </c>
      <c r="M27" s="59">
        <v>438</v>
      </c>
      <c r="N27" s="59">
        <v>735</v>
      </c>
      <c r="O27" s="59">
        <v>14782</v>
      </c>
      <c r="P27" s="58">
        <v>55</v>
      </c>
      <c r="Q27" s="59">
        <v>249</v>
      </c>
      <c r="R27" s="59">
        <v>289</v>
      </c>
      <c r="S27" s="59">
        <v>542</v>
      </c>
      <c r="T27" s="59">
        <v>5733</v>
      </c>
    </row>
    <row r="28" spans="1:20" x14ac:dyDescent="0.45">
      <c r="A28" s="58">
        <v>49</v>
      </c>
      <c r="B28" s="59">
        <v>577</v>
      </c>
      <c r="C28" s="59">
        <v>1193</v>
      </c>
      <c r="D28" s="59">
        <v>1790</v>
      </c>
      <c r="E28" s="59">
        <v>33097</v>
      </c>
      <c r="F28" s="58">
        <v>48</v>
      </c>
      <c r="G28" s="59">
        <v>267</v>
      </c>
      <c r="H28" s="59">
        <v>532</v>
      </c>
      <c r="I28" s="59">
        <v>806</v>
      </c>
      <c r="J28" s="59">
        <v>19586</v>
      </c>
      <c r="K28" s="58">
        <v>47</v>
      </c>
      <c r="L28" s="59">
        <v>547</v>
      </c>
      <c r="M28" s="59">
        <v>664</v>
      </c>
      <c r="N28" s="59">
        <v>1219</v>
      </c>
      <c r="O28" s="59">
        <v>16001</v>
      </c>
      <c r="P28" s="58">
        <v>54</v>
      </c>
      <c r="Q28" s="59">
        <v>242</v>
      </c>
      <c r="R28" s="59">
        <v>262</v>
      </c>
      <c r="S28" s="59">
        <v>507</v>
      </c>
      <c r="T28" s="59">
        <v>6240</v>
      </c>
    </row>
    <row r="29" spans="1:20" x14ac:dyDescent="0.45">
      <c r="A29" s="58">
        <v>48</v>
      </c>
      <c r="B29" s="59">
        <v>409</v>
      </c>
      <c r="C29" s="59">
        <v>872</v>
      </c>
      <c r="D29" s="59">
        <v>1291</v>
      </c>
      <c r="E29" s="59">
        <v>34388</v>
      </c>
      <c r="F29" s="58">
        <v>47</v>
      </c>
      <c r="G29" s="59">
        <v>299</v>
      </c>
      <c r="H29" s="59">
        <v>524</v>
      </c>
      <c r="I29" s="59">
        <v>834</v>
      </c>
      <c r="J29" s="59">
        <v>20420</v>
      </c>
      <c r="K29" s="58">
        <v>46</v>
      </c>
      <c r="L29" s="59">
        <v>257</v>
      </c>
      <c r="M29" s="59">
        <v>325</v>
      </c>
      <c r="N29" s="59">
        <v>592</v>
      </c>
      <c r="O29" s="59">
        <v>16593</v>
      </c>
      <c r="P29" s="58">
        <v>53</v>
      </c>
      <c r="Q29" s="59">
        <v>237</v>
      </c>
      <c r="R29" s="59">
        <v>365</v>
      </c>
      <c r="S29" s="59">
        <v>604</v>
      </c>
      <c r="T29" s="59">
        <v>6844</v>
      </c>
    </row>
    <row r="30" spans="1:20" x14ac:dyDescent="0.45">
      <c r="A30" s="58">
        <v>47</v>
      </c>
      <c r="B30" s="59">
        <v>467</v>
      </c>
      <c r="C30" s="59">
        <v>955</v>
      </c>
      <c r="D30" s="59">
        <v>1434</v>
      </c>
      <c r="E30" s="59">
        <v>35822</v>
      </c>
      <c r="F30" s="58">
        <v>46</v>
      </c>
      <c r="G30" s="59">
        <v>315</v>
      </c>
      <c r="H30" s="59">
        <v>559</v>
      </c>
      <c r="I30" s="59">
        <v>880</v>
      </c>
      <c r="J30" s="59">
        <v>21300</v>
      </c>
      <c r="K30" s="58">
        <v>45</v>
      </c>
      <c r="L30" s="59">
        <v>279</v>
      </c>
      <c r="M30" s="59">
        <v>321</v>
      </c>
      <c r="N30" s="59">
        <v>611</v>
      </c>
      <c r="O30" s="59">
        <v>17204</v>
      </c>
      <c r="P30" s="58">
        <v>52</v>
      </c>
      <c r="Q30" s="59">
        <v>236</v>
      </c>
      <c r="R30" s="59">
        <v>307</v>
      </c>
      <c r="S30" s="59">
        <v>547</v>
      </c>
      <c r="T30" s="59">
        <v>7391</v>
      </c>
    </row>
    <row r="31" spans="1:20" x14ac:dyDescent="0.45">
      <c r="A31" s="58">
        <v>46</v>
      </c>
      <c r="B31" s="59">
        <v>821</v>
      </c>
      <c r="C31" s="59">
        <v>1476</v>
      </c>
      <c r="D31" s="59">
        <v>2317</v>
      </c>
      <c r="E31" s="59">
        <v>38139</v>
      </c>
      <c r="F31" s="58">
        <v>45</v>
      </c>
      <c r="G31" s="59">
        <v>630</v>
      </c>
      <c r="H31" s="59">
        <v>1075</v>
      </c>
      <c r="I31" s="59">
        <v>1727</v>
      </c>
      <c r="J31" s="59">
        <v>23027</v>
      </c>
      <c r="K31" s="58">
        <v>44</v>
      </c>
      <c r="L31" s="59">
        <v>287</v>
      </c>
      <c r="M31" s="59">
        <v>320</v>
      </c>
      <c r="N31" s="59">
        <v>615</v>
      </c>
      <c r="O31" s="59">
        <v>17819</v>
      </c>
      <c r="P31" s="58">
        <v>51</v>
      </c>
      <c r="Q31" s="59">
        <v>246</v>
      </c>
      <c r="R31" s="59">
        <v>323</v>
      </c>
      <c r="S31" s="59">
        <v>577</v>
      </c>
      <c r="T31" s="59">
        <v>7968</v>
      </c>
    </row>
    <row r="32" spans="1:20" x14ac:dyDescent="0.45">
      <c r="A32" s="58">
        <v>45</v>
      </c>
      <c r="B32" s="59">
        <v>432</v>
      </c>
      <c r="C32" s="59">
        <v>711</v>
      </c>
      <c r="D32" s="59">
        <v>1155</v>
      </c>
      <c r="E32" s="59">
        <v>39294</v>
      </c>
      <c r="F32" s="58">
        <v>44</v>
      </c>
      <c r="G32" s="59">
        <v>323</v>
      </c>
      <c r="H32" s="59">
        <v>465</v>
      </c>
      <c r="I32" s="59">
        <v>791</v>
      </c>
      <c r="J32" s="59">
        <v>23818</v>
      </c>
      <c r="K32" s="58">
        <v>43</v>
      </c>
      <c r="L32" s="59">
        <v>266</v>
      </c>
      <c r="M32" s="59">
        <v>277</v>
      </c>
      <c r="N32" s="59">
        <v>546</v>
      </c>
      <c r="O32" s="59">
        <v>18365</v>
      </c>
      <c r="P32" s="58">
        <v>50</v>
      </c>
      <c r="Q32" s="59">
        <v>287</v>
      </c>
      <c r="R32" s="59">
        <v>319</v>
      </c>
      <c r="S32" s="59">
        <v>611</v>
      </c>
      <c r="T32" s="59">
        <v>8579</v>
      </c>
    </row>
    <row r="33" spans="1:20" x14ac:dyDescent="0.45">
      <c r="A33" s="58">
        <v>44</v>
      </c>
      <c r="B33" s="59">
        <v>347</v>
      </c>
      <c r="C33" s="59">
        <v>581</v>
      </c>
      <c r="D33" s="59">
        <v>938</v>
      </c>
      <c r="E33" s="59">
        <v>40232</v>
      </c>
      <c r="F33" s="58">
        <v>43</v>
      </c>
      <c r="G33" s="59">
        <v>342</v>
      </c>
      <c r="H33" s="59">
        <v>471</v>
      </c>
      <c r="I33" s="59">
        <v>818</v>
      </c>
      <c r="J33" s="59">
        <v>24636</v>
      </c>
      <c r="K33" s="58">
        <v>42</v>
      </c>
      <c r="L33" s="59">
        <v>309</v>
      </c>
      <c r="M33" s="59">
        <v>276</v>
      </c>
      <c r="N33" s="59">
        <v>594</v>
      </c>
      <c r="O33" s="59">
        <v>18959</v>
      </c>
      <c r="P33" s="58">
        <v>49</v>
      </c>
      <c r="Q33" s="59">
        <v>241</v>
      </c>
      <c r="R33" s="59">
        <v>315</v>
      </c>
      <c r="S33" s="59">
        <v>559</v>
      </c>
      <c r="T33" s="59">
        <v>9138</v>
      </c>
    </row>
    <row r="34" spans="1:20" x14ac:dyDescent="0.45">
      <c r="A34" s="58">
        <v>43</v>
      </c>
      <c r="B34" s="59">
        <v>373</v>
      </c>
      <c r="C34" s="59">
        <v>611</v>
      </c>
      <c r="D34" s="59">
        <v>989</v>
      </c>
      <c r="E34" s="59">
        <v>41221</v>
      </c>
      <c r="F34" s="58">
        <v>42</v>
      </c>
      <c r="G34" s="59">
        <v>428</v>
      </c>
      <c r="H34" s="59">
        <v>522</v>
      </c>
      <c r="I34" s="59">
        <v>959</v>
      </c>
      <c r="J34" s="59">
        <v>25595</v>
      </c>
      <c r="K34" s="58">
        <v>41</v>
      </c>
      <c r="L34" s="59">
        <v>546</v>
      </c>
      <c r="M34" s="59">
        <v>518</v>
      </c>
      <c r="N34" s="59">
        <v>1082</v>
      </c>
      <c r="O34" s="59">
        <v>20041</v>
      </c>
      <c r="P34" s="58">
        <v>48</v>
      </c>
      <c r="Q34" s="59">
        <v>278</v>
      </c>
      <c r="R34" s="59">
        <v>349</v>
      </c>
      <c r="S34" s="59">
        <v>632</v>
      </c>
      <c r="T34" s="59">
        <v>9770</v>
      </c>
    </row>
    <row r="35" spans="1:20" x14ac:dyDescent="0.45">
      <c r="A35" s="58">
        <v>42</v>
      </c>
      <c r="B35" s="59">
        <v>421</v>
      </c>
      <c r="C35" s="59">
        <v>526</v>
      </c>
      <c r="D35" s="59">
        <v>957</v>
      </c>
      <c r="E35" s="59">
        <v>42178</v>
      </c>
      <c r="F35" s="58">
        <v>41</v>
      </c>
      <c r="G35" s="59">
        <v>351</v>
      </c>
      <c r="H35" s="59">
        <v>425</v>
      </c>
      <c r="I35" s="59">
        <v>783</v>
      </c>
      <c r="J35" s="59">
        <v>26378</v>
      </c>
      <c r="K35" s="58">
        <v>40</v>
      </c>
      <c r="L35" s="59">
        <v>935</v>
      </c>
      <c r="M35" s="59">
        <v>559</v>
      </c>
      <c r="N35" s="59">
        <v>1516</v>
      </c>
      <c r="O35" s="59">
        <v>21557</v>
      </c>
      <c r="P35" s="58">
        <v>47</v>
      </c>
      <c r="Q35" s="59">
        <v>225</v>
      </c>
      <c r="R35" s="59">
        <v>327</v>
      </c>
      <c r="S35" s="59">
        <v>554</v>
      </c>
      <c r="T35" s="59">
        <v>10324</v>
      </c>
    </row>
    <row r="36" spans="1:20" x14ac:dyDescent="0.45">
      <c r="A36" s="58">
        <v>41</v>
      </c>
      <c r="B36" s="59">
        <v>461</v>
      </c>
      <c r="C36" s="59">
        <v>531</v>
      </c>
      <c r="D36" s="59">
        <v>1002</v>
      </c>
      <c r="E36" s="59">
        <v>43180</v>
      </c>
      <c r="F36" s="58">
        <v>40</v>
      </c>
      <c r="G36" s="59">
        <v>1349</v>
      </c>
      <c r="H36" s="59">
        <v>1342</v>
      </c>
      <c r="I36" s="59">
        <v>2726</v>
      </c>
      <c r="J36" s="59">
        <v>29104</v>
      </c>
      <c r="K36" s="58">
        <v>39</v>
      </c>
      <c r="L36" s="59">
        <v>268</v>
      </c>
      <c r="M36" s="59">
        <v>196</v>
      </c>
      <c r="N36" s="59">
        <v>471</v>
      </c>
      <c r="O36" s="59">
        <v>22028</v>
      </c>
      <c r="P36" s="58">
        <v>46</v>
      </c>
      <c r="Q36" s="59">
        <v>235</v>
      </c>
      <c r="R36" s="59">
        <v>334</v>
      </c>
      <c r="S36" s="59">
        <v>575</v>
      </c>
      <c r="T36" s="59">
        <v>10899</v>
      </c>
    </row>
    <row r="37" spans="1:20" x14ac:dyDescent="0.45">
      <c r="A37" s="58">
        <v>40</v>
      </c>
      <c r="B37" s="59">
        <v>417</v>
      </c>
      <c r="C37" s="59">
        <v>469</v>
      </c>
      <c r="D37" s="59">
        <v>893</v>
      </c>
      <c r="E37" s="59">
        <v>44073</v>
      </c>
      <c r="F37" s="58">
        <v>39</v>
      </c>
      <c r="G37" s="59">
        <v>468</v>
      </c>
      <c r="H37" s="59">
        <v>445</v>
      </c>
      <c r="I37" s="59">
        <v>926</v>
      </c>
      <c r="J37" s="59">
        <v>30030</v>
      </c>
      <c r="K37" s="58">
        <v>38</v>
      </c>
      <c r="L37" s="59">
        <v>237</v>
      </c>
      <c r="M37" s="59">
        <v>212</v>
      </c>
      <c r="N37" s="59">
        <v>458</v>
      </c>
      <c r="O37" s="59">
        <v>22486</v>
      </c>
      <c r="P37" s="58">
        <v>45</v>
      </c>
      <c r="Q37" s="59">
        <v>266</v>
      </c>
      <c r="R37" s="59">
        <v>299</v>
      </c>
      <c r="S37" s="59">
        <v>572</v>
      </c>
      <c r="T37" s="59">
        <v>11471</v>
      </c>
    </row>
    <row r="38" spans="1:20" x14ac:dyDescent="0.45">
      <c r="A38" s="58">
        <v>39</v>
      </c>
      <c r="B38" s="59">
        <v>630</v>
      </c>
      <c r="C38" s="59">
        <v>638</v>
      </c>
      <c r="D38" s="59">
        <v>1279</v>
      </c>
      <c r="E38" s="59">
        <v>45352</v>
      </c>
      <c r="F38" s="58">
        <v>38</v>
      </c>
      <c r="G38" s="59">
        <v>1581</v>
      </c>
      <c r="H38" s="59">
        <v>1022</v>
      </c>
      <c r="I38" s="59">
        <v>2636</v>
      </c>
      <c r="J38" s="59">
        <v>32666</v>
      </c>
      <c r="K38" s="58">
        <v>37</v>
      </c>
      <c r="L38" s="59">
        <v>561</v>
      </c>
      <c r="M38" s="59">
        <v>396</v>
      </c>
      <c r="N38" s="59">
        <v>968</v>
      </c>
      <c r="O38" s="59">
        <v>23454</v>
      </c>
      <c r="P38" s="58">
        <v>44</v>
      </c>
      <c r="Q38" s="59">
        <v>232</v>
      </c>
      <c r="R38" s="59">
        <v>290</v>
      </c>
      <c r="S38" s="59">
        <v>525</v>
      </c>
      <c r="T38" s="59">
        <v>11996</v>
      </c>
    </row>
    <row r="39" spans="1:20" x14ac:dyDescent="0.45">
      <c r="A39" s="58">
        <v>38</v>
      </c>
      <c r="B39" s="59">
        <v>487</v>
      </c>
      <c r="C39" s="59">
        <v>502</v>
      </c>
      <c r="D39" s="59">
        <v>1006</v>
      </c>
      <c r="E39" s="59">
        <v>46358</v>
      </c>
      <c r="F39" s="58">
        <v>37</v>
      </c>
      <c r="G39" s="59">
        <v>299</v>
      </c>
      <c r="H39" s="59">
        <v>268</v>
      </c>
      <c r="I39" s="59">
        <v>575</v>
      </c>
      <c r="J39" s="59">
        <v>33241</v>
      </c>
      <c r="K39" s="58">
        <v>36</v>
      </c>
      <c r="L39" s="59">
        <v>389</v>
      </c>
      <c r="M39" s="59">
        <v>268</v>
      </c>
      <c r="N39" s="59">
        <v>667</v>
      </c>
      <c r="O39" s="59">
        <v>24121</v>
      </c>
      <c r="P39" s="58">
        <v>43</v>
      </c>
      <c r="Q39" s="59">
        <v>255</v>
      </c>
      <c r="R39" s="59">
        <v>284</v>
      </c>
      <c r="S39" s="59">
        <v>544</v>
      </c>
      <c r="T39" s="59">
        <v>12540</v>
      </c>
    </row>
    <row r="40" spans="1:20" x14ac:dyDescent="0.45">
      <c r="A40" s="58">
        <v>37</v>
      </c>
      <c r="B40" s="59">
        <v>1906</v>
      </c>
      <c r="C40" s="59">
        <v>1609</v>
      </c>
      <c r="D40" s="59">
        <v>3560</v>
      </c>
      <c r="E40" s="59">
        <v>49918</v>
      </c>
      <c r="F40" s="58">
        <v>36</v>
      </c>
      <c r="G40" s="59">
        <v>277</v>
      </c>
      <c r="H40" s="59">
        <v>263</v>
      </c>
      <c r="I40" s="59">
        <v>548</v>
      </c>
      <c r="J40" s="59">
        <v>33789</v>
      </c>
      <c r="K40" s="58">
        <v>35</v>
      </c>
      <c r="L40" s="59">
        <v>182</v>
      </c>
      <c r="M40" s="59">
        <v>148</v>
      </c>
      <c r="N40" s="59">
        <v>335</v>
      </c>
      <c r="O40" s="59">
        <v>24456</v>
      </c>
      <c r="P40" s="58">
        <v>42</v>
      </c>
      <c r="Q40" s="59">
        <v>250</v>
      </c>
      <c r="R40" s="59">
        <v>286</v>
      </c>
      <c r="S40" s="59">
        <v>541</v>
      </c>
      <c r="T40" s="59">
        <v>13081</v>
      </c>
    </row>
    <row r="41" spans="1:20" x14ac:dyDescent="0.45">
      <c r="A41" s="58">
        <v>36</v>
      </c>
      <c r="B41" s="59">
        <v>402</v>
      </c>
      <c r="C41" s="59">
        <v>331</v>
      </c>
      <c r="D41" s="59">
        <v>741</v>
      </c>
      <c r="E41" s="59">
        <v>50659</v>
      </c>
      <c r="F41" s="58">
        <v>35</v>
      </c>
      <c r="G41" s="59">
        <v>488</v>
      </c>
      <c r="H41" s="59">
        <v>413</v>
      </c>
      <c r="I41" s="59">
        <v>915</v>
      </c>
      <c r="J41" s="59">
        <v>34704</v>
      </c>
      <c r="K41" s="58">
        <v>34</v>
      </c>
      <c r="L41" s="59">
        <v>474</v>
      </c>
      <c r="M41" s="59">
        <v>344</v>
      </c>
      <c r="N41" s="59">
        <v>830</v>
      </c>
      <c r="O41" s="59">
        <v>25286</v>
      </c>
      <c r="P41" s="58">
        <v>41</v>
      </c>
      <c r="Q41" s="59">
        <v>315</v>
      </c>
      <c r="R41" s="59">
        <v>331</v>
      </c>
      <c r="S41" s="59">
        <v>656</v>
      </c>
      <c r="T41" s="59">
        <v>13737</v>
      </c>
    </row>
    <row r="42" spans="1:20" x14ac:dyDescent="0.45">
      <c r="A42" s="58">
        <v>35</v>
      </c>
      <c r="B42" s="59">
        <v>429</v>
      </c>
      <c r="C42" s="59">
        <v>340</v>
      </c>
      <c r="D42" s="59">
        <v>778</v>
      </c>
      <c r="E42" s="59">
        <v>51437</v>
      </c>
      <c r="F42" s="58">
        <v>34</v>
      </c>
      <c r="G42" s="59">
        <v>184</v>
      </c>
      <c r="H42" s="59">
        <v>137</v>
      </c>
      <c r="I42" s="59">
        <v>324</v>
      </c>
      <c r="J42" s="59">
        <v>35028</v>
      </c>
      <c r="K42" s="58">
        <v>33</v>
      </c>
      <c r="L42" s="59">
        <v>98</v>
      </c>
      <c r="M42" s="59">
        <v>58</v>
      </c>
      <c r="N42" s="59">
        <v>158</v>
      </c>
      <c r="O42" s="59">
        <v>25444</v>
      </c>
      <c r="P42" s="58">
        <v>40</v>
      </c>
      <c r="Q42" s="59">
        <v>209</v>
      </c>
      <c r="R42" s="59">
        <v>201</v>
      </c>
      <c r="S42" s="59">
        <v>412</v>
      </c>
      <c r="T42" s="59">
        <v>14149</v>
      </c>
    </row>
    <row r="43" spans="1:20" x14ac:dyDescent="0.45">
      <c r="A43" s="58">
        <v>34</v>
      </c>
      <c r="B43" s="59">
        <v>1972</v>
      </c>
      <c r="C43" s="59">
        <v>1224</v>
      </c>
      <c r="D43" s="59">
        <v>3246</v>
      </c>
      <c r="E43" s="59">
        <v>54683</v>
      </c>
      <c r="F43" s="58">
        <v>33</v>
      </c>
      <c r="G43" s="59">
        <v>73</v>
      </c>
      <c r="H43" s="59">
        <v>65</v>
      </c>
      <c r="I43" s="59">
        <v>139</v>
      </c>
      <c r="J43" s="59">
        <v>35167</v>
      </c>
      <c r="K43" s="58">
        <v>32</v>
      </c>
      <c r="L43" s="59">
        <v>102</v>
      </c>
      <c r="M43" s="59">
        <v>73</v>
      </c>
      <c r="N43" s="59">
        <v>178</v>
      </c>
      <c r="O43" s="59">
        <v>25622</v>
      </c>
      <c r="P43" s="58">
        <v>39</v>
      </c>
      <c r="Q43" s="59">
        <v>593</v>
      </c>
      <c r="R43" s="59">
        <v>417</v>
      </c>
      <c r="S43" s="59">
        <v>1023</v>
      </c>
      <c r="T43" s="59">
        <v>15172</v>
      </c>
    </row>
    <row r="44" spans="1:20" x14ac:dyDescent="0.45">
      <c r="A44" s="58">
        <v>33</v>
      </c>
      <c r="B44" s="59">
        <v>202</v>
      </c>
      <c r="C44" s="59">
        <v>156</v>
      </c>
      <c r="D44" s="59">
        <v>362</v>
      </c>
      <c r="E44" s="59">
        <v>55045</v>
      </c>
      <c r="F44" s="58">
        <v>32</v>
      </c>
      <c r="G44" s="59">
        <v>52</v>
      </c>
      <c r="H44" s="59">
        <v>32</v>
      </c>
      <c r="I44" s="59">
        <v>84</v>
      </c>
      <c r="J44" s="59">
        <v>35251</v>
      </c>
      <c r="K44" s="58">
        <v>31</v>
      </c>
      <c r="L44" s="59">
        <v>35</v>
      </c>
      <c r="M44" s="59">
        <v>26</v>
      </c>
      <c r="N44" s="59">
        <v>62</v>
      </c>
      <c r="O44" s="59">
        <v>25684</v>
      </c>
      <c r="P44" s="58">
        <v>38</v>
      </c>
      <c r="Q44" s="59">
        <v>182</v>
      </c>
      <c r="R44" s="59">
        <v>172</v>
      </c>
      <c r="S44" s="59">
        <v>360</v>
      </c>
      <c r="T44" s="59">
        <v>15532</v>
      </c>
    </row>
    <row r="45" spans="1:20" x14ac:dyDescent="0.45">
      <c r="A45" s="58">
        <v>32</v>
      </c>
      <c r="B45" s="59">
        <v>239</v>
      </c>
      <c r="C45" s="59">
        <v>219</v>
      </c>
      <c r="D45" s="59">
        <v>470</v>
      </c>
      <c r="E45" s="59">
        <v>55515</v>
      </c>
      <c r="F45" s="58">
        <v>31</v>
      </c>
      <c r="G45" s="59">
        <v>62</v>
      </c>
      <c r="H45" s="59">
        <v>51</v>
      </c>
      <c r="I45" s="59">
        <v>116</v>
      </c>
      <c r="J45" s="59">
        <v>35367</v>
      </c>
      <c r="K45" s="58">
        <v>30</v>
      </c>
      <c r="L45" s="59">
        <v>47</v>
      </c>
      <c r="M45" s="59">
        <v>27</v>
      </c>
      <c r="N45" s="59">
        <v>74</v>
      </c>
      <c r="O45" s="59">
        <v>25758</v>
      </c>
      <c r="P45" s="58">
        <v>37</v>
      </c>
      <c r="Q45" s="59">
        <v>647</v>
      </c>
      <c r="R45" s="59">
        <v>320</v>
      </c>
      <c r="S45" s="59">
        <v>983</v>
      </c>
      <c r="T45" s="59">
        <v>16515</v>
      </c>
    </row>
    <row r="46" spans="1:20" x14ac:dyDescent="0.45">
      <c r="A46" s="58">
        <v>31</v>
      </c>
      <c r="B46" s="59">
        <v>110</v>
      </c>
      <c r="C46" s="59">
        <v>98</v>
      </c>
      <c r="D46" s="59">
        <v>210</v>
      </c>
      <c r="E46" s="59">
        <v>55725</v>
      </c>
      <c r="F46" s="58">
        <v>30</v>
      </c>
      <c r="G46" s="59">
        <v>42</v>
      </c>
      <c r="H46" s="59">
        <v>24</v>
      </c>
      <c r="I46" s="59">
        <v>67</v>
      </c>
      <c r="J46" s="59">
        <v>35434</v>
      </c>
      <c r="K46" s="58">
        <v>29</v>
      </c>
      <c r="L46" s="59">
        <v>31</v>
      </c>
      <c r="M46" s="59">
        <v>22</v>
      </c>
      <c r="N46" s="59">
        <v>53</v>
      </c>
      <c r="O46" s="59">
        <v>25811</v>
      </c>
      <c r="P46" s="58">
        <v>36</v>
      </c>
      <c r="Q46" s="59">
        <v>172</v>
      </c>
      <c r="R46" s="59">
        <v>174</v>
      </c>
      <c r="S46" s="59">
        <v>351</v>
      </c>
      <c r="T46" s="59">
        <v>16866</v>
      </c>
    </row>
    <row r="47" spans="1:20" x14ac:dyDescent="0.45">
      <c r="A47" s="58">
        <v>30</v>
      </c>
      <c r="B47" s="59">
        <v>100</v>
      </c>
      <c r="C47" s="59">
        <v>87</v>
      </c>
      <c r="D47" s="59">
        <v>190</v>
      </c>
      <c r="E47" s="59">
        <v>55915</v>
      </c>
      <c r="F47" s="58"/>
      <c r="G47" s="59"/>
      <c r="H47" s="59"/>
      <c r="I47" s="59"/>
      <c r="J47" s="59"/>
      <c r="K47" s="58">
        <v>27</v>
      </c>
      <c r="L47" s="59">
        <v>16</v>
      </c>
      <c r="M47" s="59">
        <v>6</v>
      </c>
      <c r="N47" s="59">
        <v>23</v>
      </c>
      <c r="O47" s="59">
        <v>25834</v>
      </c>
      <c r="P47" s="58">
        <v>35</v>
      </c>
      <c r="Q47" s="59">
        <v>94</v>
      </c>
      <c r="R47" s="59">
        <v>86</v>
      </c>
      <c r="S47" s="59">
        <v>182</v>
      </c>
      <c r="T47" s="59">
        <v>17048</v>
      </c>
    </row>
    <row r="48" spans="1:20" x14ac:dyDescent="0.45">
      <c r="A48" s="58">
        <v>29</v>
      </c>
      <c r="B48" s="59">
        <v>90</v>
      </c>
      <c r="C48" s="59">
        <v>78</v>
      </c>
      <c r="D48" s="59">
        <v>171</v>
      </c>
      <c r="E48" s="59">
        <v>56086</v>
      </c>
      <c r="F48" s="58"/>
      <c r="G48" s="59"/>
      <c r="H48" s="59"/>
      <c r="I48" s="59"/>
      <c r="J48" s="59"/>
      <c r="K48" s="58"/>
      <c r="L48" s="59"/>
      <c r="M48" s="59"/>
      <c r="N48" s="59"/>
      <c r="O48" s="59"/>
      <c r="P48" s="58">
        <v>34</v>
      </c>
      <c r="Q48" s="59">
        <v>124</v>
      </c>
      <c r="R48" s="59">
        <v>113</v>
      </c>
      <c r="S48" s="59">
        <v>238</v>
      </c>
      <c r="T48" s="59">
        <v>17286</v>
      </c>
    </row>
    <row r="49" spans="1:20" x14ac:dyDescent="0.45">
      <c r="A49" s="58">
        <v>28</v>
      </c>
      <c r="B49" s="59">
        <v>36</v>
      </c>
      <c r="C49" s="59">
        <v>28</v>
      </c>
      <c r="D49" s="59">
        <v>64</v>
      </c>
      <c r="E49" s="59">
        <v>56150</v>
      </c>
      <c r="F49" s="58"/>
      <c r="G49" s="59"/>
      <c r="H49" s="59"/>
      <c r="I49" s="59"/>
      <c r="J49" s="59"/>
      <c r="K49" s="58"/>
      <c r="L49" s="59"/>
      <c r="M49" s="59"/>
      <c r="N49" s="59"/>
      <c r="O49" s="59"/>
      <c r="P49" s="58">
        <v>33</v>
      </c>
      <c r="Q49" s="59">
        <v>93</v>
      </c>
      <c r="R49" s="59">
        <v>76</v>
      </c>
      <c r="S49" s="59">
        <v>174</v>
      </c>
      <c r="T49" s="59">
        <v>17460</v>
      </c>
    </row>
    <row r="50" spans="1:20" x14ac:dyDescent="0.45">
      <c r="A50" s="58"/>
      <c r="B50" s="59"/>
      <c r="C50" s="59"/>
      <c r="D50" s="59"/>
      <c r="E50" s="59"/>
      <c r="F50" s="58"/>
      <c r="G50" s="59"/>
      <c r="H50" s="59"/>
      <c r="I50" s="59"/>
      <c r="J50" s="59"/>
      <c r="K50" s="58"/>
      <c r="L50" s="59"/>
      <c r="M50" s="59"/>
      <c r="N50" s="59"/>
      <c r="O50" s="59"/>
      <c r="P50" s="58">
        <v>32</v>
      </c>
      <c r="Q50" s="59">
        <v>40</v>
      </c>
      <c r="R50" s="59">
        <v>36</v>
      </c>
      <c r="S50" s="59">
        <v>77</v>
      </c>
      <c r="T50" s="59">
        <v>17537</v>
      </c>
    </row>
    <row r="51" spans="1:20" x14ac:dyDescent="0.45">
      <c r="A51" s="58"/>
      <c r="B51" s="59"/>
      <c r="C51" s="59"/>
      <c r="D51" s="59"/>
      <c r="E51" s="59"/>
      <c r="F51" s="58"/>
      <c r="G51" s="59"/>
      <c r="H51" s="59"/>
      <c r="I51" s="59"/>
      <c r="J51" s="59"/>
      <c r="K51" s="58"/>
      <c r="L51" s="59"/>
      <c r="M51" s="59"/>
      <c r="N51" s="59"/>
      <c r="O51" s="59"/>
      <c r="P51" s="58">
        <v>30</v>
      </c>
      <c r="Q51" s="59">
        <v>15</v>
      </c>
      <c r="R51" s="59">
        <v>17</v>
      </c>
      <c r="S51" s="59">
        <v>32</v>
      </c>
      <c r="T51" s="59">
        <v>17569</v>
      </c>
    </row>
    <row r="52" spans="1:20" ht="17.5" thickBot="1" x14ac:dyDescent="0.5">
      <c r="A52" s="8"/>
      <c r="B52" s="14"/>
      <c r="C52" s="14"/>
      <c r="D52" s="2"/>
      <c r="F52" s="8"/>
      <c r="G52" s="14"/>
      <c r="H52" s="14"/>
      <c r="I52" s="2"/>
      <c r="K52" s="8"/>
      <c r="L52" s="14"/>
      <c r="M52" s="14"/>
      <c r="N52" s="2"/>
      <c r="P52" s="8"/>
      <c r="Q52" s="14"/>
      <c r="R52" s="14"/>
      <c r="S52" s="2"/>
    </row>
    <row r="62" spans="1:20" x14ac:dyDescent="0.45">
      <c r="A62" s="80" t="s">
        <v>113</v>
      </c>
      <c r="B62" s="81"/>
      <c r="C62" s="81"/>
      <c r="D62" s="81"/>
      <c r="E62" s="82"/>
      <c r="F62" s="79" t="s">
        <v>114</v>
      </c>
      <c r="G62" s="79"/>
      <c r="H62" s="79"/>
      <c r="I62" s="79"/>
      <c r="J62" s="79"/>
      <c r="K62" s="79" t="s">
        <v>115</v>
      </c>
      <c r="L62" s="79"/>
      <c r="M62" s="79"/>
      <c r="N62" s="79"/>
      <c r="O62" s="79"/>
      <c r="P62" s="79" t="s">
        <v>116</v>
      </c>
      <c r="Q62" s="79"/>
      <c r="R62" s="79"/>
      <c r="S62" s="79"/>
      <c r="T62" s="79"/>
    </row>
    <row r="63" spans="1:20" x14ac:dyDescent="0.45">
      <c r="A63" s="64" t="s">
        <v>104</v>
      </c>
      <c r="B63" s="64" t="s">
        <v>105</v>
      </c>
      <c r="C63" s="64" t="s">
        <v>106</v>
      </c>
      <c r="D63" s="64" t="s">
        <v>107</v>
      </c>
      <c r="E63" s="65" t="s">
        <v>108</v>
      </c>
      <c r="F63" s="64" t="s">
        <v>104</v>
      </c>
      <c r="G63" s="64" t="s">
        <v>105</v>
      </c>
      <c r="H63" s="64" t="s">
        <v>106</v>
      </c>
      <c r="I63" s="64" t="s">
        <v>107</v>
      </c>
      <c r="J63" s="65" t="s">
        <v>108</v>
      </c>
      <c r="K63" s="64" t="s">
        <v>104</v>
      </c>
      <c r="L63" s="64" t="s">
        <v>105</v>
      </c>
      <c r="M63" s="64" t="s">
        <v>106</v>
      </c>
      <c r="N63" s="64" t="s">
        <v>107</v>
      </c>
      <c r="O63" s="65" t="s">
        <v>108</v>
      </c>
      <c r="P63" s="64" t="s">
        <v>104</v>
      </c>
      <c r="Q63" s="64" t="s">
        <v>105</v>
      </c>
      <c r="R63" s="64" t="s">
        <v>106</v>
      </c>
      <c r="S63" s="64" t="s">
        <v>107</v>
      </c>
      <c r="T63" s="65" t="s">
        <v>108</v>
      </c>
    </row>
    <row r="64" spans="1:20" x14ac:dyDescent="0.45">
      <c r="A64" s="62">
        <v>71</v>
      </c>
      <c r="B64" s="63">
        <v>163</v>
      </c>
      <c r="C64" s="63">
        <v>88</v>
      </c>
      <c r="D64" s="63">
        <v>252</v>
      </c>
      <c r="E64" s="63">
        <v>252</v>
      </c>
      <c r="F64" s="62">
        <v>73</v>
      </c>
      <c r="G64" s="63">
        <v>225</v>
      </c>
      <c r="H64" s="63">
        <v>152</v>
      </c>
      <c r="I64" s="63">
        <v>380</v>
      </c>
      <c r="J64" s="63">
        <v>380</v>
      </c>
      <c r="K64" s="62">
        <v>71</v>
      </c>
      <c r="L64" s="63">
        <v>119</v>
      </c>
      <c r="M64" s="63">
        <v>84</v>
      </c>
      <c r="N64" s="63">
        <v>204</v>
      </c>
      <c r="O64" s="63">
        <v>204</v>
      </c>
      <c r="P64" s="62">
        <v>76</v>
      </c>
      <c r="Q64" s="63">
        <v>112</v>
      </c>
      <c r="R64" s="63">
        <v>122</v>
      </c>
      <c r="S64" s="63">
        <v>237</v>
      </c>
      <c r="T64" s="63">
        <v>237</v>
      </c>
    </row>
    <row r="65" spans="1:20" x14ac:dyDescent="0.45">
      <c r="A65" s="62">
        <v>69</v>
      </c>
      <c r="B65" s="63">
        <v>183</v>
      </c>
      <c r="C65" s="63">
        <v>110</v>
      </c>
      <c r="D65" s="63">
        <v>295</v>
      </c>
      <c r="E65" s="63">
        <v>547</v>
      </c>
      <c r="F65" s="62">
        <v>72</v>
      </c>
      <c r="G65" s="63">
        <v>147</v>
      </c>
      <c r="H65" s="63">
        <v>129</v>
      </c>
      <c r="I65" s="63">
        <v>280</v>
      </c>
      <c r="J65" s="63">
        <v>660</v>
      </c>
      <c r="K65" s="62">
        <v>70</v>
      </c>
      <c r="L65" s="63">
        <v>81</v>
      </c>
      <c r="M65" s="63">
        <v>54</v>
      </c>
      <c r="N65" s="63">
        <v>136</v>
      </c>
      <c r="O65" s="63">
        <v>340</v>
      </c>
      <c r="P65" s="62">
        <v>74</v>
      </c>
      <c r="Q65" s="63">
        <v>49</v>
      </c>
      <c r="R65" s="63">
        <v>41</v>
      </c>
      <c r="S65" s="63">
        <v>90</v>
      </c>
      <c r="T65" s="63">
        <v>327</v>
      </c>
    </row>
    <row r="66" spans="1:20" x14ac:dyDescent="0.45">
      <c r="A66" s="62">
        <v>68</v>
      </c>
      <c r="B66" s="63">
        <v>15</v>
      </c>
      <c r="C66" s="63">
        <v>11</v>
      </c>
      <c r="D66" s="63">
        <v>26</v>
      </c>
      <c r="E66" s="63">
        <v>573</v>
      </c>
      <c r="F66" s="62">
        <v>71</v>
      </c>
      <c r="G66" s="63">
        <v>84</v>
      </c>
      <c r="H66" s="63">
        <v>75</v>
      </c>
      <c r="I66" s="63">
        <v>160</v>
      </c>
      <c r="J66" s="63">
        <v>820</v>
      </c>
      <c r="K66" s="62">
        <v>69</v>
      </c>
      <c r="L66" s="63">
        <v>93</v>
      </c>
      <c r="M66" s="63">
        <v>64</v>
      </c>
      <c r="N66" s="63">
        <v>158</v>
      </c>
      <c r="O66" s="63">
        <v>498</v>
      </c>
      <c r="P66" s="62">
        <v>73</v>
      </c>
      <c r="Q66" s="63">
        <v>187</v>
      </c>
      <c r="R66" s="63">
        <v>234</v>
      </c>
      <c r="S66" s="63">
        <v>424</v>
      </c>
      <c r="T66" s="63">
        <v>751</v>
      </c>
    </row>
    <row r="67" spans="1:20" x14ac:dyDescent="0.45">
      <c r="A67" s="62">
        <v>67</v>
      </c>
      <c r="B67" s="63">
        <v>89</v>
      </c>
      <c r="C67" s="63">
        <v>75</v>
      </c>
      <c r="D67" s="63">
        <v>165</v>
      </c>
      <c r="E67" s="63">
        <v>738</v>
      </c>
      <c r="F67" s="62">
        <v>70</v>
      </c>
      <c r="G67" s="63">
        <v>78</v>
      </c>
      <c r="H67" s="63">
        <v>71</v>
      </c>
      <c r="I67" s="63">
        <v>150</v>
      </c>
      <c r="J67" s="63">
        <v>970</v>
      </c>
      <c r="K67" s="62">
        <v>68</v>
      </c>
      <c r="L67" s="63">
        <v>44</v>
      </c>
      <c r="M67" s="63">
        <v>28</v>
      </c>
      <c r="N67" s="63">
        <v>74</v>
      </c>
      <c r="O67" s="63">
        <v>572</v>
      </c>
      <c r="P67" s="62">
        <v>72</v>
      </c>
      <c r="Q67" s="63">
        <v>17</v>
      </c>
      <c r="R67" s="63">
        <v>7</v>
      </c>
      <c r="S67" s="63">
        <v>24</v>
      </c>
      <c r="T67" s="63">
        <v>775</v>
      </c>
    </row>
    <row r="68" spans="1:20" x14ac:dyDescent="0.45">
      <c r="A68" s="62">
        <v>66</v>
      </c>
      <c r="B68" s="63">
        <v>125</v>
      </c>
      <c r="C68" s="63">
        <v>114</v>
      </c>
      <c r="D68" s="63">
        <v>242</v>
      </c>
      <c r="E68" s="63">
        <v>980</v>
      </c>
      <c r="F68" s="62">
        <v>69</v>
      </c>
      <c r="G68" s="63">
        <v>185</v>
      </c>
      <c r="H68" s="63">
        <v>145</v>
      </c>
      <c r="I68" s="63">
        <v>332</v>
      </c>
      <c r="J68" s="63">
        <v>1302</v>
      </c>
      <c r="K68" s="62">
        <v>67</v>
      </c>
      <c r="L68" s="63">
        <v>112</v>
      </c>
      <c r="M68" s="63">
        <v>79</v>
      </c>
      <c r="N68" s="63">
        <v>196</v>
      </c>
      <c r="O68" s="63">
        <v>768</v>
      </c>
      <c r="P68" s="62">
        <v>71</v>
      </c>
      <c r="Q68" s="63">
        <v>90</v>
      </c>
      <c r="R68" s="63">
        <v>113</v>
      </c>
      <c r="S68" s="63">
        <v>206</v>
      </c>
      <c r="T68" s="63">
        <v>981</v>
      </c>
    </row>
    <row r="69" spans="1:20" x14ac:dyDescent="0.45">
      <c r="A69" s="62">
        <v>65</v>
      </c>
      <c r="B69" s="63">
        <v>113</v>
      </c>
      <c r="C69" s="63">
        <v>93</v>
      </c>
      <c r="D69" s="63">
        <v>208</v>
      </c>
      <c r="E69" s="63">
        <v>1188</v>
      </c>
      <c r="F69" s="62">
        <v>68</v>
      </c>
      <c r="G69" s="63">
        <v>106</v>
      </c>
      <c r="H69" s="63">
        <v>118</v>
      </c>
      <c r="I69" s="63">
        <v>224</v>
      </c>
      <c r="J69" s="63">
        <v>1526</v>
      </c>
      <c r="K69" s="62">
        <v>66</v>
      </c>
      <c r="L69" s="63">
        <v>167</v>
      </c>
      <c r="M69" s="63">
        <v>109</v>
      </c>
      <c r="N69" s="63">
        <v>277</v>
      </c>
      <c r="O69" s="63">
        <v>1045</v>
      </c>
      <c r="P69" s="62">
        <v>70</v>
      </c>
      <c r="Q69" s="63">
        <v>201</v>
      </c>
      <c r="R69" s="63">
        <v>245</v>
      </c>
      <c r="S69" s="63">
        <v>452</v>
      </c>
      <c r="T69" s="63">
        <v>1433</v>
      </c>
    </row>
    <row r="70" spans="1:20" x14ac:dyDescent="0.45">
      <c r="A70" s="62">
        <v>64</v>
      </c>
      <c r="B70" s="63">
        <v>79</v>
      </c>
      <c r="C70" s="63">
        <v>71</v>
      </c>
      <c r="D70" s="63">
        <v>151</v>
      </c>
      <c r="E70" s="63">
        <v>1339</v>
      </c>
      <c r="F70" s="62">
        <v>67</v>
      </c>
      <c r="G70" s="63">
        <v>83</v>
      </c>
      <c r="H70" s="63">
        <v>73</v>
      </c>
      <c r="I70" s="63">
        <v>159</v>
      </c>
      <c r="J70" s="63">
        <v>1685</v>
      </c>
      <c r="K70" s="62">
        <v>65</v>
      </c>
      <c r="L70" s="63">
        <v>107</v>
      </c>
      <c r="M70" s="63">
        <v>77</v>
      </c>
      <c r="N70" s="63">
        <v>186</v>
      </c>
      <c r="O70" s="63">
        <v>1231</v>
      </c>
      <c r="P70" s="62">
        <v>69</v>
      </c>
      <c r="Q70" s="63">
        <v>47</v>
      </c>
      <c r="R70" s="63">
        <v>49</v>
      </c>
      <c r="S70" s="63">
        <v>98</v>
      </c>
      <c r="T70" s="63">
        <v>1531</v>
      </c>
    </row>
    <row r="71" spans="1:20" x14ac:dyDescent="0.45">
      <c r="A71" s="62">
        <v>63</v>
      </c>
      <c r="B71" s="63">
        <v>66</v>
      </c>
      <c r="C71" s="63">
        <v>51</v>
      </c>
      <c r="D71" s="63">
        <v>118</v>
      </c>
      <c r="E71" s="63">
        <v>1457</v>
      </c>
      <c r="F71" s="62">
        <v>66</v>
      </c>
      <c r="G71" s="63">
        <v>107</v>
      </c>
      <c r="H71" s="63">
        <v>74</v>
      </c>
      <c r="I71" s="63">
        <v>183</v>
      </c>
      <c r="J71" s="63">
        <v>1868</v>
      </c>
      <c r="K71" s="62">
        <v>64</v>
      </c>
      <c r="L71" s="63">
        <v>104</v>
      </c>
      <c r="M71" s="63">
        <v>78</v>
      </c>
      <c r="N71" s="63">
        <v>184</v>
      </c>
      <c r="O71" s="63">
        <v>1415</v>
      </c>
      <c r="P71" s="62">
        <v>68</v>
      </c>
      <c r="Q71" s="63">
        <v>164</v>
      </c>
      <c r="R71" s="63">
        <v>245</v>
      </c>
      <c r="S71" s="63">
        <v>411</v>
      </c>
      <c r="T71" s="63">
        <v>1942</v>
      </c>
    </row>
    <row r="72" spans="1:20" x14ac:dyDescent="0.45">
      <c r="A72" s="62">
        <v>62</v>
      </c>
      <c r="B72" s="63">
        <v>168</v>
      </c>
      <c r="C72" s="63">
        <v>156</v>
      </c>
      <c r="D72" s="63">
        <v>327</v>
      </c>
      <c r="E72" s="63">
        <v>1784</v>
      </c>
      <c r="F72" s="62">
        <v>65</v>
      </c>
      <c r="G72" s="63">
        <v>109</v>
      </c>
      <c r="H72" s="63">
        <v>105</v>
      </c>
      <c r="I72" s="63">
        <v>214</v>
      </c>
      <c r="J72" s="63">
        <v>2082</v>
      </c>
      <c r="K72" s="62">
        <v>63</v>
      </c>
      <c r="L72" s="63">
        <v>123</v>
      </c>
      <c r="M72" s="63">
        <v>84</v>
      </c>
      <c r="N72" s="63">
        <v>208</v>
      </c>
      <c r="O72" s="63">
        <v>1623</v>
      </c>
      <c r="P72" s="62">
        <v>67</v>
      </c>
      <c r="Q72" s="63">
        <v>182</v>
      </c>
      <c r="R72" s="63">
        <v>286</v>
      </c>
      <c r="S72" s="63">
        <v>473</v>
      </c>
      <c r="T72" s="63">
        <v>2415</v>
      </c>
    </row>
    <row r="73" spans="1:20" x14ac:dyDescent="0.45">
      <c r="A73" s="62">
        <v>61</v>
      </c>
      <c r="B73" s="63">
        <v>72</v>
      </c>
      <c r="C73" s="63">
        <v>72</v>
      </c>
      <c r="D73" s="63">
        <v>147</v>
      </c>
      <c r="E73" s="63">
        <v>1931</v>
      </c>
      <c r="F73" s="62">
        <v>64</v>
      </c>
      <c r="G73" s="63">
        <v>195</v>
      </c>
      <c r="H73" s="63">
        <v>213</v>
      </c>
      <c r="I73" s="63">
        <v>409</v>
      </c>
      <c r="J73" s="63">
        <v>2491</v>
      </c>
      <c r="K73" s="62">
        <v>62</v>
      </c>
      <c r="L73" s="63">
        <v>236</v>
      </c>
      <c r="M73" s="63">
        <v>174</v>
      </c>
      <c r="N73" s="63">
        <v>415</v>
      </c>
      <c r="O73" s="63">
        <v>2038</v>
      </c>
      <c r="P73" s="62">
        <v>66</v>
      </c>
      <c r="Q73" s="63">
        <v>91</v>
      </c>
      <c r="R73" s="63">
        <v>131</v>
      </c>
      <c r="S73" s="63">
        <v>227</v>
      </c>
      <c r="T73" s="63">
        <v>2642</v>
      </c>
    </row>
    <row r="74" spans="1:20" x14ac:dyDescent="0.45">
      <c r="A74" s="62">
        <v>60</v>
      </c>
      <c r="B74" s="63">
        <v>70</v>
      </c>
      <c r="C74" s="63">
        <v>80</v>
      </c>
      <c r="D74" s="63">
        <v>151</v>
      </c>
      <c r="E74" s="63">
        <v>2082</v>
      </c>
      <c r="F74" s="62">
        <v>63</v>
      </c>
      <c r="G74" s="63">
        <v>101</v>
      </c>
      <c r="H74" s="63">
        <v>82</v>
      </c>
      <c r="I74" s="63">
        <v>185</v>
      </c>
      <c r="J74" s="63">
        <v>2676</v>
      </c>
      <c r="K74" s="62">
        <v>61</v>
      </c>
      <c r="L74" s="63">
        <v>125</v>
      </c>
      <c r="M74" s="63">
        <v>88</v>
      </c>
      <c r="N74" s="63">
        <v>216</v>
      </c>
      <c r="O74" s="63">
        <v>2254</v>
      </c>
      <c r="P74" s="62">
        <v>65</v>
      </c>
      <c r="Q74" s="63">
        <v>230</v>
      </c>
      <c r="R74" s="63">
        <v>359</v>
      </c>
      <c r="S74" s="63">
        <v>592</v>
      </c>
      <c r="T74" s="63">
        <v>3234</v>
      </c>
    </row>
    <row r="75" spans="1:20" x14ac:dyDescent="0.45">
      <c r="A75" s="62">
        <v>59</v>
      </c>
      <c r="B75" s="63">
        <v>155</v>
      </c>
      <c r="C75" s="63">
        <v>143</v>
      </c>
      <c r="D75" s="63">
        <v>302</v>
      </c>
      <c r="E75" s="63">
        <v>2384</v>
      </c>
      <c r="F75" s="62">
        <v>62</v>
      </c>
      <c r="G75" s="63">
        <v>106</v>
      </c>
      <c r="H75" s="63">
        <v>99</v>
      </c>
      <c r="I75" s="63">
        <v>205</v>
      </c>
      <c r="J75" s="63">
        <v>2881</v>
      </c>
      <c r="K75" s="62">
        <v>60</v>
      </c>
      <c r="L75" s="63">
        <v>105</v>
      </c>
      <c r="M75" s="63">
        <v>87</v>
      </c>
      <c r="N75" s="63">
        <v>197</v>
      </c>
      <c r="O75" s="63">
        <v>2451</v>
      </c>
      <c r="P75" s="62">
        <v>64</v>
      </c>
      <c r="Q75" s="63">
        <v>212</v>
      </c>
      <c r="R75" s="63">
        <v>300</v>
      </c>
      <c r="S75" s="63">
        <v>515</v>
      </c>
      <c r="T75" s="63">
        <v>3749</v>
      </c>
    </row>
    <row r="76" spans="1:20" x14ac:dyDescent="0.45">
      <c r="A76" s="62">
        <v>58</v>
      </c>
      <c r="B76" s="63">
        <v>78</v>
      </c>
      <c r="C76" s="63">
        <v>91</v>
      </c>
      <c r="D76" s="63">
        <v>170</v>
      </c>
      <c r="E76" s="63">
        <v>2554</v>
      </c>
      <c r="F76" s="62">
        <v>61</v>
      </c>
      <c r="G76" s="63">
        <v>112</v>
      </c>
      <c r="H76" s="63">
        <v>114</v>
      </c>
      <c r="I76" s="63">
        <v>228</v>
      </c>
      <c r="J76" s="63">
        <v>3109</v>
      </c>
      <c r="K76" s="62">
        <v>59</v>
      </c>
      <c r="L76" s="63">
        <v>134</v>
      </c>
      <c r="M76" s="63">
        <v>100</v>
      </c>
      <c r="N76" s="63">
        <v>236</v>
      </c>
      <c r="O76" s="63">
        <v>2687</v>
      </c>
      <c r="P76" s="62">
        <v>63</v>
      </c>
      <c r="Q76" s="63">
        <v>184</v>
      </c>
      <c r="R76" s="63">
        <v>267</v>
      </c>
      <c r="S76" s="63">
        <v>456</v>
      </c>
      <c r="T76" s="63">
        <v>4205</v>
      </c>
    </row>
    <row r="77" spans="1:20" x14ac:dyDescent="0.45">
      <c r="A77" s="62">
        <v>57</v>
      </c>
      <c r="B77" s="63">
        <v>67</v>
      </c>
      <c r="C77" s="63">
        <v>82</v>
      </c>
      <c r="D77" s="63">
        <v>150</v>
      </c>
      <c r="E77" s="63">
        <v>2704</v>
      </c>
      <c r="F77" s="62">
        <v>60</v>
      </c>
      <c r="G77" s="63">
        <v>226</v>
      </c>
      <c r="H77" s="63">
        <v>250</v>
      </c>
      <c r="I77" s="63">
        <v>480</v>
      </c>
      <c r="J77" s="63">
        <v>3589</v>
      </c>
      <c r="K77" s="62">
        <v>58</v>
      </c>
      <c r="L77" s="63">
        <v>162</v>
      </c>
      <c r="M77" s="63">
        <v>93</v>
      </c>
      <c r="N77" s="63">
        <v>259</v>
      </c>
      <c r="O77" s="63">
        <v>2946</v>
      </c>
      <c r="P77" s="62">
        <v>62</v>
      </c>
      <c r="Q77" s="63">
        <v>271</v>
      </c>
      <c r="R77" s="63">
        <v>430</v>
      </c>
      <c r="S77" s="63">
        <v>708</v>
      </c>
      <c r="T77" s="63">
        <v>4913</v>
      </c>
    </row>
    <row r="78" spans="1:20" x14ac:dyDescent="0.45">
      <c r="A78" s="62">
        <v>56</v>
      </c>
      <c r="B78" s="63">
        <v>87</v>
      </c>
      <c r="C78" s="63">
        <v>97</v>
      </c>
      <c r="D78" s="63">
        <v>184</v>
      </c>
      <c r="E78" s="63">
        <v>2888</v>
      </c>
      <c r="F78" s="62">
        <v>59</v>
      </c>
      <c r="G78" s="63">
        <v>116</v>
      </c>
      <c r="H78" s="63">
        <v>108</v>
      </c>
      <c r="I78" s="63">
        <v>226</v>
      </c>
      <c r="J78" s="63">
        <v>3815</v>
      </c>
      <c r="K78" s="62">
        <v>57</v>
      </c>
      <c r="L78" s="63">
        <v>324</v>
      </c>
      <c r="M78" s="63">
        <v>236</v>
      </c>
      <c r="N78" s="63">
        <v>572</v>
      </c>
      <c r="O78" s="63">
        <v>3518</v>
      </c>
      <c r="P78" s="62">
        <v>61</v>
      </c>
      <c r="Q78" s="63">
        <v>217</v>
      </c>
      <c r="R78" s="63">
        <v>342</v>
      </c>
      <c r="S78" s="63">
        <v>562</v>
      </c>
      <c r="T78" s="63">
        <v>5475</v>
      </c>
    </row>
    <row r="79" spans="1:20" x14ac:dyDescent="0.45">
      <c r="A79" s="62">
        <v>55</v>
      </c>
      <c r="B79" s="63">
        <v>162</v>
      </c>
      <c r="C79" s="63">
        <v>181</v>
      </c>
      <c r="D79" s="63">
        <v>348</v>
      </c>
      <c r="E79" s="63">
        <v>3236</v>
      </c>
      <c r="F79" s="62">
        <v>58</v>
      </c>
      <c r="G79" s="63">
        <v>141</v>
      </c>
      <c r="H79" s="63">
        <v>114</v>
      </c>
      <c r="I79" s="63">
        <v>258</v>
      </c>
      <c r="J79" s="63">
        <v>4073</v>
      </c>
      <c r="K79" s="62">
        <v>56</v>
      </c>
      <c r="L79" s="63">
        <v>176</v>
      </c>
      <c r="M79" s="63">
        <v>117</v>
      </c>
      <c r="N79" s="63">
        <v>297</v>
      </c>
      <c r="O79" s="63">
        <v>3815</v>
      </c>
      <c r="P79" s="62">
        <v>60</v>
      </c>
      <c r="Q79" s="63">
        <v>245</v>
      </c>
      <c r="R79" s="63">
        <v>409</v>
      </c>
      <c r="S79" s="63">
        <v>663</v>
      </c>
      <c r="T79" s="63">
        <v>6138</v>
      </c>
    </row>
    <row r="80" spans="1:20" x14ac:dyDescent="0.45">
      <c r="A80" s="62">
        <v>54</v>
      </c>
      <c r="B80" s="63">
        <v>82</v>
      </c>
      <c r="C80" s="63">
        <v>108</v>
      </c>
      <c r="D80" s="63">
        <v>191</v>
      </c>
      <c r="E80" s="63">
        <v>3427</v>
      </c>
      <c r="F80" s="62">
        <v>57</v>
      </c>
      <c r="G80" s="63">
        <v>108</v>
      </c>
      <c r="H80" s="63">
        <v>129</v>
      </c>
      <c r="I80" s="63">
        <v>242</v>
      </c>
      <c r="J80" s="63">
        <v>4315</v>
      </c>
      <c r="K80" s="62">
        <v>55</v>
      </c>
      <c r="L80" s="63">
        <v>180</v>
      </c>
      <c r="M80" s="63">
        <v>112</v>
      </c>
      <c r="N80" s="63">
        <v>294</v>
      </c>
      <c r="O80" s="63">
        <v>4109</v>
      </c>
      <c r="P80" s="62">
        <v>59</v>
      </c>
      <c r="Q80" s="63">
        <v>297</v>
      </c>
      <c r="R80" s="63">
        <v>473</v>
      </c>
      <c r="S80" s="63">
        <v>776</v>
      </c>
      <c r="T80" s="63">
        <v>6914</v>
      </c>
    </row>
    <row r="81" spans="1:20" x14ac:dyDescent="0.45">
      <c r="A81" s="62">
        <v>53</v>
      </c>
      <c r="B81" s="63">
        <v>102</v>
      </c>
      <c r="C81" s="63">
        <v>108</v>
      </c>
      <c r="D81" s="63">
        <v>211</v>
      </c>
      <c r="E81" s="63">
        <v>3638</v>
      </c>
      <c r="F81" s="62">
        <v>56</v>
      </c>
      <c r="G81" s="63">
        <v>299</v>
      </c>
      <c r="H81" s="63">
        <v>256</v>
      </c>
      <c r="I81" s="63">
        <v>562</v>
      </c>
      <c r="J81" s="63">
        <v>4877</v>
      </c>
      <c r="K81" s="62">
        <v>54</v>
      </c>
      <c r="L81" s="63">
        <v>173</v>
      </c>
      <c r="M81" s="63">
        <v>138</v>
      </c>
      <c r="N81" s="63">
        <v>314</v>
      </c>
      <c r="O81" s="63">
        <v>4423</v>
      </c>
      <c r="P81" s="62">
        <v>58</v>
      </c>
      <c r="Q81" s="63">
        <v>257</v>
      </c>
      <c r="R81" s="63">
        <v>421</v>
      </c>
      <c r="S81" s="63">
        <v>685</v>
      </c>
      <c r="T81" s="63">
        <v>7599</v>
      </c>
    </row>
    <row r="82" spans="1:20" x14ac:dyDescent="0.45">
      <c r="A82" s="62">
        <v>52</v>
      </c>
      <c r="B82" s="63">
        <v>176</v>
      </c>
      <c r="C82" s="63">
        <v>221</v>
      </c>
      <c r="D82" s="63">
        <v>401</v>
      </c>
      <c r="E82" s="63">
        <v>4039</v>
      </c>
      <c r="F82" s="62">
        <v>55</v>
      </c>
      <c r="G82" s="63">
        <v>166</v>
      </c>
      <c r="H82" s="63">
        <v>127</v>
      </c>
      <c r="I82" s="63">
        <v>294</v>
      </c>
      <c r="J82" s="63">
        <v>5171</v>
      </c>
      <c r="K82" s="62">
        <v>53</v>
      </c>
      <c r="L82" s="63">
        <v>387</v>
      </c>
      <c r="M82" s="63">
        <v>261</v>
      </c>
      <c r="N82" s="63">
        <v>654</v>
      </c>
      <c r="O82" s="63">
        <v>5077</v>
      </c>
      <c r="P82" s="62">
        <v>57</v>
      </c>
      <c r="Q82" s="63">
        <v>360</v>
      </c>
      <c r="R82" s="63">
        <v>594</v>
      </c>
      <c r="S82" s="63">
        <v>964</v>
      </c>
      <c r="T82" s="63">
        <v>8563</v>
      </c>
    </row>
    <row r="83" spans="1:20" x14ac:dyDescent="0.45">
      <c r="A83" s="62">
        <v>51</v>
      </c>
      <c r="B83" s="63">
        <v>82</v>
      </c>
      <c r="C83" s="63">
        <v>101</v>
      </c>
      <c r="D83" s="63">
        <v>186</v>
      </c>
      <c r="E83" s="63">
        <v>4225</v>
      </c>
      <c r="F83" s="62">
        <v>54</v>
      </c>
      <c r="G83" s="63">
        <v>158</v>
      </c>
      <c r="H83" s="63">
        <v>148</v>
      </c>
      <c r="I83" s="63">
        <v>309</v>
      </c>
      <c r="J83" s="63">
        <v>5480</v>
      </c>
      <c r="K83" s="62">
        <v>52</v>
      </c>
      <c r="L83" s="63">
        <v>162</v>
      </c>
      <c r="M83" s="63">
        <v>149</v>
      </c>
      <c r="N83" s="63">
        <v>318</v>
      </c>
      <c r="O83" s="63">
        <v>5395</v>
      </c>
      <c r="P83" s="62">
        <v>56</v>
      </c>
      <c r="Q83" s="63">
        <v>295</v>
      </c>
      <c r="R83" s="63">
        <v>548</v>
      </c>
      <c r="S83" s="63">
        <v>849</v>
      </c>
      <c r="T83" s="63">
        <v>9412</v>
      </c>
    </row>
    <row r="84" spans="1:20" x14ac:dyDescent="0.45">
      <c r="A84" s="62">
        <v>50</v>
      </c>
      <c r="B84" s="63">
        <v>75</v>
      </c>
      <c r="C84" s="63">
        <v>124</v>
      </c>
      <c r="D84" s="63">
        <v>201</v>
      </c>
      <c r="E84" s="63">
        <v>4426</v>
      </c>
      <c r="F84" s="62">
        <v>53</v>
      </c>
      <c r="G84" s="63">
        <v>168</v>
      </c>
      <c r="H84" s="63">
        <v>195</v>
      </c>
      <c r="I84" s="63">
        <v>365</v>
      </c>
      <c r="J84" s="63">
        <v>5845</v>
      </c>
      <c r="K84" s="62">
        <v>51</v>
      </c>
      <c r="L84" s="63">
        <v>194</v>
      </c>
      <c r="M84" s="63">
        <v>128</v>
      </c>
      <c r="N84" s="63">
        <v>324</v>
      </c>
      <c r="O84" s="63">
        <v>5719</v>
      </c>
      <c r="P84" s="62">
        <v>55</v>
      </c>
      <c r="Q84" s="63">
        <v>696</v>
      </c>
      <c r="R84" s="63">
        <v>1190</v>
      </c>
      <c r="S84" s="63">
        <v>1901</v>
      </c>
      <c r="T84" s="63">
        <v>11313</v>
      </c>
    </row>
    <row r="85" spans="1:20" x14ac:dyDescent="0.45">
      <c r="A85" s="62">
        <v>49</v>
      </c>
      <c r="B85" s="63">
        <v>84</v>
      </c>
      <c r="C85" s="63">
        <v>136</v>
      </c>
      <c r="D85" s="63">
        <v>222</v>
      </c>
      <c r="E85" s="63">
        <v>4648</v>
      </c>
      <c r="F85" s="62">
        <v>52</v>
      </c>
      <c r="G85" s="63">
        <v>188</v>
      </c>
      <c r="H85" s="63">
        <v>165</v>
      </c>
      <c r="I85" s="63">
        <v>357</v>
      </c>
      <c r="J85" s="63">
        <v>6202</v>
      </c>
      <c r="K85" s="62">
        <v>50</v>
      </c>
      <c r="L85" s="63">
        <v>193</v>
      </c>
      <c r="M85" s="63">
        <v>127</v>
      </c>
      <c r="N85" s="63">
        <v>328</v>
      </c>
      <c r="O85" s="63">
        <v>6047</v>
      </c>
      <c r="P85" s="62">
        <v>54</v>
      </c>
      <c r="Q85" s="63">
        <v>326</v>
      </c>
      <c r="R85" s="63">
        <v>552</v>
      </c>
      <c r="S85" s="63">
        <v>892</v>
      </c>
      <c r="T85" s="63">
        <v>12205</v>
      </c>
    </row>
    <row r="86" spans="1:20" x14ac:dyDescent="0.45">
      <c r="A86" s="62">
        <v>48</v>
      </c>
      <c r="B86" s="63">
        <v>213</v>
      </c>
      <c r="C86" s="63">
        <v>279</v>
      </c>
      <c r="D86" s="63">
        <v>497</v>
      </c>
      <c r="E86" s="63">
        <v>5145</v>
      </c>
      <c r="F86" s="62">
        <v>51</v>
      </c>
      <c r="G86" s="63">
        <v>377</v>
      </c>
      <c r="H86" s="63">
        <v>391</v>
      </c>
      <c r="I86" s="63">
        <v>772</v>
      </c>
      <c r="J86" s="63">
        <v>6974</v>
      </c>
      <c r="K86" s="62">
        <v>49</v>
      </c>
      <c r="L86" s="63">
        <v>347</v>
      </c>
      <c r="M86" s="63">
        <v>276</v>
      </c>
      <c r="N86" s="63">
        <v>626</v>
      </c>
      <c r="O86" s="63">
        <v>6673</v>
      </c>
      <c r="P86" s="62">
        <v>53</v>
      </c>
      <c r="Q86" s="63">
        <v>410</v>
      </c>
      <c r="R86" s="63">
        <v>738</v>
      </c>
      <c r="S86" s="63">
        <v>1160</v>
      </c>
      <c r="T86" s="63">
        <v>13365</v>
      </c>
    </row>
    <row r="87" spans="1:20" x14ac:dyDescent="0.45">
      <c r="A87" s="62">
        <v>47</v>
      </c>
      <c r="B87" s="63">
        <v>98</v>
      </c>
      <c r="C87" s="63">
        <v>119</v>
      </c>
      <c r="D87" s="63">
        <v>219</v>
      </c>
      <c r="E87" s="63">
        <v>5364</v>
      </c>
      <c r="F87" s="62">
        <v>50</v>
      </c>
      <c r="G87" s="63">
        <v>221</v>
      </c>
      <c r="H87" s="63">
        <v>214</v>
      </c>
      <c r="I87" s="63">
        <v>436</v>
      </c>
      <c r="J87" s="63">
        <v>7410</v>
      </c>
      <c r="K87" s="62">
        <v>48</v>
      </c>
      <c r="L87" s="63">
        <v>214</v>
      </c>
      <c r="M87" s="63">
        <v>146</v>
      </c>
      <c r="N87" s="63">
        <v>364</v>
      </c>
      <c r="O87" s="63">
        <v>7037</v>
      </c>
      <c r="P87" s="62">
        <v>52</v>
      </c>
      <c r="Q87" s="63">
        <v>361</v>
      </c>
      <c r="R87" s="63">
        <v>626</v>
      </c>
      <c r="S87" s="63">
        <v>994</v>
      </c>
      <c r="T87" s="63">
        <v>14359</v>
      </c>
    </row>
    <row r="88" spans="1:20" x14ac:dyDescent="0.45">
      <c r="A88" s="62">
        <v>46</v>
      </c>
      <c r="B88" s="63">
        <v>119</v>
      </c>
      <c r="C88" s="63">
        <v>147</v>
      </c>
      <c r="D88" s="63">
        <v>267</v>
      </c>
      <c r="E88" s="63">
        <v>5631</v>
      </c>
      <c r="F88" s="62">
        <v>49</v>
      </c>
      <c r="G88" s="63">
        <v>227</v>
      </c>
      <c r="H88" s="63">
        <v>246</v>
      </c>
      <c r="I88" s="63">
        <v>476</v>
      </c>
      <c r="J88" s="63">
        <v>7886</v>
      </c>
      <c r="K88" s="62">
        <v>47</v>
      </c>
      <c r="L88" s="63">
        <v>161</v>
      </c>
      <c r="M88" s="63">
        <v>122</v>
      </c>
      <c r="N88" s="63">
        <v>289</v>
      </c>
      <c r="O88" s="63">
        <v>7326</v>
      </c>
      <c r="P88" s="62">
        <v>51</v>
      </c>
      <c r="Q88" s="63">
        <v>413</v>
      </c>
      <c r="R88" s="63">
        <v>710</v>
      </c>
      <c r="S88" s="63">
        <v>1131</v>
      </c>
      <c r="T88" s="63">
        <v>15490</v>
      </c>
    </row>
    <row r="89" spans="1:20" x14ac:dyDescent="0.45">
      <c r="A89" s="62">
        <v>45</v>
      </c>
      <c r="B89" s="63">
        <v>253</v>
      </c>
      <c r="C89" s="63">
        <v>300</v>
      </c>
      <c r="D89" s="63">
        <v>558</v>
      </c>
      <c r="E89" s="63">
        <v>6189</v>
      </c>
      <c r="F89" s="62">
        <v>48</v>
      </c>
      <c r="G89" s="63">
        <v>250</v>
      </c>
      <c r="H89" s="63">
        <v>235</v>
      </c>
      <c r="I89" s="63">
        <v>487</v>
      </c>
      <c r="J89" s="63">
        <v>8373</v>
      </c>
      <c r="K89" s="62">
        <v>46</v>
      </c>
      <c r="L89" s="63">
        <v>175</v>
      </c>
      <c r="M89" s="63">
        <v>125</v>
      </c>
      <c r="N89" s="63">
        <v>306</v>
      </c>
      <c r="O89" s="63">
        <v>7632</v>
      </c>
      <c r="P89" s="62">
        <v>50</v>
      </c>
      <c r="Q89" s="63">
        <v>432</v>
      </c>
      <c r="R89" s="63">
        <v>815</v>
      </c>
      <c r="S89" s="63">
        <v>1255</v>
      </c>
      <c r="T89" s="63">
        <v>16745</v>
      </c>
    </row>
    <row r="90" spans="1:20" x14ac:dyDescent="0.45">
      <c r="A90" s="62">
        <v>44</v>
      </c>
      <c r="B90" s="63">
        <v>138</v>
      </c>
      <c r="C90" s="63">
        <v>170</v>
      </c>
      <c r="D90" s="63">
        <v>310</v>
      </c>
      <c r="E90" s="63">
        <v>6499</v>
      </c>
      <c r="F90" s="62">
        <v>47</v>
      </c>
      <c r="G90" s="63">
        <v>548</v>
      </c>
      <c r="H90" s="63">
        <v>547</v>
      </c>
      <c r="I90" s="63">
        <v>1106</v>
      </c>
      <c r="J90" s="63">
        <v>9479</v>
      </c>
      <c r="K90" s="62">
        <v>45</v>
      </c>
      <c r="L90" s="63">
        <v>460</v>
      </c>
      <c r="M90" s="63">
        <v>272</v>
      </c>
      <c r="N90" s="63">
        <v>745</v>
      </c>
      <c r="O90" s="63">
        <v>8377</v>
      </c>
      <c r="P90" s="62">
        <v>49</v>
      </c>
      <c r="Q90" s="63">
        <v>444</v>
      </c>
      <c r="R90" s="63">
        <v>645</v>
      </c>
      <c r="S90" s="63">
        <v>1103</v>
      </c>
      <c r="T90" s="63">
        <v>17848</v>
      </c>
    </row>
    <row r="91" spans="1:20" x14ac:dyDescent="0.45">
      <c r="A91" s="62">
        <v>43</v>
      </c>
      <c r="B91" s="63">
        <v>145</v>
      </c>
      <c r="C91" s="63">
        <v>174</v>
      </c>
      <c r="D91" s="63">
        <v>319</v>
      </c>
      <c r="E91" s="63">
        <v>6818</v>
      </c>
      <c r="F91" s="62">
        <v>46</v>
      </c>
      <c r="G91" s="63">
        <v>303</v>
      </c>
      <c r="H91" s="63">
        <v>264</v>
      </c>
      <c r="I91" s="63">
        <v>569</v>
      </c>
      <c r="J91" s="63">
        <v>10048</v>
      </c>
      <c r="K91" s="62">
        <v>44</v>
      </c>
      <c r="L91" s="63">
        <v>161</v>
      </c>
      <c r="M91" s="63">
        <v>126</v>
      </c>
      <c r="N91" s="63">
        <v>292</v>
      </c>
      <c r="O91" s="63">
        <v>8669</v>
      </c>
      <c r="P91" s="62">
        <v>48</v>
      </c>
      <c r="Q91" s="63">
        <v>430</v>
      </c>
      <c r="R91" s="63">
        <v>803</v>
      </c>
      <c r="S91" s="63">
        <v>1246</v>
      </c>
      <c r="T91" s="63">
        <v>19094</v>
      </c>
    </row>
    <row r="92" spans="1:20" x14ac:dyDescent="0.45">
      <c r="A92" s="62">
        <v>42</v>
      </c>
      <c r="B92" s="63">
        <v>423</v>
      </c>
      <c r="C92" s="63">
        <v>368</v>
      </c>
      <c r="D92" s="63">
        <v>804</v>
      </c>
      <c r="E92" s="63">
        <v>7622</v>
      </c>
      <c r="F92" s="62">
        <v>45</v>
      </c>
      <c r="G92" s="63">
        <v>343</v>
      </c>
      <c r="H92" s="63">
        <v>330</v>
      </c>
      <c r="I92" s="63">
        <v>679</v>
      </c>
      <c r="J92" s="63">
        <v>10727</v>
      </c>
      <c r="K92" s="62">
        <v>43</v>
      </c>
      <c r="L92" s="63">
        <v>196</v>
      </c>
      <c r="M92" s="63">
        <v>94</v>
      </c>
      <c r="N92" s="63">
        <v>294</v>
      </c>
      <c r="O92" s="63">
        <v>8963</v>
      </c>
      <c r="P92" s="62">
        <v>47</v>
      </c>
      <c r="Q92" s="63">
        <v>463</v>
      </c>
      <c r="R92" s="63">
        <v>719</v>
      </c>
      <c r="S92" s="63">
        <v>1193</v>
      </c>
      <c r="T92" s="63">
        <v>20287</v>
      </c>
    </row>
    <row r="93" spans="1:20" x14ac:dyDescent="0.45">
      <c r="A93" s="62">
        <v>41</v>
      </c>
      <c r="B93" s="63">
        <v>199</v>
      </c>
      <c r="C93" s="63">
        <v>169</v>
      </c>
      <c r="D93" s="63">
        <v>371</v>
      </c>
      <c r="E93" s="63">
        <v>7993</v>
      </c>
      <c r="F93" s="62">
        <v>44</v>
      </c>
      <c r="G93" s="63">
        <v>392</v>
      </c>
      <c r="H93" s="63">
        <v>341</v>
      </c>
      <c r="I93" s="63">
        <v>738</v>
      </c>
      <c r="J93" s="63">
        <v>11465</v>
      </c>
      <c r="K93" s="62">
        <v>42</v>
      </c>
      <c r="L93" s="63">
        <v>152</v>
      </c>
      <c r="M93" s="63">
        <v>73</v>
      </c>
      <c r="N93" s="63">
        <v>228</v>
      </c>
      <c r="O93" s="63">
        <v>9191</v>
      </c>
      <c r="P93" s="62">
        <v>46</v>
      </c>
      <c r="Q93" s="63">
        <v>461</v>
      </c>
      <c r="R93" s="63">
        <v>715</v>
      </c>
      <c r="S93" s="63">
        <v>1187</v>
      </c>
      <c r="T93" s="63">
        <v>21474</v>
      </c>
    </row>
    <row r="94" spans="1:20" x14ac:dyDescent="0.45">
      <c r="A94" s="62">
        <v>40</v>
      </c>
      <c r="B94" s="63">
        <v>118</v>
      </c>
      <c r="C94" s="63">
        <v>143</v>
      </c>
      <c r="D94" s="63">
        <v>265</v>
      </c>
      <c r="E94" s="63">
        <v>8258</v>
      </c>
      <c r="F94" s="62">
        <v>43</v>
      </c>
      <c r="G94" s="63">
        <v>1200</v>
      </c>
      <c r="H94" s="63">
        <v>824</v>
      </c>
      <c r="I94" s="63">
        <v>2045</v>
      </c>
      <c r="J94" s="63">
        <v>13510</v>
      </c>
      <c r="K94" s="62">
        <v>41</v>
      </c>
      <c r="L94" s="63">
        <v>459</v>
      </c>
      <c r="M94" s="63">
        <v>211</v>
      </c>
      <c r="N94" s="63">
        <v>677</v>
      </c>
      <c r="O94" s="63">
        <v>9868</v>
      </c>
      <c r="P94" s="62">
        <v>45</v>
      </c>
      <c r="Q94" s="63">
        <v>454</v>
      </c>
      <c r="R94" s="63">
        <v>697</v>
      </c>
      <c r="S94" s="63">
        <v>1162</v>
      </c>
      <c r="T94" s="63">
        <v>22636</v>
      </c>
    </row>
    <row r="95" spans="1:20" x14ac:dyDescent="0.45">
      <c r="A95" s="62">
        <v>39</v>
      </c>
      <c r="B95" s="63">
        <v>160</v>
      </c>
      <c r="C95" s="63">
        <v>139</v>
      </c>
      <c r="D95" s="63">
        <v>300</v>
      </c>
      <c r="E95" s="63">
        <v>8558</v>
      </c>
      <c r="F95" s="62">
        <v>42</v>
      </c>
      <c r="G95" s="63">
        <v>341</v>
      </c>
      <c r="H95" s="63">
        <v>283</v>
      </c>
      <c r="I95" s="63">
        <v>637</v>
      </c>
      <c r="J95" s="63">
        <v>14147</v>
      </c>
      <c r="K95" s="62">
        <v>40</v>
      </c>
      <c r="L95" s="63">
        <v>153</v>
      </c>
      <c r="M95" s="63">
        <v>67</v>
      </c>
      <c r="N95" s="63">
        <v>222</v>
      </c>
      <c r="O95" s="63">
        <v>10090</v>
      </c>
      <c r="P95" s="62">
        <v>44</v>
      </c>
      <c r="Q95" s="63">
        <v>430</v>
      </c>
      <c r="R95" s="63">
        <v>596</v>
      </c>
      <c r="S95" s="63">
        <v>1037</v>
      </c>
      <c r="T95" s="63">
        <v>23673</v>
      </c>
    </row>
    <row r="96" spans="1:20" x14ac:dyDescent="0.45">
      <c r="A96" s="62">
        <v>38</v>
      </c>
      <c r="B96" s="63">
        <v>542</v>
      </c>
      <c r="C96" s="63">
        <v>315</v>
      </c>
      <c r="D96" s="63">
        <v>867</v>
      </c>
      <c r="E96" s="63">
        <v>9425</v>
      </c>
      <c r="F96" s="62">
        <v>41</v>
      </c>
      <c r="G96" s="63">
        <v>289</v>
      </c>
      <c r="H96" s="63">
        <v>316</v>
      </c>
      <c r="I96" s="63">
        <v>607</v>
      </c>
      <c r="J96" s="63">
        <v>14754</v>
      </c>
      <c r="K96" s="62">
        <v>39</v>
      </c>
      <c r="L96" s="63">
        <v>305</v>
      </c>
      <c r="M96" s="63">
        <v>117</v>
      </c>
      <c r="N96" s="63">
        <v>427</v>
      </c>
      <c r="O96" s="63">
        <v>10517</v>
      </c>
      <c r="P96" s="62">
        <v>43</v>
      </c>
      <c r="Q96" s="63">
        <v>447</v>
      </c>
      <c r="R96" s="63">
        <v>628</v>
      </c>
      <c r="S96" s="63">
        <v>1093</v>
      </c>
      <c r="T96" s="63">
        <v>24766</v>
      </c>
    </row>
    <row r="97" spans="1:20" x14ac:dyDescent="0.45">
      <c r="A97" s="62">
        <v>37</v>
      </c>
      <c r="B97" s="63">
        <v>55</v>
      </c>
      <c r="C97" s="63">
        <v>50</v>
      </c>
      <c r="D97" s="63">
        <v>106</v>
      </c>
      <c r="E97" s="63">
        <v>9531</v>
      </c>
      <c r="F97" s="62">
        <v>40</v>
      </c>
      <c r="G97" s="63">
        <v>312</v>
      </c>
      <c r="H97" s="63">
        <v>246</v>
      </c>
      <c r="I97" s="63">
        <v>565</v>
      </c>
      <c r="J97" s="63">
        <v>15319</v>
      </c>
      <c r="K97" s="62">
        <v>38</v>
      </c>
      <c r="L97" s="63">
        <v>90</v>
      </c>
      <c r="M97" s="63">
        <v>45</v>
      </c>
      <c r="N97" s="63">
        <v>136</v>
      </c>
      <c r="O97" s="63">
        <v>10653</v>
      </c>
      <c r="P97" s="62">
        <v>42</v>
      </c>
      <c r="Q97" s="63">
        <v>412</v>
      </c>
      <c r="R97" s="63">
        <v>506</v>
      </c>
      <c r="S97" s="63">
        <v>932</v>
      </c>
      <c r="T97" s="63">
        <v>25698</v>
      </c>
    </row>
    <row r="98" spans="1:20" x14ac:dyDescent="0.45">
      <c r="A98" s="62">
        <v>36</v>
      </c>
      <c r="B98" s="63">
        <v>67</v>
      </c>
      <c r="C98" s="63">
        <v>64</v>
      </c>
      <c r="D98" s="63">
        <v>133</v>
      </c>
      <c r="E98" s="63">
        <v>9664</v>
      </c>
      <c r="F98" s="62">
        <v>39</v>
      </c>
      <c r="G98" s="63">
        <v>530</v>
      </c>
      <c r="H98" s="63">
        <v>373</v>
      </c>
      <c r="I98" s="63">
        <v>916</v>
      </c>
      <c r="J98" s="63">
        <v>16235</v>
      </c>
      <c r="K98" s="62">
        <v>37</v>
      </c>
      <c r="L98" s="63">
        <v>583</v>
      </c>
      <c r="M98" s="63">
        <v>186</v>
      </c>
      <c r="N98" s="63">
        <v>782</v>
      </c>
      <c r="O98" s="63">
        <v>11435</v>
      </c>
      <c r="P98" s="62">
        <v>41</v>
      </c>
      <c r="Q98" s="63">
        <v>446</v>
      </c>
      <c r="R98" s="63">
        <v>506</v>
      </c>
      <c r="S98" s="63">
        <v>959</v>
      </c>
      <c r="T98" s="63">
        <v>26657</v>
      </c>
    </row>
    <row r="99" spans="1:20" x14ac:dyDescent="0.45">
      <c r="A99" s="62">
        <v>35</v>
      </c>
      <c r="B99" s="63">
        <v>56</v>
      </c>
      <c r="C99" s="63">
        <v>51</v>
      </c>
      <c r="D99" s="63">
        <v>108</v>
      </c>
      <c r="E99" s="63">
        <v>9772</v>
      </c>
      <c r="F99" s="62">
        <v>38</v>
      </c>
      <c r="G99" s="63">
        <v>352</v>
      </c>
      <c r="H99" s="63">
        <v>335</v>
      </c>
      <c r="I99" s="63">
        <v>694</v>
      </c>
      <c r="J99" s="63">
        <v>16929</v>
      </c>
      <c r="K99" s="62">
        <v>36</v>
      </c>
      <c r="L99" s="63">
        <v>201</v>
      </c>
      <c r="M99" s="63">
        <v>106</v>
      </c>
      <c r="N99" s="63">
        <v>313</v>
      </c>
      <c r="O99" s="63">
        <v>11748</v>
      </c>
      <c r="P99" s="62">
        <v>40</v>
      </c>
      <c r="Q99" s="63">
        <v>485</v>
      </c>
      <c r="R99" s="63">
        <v>494</v>
      </c>
      <c r="S99" s="63">
        <v>991</v>
      </c>
      <c r="T99" s="63">
        <v>27648</v>
      </c>
    </row>
    <row r="100" spans="1:20" x14ac:dyDescent="0.45">
      <c r="A100" s="62">
        <v>34</v>
      </c>
      <c r="B100" s="63">
        <v>31</v>
      </c>
      <c r="C100" s="63">
        <v>28</v>
      </c>
      <c r="D100" s="63">
        <v>59</v>
      </c>
      <c r="E100" s="63">
        <v>9831</v>
      </c>
      <c r="F100" s="62">
        <v>37</v>
      </c>
      <c r="G100" s="63">
        <v>166</v>
      </c>
      <c r="H100" s="63">
        <v>139</v>
      </c>
      <c r="I100" s="63">
        <v>307</v>
      </c>
      <c r="J100" s="63">
        <v>17236</v>
      </c>
      <c r="K100" s="62">
        <v>35</v>
      </c>
      <c r="L100" s="63">
        <v>129</v>
      </c>
      <c r="M100" s="63">
        <v>65</v>
      </c>
      <c r="N100" s="63">
        <v>195</v>
      </c>
      <c r="O100" s="63">
        <v>11943</v>
      </c>
      <c r="P100" s="62">
        <v>39</v>
      </c>
      <c r="Q100" s="63">
        <v>878</v>
      </c>
      <c r="R100" s="63">
        <v>723</v>
      </c>
      <c r="S100" s="63">
        <v>1619</v>
      </c>
      <c r="T100" s="63">
        <v>29267</v>
      </c>
    </row>
    <row r="101" spans="1:20" x14ac:dyDescent="0.45">
      <c r="A101" s="62">
        <v>32</v>
      </c>
      <c r="B101" s="63">
        <v>9</v>
      </c>
      <c r="C101" s="63">
        <v>9</v>
      </c>
      <c r="D101" s="63">
        <v>18</v>
      </c>
      <c r="E101" s="63">
        <v>9849</v>
      </c>
      <c r="F101" s="62">
        <v>36</v>
      </c>
      <c r="G101" s="63">
        <v>57</v>
      </c>
      <c r="H101" s="63">
        <v>47</v>
      </c>
      <c r="I101" s="63">
        <v>104</v>
      </c>
      <c r="J101" s="63">
        <v>17340</v>
      </c>
      <c r="K101" s="62">
        <v>34</v>
      </c>
      <c r="L101" s="63">
        <v>34</v>
      </c>
      <c r="M101" s="63">
        <v>14</v>
      </c>
      <c r="N101" s="63">
        <v>49</v>
      </c>
      <c r="O101" s="63">
        <v>11992</v>
      </c>
      <c r="P101" s="62">
        <v>38</v>
      </c>
      <c r="Q101" s="63">
        <v>329</v>
      </c>
      <c r="R101" s="63">
        <v>313</v>
      </c>
      <c r="S101" s="63">
        <v>652</v>
      </c>
      <c r="T101" s="63">
        <v>29919</v>
      </c>
    </row>
    <row r="102" spans="1:20" x14ac:dyDescent="0.45">
      <c r="A102" s="62"/>
      <c r="B102" s="63"/>
      <c r="C102" s="63"/>
      <c r="D102" s="63"/>
      <c r="E102" s="63"/>
      <c r="F102" s="62">
        <v>35</v>
      </c>
      <c r="G102" s="63">
        <v>54</v>
      </c>
      <c r="H102" s="63">
        <v>46</v>
      </c>
      <c r="I102" s="63">
        <v>101</v>
      </c>
      <c r="J102" s="63">
        <v>17441</v>
      </c>
      <c r="K102" s="62">
        <v>33</v>
      </c>
      <c r="L102" s="63">
        <v>233</v>
      </c>
      <c r="M102" s="63">
        <v>87</v>
      </c>
      <c r="N102" s="63">
        <v>322</v>
      </c>
      <c r="O102" s="63">
        <v>12314</v>
      </c>
      <c r="P102" s="62">
        <v>37</v>
      </c>
      <c r="Q102" s="63">
        <v>1065</v>
      </c>
      <c r="R102" s="63">
        <v>663</v>
      </c>
      <c r="S102" s="63">
        <v>1746</v>
      </c>
      <c r="T102" s="63">
        <v>31665</v>
      </c>
    </row>
    <row r="103" spans="1:20" x14ac:dyDescent="0.45">
      <c r="A103" s="62"/>
      <c r="B103" s="63"/>
      <c r="C103" s="63"/>
      <c r="D103" s="63"/>
      <c r="E103" s="63"/>
      <c r="F103" s="62">
        <v>34</v>
      </c>
      <c r="G103" s="63">
        <v>39</v>
      </c>
      <c r="H103" s="63">
        <v>47</v>
      </c>
      <c r="I103" s="63">
        <v>87</v>
      </c>
      <c r="J103" s="63">
        <v>17528</v>
      </c>
      <c r="K103" s="62">
        <v>32</v>
      </c>
      <c r="L103" s="63">
        <v>33</v>
      </c>
      <c r="M103" s="63">
        <v>12</v>
      </c>
      <c r="N103" s="63">
        <v>45</v>
      </c>
      <c r="O103" s="63">
        <v>12359</v>
      </c>
      <c r="P103" s="62">
        <v>36</v>
      </c>
      <c r="Q103" s="63">
        <v>257</v>
      </c>
      <c r="R103" s="63">
        <v>228</v>
      </c>
      <c r="S103" s="63">
        <v>486</v>
      </c>
      <c r="T103" s="63">
        <v>32151</v>
      </c>
    </row>
    <row r="104" spans="1:20" x14ac:dyDescent="0.45">
      <c r="A104" s="62"/>
      <c r="B104" s="63"/>
      <c r="C104" s="63"/>
      <c r="D104" s="63"/>
      <c r="E104" s="63"/>
      <c r="F104" s="62">
        <v>33</v>
      </c>
      <c r="G104" s="63">
        <v>22</v>
      </c>
      <c r="H104" s="63">
        <v>23</v>
      </c>
      <c r="I104" s="63">
        <v>46</v>
      </c>
      <c r="J104" s="63">
        <v>17574</v>
      </c>
      <c r="K104" s="62">
        <v>31</v>
      </c>
      <c r="L104" s="63">
        <v>14</v>
      </c>
      <c r="M104" s="63">
        <v>4</v>
      </c>
      <c r="N104" s="63">
        <v>18</v>
      </c>
      <c r="O104" s="63">
        <v>12377</v>
      </c>
      <c r="P104" s="62">
        <v>35</v>
      </c>
      <c r="Q104" s="63">
        <v>583</v>
      </c>
      <c r="R104" s="63">
        <v>447</v>
      </c>
      <c r="S104" s="63">
        <v>1039</v>
      </c>
      <c r="T104" s="63">
        <v>33190</v>
      </c>
    </row>
    <row r="105" spans="1:20" x14ac:dyDescent="0.45">
      <c r="A105" s="62"/>
      <c r="B105" s="63"/>
      <c r="C105" s="63"/>
      <c r="D105" s="63"/>
      <c r="E105" s="63"/>
      <c r="F105" s="62"/>
      <c r="G105" s="63"/>
      <c r="H105" s="63"/>
      <c r="I105" s="63"/>
      <c r="J105" s="63"/>
      <c r="K105" s="62"/>
      <c r="L105" s="63"/>
      <c r="M105" s="63"/>
      <c r="N105" s="63"/>
      <c r="O105" s="63"/>
      <c r="P105" s="62">
        <v>34</v>
      </c>
      <c r="Q105" s="63">
        <v>119</v>
      </c>
      <c r="R105" s="63">
        <v>103</v>
      </c>
      <c r="S105" s="63">
        <v>224</v>
      </c>
      <c r="T105" s="63">
        <v>33414</v>
      </c>
    </row>
    <row r="106" spans="1:20" x14ac:dyDescent="0.45">
      <c r="A106" s="62"/>
      <c r="B106" s="63"/>
      <c r="C106" s="63"/>
      <c r="D106" s="63"/>
      <c r="E106" s="63"/>
      <c r="F106" s="62"/>
      <c r="G106" s="63"/>
      <c r="H106" s="63"/>
      <c r="I106" s="63"/>
      <c r="J106" s="63"/>
      <c r="K106" s="62"/>
      <c r="L106" s="63"/>
      <c r="M106" s="63"/>
      <c r="N106" s="63"/>
      <c r="O106" s="63"/>
      <c r="P106" s="62">
        <v>33</v>
      </c>
      <c r="Q106" s="63">
        <v>121</v>
      </c>
      <c r="R106" s="63">
        <v>81</v>
      </c>
      <c r="S106" s="63">
        <v>203</v>
      </c>
      <c r="T106" s="63">
        <v>33617</v>
      </c>
    </row>
    <row r="107" spans="1:20" x14ac:dyDescent="0.45">
      <c r="A107" s="62"/>
      <c r="B107" s="63"/>
      <c r="C107" s="63"/>
      <c r="D107" s="63"/>
      <c r="E107" s="63"/>
      <c r="F107" s="62"/>
      <c r="G107" s="63"/>
      <c r="H107" s="63"/>
      <c r="I107" s="63"/>
      <c r="J107" s="63"/>
      <c r="K107" s="62"/>
      <c r="L107" s="63"/>
      <c r="M107" s="63"/>
      <c r="N107" s="63"/>
      <c r="O107" s="63"/>
      <c r="P107" s="62">
        <v>32</v>
      </c>
      <c r="Q107" s="63">
        <v>62</v>
      </c>
      <c r="R107" s="63">
        <v>49</v>
      </c>
      <c r="S107" s="63">
        <v>112</v>
      </c>
      <c r="T107" s="63">
        <v>33729</v>
      </c>
    </row>
    <row r="108" spans="1:20" x14ac:dyDescent="0.45">
      <c r="A108" s="62"/>
      <c r="B108" s="63"/>
      <c r="C108" s="63"/>
      <c r="D108" s="63"/>
      <c r="E108" s="63"/>
      <c r="F108" s="62"/>
      <c r="G108" s="63"/>
      <c r="H108" s="63"/>
      <c r="I108" s="63"/>
      <c r="J108" s="63"/>
      <c r="K108" s="62"/>
      <c r="L108" s="63"/>
      <c r="M108" s="63"/>
      <c r="N108" s="63"/>
      <c r="O108" s="63"/>
      <c r="P108" s="62">
        <v>31</v>
      </c>
      <c r="Q108" s="63">
        <v>33</v>
      </c>
      <c r="R108" s="63">
        <v>30</v>
      </c>
      <c r="S108" s="63">
        <v>64</v>
      </c>
      <c r="T108" s="63">
        <v>33793</v>
      </c>
    </row>
    <row r="109" spans="1:20" x14ac:dyDescent="0.45">
      <c r="A109" s="62"/>
      <c r="B109" s="63"/>
      <c r="C109" s="63"/>
      <c r="D109" s="63"/>
      <c r="E109" s="63"/>
      <c r="F109" s="62"/>
      <c r="G109" s="63"/>
      <c r="H109" s="63"/>
      <c r="I109" s="63"/>
      <c r="J109" s="63"/>
      <c r="K109" s="62"/>
      <c r="L109" s="63"/>
      <c r="M109" s="63"/>
      <c r="N109" s="63"/>
      <c r="O109" s="63"/>
      <c r="P109" s="62">
        <v>30</v>
      </c>
      <c r="Q109" s="63">
        <v>41</v>
      </c>
      <c r="R109" s="63">
        <v>36</v>
      </c>
      <c r="S109" s="63">
        <v>77</v>
      </c>
      <c r="T109" s="63">
        <v>33870</v>
      </c>
    </row>
    <row r="110" spans="1:20" x14ac:dyDescent="0.45">
      <c r="A110" s="62"/>
      <c r="B110" s="63"/>
      <c r="C110" s="63"/>
      <c r="D110" s="63"/>
      <c r="E110" s="63"/>
      <c r="F110" s="62"/>
      <c r="G110" s="63"/>
      <c r="H110" s="63"/>
      <c r="I110" s="63"/>
      <c r="J110" s="63"/>
      <c r="K110" s="62"/>
      <c r="L110" s="63"/>
      <c r="M110" s="63"/>
      <c r="N110" s="63"/>
      <c r="O110" s="63"/>
      <c r="P110" s="62">
        <v>28</v>
      </c>
      <c r="Q110" s="63">
        <v>31</v>
      </c>
      <c r="R110" s="63">
        <v>11</v>
      </c>
      <c r="S110" s="63">
        <v>42</v>
      </c>
      <c r="T110" s="63">
        <v>33912</v>
      </c>
    </row>
    <row r="111" spans="1:20" ht="17.5" thickBot="1" x14ac:dyDescent="0.5">
      <c r="A111" s="8"/>
      <c r="B111" s="14"/>
      <c r="C111" s="14"/>
      <c r="D111" s="2"/>
      <c r="F111" s="8"/>
      <c r="G111" s="14"/>
      <c r="H111" s="14"/>
      <c r="I111" s="2"/>
      <c r="K111" s="8"/>
      <c r="L111" s="14"/>
      <c r="M111" s="14"/>
      <c r="N111" s="2"/>
      <c r="P111" s="8"/>
      <c r="Q111" s="14"/>
      <c r="R111" s="14"/>
      <c r="S111" s="2"/>
    </row>
    <row r="119" spans="1:5" x14ac:dyDescent="0.45">
      <c r="A119" s="79" t="s">
        <v>117</v>
      </c>
      <c r="B119" s="79"/>
      <c r="C119" s="79"/>
      <c r="D119" s="79"/>
      <c r="E119" s="79"/>
    </row>
    <row r="120" spans="1:5" x14ac:dyDescent="0.45">
      <c r="A120" s="68" t="s">
        <v>104</v>
      </c>
      <c r="B120" s="68" t="s">
        <v>105</v>
      </c>
      <c r="C120" s="68" t="s">
        <v>106</v>
      </c>
      <c r="D120" s="68" t="s">
        <v>107</v>
      </c>
      <c r="E120" s="69" t="s">
        <v>108</v>
      </c>
    </row>
    <row r="121" spans="1:5" x14ac:dyDescent="0.45">
      <c r="A121" s="66">
        <v>69</v>
      </c>
      <c r="B121" s="67">
        <v>548</v>
      </c>
      <c r="C121" s="67">
        <v>945</v>
      </c>
      <c r="D121" s="67">
        <v>1502</v>
      </c>
      <c r="E121" s="67">
        <v>1502</v>
      </c>
    </row>
    <row r="122" spans="1:5" x14ac:dyDescent="0.45">
      <c r="A122" s="66">
        <v>67</v>
      </c>
      <c r="B122" s="67">
        <v>255</v>
      </c>
      <c r="C122" s="67">
        <v>601</v>
      </c>
      <c r="D122" s="67">
        <v>859</v>
      </c>
      <c r="E122" s="67">
        <v>2361</v>
      </c>
    </row>
    <row r="123" spans="1:5" x14ac:dyDescent="0.45">
      <c r="A123" s="66">
        <v>66</v>
      </c>
      <c r="B123" s="67">
        <v>262</v>
      </c>
      <c r="C123" s="67">
        <v>591</v>
      </c>
      <c r="D123" s="67">
        <v>860</v>
      </c>
      <c r="E123" s="67">
        <v>3221</v>
      </c>
    </row>
    <row r="124" spans="1:5" x14ac:dyDescent="0.45">
      <c r="A124" s="66">
        <v>65</v>
      </c>
      <c r="B124" s="67">
        <v>529</v>
      </c>
      <c r="C124" s="67">
        <v>1118</v>
      </c>
      <c r="D124" s="67">
        <v>1660</v>
      </c>
      <c r="E124" s="67">
        <v>4881</v>
      </c>
    </row>
    <row r="125" spans="1:5" x14ac:dyDescent="0.45">
      <c r="A125" s="66">
        <v>64</v>
      </c>
      <c r="B125" s="67">
        <v>160</v>
      </c>
      <c r="C125" s="67">
        <v>340</v>
      </c>
      <c r="D125" s="67">
        <v>505</v>
      </c>
      <c r="E125" s="67">
        <v>5386</v>
      </c>
    </row>
    <row r="126" spans="1:5" x14ac:dyDescent="0.45">
      <c r="A126" s="66">
        <v>63</v>
      </c>
      <c r="B126" s="67">
        <v>214</v>
      </c>
      <c r="C126" s="67">
        <v>532</v>
      </c>
      <c r="D126" s="67">
        <v>751</v>
      </c>
      <c r="E126" s="67">
        <v>6137</v>
      </c>
    </row>
    <row r="127" spans="1:5" x14ac:dyDescent="0.45">
      <c r="A127" s="66">
        <v>62</v>
      </c>
      <c r="B127" s="67">
        <v>429</v>
      </c>
      <c r="C127" s="67">
        <v>934</v>
      </c>
      <c r="D127" s="67">
        <v>1369</v>
      </c>
      <c r="E127" s="67">
        <v>7506</v>
      </c>
    </row>
    <row r="128" spans="1:5" x14ac:dyDescent="0.45">
      <c r="A128" s="66">
        <v>61</v>
      </c>
      <c r="B128" s="67">
        <v>532</v>
      </c>
      <c r="C128" s="67">
        <v>1123</v>
      </c>
      <c r="D128" s="67">
        <v>1668</v>
      </c>
      <c r="E128" s="67">
        <v>9174</v>
      </c>
    </row>
    <row r="129" spans="1:5" x14ac:dyDescent="0.45">
      <c r="A129" s="66">
        <v>60</v>
      </c>
      <c r="B129" s="67">
        <v>337</v>
      </c>
      <c r="C129" s="67">
        <v>707</v>
      </c>
      <c r="D129" s="67">
        <v>1055</v>
      </c>
      <c r="E129" s="67">
        <v>10229</v>
      </c>
    </row>
    <row r="130" spans="1:5" x14ac:dyDescent="0.45">
      <c r="A130" s="66">
        <v>59</v>
      </c>
      <c r="B130" s="67">
        <v>216</v>
      </c>
      <c r="C130" s="67">
        <v>509</v>
      </c>
      <c r="D130" s="67">
        <v>733</v>
      </c>
      <c r="E130" s="67">
        <v>10962</v>
      </c>
    </row>
    <row r="131" spans="1:5" x14ac:dyDescent="0.45">
      <c r="A131" s="66">
        <v>58</v>
      </c>
      <c r="B131" s="67">
        <v>429</v>
      </c>
      <c r="C131" s="67">
        <v>879</v>
      </c>
      <c r="D131" s="67">
        <v>1319</v>
      </c>
      <c r="E131" s="67">
        <v>12281</v>
      </c>
    </row>
    <row r="132" spans="1:5" x14ac:dyDescent="0.45">
      <c r="A132" s="66">
        <v>57</v>
      </c>
      <c r="B132" s="67">
        <v>627</v>
      </c>
      <c r="C132" s="67">
        <v>1341</v>
      </c>
      <c r="D132" s="67">
        <v>1992</v>
      </c>
      <c r="E132" s="67">
        <v>14273</v>
      </c>
    </row>
    <row r="133" spans="1:5" x14ac:dyDescent="0.45">
      <c r="A133" s="66">
        <v>56</v>
      </c>
      <c r="B133" s="67">
        <v>399</v>
      </c>
      <c r="C133" s="67">
        <v>837</v>
      </c>
      <c r="D133" s="67">
        <v>1248</v>
      </c>
      <c r="E133" s="67">
        <v>15521</v>
      </c>
    </row>
    <row r="134" spans="1:5" x14ac:dyDescent="0.45">
      <c r="A134" s="66">
        <v>55</v>
      </c>
      <c r="B134" s="67">
        <v>294</v>
      </c>
      <c r="C134" s="67">
        <v>679</v>
      </c>
      <c r="D134" s="67">
        <v>979</v>
      </c>
      <c r="E134" s="67">
        <v>16500</v>
      </c>
    </row>
    <row r="135" spans="1:5" x14ac:dyDescent="0.45">
      <c r="A135" s="66">
        <v>54</v>
      </c>
      <c r="B135" s="67">
        <v>420</v>
      </c>
      <c r="C135" s="67">
        <v>945</v>
      </c>
      <c r="D135" s="67">
        <v>1381</v>
      </c>
      <c r="E135" s="67">
        <v>17881</v>
      </c>
    </row>
    <row r="136" spans="1:5" x14ac:dyDescent="0.45">
      <c r="A136" s="66">
        <v>53</v>
      </c>
      <c r="B136" s="67">
        <v>673</v>
      </c>
      <c r="C136" s="67">
        <v>1532</v>
      </c>
      <c r="D136" s="67">
        <v>2226</v>
      </c>
      <c r="E136" s="67">
        <v>20107</v>
      </c>
    </row>
    <row r="137" spans="1:5" x14ac:dyDescent="0.45">
      <c r="A137" s="66">
        <v>52</v>
      </c>
      <c r="B137" s="67">
        <v>426</v>
      </c>
      <c r="C137" s="67">
        <v>865</v>
      </c>
      <c r="D137" s="67">
        <v>1301</v>
      </c>
      <c r="E137" s="67">
        <v>21408</v>
      </c>
    </row>
    <row r="138" spans="1:5" x14ac:dyDescent="0.45">
      <c r="A138" s="66">
        <v>51</v>
      </c>
      <c r="B138" s="67">
        <v>320</v>
      </c>
      <c r="C138" s="67">
        <v>732</v>
      </c>
      <c r="D138" s="67">
        <v>1058</v>
      </c>
      <c r="E138" s="67">
        <v>22466</v>
      </c>
    </row>
    <row r="139" spans="1:5" x14ac:dyDescent="0.45">
      <c r="A139" s="66">
        <v>50</v>
      </c>
      <c r="B139" s="67">
        <v>383</v>
      </c>
      <c r="C139" s="67">
        <v>857</v>
      </c>
      <c r="D139" s="67">
        <v>1247</v>
      </c>
      <c r="E139" s="67">
        <v>23713</v>
      </c>
    </row>
    <row r="140" spans="1:5" x14ac:dyDescent="0.45">
      <c r="A140" s="66">
        <v>49</v>
      </c>
      <c r="B140" s="67">
        <v>740</v>
      </c>
      <c r="C140" s="67">
        <v>1488</v>
      </c>
      <c r="D140" s="67">
        <v>2251</v>
      </c>
      <c r="E140" s="67">
        <v>25964</v>
      </c>
    </row>
    <row r="141" spans="1:5" x14ac:dyDescent="0.45">
      <c r="A141" s="66">
        <v>48</v>
      </c>
      <c r="B141" s="67">
        <v>419</v>
      </c>
      <c r="C141" s="67">
        <v>890</v>
      </c>
      <c r="D141" s="67">
        <v>1325</v>
      </c>
      <c r="E141" s="67">
        <v>27289</v>
      </c>
    </row>
    <row r="142" spans="1:5" x14ac:dyDescent="0.45">
      <c r="A142" s="66">
        <v>47</v>
      </c>
      <c r="B142" s="67">
        <v>388</v>
      </c>
      <c r="C142" s="67">
        <v>695</v>
      </c>
      <c r="D142" s="67">
        <v>1094</v>
      </c>
      <c r="E142" s="67">
        <v>28383</v>
      </c>
    </row>
    <row r="143" spans="1:5" x14ac:dyDescent="0.45">
      <c r="A143" s="66">
        <v>46</v>
      </c>
      <c r="B143" s="67">
        <v>357</v>
      </c>
      <c r="C143" s="67">
        <v>740</v>
      </c>
      <c r="D143" s="67">
        <v>1108</v>
      </c>
      <c r="E143" s="67">
        <v>29491</v>
      </c>
    </row>
    <row r="144" spans="1:5" x14ac:dyDescent="0.45">
      <c r="A144" s="66">
        <v>45</v>
      </c>
      <c r="B144" s="67">
        <v>717</v>
      </c>
      <c r="C144" s="67">
        <v>1416</v>
      </c>
      <c r="D144" s="67">
        <v>2152</v>
      </c>
      <c r="E144" s="67">
        <v>31643</v>
      </c>
    </row>
    <row r="145" spans="1:5" x14ac:dyDescent="0.45">
      <c r="A145" s="66">
        <v>44</v>
      </c>
      <c r="B145" s="67">
        <v>354</v>
      </c>
      <c r="C145" s="67">
        <v>702</v>
      </c>
      <c r="D145" s="67">
        <v>1062</v>
      </c>
      <c r="E145" s="67">
        <v>32705</v>
      </c>
    </row>
    <row r="146" spans="1:5" x14ac:dyDescent="0.45">
      <c r="A146" s="66">
        <v>43</v>
      </c>
      <c r="B146" s="67">
        <v>348</v>
      </c>
      <c r="C146" s="67">
        <v>672</v>
      </c>
      <c r="D146" s="67">
        <v>1027</v>
      </c>
      <c r="E146" s="67">
        <v>33732</v>
      </c>
    </row>
    <row r="147" spans="1:5" x14ac:dyDescent="0.45">
      <c r="A147" s="66">
        <v>42</v>
      </c>
      <c r="B147" s="67">
        <v>353</v>
      </c>
      <c r="C147" s="67">
        <v>598</v>
      </c>
      <c r="D147" s="67">
        <v>958</v>
      </c>
      <c r="E147" s="67">
        <v>34690</v>
      </c>
    </row>
    <row r="148" spans="1:5" x14ac:dyDescent="0.45">
      <c r="A148" s="66">
        <v>41</v>
      </c>
      <c r="B148" s="67">
        <v>380</v>
      </c>
      <c r="C148" s="67">
        <v>585</v>
      </c>
      <c r="D148" s="67">
        <v>975</v>
      </c>
      <c r="E148" s="67">
        <v>35665</v>
      </c>
    </row>
    <row r="149" spans="1:5" x14ac:dyDescent="0.45">
      <c r="A149" s="66">
        <v>40</v>
      </c>
      <c r="B149" s="67">
        <v>790</v>
      </c>
      <c r="C149" s="67">
        <v>1108</v>
      </c>
      <c r="D149" s="67">
        <v>1919</v>
      </c>
      <c r="E149" s="67">
        <v>37584</v>
      </c>
    </row>
    <row r="150" spans="1:5" x14ac:dyDescent="0.45">
      <c r="A150" s="66">
        <v>39</v>
      </c>
      <c r="B150" s="67">
        <v>1351</v>
      </c>
      <c r="C150" s="67">
        <v>1199</v>
      </c>
      <c r="D150" s="67">
        <v>2580</v>
      </c>
      <c r="E150" s="67">
        <v>40164</v>
      </c>
    </row>
    <row r="151" spans="1:5" x14ac:dyDescent="0.45">
      <c r="A151" s="66">
        <v>38</v>
      </c>
      <c r="B151" s="67">
        <v>400</v>
      </c>
      <c r="C151" s="67">
        <v>519</v>
      </c>
      <c r="D151" s="67">
        <v>933</v>
      </c>
      <c r="E151" s="67">
        <v>41097</v>
      </c>
    </row>
    <row r="152" spans="1:5" x14ac:dyDescent="0.45">
      <c r="A152" s="66">
        <v>37</v>
      </c>
      <c r="B152" s="67">
        <v>422</v>
      </c>
      <c r="C152" s="67">
        <v>511</v>
      </c>
      <c r="D152" s="67">
        <v>937</v>
      </c>
      <c r="E152" s="67">
        <v>42034</v>
      </c>
    </row>
    <row r="153" spans="1:5" x14ac:dyDescent="0.45">
      <c r="A153" s="66">
        <v>36</v>
      </c>
      <c r="B153" s="67">
        <v>1151</v>
      </c>
      <c r="C153" s="67">
        <v>1172</v>
      </c>
      <c r="D153" s="67">
        <v>2355</v>
      </c>
      <c r="E153" s="67">
        <v>44389</v>
      </c>
    </row>
    <row r="154" spans="1:5" x14ac:dyDescent="0.45">
      <c r="A154" s="66">
        <v>35</v>
      </c>
      <c r="B154" s="67">
        <v>532</v>
      </c>
      <c r="C154" s="67">
        <v>548</v>
      </c>
      <c r="D154" s="67">
        <v>1095</v>
      </c>
      <c r="E154" s="67">
        <v>45484</v>
      </c>
    </row>
    <row r="155" spans="1:5" x14ac:dyDescent="0.45">
      <c r="A155" s="66">
        <v>34</v>
      </c>
      <c r="B155" s="67">
        <v>262</v>
      </c>
      <c r="C155" s="67">
        <v>229</v>
      </c>
      <c r="D155" s="67">
        <v>496</v>
      </c>
      <c r="E155" s="67">
        <v>45980</v>
      </c>
    </row>
    <row r="156" spans="1:5" x14ac:dyDescent="0.45">
      <c r="A156" s="66">
        <v>33</v>
      </c>
      <c r="B156" s="67">
        <v>189</v>
      </c>
      <c r="C156" s="67">
        <v>164</v>
      </c>
      <c r="D156" s="67">
        <v>359</v>
      </c>
      <c r="E156" s="67">
        <v>46339</v>
      </c>
    </row>
    <row r="157" spans="1:5" x14ac:dyDescent="0.45">
      <c r="A157" s="66">
        <v>32</v>
      </c>
      <c r="B157" s="67">
        <v>269</v>
      </c>
      <c r="C157" s="67">
        <v>234</v>
      </c>
      <c r="D157" s="67">
        <v>506</v>
      </c>
      <c r="E157" s="67">
        <v>46845</v>
      </c>
    </row>
    <row r="158" spans="1:5" x14ac:dyDescent="0.45">
      <c r="A158" s="66">
        <v>31</v>
      </c>
      <c r="B158" s="67">
        <v>38</v>
      </c>
      <c r="C158" s="67">
        <v>41</v>
      </c>
      <c r="D158" s="67">
        <v>79</v>
      </c>
      <c r="E158" s="67">
        <v>46924</v>
      </c>
    </row>
    <row r="159" spans="1:5" x14ac:dyDescent="0.45">
      <c r="A159" s="66">
        <v>30</v>
      </c>
      <c r="B159" s="67">
        <v>50</v>
      </c>
      <c r="C159" s="67">
        <v>50</v>
      </c>
      <c r="D159" s="67">
        <v>100</v>
      </c>
      <c r="E159" s="67">
        <v>47024</v>
      </c>
    </row>
    <row r="160" spans="1:5" x14ac:dyDescent="0.45">
      <c r="A160" s="66">
        <v>28</v>
      </c>
      <c r="B160" s="67">
        <v>28</v>
      </c>
      <c r="C160" s="67">
        <v>19</v>
      </c>
      <c r="D160" s="67">
        <v>47</v>
      </c>
      <c r="E160" s="67">
        <v>47071</v>
      </c>
    </row>
    <row r="161" spans="1:20" x14ac:dyDescent="0.45">
      <c r="A161" s="6"/>
      <c r="B161" s="1"/>
      <c r="C161" s="1"/>
      <c r="D161" s="7"/>
    </row>
    <row r="162" spans="1:20" x14ac:dyDescent="0.45">
      <c r="A162" s="6"/>
      <c r="B162" s="1"/>
      <c r="C162" s="1"/>
      <c r="D162" s="7"/>
    </row>
    <row r="163" spans="1:20" x14ac:dyDescent="0.45">
      <c r="A163" s="6"/>
      <c r="B163" s="1"/>
      <c r="C163" s="1"/>
      <c r="D163" s="7"/>
    </row>
    <row r="164" spans="1:20" x14ac:dyDescent="0.45">
      <c r="A164" s="6"/>
      <c r="B164" s="1"/>
      <c r="C164" s="1"/>
      <c r="D164" s="7"/>
    </row>
    <row r="165" spans="1:20" x14ac:dyDescent="0.45">
      <c r="A165" s="6"/>
      <c r="B165" s="1"/>
      <c r="C165" s="1"/>
      <c r="D165" s="7"/>
    </row>
    <row r="166" spans="1:20" x14ac:dyDescent="0.45">
      <c r="A166" s="6"/>
      <c r="B166" s="1"/>
      <c r="C166" s="1"/>
      <c r="D166" s="7"/>
    </row>
    <row r="167" spans="1:20" x14ac:dyDescent="0.45">
      <c r="A167" s="6"/>
      <c r="B167" s="1"/>
      <c r="C167" s="1"/>
      <c r="D167" s="7"/>
    </row>
    <row r="168" spans="1:20" ht="17.5" thickBot="1" x14ac:dyDescent="0.5">
      <c r="A168" s="8"/>
      <c r="B168" s="14"/>
      <c r="C168" s="14"/>
      <c r="D168" s="2"/>
    </row>
    <row r="175" spans="1:20" x14ac:dyDescent="0.45">
      <c r="A175" s="83" t="s">
        <v>118</v>
      </c>
      <c r="B175" s="83"/>
      <c r="C175" s="83"/>
      <c r="D175" s="83"/>
      <c r="E175" s="83"/>
      <c r="F175" s="83" t="s">
        <v>119</v>
      </c>
      <c r="G175" s="83"/>
      <c r="H175" s="83"/>
      <c r="I175" s="83"/>
      <c r="J175" s="83"/>
      <c r="K175" s="83" t="s">
        <v>120</v>
      </c>
      <c r="L175" s="83"/>
      <c r="M175" s="83"/>
      <c r="N175" s="83"/>
      <c r="O175" s="83"/>
      <c r="P175" s="83" t="s">
        <v>121</v>
      </c>
      <c r="Q175" s="83"/>
      <c r="R175" s="83"/>
      <c r="S175" s="83"/>
      <c r="T175" s="83"/>
    </row>
    <row r="176" spans="1:20" x14ac:dyDescent="0.45">
      <c r="A176" s="74" t="s">
        <v>104</v>
      </c>
      <c r="B176" s="74" t="s">
        <v>105</v>
      </c>
      <c r="C176" s="74" t="s">
        <v>106</v>
      </c>
      <c r="D176" s="74" t="s">
        <v>107</v>
      </c>
      <c r="E176" s="75" t="s">
        <v>108</v>
      </c>
      <c r="F176" s="74" t="s">
        <v>104</v>
      </c>
      <c r="G176" s="74" t="s">
        <v>105</v>
      </c>
      <c r="H176" s="74" t="s">
        <v>106</v>
      </c>
      <c r="I176" s="74" t="s">
        <v>107</v>
      </c>
      <c r="J176" s="75" t="s">
        <v>108</v>
      </c>
      <c r="K176" s="74" t="s">
        <v>104</v>
      </c>
      <c r="L176" s="74" t="s">
        <v>105</v>
      </c>
      <c r="M176" s="74" t="s">
        <v>106</v>
      </c>
      <c r="N176" s="74" t="s">
        <v>107</v>
      </c>
      <c r="O176" s="75" t="s">
        <v>108</v>
      </c>
      <c r="P176" s="74" t="s">
        <v>104</v>
      </c>
      <c r="Q176" s="74" t="s">
        <v>105</v>
      </c>
      <c r="R176" s="74" t="s">
        <v>106</v>
      </c>
      <c r="S176" s="74" t="s">
        <v>107</v>
      </c>
      <c r="T176" s="75" t="s">
        <v>108</v>
      </c>
    </row>
    <row r="177" spans="1:20" x14ac:dyDescent="0.45">
      <c r="A177" s="70">
        <v>72</v>
      </c>
      <c r="B177" s="71">
        <v>664</v>
      </c>
      <c r="C177" s="71">
        <v>106</v>
      </c>
      <c r="D177" s="71">
        <v>777</v>
      </c>
      <c r="E177" s="71">
        <v>777</v>
      </c>
      <c r="F177" s="70">
        <v>75</v>
      </c>
      <c r="G177" s="71">
        <v>341</v>
      </c>
      <c r="H177" s="71">
        <v>143</v>
      </c>
      <c r="I177" s="71">
        <v>488</v>
      </c>
      <c r="J177" s="71">
        <v>488</v>
      </c>
      <c r="K177" s="70">
        <v>77</v>
      </c>
      <c r="L177" s="71">
        <v>409</v>
      </c>
      <c r="M177" s="71">
        <v>246</v>
      </c>
      <c r="N177" s="71">
        <v>657</v>
      </c>
      <c r="O177" s="71">
        <v>657</v>
      </c>
      <c r="P177" s="70">
        <v>72</v>
      </c>
      <c r="Q177" s="71">
        <v>604</v>
      </c>
      <c r="R177" s="71">
        <v>287</v>
      </c>
      <c r="S177" s="71">
        <v>899</v>
      </c>
      <c r="T177" s="71">
        <v>899</v>
      </c>
    </row>
    <row r="178" spans="1:20" x14ac:dyDescent="0.45">
      <c r="A178" s="70">
        <v>71</v>
      </c>
      <c r="B178" s="71">
        <v>283</v>
      </c>
      <c r="C178" s="71">
        <v>46</v>
      </c>
      <c r="D178" s="71">
        <v>333</v>
      </c>
      <c r="E178" s="71">
        <v>1110</v>
      </c>
      <c r="F178" s="70">
        <v>73</v>
      </c>
      <c r="G178" s="71">
        <v>268</v>
      </c>
      <c r="H178" s="71">
        <v>125</v>
      </c>
      <c r="I178" s="71">
        <v>397</v>
      </c>
      <c r="J178" s="71">
        <v>885</v>
      </c>
      <c r="K178" s="70">
        <v>75</v>
      </c>
      <c r="L178" s="71">
        <v>120</v>
      </c>
      <c r="M178" s="71">
        <v>94</v>
      </c>
      <c r="N178" s="71">
        <v>215</v>
      </c>
      <c r="O178" s="71">
        <v>872</v>
      </c>
      <c r="P178" s="70">
        <v>70</v>
      </c>
      <c r="Q178" s="71">
        <v>492</v>
      </c>
      <c r="R178" s="71">
        <v>283</v>
      </c>
      <c r="S178" s="71">
        <v>780</v>
      </c>
      <c r="T178" s="71">
        <v>1679</v>
      </c>
    </row>
    <row r="179" spans="1:20" x14ac:dyDescent="0.45">
      <c r="A179" s="70">
        <v>70</v>
      </c>
      <c r="B179" s="71">
        <v>712</v>
      </c>
      <c r="C179" s="71">
        <v>144</v>
      </c>
      <c r="D179" s="71">
        <v>867</v>
      </c>
      <c r="E179" s="71">
        <v>1977</v>
      </c>
      <c r="F179" s="70">
        <v>72</v>
      </c>
      <c r="G179" s="71">
        <v>421</v>
      </c>
      <c r="H179" s="71">
        <v>181</v>
      </c>
      <c r="I179" s="71">
        <v>608</v>
      </c>
      <c r="J179" s="71">
        <v>1493</v>
      </c>
      <c r="K179" s="70">
        <v>74</v>
      </c>
      <c r="L179" s="71">
        <v>615</v>
      </c>
      <c r="M179" s="71">
        <v>530</v>
      </c>
      <c r="N179" s="71">
        <v>1161</v>
      </c>
      <c r="O179" s="71">
        <v>2033</v>
      </c>
      <c r="P179" s="70">
        <v>69</v>
      </c>
      <c r="Q179" s="71">
        <v>371</v>
      </c>
      <c r="R179" s="71">
        <v>243</v>
      </c>
      <c r="S179" s="71">
        <v>619</v>
      </c>
      <c r="T179" s="71">
        <v>2298</v>
      </c>
    </row>
    <row r="180" spans="1:20" x14ac:dyDescent="0.45">
      <c r="A180" s="70">
        <v>69</v>
      </c>
      <c r="B180" s="71">
        <v>93</v>
      </c>
      <c r="C180" s="71">
        <v>19</v>
      </c>
      <c r="D180" s="71">
        <v>112</v>
      </c>
      <c r="E180" s="71">
        <v>2089</v>
      </c>
      <c r="F180" s="70">
        <v>71</v>
      </c>
      <c r="G180" s="71">
        <v>102</v>
      </c>
      <c r="H180" s="71">
        <v>48</v>
      </c>
      <c r="I180" s="71">
        <v>150</v>
      </c>
      <c r="J180" s="71">
        <v>1643</v>
      </c>
      <c r="K180" s="70">
        <v>73</v>
      </c>
      <c r="L180" s="71">
        <v>34</v>
      </c>
      <c r="M180" s="71">
        <v>27</v>
      </c>
      <c r="N180" s="71">
        <v>61</v>
      </c>
      <c r="O180" s="71">
        <v>2094</v>
      </c>
      <c r="P180" s="70">
        <v>68</v>
      </c>
      <c r="Q180" s="71">
        <v>863</v>
      </c>
      <c r="R180" s="71">
        <v>531</v>
      </c>
      <c r="S180" s="71">
        <v>1401</v>
      </c>
      <c r="T180" s="71">
        <v>3699</v>
      </c>
    </row>
    <row r="181" spans="1:20" x14ac:dyDescent="0.45">
      <c r="A181" s="70">
        <v>68</v>
      </c>
      <c r="B181" s="71">
        <v>1109</v>
      </c>
      <c r="C181" s="71">
        <v>238</v>
      </c>
      <c r="D181" s="71">
        <v>1363</v>
      </c>
      <c r="E181" s="71">
        <v>3452</v>
      </c>
      <c r="F181" s="70">
        <v>70</v>
      </c>
      <c r="G181" s="71">
        <v>504</v>
      </c>
      <c r="H181" s="71">
        <v>255</v>
      </c>
      <c r="I181" s="71">
        <v>764</v>
      </c>
      <c r="J181" s="71">
        <v>2407</v>
      </c>
      <c r="K181" s="70">
        <v>72</v>
      </c>
      <c r="L181" s="71">
        <v>318</v>
      </c>
      <c r="M181" s="71">
        <v>275</v>
      </c>
      <c r="N181" s="71">
        <v>598</v>
      </c>
      <c r="O181" s="71">
        <v>2692</v>
      </c>
      <c r="P181" s="70">
        <v>67</v>
      </c>
      <c r="Q181" s="71">
        <v>337</v>
      </c>
      <c r="R181" s="71">
        <v>243</v>
      </c>
      <c r="S181" s="71">
        <v>584</v>
      </c>
      <c r="T181" s="71">
        <v>4283</v>
      </c>
    </row>
    <row r="182" spans="1:20" x14ac:dyDescent="0.45">
      <c r="A182" s="70">
        <v>67</v>
      </c>
      <c r="B182" s="71">
        <v>320</v>
      </c>
      <c r="C182" s="71">
        <v>65</v>
      </c>
      <c r="D182" s="71">
        <v>390</v>
      </c>
      <c r="E182" s="71">
        <v>3842</v>
      </c>
      <c r="F182" s="70">
        <v>69</v>
      </c>
      <c r="G182" s="71">
        <v>429</v>
      </c>
      <c r="H182" s="71">
        <v>217</v>
      </c>
      <c r="I182" s="71">
        <v>651</v>
      </c>
      <c r="J182" s="71">
        <v>3058</v>
      </c>
      <c r="K182" s="70">
        <v>71</v>
      </c>
      <c r="L182" s="71">
        <v>652</v>
      </c>
      <c r="M182" s="71">
        <v>645</v>
      </c>
      <c r="N182" s="71">
        <v>1307</v>
      </c>
      <c r="O182" s="71">
        <v>3999</v>
      </c>
      <c r="P182" s="70">
        <v>66</v>
      </c>
      <c r="Q182" s="71">
        <v>452</v>
      </c>
      <c r="R182" s="71">
        <v>284</v>
      </c>
      <c r="S182" s="71">
        <v>747</v>
      </c>
      <c r="T182" s="71">
        <v>5030</v>
      </c>
    </row>
    <row r="183" spans="1:20" x14ac:dyDescent="0.45">
      <c r="A183" s="70">
        <v>66</v>
      </c>
      <c r="B183" s="71">
        <v>619</v>
      </c>
      <c r="C183" s="71">
        <v>169</v>
      </c>
      <c r="D183" s="71">
        <v>793</v>
      </c>
      <c r="E183" s="71">
        <v>4635</v>
      </c>
      <c r="F183" s="70">
        <v>68</v>
      </c>
      <c r="G183" s="71">
        <v>316</v>
      </c>
      <c r="H183" s="71">
        <v>207</v>
      </c>
      <c r="I183" s="71">
        <v>531</v>
      </c>
      <c r="J183" s="71">
        <v>3589</v>
      </c>
      <c r="K183" s="70">
        <v>70</v>
      </c>
      <c r="L183" s="71">
        <v>131</v>
      </c>
      <c r="M183" s="71">
        <v>103</v>
      </c>
      <c r="N183" s="71">
        <v>234</v>
      </c>
      <c r="O183" s="71">
        <v>4233</v>
      </c>
      <c r="P183" s="70">
        <v>65</v>
      </c>
      <c r="Q183" s="71">
        <v>514</v>
      </c>
      <c r="R183" s="71">
        <v>406</v>
      </c>
      <c r="S183" s="71">
        <v>924</v>
      </c>
      <c r="T183" s="71">
        <v>5954</v>
      </c>
    </row>
    <row r="184" spans="1:20" x14ac:dyDescent="0.45">
      <c r="A184" s="70">
        <v>65</v>
      </c>
      <c r="B184" s="71">
        <v>425</v>
      </c>
      <c r="C184" s="71">
        <v>131</v>
      </c>
      <c r="D184" s="71">
        <v>561</v>
      </c>
      <c r="E184" s="71">
        <v>5196</v>
      </c>
      <c r="F184" s="70">
        <v>67</v>
      </c>
      <c r="G184" s="71">
        <v>683</v>
      </c>
      <c r="H184" s="71">
        <v>369</v>
      </c>
      <c r="I184" s="71">
        <v>1062</v>
      </c>
      <c r="J184" s="71">
        <v>4651</v>
      </c>
      <c r="K184" s="70">
        <v>69</v>
      </c>
      <c r="L184" s="71">
        <v>518</v>
      </c>
      <c r="M184" s="71">
        <v>472</v>
      </c>
      <c r="N184" s="71">
        <v>1003</v>
      </c>
      <c r="O184" s="71">
        <v>5236</v>
      </c>
      <c r="P184" s="70">
        <v>64</v>
      </c>
      <c r="Q184" s="71">
        <v>411</v>
      </c>
      <c r="R184" s="71">
        <v>311</v>
      </c>
      <c r="S184" s="71">
        <v>725</v>
      </c>
      <c r="T184" s="71">
        <v>6679</v>
      </c>
    </row>
    <row r="185" spans="1:20" x14ac:dyDescent="0.45">
      <c r="A185" s="70">
        <v>64</v>
      </c>
      <c r="B185" s="71">
        <v>503</v>
      </c>
      <c r="C185" s="71">
        <v>119</v>
      </c>
      <c r="D185" s="71">
        <v>631</v>
      </c>
      <c r="E185" s="71">
        <v>5827</v>
      </c>
      <c r="F185" s="70">
        <v>66</v>
      </c>
      <c r="G185" s="71">
        <v>376</v>
      </c>
      <c r="H185" s="71">
        <v>222</v>
      </c>
      <c r="I185" s="71">
        <v>604</v>
      </c>
      <c r="J185" s="71">
        <v>5255</v>
      </c>
      <c r="K185" s="70">
        <v>68</v>
      </c>
      <c r="L185" s="71">
        <v>614</v>
      </c>
      <c r="M185" s="71">
        <v>624</v>
      </c>
      <c r="N185" s="71">
        <v>1254</v>
      </c>
      <c r="O185" s="71">
        <v>6490</v>
      </c>
      <c r="P185" s="70">
        <v>63</v>
      </c>
      <c r="Q185" s="71">
        <v>1129</v>
      </c>
      <c r="R185" s="71">
        <v>814</v>
      </c>
      <c r="S185" s="71">
        <v>1957</v>
      </c>
      <c r="T185" s="71">
        <v>8636</v>
      </c>
    </row>
    <row r="186" spans="1:20" x14ac:dyDescent="0.45">
      <c r="A186" s="70">
        <v>63</v>
      </c>
      <c r="B186" s="71">
        <v>1027</v>
      </c>
      <c r="C186" s="71">
        <v>306</v>
      </c>
      <c r="D186" s="71">
        <v>1343</v>
      </c>
      <c r="E186" s="71">
        <v>7170</v>
      </c>
      <c r="F186" s="70">
        <v>65</v>
      </c>
      <c r="G186" s="71">
        <v>568</v>
      </c>
      <c r="H186" s="71">
        <v>409</v>
      </c>
      <c r="I186" s="71">
        <v>989</v>
      </c>
      <c r="J186" s="71">
        <v>6244</v>
      </c>
      <c r="K186" s="70">
        <v>67</v>
      </c>
      <c r="L186" s="71">
        <v>261</v>
      </c>
      <c r="M186" s="71">
        <v>257</v>
      </c>
      <c r="N186" s="71">
        <v>523</v>
      </c>
      <c r="O186" s="71">
        <v>7013</v>
      </c>
      <c r="P186" s="70">
        <v>62</v>
      </c>
      <c r="Q186" s="71">
        <v>541</v>
      </c>
      <c r="R186" s="71">
        <v>384</v>
      </c>
      <c r="S186" s="71">
        <v>933</v>
      </c>
      <c r="T186" s="71">
        <v>9569</v>
      </c>
    </row>
    <row r="187" spans="1:20" x14ac:dyDescent="0.45">
      <c r="A187" s="70">
        <v>62</v>
      </c>
      <c r="B187" s="71">
        <v>558</v>
      </c>
      <c r="C187" s="71">
        <v>162</v>
      </c>
      <c r="D187" s="71">
        <v>729</v>
      </c>
      <c r="E187" s="71">
        <v>7899</v>
      </c>
      <c r="F187" s="70">
        <v>64</v>
      </c>
      <c r="G187" s="71">
        <v>653</v>
      </c>
      <c r="H187" s="71">
        <v>445</v>
      </c>
      <c r="I187" s="71">
        <v>1108</v>
      </c>
      <c r="J187" s="71">
        <v>7352</v>
      </c>
      <c r="K187" s="70">
        <v>66</v>
      </c>
      <c r="L187" s="71">
        <v>669</v>
      </c>
      <c r="M187" s="71">
        <v>698</v>
      </c>
      <c r="N187" s="71">
        <v>1381</v>
      </c>
      <c r="O187" s="71">
        <v>8394</v>
      </c>
      <c r="P187" s="70">
        <v>61</v>
      </c>
      <c r="Q187" s="71">
        <v>646</v>
      </c>
      <c r="R187" s="71">
        <v>486</v>
      </c>
      <c r="S187" s="71">
        <v>1145</v>
      </c>
      <c r="T187" s="71">
        <v>10714</v>
      </c>
    </row>
    <row r="188" spans="1:20" x14ac:dyDescent="0.45">
      <c r="A188" s="70">
        <v>61</v>
      </c>
      <c r="B188" s="71">
        <v>494</v>
      </c>
      <c r="C188" s="71">
        <v>131</v>
      </c>
      <c r="D188" s="71">
        <v>628</v>
      </c>
      <c r="E188" s="71">
        <v>8527</v>
      </c>
      <c r="F188" s="70">
        <v>63</v>
      </c>
      <c r="G188" s="71">
        <v>469</v>
      </c>
      <c r="H188" s="71">
        <v>345</v>
      </c>
      <c r="I188" s="71">
        <v>826</v>
      </c>
      <c r="J188" s="71">
        <v>8178</v>
      </c>
      <c r="K188" s="70">
        <v>65</v>
      </c>
      <c r="L188" s="71">
        <v>929</v>
      </c>
      <c r="M188" s="71">
        <v>1077</v>
      </c>
      <c r="N188" s="71">
        <v>2027</v>
      </c>
      <c r="O188" s="71">
        <v>10421</v>
      </c>
      <c r="P188" s="70">
        <v>60</v>
      </c>
      <c r="Q188" s="71">
        <v>567</v>
      </c>
      <c r="R188" s="71">
        <v>408</v>
      </c>
      <c r="S188" s="71">
        <v>983</v>
      </c>
      <c r="T188" s="71">
        <v>11697</v>
      </c>
    </row>
    <row r="189" spans="1:20" x14ac:dyDescent="0.45">
      <c r="A189" s="70">
        <v>60</v>
      </c>
      <c r="B189" s="71">
        <v>463</v>
      </c>
      <c r="C189" s="71">
        <v>177</v>
      </c>
      <c r="D189" s="71">
        <v>647</v>
      </c>
      <c r="E189" s="71">
        <v>9174</v>
      </c>
      <c r="F189" s="70">
        <v>62</v>
      </c>
      <c r="G189" s="71">
        <v>779</v>
      </c>
      <c r="H189" s="71">
        <v>565</v>
      </c>
      <c r="I189" s="71">
        <v>1360</v>
      </c>
      <c r="J189" s="71">
        <v>9538</v>
      </c>
      <c r="K189" s="70">
        <v>64</v>
      </c>
      <c r="L189" s="71">
        <v>707</v>
      </c>
      <c r="M189" s="71">
        <v>851</v>
      </c>
      <c r="N189" s="71">
        <v>1579</v>
      </c>
      <c r="O189" s="71">
        <v>12000</v>
      </c>
      <c r="P189" s="70">
        <v>59</v>
      </c>
      <c r="Q189" s="71">
        <v>652</v>
      </c>
      <c r="R189" s="71">
        <v>522</v>
      </c>
      <c r="S189" s="71">
        <v>1185</v>
      </c>
      <c r="T189" s="71">
        <v>12882</v>
      </c>
    </row>
    <row r="190" spans="1:20" x14ac:dyDescent="0.45">
      <c r="A190" s="70">
        <v>59</v>
      </c>
      <c r="B190" s="71">
        <v>1020</v>
      </c>
      <c r="C190" s="71">
        <v>316</v>
      </c>
      <c r="D190" s="71">
        <v>1350</v>
      </c>
      <c r="E190" s="71">
        <v>10524</v>
      </c>
      <c r="F190" s="70">
        <v>61</v>
      </c>
      <c r="G190" s="71">
        <v>626</v>
      </c>
      <c r="H190" s="71">
        <v>441</v>
      </c>
      <c r="I190" s="71">
        <v>1078</v>
      </c>
      <c r="J190" s="71">
        <v>10616</v>
      </c>
      <c r="K190" s="70">
        <v>63</v>
      </c>
      <c r="L190" s="71">
        <v>586</v>
      </c>
      <c r="M190" s="71">
        <v>688</v>
      </c>
      <c r="N190" s="71">
        <v>1284</v>
      </c>
      <c r="O190" s="71">
        <v>13284</v>
      </c>
      <c r="P190" s="70">
        <v>58</v>
      </c>
      <c r="Q190" s="71">
        <v>1186</v>
      </c>
      <c r="R190" s="71">
        <v>1004</v>
      </c>
      <c r="S190" s="71">
        <v>2207</v>
      </c>
      <c r="T190" s="71">
        <v>15089</v>
      </c>
    </row>
    <row r="191" spans="1:20" x14ac:dyDescent="0.45">
      <c r="A191" s="70">
        <v>58</v>
      </c>
      <c r="B191" s="71">
        <v>535</v>
      </c>
      <c r="C191" s="71">
        <v>175</v>
      </c>
      <c r="D191" s="71">
        <v>714</v>
      </c>
      <c r="E191" s="71">
        <v>11238</v>
      </c>
      <c r="F191" s="70">
        <v>60</v>
      </c>
      <c r="G191" s="71">
        <v>672</v>
      </c>
      <c r="H191" s="71">
        <v>529</v>
      </c>
      <c r="I191" s="71">
        <v>1213</v>
      </c>
      <c r="J191" s="71">
        <v>11829</v>
      </c>
      <c r="K191" s="70">
        <v>62</v>
      </c>
      <c r="L191" s="71">
        <v>672</v>
      </c>
      <c r="M191" s="71">
        <v>762</v>
      </c>
      <c r="N191" s="71">
        <v>1449</v>
      </c>
      <c r="O191" s="71">
        <v>14733</v>
      </c>
      <c r="P191" s="70">
        <v>57</v>
      </c>
      <c r="Q191" s="71">
        <v>739</v>
      </c>
      <c r="R191" s="71">
        <v>587</v>
      </c>
      <c r="S191" s="71">
        <v>1339</v>
      </c>
      <c r="T191" s="71">
        <v>16428</v>
      </c>
    </row>
    <row r="192" spans="1:20" x14ac:dyDescent="0.45">
      <c r="A192" s="70">
        <v>57</v>
      </c>
      <c r="B192" s="71">
        <v>529</v>
      </c>
      <c r="C192" s="71">
        <v>191</v>
      </c>
      <c r="D192" s="71">
        <v>730</v>
      </c>
      <c r="E192" s="71">
        <v>11968</v>
      </c>
      <c r="F192" s="70">
        <v>59</v>
      </c>
      <c r="G192" s="71">
        <v>825</v>
      </c>
      <c r="H192" s="71">
        <v>633</v>
      </c>
      <c r="I192" s="71">
        <v>1478</v>
      </c>
      <c r="J192" s="71">
        <v>13307</v>
      </c>
      <c r="K192" s="70">
        <v>61</v>
      </c>
      <c r="L192" s="71">
        <v>733</v>
      </c>
      <c r="M192" s="71">
        <v>998</v>
      </c>
      <c r="N192" s="71">
        <v>1753</v>
      </c>
      <c r="O192" s="71">
        <v>16486</v>
      </c>
      <c r="P192" s="70">
        <v>56</v>
      </c>
      <c r="Q192" s="71">
        <v>608</v>
      </c>
      <c r="R192" s="71">
        <v>557</v>
      </c>
      <c r="S192" s="71">
        <v>1183</v>
      </c>
      <c r="T192" s="71">
        <v>17611</v>
      </c>
    </row>
    <row r="193" spans="1:20" x14ac:dyDescent="0.45">
      <c r="A193" s="70">
        <v>56</v>
      </c>
      <c r="B193" s="71">
        <v>526</v>
      </c>
      <c r="C193" s="71">
        <v>166</v>
      </c>
      <c r="D193" s="71">
        <v>701</v>
      </c>
      <c r="E193" s="71">
        <v>12669</v>
      </c>
      <c r="F193" s="70">
        <v>58</v>
      </c>
      <c r="G193" s="71">
        <v>663</v>
      </c>
      <c r="H193" s="71">
        <v>488</v>
      </c>
      <c r="I193" s="71">
        <v>1162</v>
      </c>
      <c r="J193" s="71">
        <v>14469</v>
      </c>
      <c r="K193" s="70">
        <v>60</v>
      </c>
      <c r="L193" s="71">
        <v>667</v>
      </c>
      <c r="M193" s="71">
        <v>797</v>
      </c>
      <c r="N193" s="71">
        <v>1479</v>
      </c>
      <c r="O193" s="71">
        <v>17965</v>
      </c>
      <c r="P193" s="70">
        <v>55</v>
      </c>
      <c r="Q193" s="71">
        <v>762</v>
      </c>
      <c r="R193" s="71">
        <v>592</v>
      </c>
      <c r="S193" s="71">
        <v>1374</v>
      </c>
      <c r="T193" s="71">
        <v>18985</v>
      </c>
    </row>
    <row r="194" spans="1:20" x14ac:dyDescent="0.45">
      <c r="A194" s="70">
        <v>55</v>
      </c>
      <c r="B194" s="71">
        <v>525</v>
      </c>
      <c r="C194" s="71">
        <v>197</v>
      </c>
      <c r="D194" s="71">
        <v>729</v>
      </c>
      <c r="E194" s="71">
        <v>13398</v>
      </c>
      <c r="F194" s="70">
        <v>57</v>
      </c>
      <c r="G194" s="71">
        <v>936</v>
      </c>
      <c r="H194" s="71">
        <v>736</v>
      </c>
      <c r="I194" s="71">
        <v>1694</v>
      </c>
      <c r="J194" s="71">
        <v>16163</v>
      </c>
      <c r="K194" s="70">
        <v>59</v>
      </c>
      <c r="L194" s="71">
        <v>905</v>
      </c>
      <c r="M194" s="71">
        <v>1054</v>
      </c>
      <c r="N194" s="71">
        <v>1986</v>
      </c>
      <c r="O194" s="71">
        <v>19951</v>
      </c>
      <c r="P194" s="70">
        <v>54</v>
      </c>
      <c r="Q194" s="71">
        <v>759</v>
      </c>
      <c r="R194" s="71">
        <v>632</v>
      </c>
      <c r="S194" s="71">
        <v>1404</v>
      </c>
      <c r="T194" s="71">
        <v>20389</v>
      </c>
    </row>
    <row r="195" spans="1:20" x14ac:dyDescent="0.45">
      <c r="A195" s="70">
        <v>54</v>
      </c>
      <c r="B195" s="71">
        <v>1219</v>
      </c>
      <c r="C195" s="71">
        <v>434</v>
      </c>
      <c r="D195" s="71">
        <v>1663</v>
      </c>
      <c r="E195" s="71">
        <v>15061</v>
      </c>
      <c r="F195" s="70">
        <v>56</v>
      </c>
      <c r="G195" s="71">
        <v>1663</v>
      </c>
      <c r="H195" s="71">
        <v>1416</v>
      </c>
      <c r="I195" s="71">
        <v>3106</v>
      </c>
      <c r="J195" s="71">
        <v>19269</v>
      </c>
      <c r="K195" s="70">
        <v>58</v>
      </c>
      <c r="L195" s="71">
        <v>802</v>
      </c>
      <c r="M195" s="71">
        <v>1133</v>
      </c>
      <c r="N195" s="71">
        <v>1957</v>
      </c>
      <c r="O195" s="71">
        <v>21908</v>
      </c>
      <c r="P195" s="70">
        <v>53</v>
      </c>
      <c r="Q195" s="71">
        <v>1679</v>
      </c>
      <c r="R195" s="71">
        <v>1268</v>
      </c>
      <c r="S195" s="71">
        <v>2980</v>
      </c>
      <c r="T195" s="71">
        <v>23369</v>
      </c>
    </row>
    <row r="196" spans="1:20" x14ac:dyDescent="0.45">
      <c r="A196" s="70">
        <v>53</v>
      </c>
      <c r="B196" s="71">
        <v>560</v>
      </c>
      <c r="C196" s="71">
        <v>226</v>
      </c>
      <c r="D196" s="71">
        <v>797</v>
      </c>
      <c r="E196" s="71">
        <v>15858</v>
      </c>
      <c r="F196" s="70">
        <v>55</v>
      </c>
      <c r="G196" s="71">
        <v>1057</v>
      </c>
      <c r="H196" s="71">
        <v>869</v>
      </c>
      <c r="I196" s="71">
        <v>1945</v>
      </c>
      <c r="J196" s="71">
        <v>21214</v>
      </c>
      <c r="K196" s="70">
        <v>57</v>
      </c>
      <c r="L196" s="71">
        <v>872</v>
      </c>
      <c r="M196" s="71">
        <v>1152</v>
      </c>
      <c r="N196" s="71">
        <v>2045</v>
      </c>
      <c r="O196" s="71">
        <v>23953</v>
      </c>
      <c r="P196" s="70">
        <v>52</v>
      </c>
      <c r="Q196" s="71">
        <v>805</v>
      </c>
      <c r="R196" s="71">
        <v>645</v>
      </c>
      <c r="S196" s="71">
        <v>1460</v>
      </c>
      <c r="T196" s="71">
        <v>24829</v>
      </c>
    </row>
    <row r="197" spans="1:20" x14ac:dyDescent="0.45">
      <c r="A197" s="70">
        <v>52</v>
      </c>
      <c r="B197" s="71">
        <v>667</v>
      </c>
      <c r="C197" s="71">
        <v>246</v>
      </c>
      <c r="D197" s="71">
        <v>924</v>
      </c>
      <c r="E197" s="71">
        <v>16782</v>
      </c>
      <c r="F197" s="70">
        <v>54</v>
      </c>
      <c r="G197" s="71">
        <v>899</v>
      </c>
      <c r="H197" s="71">
        <v>814</v>
      </c>
      <c r="I197" s="71">
        <v>1730</v>
      </c>
      <c r="J197" s="71">
        <v>22944</v>
      </c>
      <c r="K197" s="70">
        <v>56</v>
      </c>
      <c r="L197" s="71">
        <v>1020</v>
      </c>
      <c r="M197" s="71">
        <v>1391</v>
      </c>
      <c r="N197" s="71">
        <v>2431</v>
      </c>
      <c r="O197" s="71">
        <v>26384</v>
      </c>
      <c r="P197" s="70">
        <v>51</v>
      </c>
      <c r="Q197" s="71">
        <v>839</v>
      </c>
      <c r="R197" s="71">
        <v>707</v>
      </c>
      <c r="S197" s="71">
        <v>1559</v>
      </c>
      <c r="T197" s="71">
        <v>26388</v>
      </c>
    </row>
    <row r="198" spans="1:20" x14ac:dyDescent="0.45">
      <c r="A198" s="70">
        <v>51</v>
      </c>
      <c r="B198" s="71">
        <v>756</v>
      </c>
      <c r="C198" s="71">
        <v>267</v>
      </c>
      <c r="D198" s="71">
        <v>1034</v>
      </c>
      <c r="E198" s="71">
        <v>17816</v>
      </c>
      <c r="F198" s="70">
        <v>53</v>
      </c>
      <c r="G198" s="71">
        <v>1110</v>
      </c>
      <c r="H198" s="71">
        <v>1039</v>
      </c>
      <c r="I198" s="71">
        <v>2164</v>
      </c>
      <c r="J198" s="71">
        <v>25108</v>
      </c>
      <c r="K198" s="70">
        <v>55</v>
      </c>
      <c r="L198" s="71">
        <v>999</v>
      </c>
      <c r="M198" s="71">
        <v>1321</v>
      </c>
      <c r="N198" s="71">
        <v>2335</v>
      </c>
      <c r="O198" s="71">
        <v>28719</v>
      </c>
      <c r="P198" s="70">
        <v>50</v>
      </c>
      <c r="Q198" s="71">
        <v>847</v>
      </c>
      <c r="R198" s="71">
        <v>747</v>
      </c>
      <c r="S198" s="71">
        <v>1615</v>
      </c>
      <c r="T198" s="71">
        <v>28003</v>
      </c>
    </row>
    <row r="199" spans="1:20" x14ac:dyDescent="0.45">
      <c r="A199" s="70">
        <v>50</v>
      </c>
      <c r="B199" s="71">
        <v>759</v>
      </c>
      <c r="C199" s="71">
        <v>281</v>
      </c>
      <c r="D199" s="71">
        <v>1046</v>
      </c>
      <c r="E199" s="71">
        <v>18862</v>
      </c>
      <c r="F199" s="70">
        <v>52</v>
      </c>
      <c r="G199" s="71">
        <v>1055</v>
      </c>
      <c r="H199" s="71">
        <v>962</v>
      </c>
      <c r="I199" s="71">
        <v>2025</v>
      </c>
      <c r="J199" s="71">
        <v>27133</v>
      </c>
      <c r="K199" s="70">
        <v>54</v>
      </c>
      <c r="L199" s="71">
        <v>1137</v>
      </c>
      <c r="M199" s="71">
        <v>1586</v>
      </c>
      <c r="N199" s="71">
        <v>2747</v>
      </c>
      <c r="O199" s="71">
        <v>31466</v>
      </c>
      <c r="P199" s="70">
        <v>49</v>
      </c>
      <c r="Q199" s="71">
        <v>827</v>
      </c>
      <c r="R199" s="71">
        <v>666</v>
      </c>
      <c r="S199" s="71">
        <v>1514</v>
      </c>
      <c r="T199" s="71">
        <v>29517</v>
      </c>
    </row>
    <row r="200" spans="1:20" x14ac:dyDescent="0.45">
      <c r="A200" s="70">
        <v>49</v>
      </c>
      <c r="B200" s="71">
        <v>1611</v>
      </c>
      <c r="C200" s="71">
        <v>651</v>
      </c>
      <c r="D200" s="71">
        <v>2280</v>
      </c>
      <c r="E200" s="71">
        <v>21142</v>
      </c>
      <c r="F200" s="70">
        <v>51</v>
      </c>
      <c r="G200" s="71">
        <v>1022</v>
      </c>
      <c r="H200" s="71">
        <v>1008</v>
      </c>
      <c r="I200" s="71">
        <v>2046</v>
      </c>
      <c r="J200" s="71">
        <v>29179</v>
      </c>
      <c r="K200" s="70">
        <v>53</v>
      </c>
      <c r="L200" s="71">
        <v>1154</v>
      </c>
      <c r="M200" s="71">
        <v>1594</v>
      </c>
      <c r="N200" s="71">
        <v>2771</v>
      </c>
      <c r="O200" s="71">
        <v>34237</v>
      </c>
      <c r="P200" s="70">
        <v>48</v>
      </c>
      <c r="Q200" s="71">
        <v>1941</v>
      </c>
      <c r="R200" s="71">
        <v>1563</v>
      </c>
      <c r="S200" s="71">
        <v>3536</v>
      </c>
      <c r="T200" s="71">
        <v>33053</v>
      </c>
    </row>
    <row r="201" spans="1:20" x14ac:dyDescent="0.45">
      <c r="A201" s="70">
        <v>48</v>
      </c>
      <c r="B201" s="71">
        <v>970</v>
      </c>
      <c r="C201" s="71">
        <v>315</v>
      </c>
      <c r="D201" s="71">
        <v>1299</v>
      </c>
      <c r="E201" s="71">
        <v>22441</v>
      </c>
      <c r="F201" s="70">
        <v>50</v>
      </c>
      <c r="G201" s="71">
        <v>1317</v>
      </c>
      <c r="H201" s="71">
        <v>1136</v>
      </c>
      <c r="I201" s="71">
        <v>2480</v>
      </c>
      <c r="J201" s="71">
        <v>31659</v>
      </c>
      <c r="K201" s="70">
        <v>52</v>
      </c>
      <c r="L201" s="71">
        <v>1220</v>
      </c>
      <c r="M201" s="71">
        <v>1673</v>
      </c>
      <c r="N201" s="71">
        <v>2929</v>
      </c>
      <c r="O201" s="71">
        <v>37166</v>
      </c>
      <c r="P201" s="70">
        <v>47</v>
      </c>
      <c r="Q201" s="71">
        <v>898</v>
      </c>
      <c r="R201" s="71">
        <v>697</v>
      </c>
      <c r="S201" s="71">
        <v>1606</v>
      </c>
      <c r="T201" s="71">
        <v>34659</v>
      </c>
    </row>
    <row r="202" spans="1:20" x14ac:dyDescent="0.45">
      <c r="A202" s="70">
        <v>47</v>
      </c>
      <c r="B202" s="71">
        <v>1086</v>
      </c>
      <c r="C202" s="71">
        <v>383</v>
      </c>
      <c r="D202" s="71">
        <v>1479</v>
      </c>
      <c r="E202" s="71">
        <v>23920</v>
      </c>
      <c r="F202" s="70">
        <v>49</v>
      </c>
      <c r="G202" s="71">
        <v>1076</v>
      </c>
      <c r="H202" s="71">
        <v>983</v>
      </c>
      <c r="I202" s="71">
        <v>2075</v>
      </c>
      <c r="J202" s="71">
        <v>33734</v>
      </c>
      <c r="K202" s="70">
        <v>51</v>
      </c>
      <c r="L202" s="71">
        <v>1465</v>
      </c>
      <c r="M202" s="71">
        <v>1918</v>
      </c>
      <c r="N202" s="71">
        <v>3405</v>
      </c>
      <c r="O202" s="71">
        <v>40571</v>
      </c>
      <c r="P202" s="70">
        <v>46</v>
      </c>
      <c r="Q202" s="71">
        <v>977</v>
      </c>
      <c r="R202" s="71">
        <v>692</v>
      </c>
      <c r="S202" s="71">
        <v>1682</v>
      </c>
      <c r="T202" s="71">
        <v>36341</v>
      </c>
    </row>
    <row r="203" spans="1:20" x14ac:dyDescent="0.45">
      <c r="A203" s="70">
        <v>46</v>
      </c>
      <c r="B203" s="71">
        <v>1016</v>
      </c>
      <c r="C203" s="71">
        <v>365</v>
      </c>
      <c r="D203" s="71">
        <v>1402</v>
      </c>
      <c r="E203" s="71">
        <v>25322</v>
      </c>
      <c r="F203" s="70">
        <v>48</v>
      </c>
      <c r="G203" s="71">
        <v>1329</v>
      </c>
      <c r="H203" s="71">
        <v>1231</v>
      </c>
      <c r="I203" s="71">
        <v>2581</v>
      </c>
      <c r="J203" s="71">
        <v>36315</v>
      </c>
      <c r="K203" s="70">
        <v>50</v>
      </c>
      <c r="L203" s="71">
        <v>1349</v>
      </c>
      <c r="M203" s="71">
        <v>1764</v>
      </c>
      <c r="N203" s="71">
        <v>3136</v>
      </c>
      <c r="O203" s="71">
        <v>43707</v>
      </c>
      <c r="P203" s="70">
        <v>45</v>
      </c>
      <c r="Q203" s="71">
        <v>928</v>
      </c>
      <c r="R203" s="71">
        <v>658</v>
      </c>
      <c r="S203" s="71">
        <v>1604</v>
      </c>
      <c r="T203" s="71">
        <v>37945</v>
      </c>
    </row>
    <row r="204" spans="1:20" x14ac:dyDescent="0.45">
      <c r="A204" s="70">
        <v>45</v>
      </c>
      <c r="B204" s="71">
        <v>2196</v>
      </c>
      <c r="C204" s="71">
        <v>850</v>
      </c>
      <c r="D204" s="71">
        <v>3074</v>
      </c>
      <c r="E204" s="71">
        <v>28396</v>
      </c>
      <c r="F204" s="70">
        <v>47</v>
      </c>
      <c r="G204" s="71">
        <v>1164</v>
      </c>
      <c r="H204" s="71">
        <v>1086</v>
      </c>
      <c r="I204" s="71">
        <v>2268</v>
      </c>
      <c r="J204" s="71">
        <v>38583</v>
      </c>
      <c r="K204" s="70">
        <v>49</v>
      </c>
      <c r="L204" s="71">
        <v>1569</v>
      </c>
      <c r="M204" s="71">
        <v>1931</v>
      </c>
      <c r="N204" s="71">
        <v>3542</v>
      </c>
      <c r="O204" s="71">
        <v>47249</v>
      </c>
      <c r="P204" s="70">
        <v>44</v>
      </c>
      <c r="Q204" s="71">
        <v>1016</v>
      </c>
      <c r="R204" s="71">
        <v>673</v>
      </c>
      <c r="S204" s="71">
        <v>1709</v>
      </c>
      <c r="T204" s="71">
        <v>39654</v>
      </c>
    </row>
    <row r="205" spans="1:20" x14ac:dyDescent="0.45">
      <c r="A205" s="70">
        <v>44</v>
      </c>
      <c r="B205" s="71">
        <v>1238</v>
      </c>
      <c r="C205" s="71">
        <v>428</v>
      </c>
      <c r="D205" s="71">
        <v>1680</v>
      </c>
      <c r="E205" s="71">
        <v>30076</v>
      </c>
      <c r="F205" s="70">
        <v>46</v>
      </c>
      <c r="G205" s="71">
        <v>1191</v>
      </c>
      <c r="H205" s="71">
        <v>1187</v>
      </c>
      <c r="I205" s="71">
        <v>2404</v>
      </c>
      <c r="J205" s="71">
        <v>40987</v>
      </c>
      <c r="K205" s="70">
        <v>48</v>
      </c>
      <c r="L205" s="71">
        <v>1533</v>
      </c>
      <c r="M205" s="71">
        <v>1949</v>
      </c>
      <c r="N205" s="71">
        <v>3520</v>
      </c>
      <c r="O205" s="71">
        <v>50769</v>
      </c>
      <c r="P205" s="70">
        <v>43</v>
      </c>
      <c r="Q205" s="71">
        <v>1991</v>
      </c>
      <c r="R205" s="71">
        <v>1250</v>
      </c>
      <c r="S205" s="71">
        <v>3274</v>
      </c>
      <c r="T205" s="71">
        <v>42928</v>
      </c>
    </row>
    <row r="206" spans="1:20" x14ac:dyDescent="0.45">
      <c r="A206" s="70">
        <v>43</v>
      </c>
      <c r="B206" s="71">
        <v>1181</v>
      </c>
      <c r="C206" s="71">
        <v>458</v>
      </c>
      <c r="D206" s="71">
        <v>1655</v>
      </c>
      <c r="E206" s="71">
        <v>31731</v>
      </c>
      <c r="F206" s="70">
        <v>45</v>
      </c>
      <c r="G206" s="71">
        <v>1361</v>
      </c>
      <c r="H206" s="71">
        <v>1237</v>
      </c>
      <c r="I206" s="71">
        <v>2619</v>
      </c>
      <c r="J206" s="71">
        <v>43606</v>
      </c>
      <c r="K206" s="70">
        <v>47</v>
      </c>
      <c r="L206" s="71">
        <v>1685</v>
      </c>
      <c r="M206" s="71">
        <v>1929</v>
      </c>
      <c r="N206" s="71">
        <v>3652</v>
      </c>
      <c r="O206" s="71">
        <v>54421</v>
      </c>
      <c r="P206" s="70">
        <v>42</v>
      </c>
      <c r="Q206" s="71">
        <v>1025</v>
      </c>
      <c r="R206" s="71">
        <v>608</v>
      </c>
      <c r="S206" s="71">
        <v>1655</v>
      </c>
      <c r="T206" s="71">
        <v>44583</v>
      </c>
    </row>
    <row r="207" spans="1:20" x14ac:dyDescent="0.45">
      <c r="A207" s="70">
        <v>42</v>
      </c>
      <c r="B207" s="71">
        <v>1180</v>
      </c>
      <c r="C207" s="71">
        <v>371</v>
      </c>
      <c r="D207" s="71">
        <v>1567</v>
      </c>
      <c r="E207" s="71">
        <v>33298</v>
      </c>
      <c r="F207" s="70">
        <v>44</v>
      </c>
      <c r="G207" s="71">
        <v>1139</v>
      </c>
      <c r="H207" s="71">
        <v>971</v>
      </c>
      <c r="I207" s="71">
        <v>2133</v>
      </c>
      <c r="J207" s="71">
        <v>45739</v>
      </c>
      <c r="K207" s="70">
        <v>46</v>
      </c>
      <c r="L207" s="71">
        <v>1709</v>
      </c>
      <c r="M207" s="71">
        <v>2140</v>
      </c>
      <c r="N207" s="71">
        <v>3887</v>
      </c>
      <c r="O207" s="71">
        <v>58308</v>
      </c>
      <c r="P207" s="70">
        <v>41</v>
      </c>
      <c r="Q207" s="71">
        <v>943</v>
      </c>
      <c r="R207" s="71">
        <v>559</v>
      </c>
      <c r="S207" s="71">
        <v>1520</v>
      </c>
      <c r="T207" s="71">
        <v>46103</v>
      </c>
    </row>
    <row r="208" spans="1:20" x14ac:dyDescent="0.45">
      <c r="A208" s="70">
        <v>41</v>
      </c>
      <c r="B208" s="71">
        <v>1280</v>
      </c>
      <c r="C208" s="71">
        <v>404</v>
      </c>
      <c r="D208" s="71">
        <v>1698</v>
      </c>
      <c r="E208" s="71">
        <v>34996</v>
      </c>
      <c r="F208" s="70">
        <v>43</v>
      </c>
      <c r="G208" s="71">
        <v>1325</v>
      </c>
      <c r="H208" s="71">
        <v>1209</v>
      </c>
      <c r="I208" s="71">
        <v>2564</v>
      </c>
      <c r="J208" s="71">
        <v>48303</v>
      </c>
      <c r="K208" s="70">
        <v>45</v>
      </c>
      <c r="L208" s="71">
        <v>1658</v>
      </c>
      <c r="M208" s="71">
        <v>1866</v>
      </c>
      <c r="N208" s="71">
        <v>3567</v>
      </c>
      <c r="O208" s="71">
        <v>61875</v>
      </c>
      <c r="P208" s="70">
        <v>40</v>
      </c>
      <c r="Q208" s="71">
        <v>942</v>
      </c>
      <c r="R208" s="71">
        <v>523</v>
      </c>
      <c r="S208" s="71">
        <v>1486</v>
      </c>
      <c r="T208" s="71">
        <v>47589</v>
      </c>
    </row>
    <row r="209" spans="1:20" x14ac:dyDescent="0.45">
      <c r="A209" s="70">
        <v>40</v>
      </c>
      <c r="B209" s="71">
        <v>3691</v>
      </c>
      <c r="C209" s="71">
        <v>952</v>
      </c>
      <c r="D209" s="71">
        <v>4713</v>
      </c>
      <c r="E209" s="71">
        <v>39709</v>
      </c>
      <c r="F209" s="70">
        <v>42</v>
      </c>
      <c r="G209" s="71">
        <v>1098</v>
      </c>
      <c r="H209" s="71">
        <v>1017</v>
      </c>
      <c r="I209" s="71">
        <v>2135</v>
      </c>
      <c r="J209" s="71">
        <v>50438</v>
      </c>
      <c r="K209" s="70">
        <v>44</v>
      </c>
      <c r="L209" s="71">
        <v>1987</v>
      </c>
      <c r="M209" s="71">
        <v>2096</v>
      </c>
      <c r="N209" s="71">
        <v>4124</v>
      </c>
      <c r="O209" s="71">
        <v>65999</v>
      </c>
      <c r="P209" s="70">
        <v>39</v>
      </c>
      <c r="Q209" s="71">
        <v>2597</v>
      </c>
      <c r="R209" s="71">
        <v>993</v>
      </c>
      <c r="S209" s="71">
        <v>3641</v>
      </c>
      <c r="T209" s="71">
        <v>51230</v>
      </c>
    </row>
    <row r="210" spans="1:20" x14ac:dyDescent="0.45">
      <c r="A210" s="70">
        <v>39</v>
      </c>
      <c r="B210" s="71">
        <v>1038</v>
      </c>
      <c r="C210" s="71">
        <v>327</v>
      </c>
      <c r="D210" s="71">
        <v>1387</v>
      </c>
      <c r="E210" s="71">
        <v>41096</v>
      </c>
      <c r="F210" s="70">
        <v>41</v>
      </c>
      <c r="G210" s="71">
        <v>1167</v>
      </c>
      <c r="H210" s="71">
        <v>882</v>
      </c>
      <c r="I210" s="71">
        <v>2076</v>
      </c>
      <c r="J210" s="71">
        <v>52514</v>
      </c>
      <c r="K210" s="70">
        <v>43</v>
      </c>
      <c r="L210" s="71">
        <v>1664</v>
      </c>
      <c r="M210" s="71">
        <v>1751</v>
      </c>
      <c r="N210" s="71">
        <v>3446</v>
      </c>
      <c r="O210" s="71">
        <v>69445</v>
      </c>
      <c r="P210" s="70">
        <v>38</v>
      </c>
      <c r="Q210" s="71">
        <v>992</v>
      </c>
      <c r="R210" s="71">
        <v>447</v>
      </c>
      <c r="S210" s="71">
        <v>1451</v>
      </c>
      <c r="T210" s="71">
        <v>52681</v>
      </c>
    </row>
    <row r="211" spans="1:20" x14ac:dyDescent="0.45">
      <c r="A211" s="70">
        <v>38</v>
      </c>
      <c r="B211" s="71">
        <v>686</v>
      </c>
      <c r="C211" s="71">
        <v>233</v>
      </c>
      <c r="D211" s="71">
        <v>929</v>
      </c>
      <c r="E211" s="71">
        <v>42025</v>
      </c>
      <c r="F211" s="70">
        <v>40</v>
      </c>
      <c r="G211" s="71">
        <v>1108</v>
      </c>
      <c r="H211" s="71">
        <v>895</v>
      </c>
      <c r="I211" s="71">
        <v>2023</v>
      </c>
      <c r="J211" s="71">
        <v>54537</v>
      </c>
      <c r="K211" s="70">
        <v>42</v>
      </c>
      <c r="L211" s="71">
        <v>1988</v>
      </c>
      <c r="M211" s="71">
        <v>1870</v>
      </c>
      <c r="N211" s="71">
        <v>3895</v>
      </c>
      <c r="O211" s="71">
        <v>73340</v>
      </c>
      <c r="P211" s="70">
        <v>37</v>
      </c>
      <c r="Q211" s="71">
        <v>1394</v>
      </c>
      <c r="R211" s="71">
        <v>667</v>
      </c>
      <c r="S211" s="71">
        <v>2087</v>
      </c>
      <c r="T211" s="71">
        <v>54768</v>
      </c>
    </row>
    <row r="212" spans="1:20" x14ac:dyDescent="0.45">
      <c r="A212" s="70">
        <v>37</v>
      </c>
      <c r="B212" s="71">
        <v>634</v>
      </c>
      <c r="C212" s="71">
        <v>203</v>
      </c>
      <c r="D212" s="71">
        <v>847</v>
      </c>
      <c r="E212" s="71">
        <v>42872</v>
      </c>
      <c r="F212" s="70">
        <v>39</v>
      </c>
      <c r="G212" s="71">
        <v>1643</v>
      </c>
      <c r="H212" s="71">
        <v>822</v>
      </c>
      <c r="I212" s="71">
        <v>2501</v>
      </c>
      <c r="J212" s="71">
        <v>57038</v>
      </c>
      <c r="K212" s="70">
        <v>41</v>
      </c>
      <c r="L212" s="71">
        <v>1656</v>
      </c>
      <c r="M212" s="71">
        <v>1611</v>
      </c>
      <c r="N212" s="71">
        <v>3293</v>
      </c>
      <c r="O212" s="71">
        <v>76633</v>
      </c>
      <c r="P212" s="70">
        <v>36</v>
      </c>
      <c r="Q212" s="71">
        <v>1354</v>
      </c>
      <c r="R212" s="71">
        <v>563</v>
      </c>
      <c r="S212" s="71">
        <v>1944</v>
      </c>
      <c r="T212" s="71">
        <v>56712</v>
      </c>
    </row>
    <row r="213" spans="1:20" x14ac:dyDescent="0.45">
      <c r="A213" s="70">
        <v>36</v>
      </c>
      <c r="B213" s="71">
        <v>673</v>
      </c>
      <c r="C213" s="71">
        <v>193</v>
      </c>
      <c r="D213" s="71">
        <v>875</v>
      </c>
      <c r="E213" s="71">
        <v>43747</v>
      </c>
      <c r="F213" s="70">
        <v>38</v>
      </c>
      <c r="G213" s="71">
        <v>950</v>
      </c>
      <c r="H213" s="71">
        <v>676</v>
      </c>
      <c r="I213" s="71">
        <v>1645</v>
      </c>
      <c r="J213" s="71">
        <v>58683</v>
      </c>
      <c r="K213" s="70">
        <v>40</v>
      </c>
      <c r="L213" s="71">
        <v>1971</v>
      </c>
      <c r="M213" s="71">
        <v>1529</v>
      </c>
      <c r="N213" s="71">
        <v>3542</v>
      </c>
      <c r="O213" s="71">
        <v>80175</v>
      </c>
      <c r="P213" s="70">
        <v>35</v>
      </c>
      <c r="Q213" s="71">
        <v>378</v>
      </c>
      <c r="R213" s="71">
        <v>141</v>
      </c>
      <c r="S213" s="71">
        <v>526</v>
      </c>
      <c r="T213" s="71">
        <v>57238</v>
      </c>
    </row>
    <row r="214" spans="1:20" x14ac:dyDescent="0.45">
      <c r="A214" s="70">
        <v>35</v>
      </c>
      <c r="B214" s="71">
        <v>223</v>
      </c>
      <c r="C214" s="71">
        <v>72</v>
      </c>
      <c r="D214" s="71">
        <v>298</v>
      </c>
      <c r="E214" s="71">
        <v>44045</v>
      </c>
      <c r="F214" s="70">
        <v>37</v>
      </c>
      <c r="G214" s="71">
        <v>726</v>
      </c>
      <c r="H214" s="71">
        <v>489</v>
      </c>
      <c r="I214" s="71">
        <v>1230</v>
      </c>
      <c r="J214" s="71">
        <v>59913</v>
      </c>
      <c r="K214" s="70">
        <v>39</v>
      </c>
      <c r="L214" s="71">
        <v>1803</v>
      </c>
      <c r="M214" s="71">
        <v>1457</v>
      </c>
      <c r="N214" s="71">
        <v>3298</v>
      </c>
      <c r="O214" s="71">
        <v>83473</v>
      </c>
      <c r="P214" s="70">
        <v>34</v>
      </c>
      <c r="Q214" s="71">
        <v>475</v>
      </c>
      <c r="R214" s="71">
        <v>211</v>
      </c>
      <c r="S214" s="71">
        <v>698</v>
      </c>
      <c r="T214" s="71">
        <v>57936</v>
      </c>
    </row>
    <row r="215" spans="1:20" x14ac:dyDescent="0.45">
      <c r="A215" s="70">
        <v>34</v>
      </c>
      <c r="B215" s="71">
        <v>106</v>
      </c>
      <c r="C215" s="71">
        <v>25</v>
      </c>
      <c r="D215" s="71">
        <v>132</v>
      </c>
      <c r="E215" s="71">
        <v>44177</v>
      </c>
      <c r="F215" s="70">
        <v>36</v>
      </c>
      <c r="G215" s="71">
        <v>1067</v>
      </c>
      <c r="H215" s="71">
        <v>501</v>
      </c>
      <c r="I215" s="71">
        <v>1584</v>
      </c>
      <c r="J215" s="71">
        <v>61497</v>
      </c>
      <c r="K215" s="70">
        <v>38</v>
      </c>
      <c r="L215" s="71">
        <v>3297</v>
      </c>
      <c r="M215" s="71">
        <v>1820</v>
      </c>
      <c r="N215" s="71">
        <v>5207</v>
      </c>
      <c r="O215" s="71">
        <v>88680</v>
      </c>
      <c r="P215" s="70">
        <v>33</v>
      </c>
      <c r="Q215" s="71">
        <v>189</v>
      </c>
      <c r="R215" s="71">
        <v>64</v>
      </c>
      <c r="S215" s="71">
        <v>257</v>
      </c>
      <c r="T215" s="71">
        <v>58193</v>
      </c>
    </row>
    <row r="216" spans="1:20" x14ac:dyDescent="0.45">
      <c r="A216" s="70">
        <v>33</v>
      </c>
      <c r="B216" s="71">
        <v>131</v>
      </c>
      <c r="C216" s="71">
        <v>45</v>
      </c>
      <c r="D216" s="71">
        <v>178</v>
      </c>
      <c r="E216" s="71">
        <v>44355</v>
      </c>
      <c r="F216" s="70">
        <v>35</v>
      </c>
      <c r="G216" s="71">
        <v>582</v>
      </c>
      <c r="H216" s="71">
        <v>375</v>
      </c>
      <c r="I216" s="71">
        <v>963</v>
      </c>
      <c r="J216" s="71">
        <v>62460</v>
      </c>
      <c r="K216" s="70">
        <v>37</v>
      </c>
      <c r="L216" s="71">
        <v>1165</v>
      </c>
      <c r="M216" s="71">
        <v>944</v>
      </c>
      <c r="N216" s="71">
        <v>2135</v>
      </c>
      <c r="O216" s="71">
        <v>90815</v>
      </c>
      <c r="P216" s="70">
        <v>32</v>
      </c>
      <c r="Q216" s="71">
        <v>294</v>
      </c>
      <c r="R216" s="71">
        <v>86</v>
      </c>
      <c r="S216" s="71">
        <v>382</v>
      </c>
      <c r="T216" s="71">
        <v>58575</v>
      </c>
    </row>
    <row r="217" spans="1:20" x14ac:dyDescent="0.45">
      <c r="A217" s="70">
        <v>31</v>
      </c>
      <c r="B217" s="71">
        <v>43</v>
      </c>
      <c r="C217" s="71">
        <v>9</v>
      </c>
      <c r="D217" s="71">
        <v>52</v>
      </c>
      <c r="E217" s="71">
        <v>44407</v>
      </c>
      <c r="F217" s="70">
        <v>34</v>
      </c>
      <c r="G217" s="71">
        <v>391</v>
      </c>
      <c r="H217" s="71">
        <v>214</v>
      </c>
      <c r="I217" s="71">
        <v>614</v>
      </c>
      <c r="J217" s="71">
        <v>63074</v>
      </c>
      <c r="K217" s="70">
        <v>36</v>
      </c>
      <c r="L217" s="71">
        <v>806</v>
      </c>
      <c r="M217" s="71">
        <v>620</v>
      </c>
      <c r="N217" s="71">
        <v>1443</v>
      </c>
      <c r="O217" s="71">
        <v>92258</v>
      </c>
      <c r="P217" s="70">
        <v>30</v>
      </c>
      <c r="Q217" s="71">
        <v>55</v>
      </c>
      <c r="R217" s="71">
        <v>20</v>
      </c>
      <c r="S217" s="71">
        <v>76</v>
      </c>
      <c r="T217" s="71">
        <v>58651</v>
      </c>
    </row>
    <row r="218" spans="1:20" x14ac:dyDescent="0.45">
      <c r="A218" s="70"/>
      <c r="B218" s="71"/>
      <c r="C218" s="71"/>
      <c r="D218" s="71"/>
      <c r="E218" s="71"/>
      <c r="F218" s="70">
        <v>33</v>
      </c>
      <c r="G218" s="71">
        <v>366</v>
      </c>
      <c r="H218" s="71">
        <v>179</v>
      </c>
      <c r="I218" s="71">
        <v>552</v>
      </c>
      <c r="J218" s="71">
        <v>63626</v>
      </c>
      <c r="K218" s="70">
        <v>35</v>
      </c>
      <c r="L218" s="71">
        <v>1112</v>
      </c>
      <c r="M218" s="71">
        <v>870</v>
      </c>
      <c r="N218" s="71">
        <v>1998</v>
      </c>
      <c r="O218" s="71">
        <v>94256</v>
      </c>
      <c r="P218" s="70"/>
      <c r="Q218" s="71"/>
      <c r="R218" s="71"/>
      <c r="S218" s="71"/>
      <c r="T218" s="71"/>
    </row>
    <row r="219" spans="1:20" x14ac:dyDescent="0.45">
      <c r="A219" s="70"/>
      <c r="B219" s="71"/>
      <c r="C219" s="71"/>
      <c r="D219" s="71"/>
      <c r="E219" s="71"/>
      <c r="F219" s="70">
        <v>32</v>
      </c>
      <c r="G219" s="71">
        <v>359</v>
      </c>
      <c r="H219" s="71">
        <v>160</v>
      </c>
      <c r="I219" s="71">
        <v>526</v>
      </c>
      <c r="J219" s="71">
        <v>64152</v>
      </c>
      <c r="K219" s="70">
        <v>34</v>
      </c>
      <c r="L219" s="71">
        <v>308</v>
      </c>
      <c r="M219" s="71">
        <v>200</v>
      </c>
      <c r="N219" s="71">
        <v>516</v>
      </c>
      <c r="O219" s="71">
        <v>94772</v>
      </c>
      <c r="P219" s="70"/>
      <c r="Q219" s="71"/>
      <c r="R219" s="71"/>
      <c r="S219" s="71"/>
      <c r="T219" s="71"/>
    </row>
    <row r="220" spans="1:20" x14ac:dyDescent="0.45">
      <c r="A220" s="70"/>
      <c r="B220" s="71"/>
      <c r="C220" s="71"/>
      <c r="D220" s="71"/>
      <c r="E220" s="71"/>
      <c r="F220" s="70">
        <v>31</v>
      </c>
      <c r="G220" s="71">
        <v>167</v>
      </c>
      <c r="H220" s="71">
        <v>86</v>
      </c>
      <c r="I220" s="71">
        <v>258</v>
      </c>
      <c r="J220" s="71">
        <v>64410</v>
      </c>
      <c r="K220" s="70">
        <v>33</v>
      </c>
      <c r="L220" s="71">
        <v>266</v>
      </c>
      <c r="M220" s="71">
        <v>186</v>
      </c>
      <c r="N220" s="71">
        <v>458</v>
      </c>
      <c r="O220" s="71">
        <v>95230</v>
      </c>
      <c r="P220" s="70"/>
      <c r="Q220" s="71"/>
      <c r="R220" s="71"/>
      <c r="S220" s="71"/>
      <c r="T220" s="71"/>
    </row>
    <row r="221" spans="1:20" x14ac:dyDescent="0.45">
      <c r="A221" s="70"/>
      <c r="B221" s="71"/>
      <c r="C221" s="71"/>
      <c r="D221" s="71"/>
      <c r="E221" s="71"/>
      <c r="F221" s="70">
        <v>30</v>
      </c>
      <c r="G221" s="71">
        <v>109</v>
      </c>
      <c r="H221" s="71">
        <v>47</v>
      </c>
      <c r="I221" s="71">
        <v>157</v>
      </c>
      <c r="J221" s="71">
        <v>64567</v>
      </c>
      <c r="K221" s="70">
        <v>32</v>
      </c>
      <c r="L221" s="71">
        <v>64</v>
      </c>
      <c r="M221" s="71">
        <v>43</v>
      </c>
      <c r="N221" s="71">
        <v>108</v>
      </c>
      <c r="O221" s="71">
        <v>95338</v>
      </c>
      <c r="P221" s="70"/>
      <c r="Q221" s="71"/>
      <c r="R221" s="71"/>
      <c r="S221" s="71"/>
      <c r="T221" s="71"/>
    </row>
    <row r="222" spans="1:20" x14ac:dyDescent="0.45">
      <c r="A222" s="70"/>
      <c r="B222" s="71"/>
      <c r="C222" s="71"/>
      <c r="D222" s="71"/>
      <c r="E222" s="71"/>
      <c r="F222" s="70">
        <v>29</v>
      </c>
      <c r="G222" s="71">
        <v>74</v>
      </c>
      <c r="H222" s="71">
        <v>16</v>
      </c>
      <c r="I222" s="71">
        <v>91</v>
      </c>
      <c r="J222" s="71">
        <v>64658</v>
      </c>
      <c r="K222" s="70">
        <v>31</v>
      </c>
      <c r="L222" s="71">
        <v>127</v>
      </c>
      <c r="M222" s="71">
        <v>68</v>
      </c>
      <c r="N222" s="71">
        <v>199</v>
      </c>
      <c r="O222" s="71">
        <v>95537</v>
      </c>
      <c r="P222" s="70"/>
      <c r="Q222" s="71"/>
      <c r="R222" s="71"/>
      <c r="S222" s="71"/>
      <c r="T222" s="71"/>
    </row>
    <row r="223" spans="1:20" x14ac:dyDescent="0.45">
      <c r="A223" s="70"/>
      <c r="B223" s="71"/>
      <c r="C223" s="71"/>
      <c r="D223" s="71"/>
      <c r="E223" s="71"/>
      <c r="F223" s="70">
        <v>28</v>
      </c>
      <c r="G223" s="71">
        <v>63</v>
      </c>
      <c r="H223" s="71">
        <v>18</v>
      </c>
      <c r="I223" s="71">
        <v>82</v>
      </c>
      <c r="J223" s="71">
        <v>64740</v>
      </c>
      <c r="K223" s="70">
        <v>29</v>
      </c>
      <c r="L223" s="71">
        <v>34</v>
      </c>
      <c r="M223" s="71">
        <v>23</v>
      </c>
      <c r="N223" s="71">
        <v>62</v>
      </c>
      <c r="O223" s="71">
        <v>95599</v>
      </c>
      <c r="P223" s="70"/>
      <c r="Q223" s="71"/>
      <c r="R223" s="71"/>
      <c r="S223" s="71"/>
      <c r="T223" s="71"/>
    </row>
    <row r="224" spans="1:20" x14ac:dyDescent="0.45">
      <c r="A224" s="72"/>
      <c r="B224" s="73"/>
      <c r="C224" s="73"/>
      <c r="D224" s="73"/>
      <c r="E224" s="73"/>
      <c r="F224" s="70">
        <v>26</v>
      </c>
      <c r="G224" s="71">
        <v>23</v>
      </c>
      <c r="H224" s="71">
        <v>14</v>
      </c>
      <c r="I224" s="71">
        <v>37</v>
      </c>
      <c r="J224" s="71">
        <v>64777</v>
      </c>
      <c r="K224" s="70"/>
      <c r="L224" s="71"/>
      <c r="M224" s="71"/>
      <c r="N224" s="71"/>
      <c r="O224" s="71"/>
      <c r="P224" s="70"/>
      <c r="Q224" s="71"/>
      <c r="R224" s="71"/>
      <c r="S224" s="71"/>
      <c r="T224" s="71"/>
    </row>
  </sheetData>
  <mergeCells count="13">
    <mergeCell ref="A119:E119"/>
    <mergeCell ref="A175:E175"/>
    <mergeCell ref="F175:J175"/>
    <mergeCell ref="K175:O175"/>
    <mergeCell ref="P175:T175"/>
    <mergeCell ref="A3:E3"/>
    <mergeCell ref="F3:J3"/>
    <mergeCell ref="K3:O3"/>
    <mergeCell ref="P3:T3"/>
    <mergeCell ref="A62:E62"/>
    <mergeCell ref="F62:J62"/>
    <mergeCell ref="K62:O62"/>
    <mergeCell ref="P62:T62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4B5DD-2734-4EE0-BFFB-E8EF25ED5316}">
  <sheetPr codeName="Sheet6"/>
  <dimension ref="A1:Q110"/>
  <sheetViews>
    <sheetView zoomScaleNormal="100" workbookViewId="0">
      <selection activeCell="B2" sqref="B2:K10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  <col min="13" max="13" width="13.75" customWidth="1"/>
    <col min="14" max="14" width="12.1640625" customWidth="1"/>
  </cols>
  <sheetData>
    <row r="1" spans="1:17" x14ac:dyDescent="0.45">
      <c r="A1" s="5" t="s">
        <v>64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ht="25" customHeight="1" thickBot="1" x14ac:dyDescent="0.5">
      <c r="A3" s="5"/>
      <c r="B3" s="30"/>
      <c r="C3" s="84" t="s">
        <v>122</v>
      </c>
      <c r="D3" s="85" t="s">
        <v>67</v>
      </c>
      <c r="E3" s="86"/>
      <c r="F3" s="87"/>
      <c r="G3" s="84" t="s">
        <v>123</v>
      </c>
      <c r="H3" s="88" t="str">
        <f>'통계 및 응시자 수 입력 기능'!D4</f>
        <v>53.35</v>
      </c>
      <c r="I3" s="21" t="s">
        <v>124</v>
      </c>
      <c r="J3" s="89">
        <f>'통계 및 응시자 수 입력 기능'!C4</f>
        <v>265905</v>
      </c>
      <c r="K3" s="31"/>
      <c r="L3" s="5"/>
    </row>
    <row r="4" spans="1:17" ht="25" customHeight="1" thickBot="1" x14ac:dyDescent="0.5">
      <c r="A4" s="5"/>
      <c r="B4" s="30"/>
      <c r="C4" s="90" t="s">
        <v>125</v>
      </c>
      <c r="D4" s="91" t="s">
        <v>126</v>
      </c>
      <c r="E4" s="92"/>
      <c r="F4" s="93"/>
      <c r="G4" s="94" t="s">
        <v>127</v>
      </c>
      <c r="H4" s="95" t="str">
        <f>'통계 및 응시자 수 입력 기능'!E4</f>
        <v>22.77</v>
      </c>
      <c r="I4" s="39"/>
      <c r="J4" s="40"/>
      <c r="K4" s="31"/>
    </row>
    <row r="5" spans="1:17" ht="25" customHeight="1" thickBot="1" x14ac:dyDescent="0.5">
      <c r="A5" s="5"/>
      <c r="B5" s="30"/>
      <c r="C5" s="32"/>
      <c r="D5" s="32"/>
      <c r="E5" s="32"/>
      <c r="F5" s="32"/>
      <c r="G5" s="32"/>
      <c r="H5" s="33"/>
      <c r="I5" s="33"/>
      <c r="J5" s="33"/>
      <c r="K5" s="31"/>
      <c r="L5" s="5"/>
    </row>
    <row r="6" spans="1:17" ht="25" customHeight="1" thickBot="1" x14ac:dyDescent="0.5">
      <c r="A6" s="5"/>
      <c r="B6" s="30"/>
      <c r="C6" s="96" t="s">
        <v>129</v>
      </c>
      <c r="D6" s="97" t="s">
        <v>130</v>
      </c>
      <c r="E6" s="97" t="s">
        <v>131</v>
      </c>
      <c r="F6" s="97" t="s">
        <v>132</v>
      </c>
      <c r="G6" s="97" t="s">
        <v>133</v>
      </c>
      <c r="H6" s="98" t="s">
        <v>134</v>
      </c>
      <c r="I6" s="98" t="s">
        <v>135</v>
      </c>
      <c r="J6" s="99" t="s">
        <v>136</v>
      </c>
      <c r="K6" s="31"/>
      <c r="L6" s="3" t="s">
        <v>63</v>
      </c>
      <c r="M6" s="3"/>
      <c r="N6" s="4"/>
    </row>
    <row r="7" spans="1:17" ht="25" customHeight="1" x14ac:dyDescent="0.45">
      <c r="A7" s="5"/>
      <c r="B7" s="30"/>
      <c r="C7" s="100">
        <v>100</v>
      </c>
      <c r="D7" s="101">
        <f>ROUND(20*(C7-$H$3)/$H$4+100,0)</f>
        <v>141</v>
      </c>
      <c r="E7" s="101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102">
        <f>ROUND(100*(1-(0+I7)/2/$J$3),2)</f>
        <v>99.86</v>
      </c>
      <c r="G7" s="103">
        <f>_xlfn.IFNA(VLOOKUP(D7,'인원 입력 기능(국수)'!$A$5:$D$103,4,FALSE),0)</f>
        <v>761</v>
      </c>
      <c r="H7" s="104">
        <f>G7/$J$3</f>
        <v>2.8619243714860573E-3</v>
      </c>
      <c r="I7" s="105">
        <f>G7</f>
        <v>761</v>
      </c>
      <c r="J7" s="106">
        <f>I7/$J$3</f>
        <v>2.8619243714860573E-3</v>
      </c>
      <c r="K7" s="31"/>
      <c r="L7" s="20" t="str">
        <f>IF(ABS((C7-$H$3)/$H$4*20+100-D7)&gt;0.49, "경고", "")</f>
        <v/>
      </c>
      <c r="N7" s="1"/>
      <c r="P7" s="1">
        <v>1</v>
      </c>
      <c r="Q7" s="1">
        <f>'표점등급&amp;절평인원 입력 기능'!C4</f>
        <v>133</v>
      </c>
    </row>
    <row r="8" spans="1:17" ht="25" customHeight="1" x14ac:dyDescent="0.45">
      <c r="A8" s="5"/>
      <c r="B8" s="30"/>
      <c r="C8" s="107">
        <v>99</v>
      </c>
      <c r="D8" s="108" t="s">
        <v>54</v>
      </c>
      <c r="E8" s="108"/>
      <c r="F8" s="109"/>
      <c r="G8" s="110"/>
      <c r="H8" s="111"/>
      <c r="I8" s="112"/>
      <c r="J8" s="113"/>
      <c r="K8" s="31"/>
      <c r="L8" s="20"/>
      <c r="N8" s="1"/>
      <c r="P8" s="1">
        <v>2</v>
      </c>
      <c r="Q8" s="1">
        <f>'표점등급&amp;절평인원 입력 기능'!C5</f>
        <v>126</v>
      </c>
    </row>
    <row r="9" spans="1:17" ht="25" customHeight="1" x14ac:dyDescent="0.45">
      <c r="A9" s="5"/>
      <c r="B9" s="30"/>
      <c r="C9" s="107">
        <v>98</v>
      </c>
      <c r="D9" s="101">
        <f>ROUND(20*(C9-$H$3)/$H$4+100,0)</f>
        <v>139</v>
      </c>
      <c r="E9" s="101">
        <f t="shared" si="0"/>
        <v>1</v>
      </c>
      <c r="F9" s="102">
        <f>IF(I8=0,ROUND(100*(1-(I7+I9)/2/$J$3),2),ROUND(100*(1-(I8+I9)/2/$J$3),2))</f>
        <v>99.42</v>
      </c>
      <c r="G9" s="103">
        <f>_xlfn.IFNA(VLOOKUP(D9,'인원 입력 기능(국수)'!$A$5:$D$103,4,FALSE),0)</f>
        <v>1565</v>
      </c>
      <c r="H9" s="104">
        <f>G9/$J$3</f>
        <v>5.8855606325567402E-3</v>
      </c>
      <c r="I9" s="114">
        <f>SUM($G$7:G9)</f>
        <v>2326</v>
      </c>
      <c r="J9" s="106">
        <f>I9/$J$3</f>
        <v>8.7474850040427966E-3</v>
      </c>
      <c r="K9" s="31"/>
      <c r="L9" s="20" t="str">
        <f t="shared" ref="L9:L40" si="1">IF(ABS((C9-$H$3)/$H$4*20+100-D9)&gt;0.49, "경고", "")</f>
        <v/>
      </c>
      <c r="N9" s="1"/>
      <c r="P9" s="1">
        <v>3</v>
      </c>
      <c r="Q9" s="1">
        <f>'표점등급&amp;절평인원 입력 기능'!C6</f>
        <v>117</v>
      </c>
    </row>
    <row r="10" spans="1:17" ht="25" customHeight="1" x14ac:dyDescent="0.45">
      <c r="A10" s="5"/>
      <c r="B10" s="30"/>
      <c r="C10" s="107">
        <v>97</v>
      </c>
      <c r="D10" s="101">
        <f t="shared" ref="D10:D73" si="2">ROUND(20*(C10-$H$3)/$H$4+100,0)</f>
        <v>138</v>
      </c>
      <c r="E10" s="101">
        <f t="shared" si="0"/>
        <v>1</v>
      </c>
      <c r="F10" s="102">
        <f t="shared" ref="F10:F73" si="3">IF(I9=0,ROUND(100*(1-(I8+I10)/2/$J$3),2),ROUND(100*(1-(I9+I10)/2/$J$3),2))</f>
        <v>99.06</v>
      </c>
      <c r="G10" s="103">
        <f>IF(D10=D9,"",_xlfn.IFNA(VLOOKUP(D10,'인원 입력 기능(국수)'!$A$5:$D$103,4,FALSE),0))</f>
        <v>355</v>
      </c>
      <c r="H10" s="104">
        <f t="shared" ref="H10:H73" si="4">G10/$J$3</f>
        <v>1.3350632744777271E-3</v>
      </c>
      <c r="I10" s="114">
        <f>SUM($G$7:G10)</f>
        <v>2681</v>
      </c>
      <c r="J10" s="106">
        <f t="shared" ref="J10:J73" si="5">I10/$J$3</f>
        <v>1.0082548278520525E-2</v>
      </c>
      <c r="K10" s="31"/>
      <c r="L10" s="20" t="str">
        <f t="shared" si="1"/>
        <v/>
      </c>
      <c r="N10" s="1"/>
      <c r="P10" s="1">
        <v>4</v>
      </c>
      <c r="Q10" s="1">
        <f>'표점등급&amp;절평인원 입력 기능'!C7</f>
        <v>107</v>
      </c>
    </row>
    <row r="11" spans="1:17" ht="25" customHeight="1" x14ac:dyDescent="0.45">
      <c r="A11" s="5"/>
      <c r="B11" s="30"/>
      <c r="C11" s="107">
        <v>96</v>
      </c>
      <c r="D11" s="115">
        <f t="shared" si="2"/>
        <v>137</v>
      </c>
      <c r="E11" s="115">
        <f t="shared" si="0"/>
        <v>1</v>
      </c>
      <c r="F11" s="116">
        <f t="shared" si="3"/>
        <v>98.48</v>
      </c>
      <c r="G11" s="117">
        <f>IF(D11=D10,"",_xlfn.IFNA(VLOOKUP(D11,'인원 입력 기능(국수)'!$A$5:$D$103,4,FALSE),0))</f>
        <v>2719</v>
      </c>
      <c r="H11" s="118">
        <f t="shared" si="4"/>
        <v>1.0225456460013915E-2</v>
      </c>
      <c r="I11" s="119">
        <f>SUM($G$7:G11)</f>
        <v>5400</v>
      </c>
      <c r="J11" s="120">
        <f t="shared" si="5"/>
        <v>2.0308004738534439E-2</v>
      </c>
      <c r="K11" s="31"/>
      <c r="L11" s="20" t="str">
        <f t="shared" si="1"/>
        <v/>
      </c>
      <c r="N11" s="1"/>
      <c r="P11" s="1">
        <v>5</v>
      </c>
      <c r="Q11" s="1">
        <f>'표점등급&amp;절평인원 입력 기능'!C8</f>
        <v>94</v>
      </c>
    </row>
    <row r="12" spans="1:17" ht="25" customHeight="1" x14ac:dyDescent="0.45">
      <c r="A12" s="5"/>
      <c r="B12" s="30"/>
      <c r="C12" s="107">
        <v>95</v>
      </c>
      <c r="D12" s="121"/>
      <c r="E12" s="121"/>
      <c r="F12" s="122"/>
      <c r="G12" s="123"/>
      <c r="H12" s="124"/>
      <c r="I12" s="125"/>
      <c r="J12" s="126"/>
      <c r="K12" s="31"/>
      <c r="L12" s="20" t="str">
        <f t="shared" si="1"/>
        <v>경고</v>
      </c>
      <c r="N12" s="1"/>
      <c r="P12" s="1">
        <v>6</v>
      </c>
      <c r="Q12" s="1">
        <f>'표점등급&amp;절평인원 입력 기능'!C9</f>
        <v>81</v>
      </c>
    </row>
    <row r="13" spans="1:17" ht="25" customHeight="1" x14ac:dyDescent="0.45">
      <c r="A13" s="5"/>
      <c r="B13" s="30"/>
      <c r="C13" s="107">
        <v>94</v>
      </c>
      <c r="D13" s="101">
        <f t="shared" si="2"/>
        <v>136</v>
      </c>
      <c r="E13" s="101">
        <f t="shared" si="0"/>
        <v>1</v>
      </c>
      <c r="F13" s="102">
        <f t="shared" si="3"/>
        <v>97.62</v>
      </c>
      <c r="G13" s="103">
        <f>IF(D13=D12,"",_xlfn.IFNA(VLOOKUP(D13,'인원 입력 기능(국수)'!$A$5:$D$103,4,FALSE),0))</f>
        <v>1844</v>
      </c>
      <c r="H13" s="104">
        <f t="shared" si="4"/>
        <v>6.9348075440476865E-3</v>
      </c>
      <c r="I13" s="114">
        <f>SUM($G$7:G13)</f>
        <v>7244</v>
      </c>
      <c r="J13" s="106">
        <f t="shared" si="5"/>
        <v>2.7242812282582126E-2</v>
      </c>
      <c r="K13" s="31"/>
      <c r="L13" s="20" t="str">
        <f t="shared" si="1"/>
        <v/>
      </c>
      <c r="N13" s="1"/>
      <c r="P13" s="1">
        <v>7</v>
      </c>
      <c r="Q13" s="1">
        <f>'표점등급&amp;절평인원 입력 기능'!C10</f>
        <v>72</v>
      </c>
    </row>
    <row r="14" spans="1:17" ht="25" customHeight="1" x14ac:dyDescent="0.45">
      <c r="A14" s="5"/>
      <c r="B14" s="30"/>
      <c r="C14" s="107">
        <v>93</v>
      </c>
      <c r="D14" s="101">
        <f t="shared" si="2"/>
        <v>135</v>
      </c>
      <c r="E14" s="101">
        <f t="shared" si="0"/>
        <v>1</v>
      </c>
      <c r="F14" s="102">
        <f t="shared" si="3"/>
        <v>96.99</v>
      </c>
      <c r="G14" s="103">
        <f>IF(D14=D13,"",_xlfn.IFNA(VLOOKUP(D14,'인원 입력 기능(국수)'!$A$5:$D$103,4,FALSE),0))</f>
        <v>1537</v>
      </c>
      <c r="H14" s="104">
        <f t="shared" si="4"/>
        <v>5.7802598672458206E-3</v>
      </c>
      <c r="I14" s="114">
        <f>SUM($G$7:G14)</f>
        <v>8781</v>
      </c>
      <c r="J14" s="106">
        <f t="shared" si="5"/>
        <v>3.3023072149827949E-2</v>
      </c>
      <c r="K14" s="31"/>
      <c r="L14" s="20" t="str">
        <f t="shared" si="1"/>
        <v/>
      </c>
      <c r="N14" s="1"/>
      <c r="P14" s="1">
        <v>8</v>
      </c>
      <c r="Q14" s="1">
        <f>'표점등급&amp;절평인원 입력 기능'!C11</f>
        <v>69</v>
      </c>
    </row>
    <row r="15" spans="1:17" ht="25" customHeight="1" x14ac:dyDescent="0.45">
      <c r="A15" s="5"/>
      <c r="B15" s="30"/>
      <c r="C15" s="107">
        <v>92</v>
      </c>
      <c r="D15" s="101">
        <f t="shared" si="2"/>
        <v>134</v>
      </c>
      <c r="E15" s="101">
        <f t="shared" si="0"/>
        <v>1</v>
      </c>
      <c r="F15" s="102">
        <f t="shared" si="3"/>
        <v>96.36</v>
      </c>
      <c r="G15" s="103">
        <f>IF(D15=D14,"",_xlfn.IFNA(VLOOKUP(D15,'인원 입력 기능(국수)'!$A$5:$D$103,4,FALSE),0))</f>
        <v>1778</v>
      </c>
      <c r="H15" s="104">
        <f t="shared" si="4"/>
        <v>6.6865985972433765E-3</v>
      </c>
      <c r="I15" s="114">
        <f>SUM($G$7:G15)</f>
        <v>10559</v>
      </c>
      <c r="J15" s="106">
        <f t="shared" si="5"/>
        <v>3.9709670747071324E-2</v>
      </c>
      <c r="K15" s="31"/>
      <c r="L15" s="20" t="str">
        <f t="shared" si="1"/>
        <v/>
      </c>
      <c r="N15" s="1"/>
      <c r="P15" s="1">
        <v>9</v>
      </c>
      <c r="Q15" s="1"/>
    </row>
    <row r="16" spans="1:17" ht="25" customHeight="1" x14ac:dyDescent="0.45">
      <c r="A16" s="5"/>
      <c r="B16" s="30"/>
      <c r="C16" s="127">
        <v>91</v>
      </c>
      <c r="D16" s="101">
        <f t="shared" si="2"/>
        <v>133</v>
      </c>
      <c r="E16" s="128">
        <f t="shared" si="0"/>
        <v>1</v>
      </c>
      <c r="F16" s="102">
        <f t="shared" si="3"/>
        <v>95.66</v>
      </c>
      <c r="G16" s="103">
        <f>IF(D16=D15,"",_xlfn.IFNA(VLOOKUP(D16,'인원 입력 기능(국수)'!$A$5:$D$103,4,FALSE),0))</f>
        <v>1983</v>
      </c>
      <c r="H16" s="104">
        <f t="shared" si="4"/>
        <v>7.4575506289840353E-3</v>
      </c>
      <c r="I16" s="129">
        <f>SUM($G$7:G16)</f>
        <v>12542</v>
      </c>
      <c r="J16" s="106">
        <f t="shared" si="5"/>
        <v>4.7167221376055356E-2</v>
      </c>
      <c r="K16" s="31"/>
      <c r="L16" s="20" t="str">
        <f t="shared" si="1"/>
        <v/>
      </c>
      <c r="N16" s="1"/>
    </row>
    <row r="17" spans="1:17" ht="25" customHeight="1" x14ac:dyDescent="0.45">
      <c r="A17" s="5"/>
      <c r="B17" s="30"/>
      <c r="C17" s="127">
        <v>90</v>
      </c>
      <c r="D17" s="101">
        <f t="shared" si="2"/>
        <v>132</v>
      </c>
      <c r="E17" s="128">
        <f t="shared" si="0"/>
        <v>2</v>
      </c>
      <c r="F17" s="102">
        <f t="shared" si="3"/>
        <v>94.94</v>
      </c>
      <c r="G17" s="103">
        <f>IF(D17=D16,"",_xlfn.IFNA(VLOOKUP(D17,'인원 입력 기능(국수)'!$A$5:$D$103,4,FALSE),0))</f>
        <v>1805</v>
      </c>
      <c r="H17" s="104">
        <f t="shared" si="4"/>
        <v>6.7881386209360482E-3</v>
      </c>
      <c r="I17" s="129">
        <f>SUM($G$7:G17)</f>
        <v>14347</v>
      </c>
      <c r="J17" s="106">
        <f t="shared" si="5"/>
        <v>5.3955359996991407E-2</v>
      </c>
      <c r="K17" s="31"/>
      <c r="L17" s="20" t="str">
        <f t="shared" si="1"/>
        <v/>
      </c>
      <c r="N17" s="1"/>
      <c r="Q17" s="1">
        <f>Q7*H3*H4*J3*IFERROR(IF(J107=1, 1, 0), 0)</f>
        <v>42961120412.017502</v>
      </c>
    </row>
    <row r="18" spans="1:17" ht="25" customHeight="1" x14ac:dyDescent="0.45">
      <c r="A18" s="5"/>
      <c r="B18" s="30"/>
      <c r="C18" s="127">
        <v>89</v>
      </c>
      <c r="D18" s="101">
        <f t="shared" si="2"/>
        <v>131</v>
      </c>
      <c r="E18" s="128">
        <f t="shared" si="0"/>
        <v>2</v>
      </c>
      <c r="F18" s="102">
        <f t="shared" si="3"/>
        <v>94.18</v>
      </c>
      <c r="G18" s="103">
        <f>IF(D18=D17,"",_xlfn.IFNA(VLOOKUP(D18,'인원 입력 기능(국수)'!$A$5:$D$103,4,FALSE),0))</f>
        <v>2242</v>
      </c>
      <c r="H18" s="104">
        <f t="shared" si="4"/>
        <v>8.4315827081100393E-3</v>
      </c>
      <c r="I18" s="129">
        <f>SUM($G$7:G18)</f>
        <v>16589</v>
      </c>
      <c r="J18" s="106">
        <f t="shared" si="5"/>
        <v>6.2386942705101443E-2</v>
      </c>
      <c r="K18" s="31"/>
      <c r="L18" s="20" t="str">
        <f t="shared" si="1"/>
        <v/>
      </c>
      <c r="N18" s="1"/>
    </row>
    <row r="19" spans="1:17" ht="25" customHeight="1" x14ac:dyDescent="0.45">
      <c r="A19" s="5"/>
      <c r="B19" s="30"/>
      <c r="C19" s="127">
        <v>88</v>
      </c>
      <c r="D19" s="115">
        <f t="shared" si="2"/>
        <v>130</v>
      </c>
      <c r="E19" s="130">
        <f t="shared" si="0"/>
        <v>2</v>
      </c>
      <c r="F19" s="116">
        <f t="shared" si="3"/>
        <v>92.93</v>
      </c>
      <c r="G19" s="117">
        <f>IF(D19=D18,"",_xlfn.IFNA(VLOOKUP(D19,'인원 입력 기능(국수)'!$A$5:$D$103,4,FALSE),0))</f>
        <v>4439</v>
      </c>
      <c r="H19" s="118">
        <f t="shared" si="4"/>
        <v>1.669393204339896E-2</v>
      </c>
      <c r="I19" s="131">
        <f>SUM($G$7:G19)</f>
        <v>21028</v>
      </c>
      <c r="J19" s="120">
        <f t="shared" si="5"/>
        <v>7.908087474850041E-2</v>
      </c>
      <c r="K19" s="31"/>
      <c r="L19" s="20" t="str">
        <f t="shared" si="1"/>
        <v/>
      </c>
      <c r="N19" s="1"/>
    </row>
    <row r="20" spans="1:17" ht="25" customHeight="1" x14ac:dyDescent="0.45">
      <c r="A20" s="5"/>
      <c r="B20" s="30"/>
      <c r="C20" s="127">
        <v>87</v>
      </c>
      <c r="D20" s="121"/>
      <c r="E20" s="132"/>
      <c r="F20" s="122"/>
      <c r="G20" s="123"/>
      <c r="H20" s="124"/>
      <c r="I20" s="133"/>
      <c r="J20" s="126"/>
      <c r="K20" s="31"/>
      <c r="L20" s="20" t="str">
        <f t="shared" si="1"/>
        <v>경고</v>
      </c>
      <c r="N20" s="1"/>
    </row>
    <row r="21" spans="1:17" ht="25" customHeight="1" x14ac:dyDescent="0.45">
      <c r="A21" s="5"/>
      <c r="B21" s="30"/>
      <c r="C21" s="127">
        <v>86</v>
      </c>
      <c r="D21" s="101">
        <f t="shared" si="2"/>
        <v>129</v>
      </c>
      <c r="E21" s="128">
        <f t="shared" si="0"/>
        <v>2</v>
      </c>
      <c r="F21" s="102">
        <f t="shared" si="3"/>
        <v>91.65</v>
      </c>
      <c r="G21" s="103">
        <f>IF(D21=D20,"",_xlfn.IFNA(VLOOKUP(D21,'인원 입력 기능(국수)'!$A$5:$D$103,4,FALSE),0))</f>
        <v>2373</v>
      </c>
      <c r="H21" s="104">
        <f t="shared" si="4"/>
        <v>8.9242398601004115E-3</v>
      </c>
      <c r="I21" s="129">
        <f>SUM($G$7:G21)</f>
        <v>23401</v>
      </c>
      <c r="J21" s="106">
        <f t="shared" si="5"/>
        <v>8.8005114608600818E-2</v>
      </c>
      <c r="K21" s="31"/>
      <c r="L21" s="20" t="str">
        <f t="shared" si="1"/>
        <v/>
      </c>
      <c r="N21" s="1"/>
    </row>
    <row r="22" spans="1:17" ht="25" customHeight="1" x14ac:dyDescent="0.45">
      <c r="A22" s="5"/>
      <c r="B22" s="30"/>
      <c r="C22" s="127">
        <v>85</v>
      </c>
      <c r="D22" s="101">
        <f t="shared" si="2"/>
        <v>128</v>
      </c>
      <c r="E22" s="128">
        <f t="shared" si="0"/>
        <v>2</v>
      </c>
      <c r="F22" s="102">
        <f t="shared" si="3"/>
        <v>90.74</v>
      </c>
      <c r="G22" s="103">
        <f>IF(D22=D21,"",_xlfn.IFNA(VLOOKUP(D22,'인원 입력 기능(국수)'!$A$5:$D$103,4,FALSE),0))</f>
        <v>2427</v>
      </c>
      <c r="H22" s="104">
        <f t="shared" si="4"/>
        <v>9.1273199074857567E-3</v>
      </c>
      <c r="I22" s="129">
        <f>SUM($G$7:G22)</f>
        <v>25828</v>
      </c>
      <c r="J22" s="106">
        <f t="shared" si="5"/>
        <v>9.7132434516086566E-2</v>
      </c>
      <c r="K22" s="31"/>
      <c r="L22" s="20" t="str">
        <f t="shared" si="1"/>
        <v/>
      </c>
      <c r="N22" s="1"/>
    </row>
    <row r="23" spans="1:17" ht="25" customHeight="1" x14ac:dyDescent="0.45">
      <c r="A23" s="5"/>
      <c r="B23" s="30"/>
      <c r="C23" s="127">
        <v>84</v>
      </c>
      <c r="D23" s="101">
        <f t="shared" si="2"/>
        <v>127</v>
      </c>
      <c r="E23" s="128">
        <f t="shared" si="0"/>
        <v>2</v>
      </c>
      <c r="F23" s="102">
        <f t="shared" si="3"/>
        <v>89.8</v>
      </c>
      <c r="G23" s="103">
        <f>IF(D23=D22,"",_xlfn.IFNA(VLOOKUP(D23,'인원 입력 기능(국수)'!$A$5:$D$103,4,FALSE),0))</f>
        <v>2583</v>
      </c>
      <c r="H23" s="104">
        <f t="shared" si="4"/>
        <v>9.7139955999323065E-3</v>
      </c>
      <c r="I23" s="129">
        <f>SUM($G$7:G23)</f>
        <v>28411</v>
      </c>
      <c r="J23" s="106">
        <f t="shared" si="5"/>
        <v>0.10684643011601888</v>
      </c>
      <c r="K23" s="31"/>
      <c r="L23" s="20" t="str">
        <f t="shared" si="1"/>
        <v/>
      </c>
      <c r="N23" s="1"/>
    </row>
    <row r="24" spans="1:17" ht="25" customHeight="1" x14ac:dyDescent="0.45">
      <c r="A24" s="5"/>
      <c r="B24" s="30"/>
      <c r="C24" s="127">
        <v>83</v>
      </c>
      <c r="D24" s="101">
        <f t="shared" si="2"/>
        <v>126</v>
      </c>
      <c r="E24" s="128">
        <f t="shared" si="0"/>
        <v>2</v>
      </c>
      <c r="F24" s="102">
        <f t="shared" si="3"/>
        <v>88.83</v>
      </c>
      <c r="G24" s="103">
        <f>IF(D24=D23,"",_xlfn.IFNA(VLOOKUP(D24,'인원 입력 기능(국수)'!$A$5:$D$103,4,FALSE),0))</f>
        <v>2596</v>
      </c>
      <c r="H24" s="104">
        <f t="shared" si="4"/>
        <v>9.7628852409695193E-3</v>
      </c>
      <c r="I24" s="129">
        <f>SUM($G$7:G24)</f>
        <v>31007</v>
      </c>
      <c r="J24" s="106">
        <f t="shared" si="5"/>
        <v>0.1166093153569884</v>
      </c>
      <c r="K24" s="31"/>
      <c r="L24" s="20" t="str">
        <f t="shared" si="1"/>
        <v/>
      </c>
      <c r="N24" s="1"/>
    </row>
    <row r="25" spans="1:17" ht="25" customHeight="1" x14ac:dyDescent="0.45">
      <c r="A25" s="5"/>
      <c r="B25" s="30"/>
      <c r="C25" s="127">
        <v>82</v>
      </c>
      <c r="D25" s="101">
        <f t="shared" si="2"/>
        <v>125</v>
      </c>
      <c r="E25" s="128">
        <f t="shared" si="0"/>
        <v>3</v>
      </c>
      <c r="F25" s="102">
        <f t="shared" si="3"/>
        <v>87.83</v>
      </c>
      <c r="G25" s="103">
        <f>IF(D25=D24,"",_xlfn.IFNA(VLOOKUP(D25,'인원 입력 기능(국수)'!$A$5:$D$103,4,FALSE),0))</f>
        <v>2705</v>
      </c>
      <c r="H25" s="104">
        <f t="shared" si="4"/>
        <v>1.0172806077358454E-2</v>
      </c>
      <c r="I25" s="129">
        <f>SUM($G$7:G25)</f>
        <v>33712</v>
      </c>
      <c r="J25" s="106">
        <f t="shared" si="5"/>
        <v>0.12678212143434686</v>
      </c>
      <c r="K25" s="31"/>
      <c r="L25" s="20" t="str">
        <f t="shared" si="1"/>
        <v/>
      </c>
      <c r="N25" s="1"/>
    </row>
    <row r="26" spans="1:17" ht="25" customHeight="1" x14ac:dyDescent="0.45">
      <c r="A26" s="5"/>
      <c r="B26" s="30"/>
      <c r="C26" s="127">
        <v>81</v>
      </c>
      <c r="D26" s="101">
        <f t="shared" si="2"/>
        <v>124</v>
      </c>
      <c r="E26" s="128">
        <f t="shared" si="0"/>
        <v>3</v>
      </c>
      <c r="F26" s="102">
        <f t="shared" si="3"/>
        <v>86.8</v>
      </c>
      <c r="G26" s="103">
        <f>IF(D26=D25,"",_xlfn.IFNA(VLOOKUP(D26,'인원 입력 기능(국수)'!$A$5:$D$103,4,FALSE),0))</f>
        <v>2774</v>
      </c>
      <c r="H26" s="104">
        <f t="shared" si="4"/>
        <v>1.0432297249017506E-2</v>
      </c>
      <c r="I26" s="129">
        <f>SUM($G$7:G26)</f>
        <v>36486</v>
      </c>
      <c r="J26" s="106">
        <f t="shared" si="5"/>
        <v>0.13721441868336437</v>
      </c>
      <c r="K26" s="31"/>
      <c r="L26" s="20" t="str">
        <f t="shared" si="1"/>
        <v/>
      </c>
      <c r="N26" s="1"/>
    </row>
    <row r="27" spans="1:17" ht="25" customHeight="1" x14ac:dyDescent="0.45">
      <c r="A27" s="5"/>
      <c r="B27" s="30"/>
      <c r="C27" s="127">
        <v>80</v>
      </c>
      <c r="D27" s="115">
        <f t="shared" si="2"/>
        <v>123</v>
      </c>
      <c r="E27" s="130">
        <f t="shared" si="0"/>
        <v>3</v>
      </c>
      <c r="F27" s="116">
        <f t="shared" si="3"/>
        <v>85.16</v>
      </c>
      <c r="G27" s="117">
        <f>IF(D27=D26,"",_xlfn.IFNA(VLOOKUP(D27,'인원 입력 기능(국수)'!$A$5:$D$103,4,FALSE),0))</f>
        <v>5972</v>
      </c>
      <c r="H27" s="118">
        <f t="shared" si="4"/>
        <v>2.2459148944171791E-2</v>
      </c>
      <c r="I27" s="131">
        <f>SUM($G$7:G27)</f>
        <v>42458</v>
      </c>
      <c r="J27" s="120">
        <f t="shared" si="5"/>
        <v>0.15967356762753615</v>
      </c>
      <c r="K27" s="31"/>
      <c r="L27" s="20" t="str">
        <f t="shared" si="1"/>
        <v/>
      </c>
      <c r="N27" s="1"/>
    </row>
    <row r="28" spans="1:17" ht="25" customHeight="1" x14ac:dyDescent="0.45">
      <c r="A28" s="5"/>
      <c r="B28" s="30"/>
      <c r="C28" s="127">
        <v>79</v>
      </c>
      <c r="D28" s="121"/>
      <c r="E28" s="132"/>
      <c r="F28" s="122"/>
      <c r="G28" s="123"/>
      <c r="H28" s="124"/>
      <c r="I28" s="133"/>
      <c r="J28" s="126"/>
      <c r="K28" s="31"/>
      <c r="L28" s="20" t="str">
        <f t="shared" si="1"/>
        <v>경고</v>
      </c>
      <c r="N28" s="1"/>
    </row>
    <row r="29" spans="1:17" ht="25" customHeight="1" x14ac:dyDescent="0.45">
      <c r="A29" s="5"/>
      <c r="B29" s="30"/>
      <c r="C29" s="127">
        <v>78</v>
      </c>
      <c r="D29" s="101">
        <f t="shared" si="2"/>
        <v>122</v>
      </c>
      <c r="E29" s="128">
        <f t="shared" si="0"/>
        <v>3</v>
      </c>
      <c r="F29" s="102">
        <f t="shared" si="3"/>
        <v>83.47</v>
      </c>
      <c r="G29" s="103">
        <f>IF(D29=D28,"",_xlfn.IFNA(VLOOKUP(D29,'인원 입력 기능(국수)'!$A$5:$D$103,4,FALSE),0))</f>
        <v>3000</v>
      </c>
      <c r="H29" s="104">
        <f t="shared" si="4"/>
        <v>1.1282224854741355E-2</v>
      </c>
      <c r="I29" s="129">
        <f>SUM($G$7:G29)</f>
        <v>45458</v>
      </c>
      <c r="J29" s="106">
        <f t="shared" si="5"/>
        <v>0.17095579248227752</v>
      </c>
      <c r="K29" s="31"/>
      <c r="L29" s="20" t="str">
        <f t="shared" si="1"/>
        <v/>
      </c>
      <c r="N29" s="1"/>
    </row>
    <row r="30" spans="1:17" ht="25" customHeight="1" x14ac:dyDescent="0.45">
      <c r="A30" s="5"/>
      <c r="B30" s="30"/>
      <c r="C30" s="127">
        <v>77</v>
      </c>
      <c r="D30" s="101">
        <f t="shared" si="2"/>
        <v>121</v>
      </c>
      <c r="E30" s="128">
        <f t="shared" si="0"/>
        <v>3</v>
      </c>
      <c r="F30" s="102">
        <f t="shared" si="3"/>
        <v>82.31</v>
      </c>
      <c r="G30" s="103">
        <f>IF(D30=D29,"",_xlfn.IFNA(VLOOKUP(D30,'인원 입력 기능(국수)'!$A$5:$D$103,4,FALSE),0))</f>
        <v>3166</v>
      </c>
      <c r="H30" s="104">
        <f t="shared" si="4"/>
        <v>1.1906507963370377E-2</v>
      </c>
      <c r="I30" s="129">
        <f>SUM($G$7:G30)</f>
        <v>48624</v>
      </c>
      <c r="J30" s="106">
        <f t="shared" si="5"/>
        <v>0.18286230044564789</v>
      </c>
      <c r="K30" s="31"/>
      <c r="L30" s="20" t="str">
        <f t="shared" si="1"/>
        <v/>
      </c>
      <c r="N30" s="1"/>
    </row>
    <row r="31" spans="1:17" ht="25" customHeight="1" x14ac:dyDescent="0.45">
      <c r="A31" s="5"/>
      <c r="B31" s="30"/>
      <c r="C31" s="127">
        <v>76</v>
      </c>
      <c r="D31" s="101">
        <f t="shared" si="2"/>
        <v>120</v>
      </c>
      <c r="E31" s="128">
        <f t="shared" si="0"/>
        <v>3</v>
      </c>
      <c r="F31" s="102">
        <f t="shared" si="3"/>
        <v>81.099999999999994</v>
      </c>
      <c r="G31" s="103">
        <f>IF(D31=D30,"",_xlfn.IFNA(VLOOKUP(D31,'인원 입력 기능(국수)'!$A$5:$D$103,4,FALSE),0))</f>
        <v>3244</v>
      </c>
      <c r="H31" s="104">
        <f t="shared" si="4"/>
        <v>1.2199845809593652E-2</v>
      </c>
      <c r="I31" s="129">
        <f>SUM($G$7:G31)</f>
        <v>51868</v>
      </c>
      <c r="J31" s="106">
        <f t="shared" si="5"/>
        <v>0.19506214625524154</v>
      </c>
      <c r="K31" s="31"/>
      <c r="L31" s="20" t="str">
        <f t="shared" si="1"/>
        <v/>
      </c>
      <c r="N31" s="1"/>
    </row>
    <row r="32" spans="1:17" ht="25" customHeight="1" x14ac:dyDescent="0.45">
      <c r="A32" s="5"/>
      <c r="B32" s="30"/>
      <c r="C32" s="127">
        <v>75</v>
      </c>
      <c r="D32" s="101">
        <f t="shared" si="2"/>
        <v>119</v>
      </c>
      <c r="E32" s="128">
        <f t="shared" si="0"/>
        <v>3</v>
      </c>
      <c r="F32" s="102">
        <f t="shared" si="3"/>
        <v>79.87</v>
      </c>
      <c r="G32" s="103">
        <f>IF(D32=D31,"",_xlfn.IFNA(VLOOKUP(D32,'인원 입력 기능(국수)'!$A$5:$D$103,4,FALSE),0))</f>
        <v>3304</v>
      </c>
      <c r="H32" s="104">
        <f t="shared" si="4"/>
        <v>1.2425490306688479E-2</v>
      </c>
      <c r="I32" s="129">
        <f>SUM($G$7:G32)</f>
        <v>55172</v>
      </c>
      <c r="J32" s="106">
        <f t="shared" si="5"/>
        <v>0.20748763656193001</v>
      </c>
      <c r="K32" s="31"/>
      <c r="L32" s="20" t="str">
        <f t="shared" si="1"/>
        <v/>
      </c>
      <c r="N32" s="1"/>
    </row>
    <row r="33" spans="1:14" ht="25" customHeight="1" x14ac:dyDescent="0.45">
      <c r="A33" s="5"/>
      <c r="B33" s="30"/>
      <c r="C33" s="127">
        <v>74</v>
      </c>
      <c r="D33" s="101">
        <f t="shared" si="2"/>
        <v>118</v>
      </c>
      <c r="E33" s="128">
        <f t="shared" si="0"/>
        <v>3</v>
      </c>
      <c r="F33" s="102">
        <f t="shared" si="3"/>
        <v>78.63</v>
      </c>
      <c r="G33" s="103">
        <f>IF(D33=D32,"",_xlfn.IFNA(VLOOKUP(D33,'인원 입력 기능(국수)'!$A$5:$D$103,4,FALSE),0))</f>
        <v>3330</v>
      </c>
      <c r="H33" s="104">
        <f t="shared" si="4"/>
        <v>1.2523269588762905E-2</v>
      </c>
      <c r="I33" s="129">
        <f>SUM($G$7:G33)</f>
        <v>58502</v>
      </c>
      <c r="J33" s="106">
        <f t="shared" si="5"/>
        <v>0.22001090615069291</v>
      </c>
      <c r="K33" s="31"/>
      <c r="L33" s="20" t="str">
        <f t="shared" si="1"/>
        <v/>
      </c>
      <c r="N33" s="1"/>
    </row>
    <row r="34" spans="1:14" ht="25" customHeight="1" x14ac:dyDescent="0.45">
      <c r="A34" s="5"/>
      <c r="B34" s="30"/>
      <c r="C34" s="127">
        <v>73</v>
      </c>
      <c r="D34" s="101">
        <f t="shared" si="2"/>
        <v>117</v>
      </c>
      <c r="E34" s="128">
        <f t="shared" si="0"/>
        <v>3</v>
      </c>
      <c r="F34" s="102">
        <f t="shared" si="3"/>
        <v>77.36</v>
      </c>
      <c r="G34" s="103">
        <f>IF(D34=D33,"",_xlfn.IFNA(VLOOKUP(D34,'인원 입력 기능(국수)'!$A$5:$D$103,4,FALSE),0))</f>
        <v>3389</v>
      </c>
      <c r="H34" s="104">
        <f t="shared" si="4"/>
        <v>1.2745153344239485E-2</v>
      </c>
      <c r="I34" s="129">
        <f>SUM($G$7:G34)</f>
        <v>61891</v>
      </c>
      <c r="J34" s="106">
        <f t="shared" si="5"/>
        <v>0.23275605949493239</v>
      </c>
      <c r="K34" s="31"/>
      <c r="L34" s="20" t="str">
        <f t="shared" si="1"/>
        <v/>
      </c>
      <c r="N34" s="1"/>
    </row>
    <row r="35" spans="1:14" ht="25" customHeight="1" x14ac:dyDescent="0.45">
      <c r="A35" s="5"/>
      <c r="B35" s="30"/>
      <c r="C35" s="127">
        <v>72</v>
      </c>
      <c r="D35" s="115">
        <f t="shared" si="2"/>
        <v>116</v>
      </c>
      <c r="E35" s="130">
        <f t="shared" si="0"/>
        <v>4</v>
      </c>
      <c r="F35" s="116">
        <f t="shared" si="3"/>
        <v>75.36</v>
      </c>
      <c r="G35" s="117">
        <f>IF(D35=D34,"",_xlfn.IFNA(VLOOKUP(D35,'인원 입력 기능(국수)'!$A$5:$D$103,4,FALSE),0))</f>
        <v>7256</v>
      </c>
      <c r="H35" s="118">
        <f t="shared" si="4"/>
        <v>2.7287941182001091E-2</v>
      </c>
      <c r="I35" s="131">
        <f>SUM($G$7:G35)</f>
        <v>69147</v>
      </c>
      <c r="J35" s="120">
        <f t="shared" si="5"/>
        <v>0.26004400067693351</v>
      </c>
      <c r="K35" s="31"/>
      <c r="L35" s="20" t="str">
        <f t="shared" si="1"/>
        <v/>
      </c>
      <c r="N35" s="1"/>
    </row>
    <row r="36" spans="1:14" ht="25" customHeight="1" x14ac:dyDescent="0.45">
      <c r="A36" s="5"/>
      <c r="B36" s="30"/>
      <c r="C36" s="127">
        <v>71</v>
      </c>
      <c r="D36" s="121"/>
      <c r="E36" s="132"/>
      <c r="F36" s="122"/>
      <c r="G36" s="123"/>
      <c r="H36" s="124"/>
      <c r="I36" s="133"/>
      <c r="J36" s="126"/>
      <c r="K36" s="31"/>
      <c r="L36" s="20" t="str">
        <f t="shared" si="1"/>
        <v>경고</v>
      </c>
      <c r="N36" s="1"/>
    </row>
    <row r="37" spans="1:14" ht="25" customHeight="1" x14ac:dyDescent="0.45">
      <c r="A37" s="5"/>
      <c r="B37" s="30"/>
      <c r="C37" s="127">
        <v>70</v>
      </c>
      <c r="D37" s="101">
        <f t="shared" si="2"/>
        <v>115</v>
      </c>
      <c r="E37" s="128">
        <f t="shared" si="0"/>
        <v>4</v>
      </c>
      <c r="F37" s="102">
        <f t="shared" si="3"/>
        <v>73.34</v>
      </c>
      <c r="G37" s="103">
        <f>IF(D37=D36,"",_xlfn.IFNA(VLOOKUP(D37,'인원 입력 기능(국수)'!$A$5:$D$103,4,FALSE),0))</f>
        <v>3511</v>
      </c>
      <c r="H37" s="104">
        <f t="shared" si="4"/>
        <v>1.3203963821665632E-2</v>
      </c>
      <c r="I37" s="129">
        <f>SUM($G$7:G37)</f>
        <v>72658</v>
      </c>
      <c r="J37" s="106">
        <f t="shared" si="5"/>
        <v>0.27324796449859912</v>
      </c>
      <c r="K37" s="31"/>
      <c r="L37" s="20" t="str">
        <f t="shared" si="1"/>
        <v/>
      </c>
      <c r="N37" s="1"/>
    </row>
    <row r="38" spans="1:14" ht="25" customHeight="1" x14ac:dyDescent="0.45">
      <c r="A38" s="5"/>
      <c r="B38" s="30"/>
      <c r="C38" s="127">
        <v>69</v>
      </c>
      <c r="D38" s="101">
        <f t="shared" si="2"/>
        <v>114</v>
      </c>
      <c r="E38" s="128">
        <f t="shared" si="0"/>
        <v>4</v>
      </c>
      <c r="F38" s="102">
        <f t="shared" si="3"/>
        <v>71.97</v>
      </c>
      <c r="G38" s="103">
        <f>IF(D38=D37,"",_xlfn.IFNA(VLOOKUP(D38,'인원 입력 기능(국수)'!$A$5:$D$103,4,FALSE),0))</f>
        <v>3770</v>
      </c>
      <c r="H38" s="104">
        <f t="shared" si="4"/>
        <v>1.4177995900791636E-2</v>
      </c>
      <c r="I38" s="129">
        <f>SUM($G$7:G38)</f>
        <v>76428</v>
      </c>
      <c r="J38" s="106">
        <f t="shared" si="5"/>
        <v>0.28742596039939078</v>
      </c>
      <c r="K38" s="31"/>
      <c r="L38" s="20" t="str">
        <f t="shared" si="1"/>
        <v/>
      </c>
      <c r="N38" s="1"/>
    </row>
    <row r="39" spans="1:14" ht="25" customHeight="1" x14ac:dyDescent="0.45">
      <c r="A39" s="5"/>
      <c r="B39" s="30"/>
      <c r="C39" s="127">
        <v>68</v>
      </c>
      <c r="D39" s="101">
        <f t="shared" si="2"/>
        <v>113</v>
      </c>
      <c r="E39" s="128">
        <f t="shared" ref="E39:E70" si="6">IF(ROUND(D39,0)&gt;=$Q$7,1,IF(ROUND(D39,0)&gt;=$Q$8,2,IF(ROUND(D39,0)&gt;=$Q$9,3,IF(ROUND(D39,0)&gt;=$Q$10,4,IF(ROUND(D39,0)&gt;=$Q$11,5,IF(ROUND(D39,0)&gt;=$Q$12,6,IF(ROUND(D39,0)&gt;=$Q$13,7,IF(ROUND(D39,0)&gt;=$Q$14,8,9))))))))</f>
        <v>4</v>
      </c>
      <c r="F39" s="102">
        <f t="shared" si="3"/>
        <v>70.55</v>
      </c>
      <c r="G39" s="103">
        <f>IF(D39=D38,"",_xlfn.IFNA(VLOOKUP(D39,'인원 입력 기능(국수)'!$A$5:$D$103,4,FALSE),0))</f>
        <v>3775</v>
      </c>
      <c r="H39" s="104">
        <f t="shared" si="4"/>
        <v>1.4196799608882872E-2</v>
      </c>
      <c r="I39" s="129">
        <f>SUM($G$7:G39)</f>
        <v>80203</v>
      </c>
      <c r="J39" s="106">
        <f t="shared" si="5"/>
        <v>0.30162276000827365</v>
      </c>
      <c r="K39" s="31"/>
      <c r="L39" s="20" t="str">
        <f t="shared" si="1"/>
        <v/>
      </c>
      <c r="N39" s="1"/>
    </row>
    <row r="40" spans="1:14" ht="25" customHeight="1" x14ac:dyDescent="0.45">
      <c r="A40" s="5"/>
      <c r="B40" s="30"/>
      <c r="C40" s="127">
        <v>67</v>
      </c>
      <c r="D40" s="101">
        <f t="shared" si="2"/>
        <v>112</v>
      </c>
      <c r="E40" s="128">
        <f t="shared" si="6"/>
        <v>4</v>
      </c>
      <c r="F40" s="102">
        <f t="shared" si="3"/>
        <v>69.13</v>
      </c>
      <c r="G40" s="103">
        <f>IF(D40=D39,"",_xlfn.IFNA(VLOOKUP(D40,'인원 입력 기능(국수)'!$A$5:$D$103,4,FALSE),0))</f>
        <v>3779</v>
      </c>
      <c r="H40" s="104">
        <f t="shared" si="4"/>
        <v>1.4211842575355861E-2</v>
      </c>
      <c r="I40" s="129">
        <f>SUM($G$7:G40)</f>
        <v>83982</v>
      </c>
      <c r="J40" s="106">
        <f t="shared" si="5"/>
        <v>0.3158346025836295</v>
      </c>
      <c r="K40" s="31"/>
      <c r="L40" s="20" t="str">
        <f t="shared" si="1"/>
        <v/>
      </c>
      <c r="N40" s="1"/>
    </row>
    <row r="41" spans="1:14" ht="25" customHeight="1" x14ac:dyDescent="0.45">
      <c r="A41" s="5"/>
      <c r="B41" s="30"/>
      <c r="C41" s="127">
        <v>66</v>
      </c>
      <c r="D41" s="101">
        <f t="shared" si="2"/>
        <v>111</v>
      </c>
      <c r="E41" s="128">
        <f t="shared" si="6"/>
        <v>4</v>
      </c>
      <c r="F41" s="102">
        <f t="shared" si="3"/>
        <v>67.67</v>
      </c>
      <c r="G41" s="103">
        <f>IF(D41=D40,"",_xlfn.IFNA(VLOOKUP(D41,'인원 입력 기능(국수)'!$A$5:$D$103,4,FALSE),0))</f>
        <v>3951</v>
      </c>
      <c r="H41" s="104">
        <f t="shared" si="4"/>
        <v>1.4858690133694365E-2</v>
      </c>
      <c r="I41" s="129">
        <f>SUM($G$7:G41)</f>
        <v>87933</v>
      </c>
      <c r="J41" s="106">
        <f t="shared" si="5"/>
        <v>0.33069329271732384</v>
      </c>
      <c r="K41" s="31"/>
      <c r="L41" s="20" t="str">
        <f t="shared" ref="L41:L72" si="7">IF(ABS((C41-$H$3)/$H$4*20+100-D41)&gt;0.49, "경고", "")</f>
        <v/>
      </c>
      <c r="N41" s="1"/>
    </row>
    <row r="42" spans="1:14" ht="25" customHeight="1" x14ac:dyDescent="0.45">
      <c r="A42" s="5"/>
      <c r="B42" s="30"/>
      <c r="C42" s="127">
        <v>65</v>
      </c>
      <c r="D42" s="101">
        <f t="shared" si="2"/>
        <v>110</v>
      </c>
      <c r="E42" s="128">
        <f t="shared" si="6"/>
        <v>4</v>
      </c>
      <c r="F42" s="102">
        <f t="shared" si="3"/>
        <v>66.2</v>
      </c>
      <c r="G42" s="103">
        <f>IF(D42=D41,"",_xlfn.IFNA(VLOOKUP(D42,'인원 입력 기능(국수)'!$A$5:$D$103,4,FALSE),0))</f>
        <v>3864</v>
      </c>
      <c r="H42" s="104">
        <f t="shared" si="4"/>
        <v>1.4531505612906866E-2</v>
      </c>
      <c r="I42" s="129">
        <f>SUM($G$7:G42)</f>
        <v>91797</v>
      </c>
      <c r="J42" s="106">
        <f t="shared" si="5"/>
        <v>0.34522479833023073</v>
      </c>
      <c r="K42" s="31"/>
      <c r="L42" s="20" t="str">
        <f t="shared" si="7"/>
        <v/>
      </c>
      <c r="N42" s="1"/>
    </row>
    <row r="43" spans="1:14" ht="25" customHeight="1" x14ac:dyDescent="0.45">
      <c r="A43" s="5"/>
      <c r="B43" s="30"/>
      <c r="C43" s="127">
        <v>64</v>
      </c>
      <c r="D43" s="101">
        <f t="shared" si="2"/>
        <v>109</v>
      </c>
      <c r="E43" s="128">
        <f t="shared" si="6"/>
        <v>4</v>
      </c>
      <c r="F43" s="102">
        <f t="shared" si="3"/>
        <v>64.7</v>
      </c>
      <c r="G43" s="103">
        <f>IF(D43=D42,"",_xlfn.IFNA(VLOOKUP(D43,'인원 입력 기능(국수)'!$A$5:$D$103,4,FALSE),0))</f>
        <v>4120</v>
      </c>
      <c r="H43" s="104">
        <f t="shared" si="4"/>
        <v>1.5494255467178128E-2</v>
      </c>
      <c r="I43" s="129">
        <f>SUM($G$7:G43)</f>
        <v>95917</v>
      </c>
      <c r="J43" s="106">
        <f t="shared" si="5"/>
        <v>0.36071905379740887</v>
      </c>
      <c r="K43" s="31"/>
      <c r="L43" s="20" t="str">
        <f t="shared" si="7"/>
        <v/>
      </c>
      <c r="N43" s="1"/>
    </row>
    <row r="44" spans="1:14" ht="25" customHeight="1" x14ac:dyDescent="0.45">
      <c r="A44" s="5"/>
      <c r="B44" s="30"/>
      <c r="C44" s="127">
        <v>63</v>
      </c>
      <c r="D44" s="115">
        <f t="shared" si="2"/>
        <v>108</v>
      </c>
      <c r="E44" s="130">
        <f t="shared" si="6"/>
        <v>4</v>
      </c>
      <c r="F44" s="116">
        <f t="shared" si="3"/>
        <v>62.41</v>
      </c>
      <c r="G44" s="117">
        <f>IF(D44=D43,"",_xlfn.IFNA(VLOOKUP(D44,'인원 입력 기능(국수)'!$A$5:$D$103,4,FALSE),0))</f>
        <v>8086</v>
      </c>
      <c r="H44" s="118">
        <f t="shared" si="4"/>
        <v>3.0409356725146199E-2</v>
      </c>
      <c r="I44" s="131">
        <f>SUM($G$7:G44)</f>
        <v>104003</v>
      </c>
      <c r="J44" s="120">
        <f t="shared" si="5"/>
        <v>0.39112841052255504</v>
      </c>
      <c r="K44" s="31"/>
      <c r="L44" s="20" t="str">
        <f t="shared" si="7"/>
        <v/>
      </c>
      <c r="N44" s="1"/>
    </row>
    <row r="45" spans="1:14" ht="25" customHeight="1" x14ac:dyDescent="0.45">
      <c r="A45" s="5"/>
      <c r="B45" s="30"/>
      <c r="C45" s="127">
        <v>62</v>
      </c>
      <c r="D45" s="121"/>
      <c r="E45" s="132"/>
      <c r="F45" s="122"/>
      <c r="G45" s="123"/>
      <c r="H45" s="124"/>
      <c r="I45" s="133"/>
      <c r="J45" s="126"/>
      <c r="K45" s="31"/>
      <c r="L45" s="20" t="str">
        <f t="shared" si="7"/>
        <v>경고</v>
      </c>
      <c r="N45" s="1"/>
    </row>
    <row r="46" spans="1:14" ht="25" customHeight="1" x14ac:dyDescent="0.45">
      <c r="A46" s="5"/>
      <c r="B46" s="30"/>
      <c r="C46" s="127">
        <v>61</v>
      </c>
      <c r="D46" s="101">
        <f t="shared" si="2"/>
        <v>107</v>
      </c>
      <c r="E46" s="128">
        <f t="shared" si="6"/>
        <v>4</v>
      </c>
      <c r="F46" s="102">
        <f t="shared" si="3"/>
        <v>60.14</v>
      </c>
      <c r="G46" s="103">
        <f>IF(D46=D45,"",_xlfn.IFNA(VLOOKUP(D46,'인원 입력 기능(국수)'!$A$5:$D$103,4,FALSE),0))</f>
        <v>3988</v>
      </c>
      <c r="H46" s="104">
        <f t="shared" si="4"/>
        <v>1.4997837573569508E-2</v>
      </c>
      <c r="I46" s="129">
        <f>SUM($G$7:G46)</f>
        <v>107991</v>
      </c>
      <c r="J46" s="106">
        <f t="shared" si="5"/>
        <v>0.40612624809612458</v>
      </c>
      <c r="K46" s="31"/>
      <c r="L46" s="20" t="str">
        <f t="shared" si="7"/>
        <v/>
      </c>
      <c r="N46" s="1"/>
    </row>
    <row r="47" spans="1:14" ht="25" customHeight="1" x14ac:dyDescent="0.45">
      <c r="A47" s="5"/>
      <c r="B47" s="30"/>
      <c r="C47" s="127">
        <v>60</v>
      </c>
      <c r="D47" s="101">
        <f t="shared" si="2"/>
        <v>106</v>
      </c>
      <c r="E47" s="128">
        <f t="shared" si="6"/>
        <v>5</v>
      </c>
      <c r="F47" s="102">
        <f t="shared" si="3"/>
        <v>58.64</v>
      </c>
      <c r="G47" s="103">
        <f>IF(D47=D46,"",_xlfn.IFNA(VLOOKUP(D47,'인원 입력 기능(국수)'!$A$5:$D$103,4,FALSE),0))</f>
        <v>3980</v>
      </c>
      <c r="H47" s="104">
        <f t="shared" si="4"/>
        <v>1.4967751640623531E-2</v>
      </c>
      <c r="I47" s="129">
        <f>SUM($G$7:G47)</f>
        <v>111971</v>
      </c>
      <c r="J47" s="106">
        <f t="shared" si="5"/>
        <v>0.4210939997367481</v>
      </c>
      <c r="K47" s="31"/>
      <c r="L47" s="20" t="str">
        <f t="shared" si="7"/>
        <v/>
      </c>
      <c r="N47" s="1"/>
    </row>
    <row r="48" spans="1:14" ht="25" customHeight="1" x14ac:dyDescent="0.45">
      <c r="A48" s="5"/>
      <c r="B48" s="30"/>
      <c r="C48" s="127">
        <v>59</v>
      </c>
      <c r="D48" s="101">
        <f t="shared" si="2"/>
        <v>105</v>
      </c>
      <c r="E48" s="128">
        <f t="shared" si="6"/>
        <v>5</v>
      </c>
      <c r="F48" s="102">
        <f t="shared" si="3"/>
        <v>57.14</v>
      </c>
      <c r="G48" s="103">
        <f>IF(D48=D47,"",_xlfn.IFNA(VLOOKUP(D48,'인원 입력 기능(국수)'!$A$5:$D$103,4,FALSE),0))</f>
        <v>3989</v>
      </c>
      <c r="H48" s="104">
        <f t="shared" si="4"/>
        <v>1.5001598315187756E-2</v>
      </c>
      <c r="I48" s="129">
        <f>SUM($G$7:G48)</f>
        <v>115960</v>
      </c>
      <c r="J48" s="106">
        <f t="shared" si="5"/>
        <v>0.43609559805193582</v>
      </c>
      <c r="K48" s="31"/>
      <c r="L48" s="20" t="str">
        <f t="shared" si="7"/>
        <v/>
      </c>
      <c r="N48" s="1"/>
    </row>
    <row r="49" spans="1:14" ht="25" customHeight="1" x14ac:dyDescent="0.45">
      <c r="A49" s="5"/>
      <c r="B49" s="30"/>
      <c r="C49" s="127">
        <v>58</v>
      </c>
      <c r="D49" s="101">
        <f t="shared" si="2"/>
        <v>104</v>
      </c>
      <c r="E49" s="128">
        <f t="shared" si="6"/>
        <v>5</v>
      </c>
      <c r="F49" s="102">
        <f t="shared" si="3"/>
        <v>55.67</v>
      </c>
      <c r="G49" s="103">
        <f>IF(D49=D48,"",_xlfn.IFNA(VLOOKUP(D49,'인원 입력 기능(국수)'!$A$5:$D$103,4,FALSE),0))</f>
        <v>3854</v>
      </c>
      <c r="H49" s="104">
        <f t="shared" si="4"/>
        <v>1.4493898196724394E-2</v>
      </c>
      <c r="I49" s="129">
        <f>SUM($G$7:G49)</f>
        <v>119814</v>
      </c>
      <c r="J49" s="106">
        <f t="shared" si="5"/>
        <v>0.45058949624866024</v>
      </c>
      <c r="K49" s="31"/>
      <c r="L49" s="20" t="str">
        <f t="shared" si="7"/>
        <v/>
      </c>
      <c r="N49" s="1"/>
    </row>
    <row r="50" spans="1:14" ht="25" customHeight="1" x14ac:dyDescent="0.45">
      <c r="A50" s="5"/>
      <c r="B50" s="30"/>
      <c r="C50" s="127">
        <v>57</v>
      </c>
      <c r="D50" s="101">
        <f t="shared" si="2"/>
        <v>103</v>
      </c>
      <c r="E50" s="128">
        <f t="shared" si="6"/>
        <v>5</v>
      </c>
      <c r="F50" s="102">
        <f t="shared" si="3"/>
        <v>54.18</v>
      </c>
      <c r="G50" s="103">
        <f>IF(D50=D49,"",_xlfn.IFNA(VLOOKUP(D50,'인원 입력 기능(국수)'!$A$5:$D$103,4,FALSE),0))</f>
        <v>4035</v>
      </c>
      <c r="H50" s="104">
        <f t="shared" si="4"/>
        <v>1.5174592429627123E-2</v>
      </c>
      <c r="I50" s="129">
        <f>SUM($G$7:G50)</f>
        <v>123849</v>
      </c>
      <c r="J50" s="106">
        <f t="shared" si="5"/>
        <v>0.46576408867828734</v>
      </c>
      <c r="K50" s="31"/>
      <c r="L50" s="20" t="str">
        <f t="shared" si="7"/>
        <v/>
      </c>
      <c r="N50" s="1"/>
    </row>
    <row r="51" spans="1:14" ht="25" customHeight="1" x14ac:dyDescent="0.45">
      <c r="A51" s="5"/>
      <c r="B51" s="30"/>
      <c r="C51" s="127">
        <v>56</v>
      </c>
      <c r="D51" s="101">
        <f t="shared" si="2"/>
        <v>102</v>
      </c>
      <c r="E51" s="128">
        <f t="shared" si="6"/>
        <v>5</v>
      </c>
      <c r="F51" s="102">
        <f t="shared" si="3"/>
        <v>52.68</v>
      </c>
      <c r="G51" s="103">
        <f>IF(D51=D50,"",_xlfn.IFNA(VLOOKUP(D51,'인원 입력 기능(국수)'!$A$5:$D$103,4,FALSE),0))</f>
        <v>3959</v>
      </c>
      <c r="H51" s="104">
        <f t="shared" si="4"/>
        <v>1.4888776066640342E-2</v>
      </c>
      <c r="I51" s="129">
        <f>SUM($G$7:G51)</f>
        <v>127808</v>
      </c>
      <c r="J51" s="106">
        <f t="shared" si="5"/>
        <v>0.48065286474492769</v>
      </c>
      <c r="K51" s="31"/>
      <c r="L51" s="20" t="str">
        <f t="shared" si="7"/>
        <v/>
      </c>
      <c r="N51" s="1"/>
    </row>
    <row r="52" spans="1:14" ht="25" customHeight="1" x14ac:dyDescent="0.45">
      <c r="A52" s="5"/>
      <c r="B52" s="30"/>
      <c r="C52" s="127">
        <v>55</v>
      </c>
      <c r="D52" s="115">
        <f t="shared" si="2"/>
        <v>101</v>
      </c>
      <c r="E52" s="130">
        <f t="shared" si="6"/>
        <v>5</v>
      </c>
      <c r="F52" s="116">
        <f t="shared" si="3"/>
        <v>50.49</v>
      </c>
      <c r="G52" s="117">
        <f>IF(D52=D51,"",_xlfn.IFNA(VLOOKUP(D52,'인원 입력 기능(국수)'!$A$5:$D$103,4,FALSE),0))</f>
        <v>7709</v>
      </c>
      <c r="H52" s="118">
        <f t="shared" si="4"/>
        <v>2.8991557135067035E-2</v>
      </c>
      <c r="I52" s="131">
        <f>SUM($G$7:G52)</f>
        <v>135517</v>
      </c>
      <c r="J52" s="120">
        <f t="shared" si="5"/>
        <v>0.5096444218799947</v>
      </c>
      <c r="K52" s="31"/>
      <c r="L52" s="20" t="str">
        <f t="shared" si="7"/>
        <v/>
      </c>
      <c r="N52" s="1"/>
    </row>
    <row r="53" spans="1:14" ht="25" customHeight="1" x14ac:dyDescent="0.45">
      <c r="A53" s="5"/>
      <c r="B53" s="30"/>
      <c r="C53" s="127">
        <v>54</v>
      </c>
      <c r="D53" s="121"/>
      <c r="E53" s="132"/>
      <c r="F53" s="122"/>
      <c r="G53" s="123"/>
      <c r="H53" s="124"/>
      <c r="I53" s="133"/>
      <c r="J53" s="126"/>
      <c r="K53" s="31"/>
      <c r="L53" s="20" t="str">
        <f t="shared" si="7"/>
        <v>경고</v>
      </c>
      <c r="N53" s="1"/>
    </row>
    <row r="54" spans="1:14" ht="25" customHeight="1" x14ac:dyDescent="0.45">
      <c r="A54" s="5"/>
      <c r="B54" s="30"/>
      <c r="C54" s="127">
        <v>53</v>
      </c>
      <c r="D54" s="101">
        <f t="shared" si="2"/>
        <v>100</v>
      </c>
      <c r="E54" s="128">
        <f t="shared" si="6"/>
        <v>5</v>
      </c>
      <c r="F54" s="102">
        <f t="shared" si="3"/>
        <v>48.33</v>
      </c>
      <c r="G54" s="103">
        <f>IF(D54=D53,"",_xlfn.IFNA(VLOOKUP(D54,'인원 입력 기능(국수)'!$A$5:$D$103,4,FALSE),0))</f>
        <v>3778</v>
      </c>
      <c r="H54" s="104">
        <f t="shared" si="4"/>
        <v>1.4208081833737613E-2</v>
      </c>
      <c r="I54" s="129">
        <f>SUM($G$7:G54)</f>
        <v>139295</v>
      </c>
      <c r="J54" s="106">
        <f t="shared" si="5"/>
        <v>0.52385250371373238</v>
      </c>
      <c r="K54" s="31"/>
      <c r="L54" s="20" t="str">
        <f t="shared" si="7"/>
        <v/>
      </c>
      <c r="N54" s="1"/>
    </row>
    <row r="55" spans="1:14" ht="25" customHeight="1" x14ac:dyDescent="0.45">
      <c r="A55" s="5"/>
      <c r="B55" s="30"/>
      <c r="C55" s="127">
        <v>52</v>
      </c>
      <c r="D55" s="101">
        <f t="shared" si="2"/>
        <v>99</v>
      </c>
      <c r="E55" s="128">
        <f t="shared" si="6"/>
        <v>5</v>
      </c>
      <c r="F55" s="102">
        <f t="shared" si="3"/>
        <v>46.89</v>
      </c>
      <c r="G55" s="103">
        <f>IF(D55=D54,"",_xlfn.IFNA(VLOOKUP(D55,'인원 입력 기능(국수)'!$A$5:$D$103,4,FALSE),0))</f>
        <v>3857</v>
      </c>
      <c r="H55" s="104">
        <f t="shared" si="4"/>
        <v>1.4505180421579136E-2</v>
      </c>
      <c r="I55" s="129">
        <f>SUM($G$7:G55)</f>
        <v>143152</v>
      </c>
      <c r="J55" s="106">
        <f t="shared" si="5"/>
        <v>0.53835768413531149</v>
      </c>
      <c r="K55" s="31"/>
      <c r="L55" s="20" t="str">
        <f t="shared" si="7"/>
        <v/>
      </c>
      <c r="N55" s="1"/>
    </row>
    <row r="56" spans="1:14" ht="25" customHeight="1" x14ac:dyDescent="0.45">
      <c r="A56" s="5"/>
      <c r="B56" s="30"/>
      <c r="C56" s="127">
        <v>51</v>
      </c>
      <c r="D56" s="101">
        <f t="shared" si="2"/>
        <v>98</v>
      </c>
      <c r="E56" s="128">
        <f t="shared" si="6"/>
        <v>5</v>
      </c>
      <c r="F56" s="102">
        <f t="shared" si="3"/>
        <v>45.46</v>
      </c>
      <c r="G56" s="103">
        <f>IF(D56=D55,"",_xlfn.IFNA(VLOOKUP(D56,'인원 입력 기능(국수)'!$A$5:$D$103,4,FALSE),0))</f>
        <v>3736</v>
      </c>
      <c r="H56" s="104">
        <f t="shared" si="4"/>
        <v>1.4050130685771234E-2</v>
      </c>
      <c r="I56" s="129">
        <f>SUM($G$7:G56)</f>
        <v>146888</v>
      </c>
      <c r="J56" s="106">
        <f t="shared" si="5"/>
        <v>0.5524078148210827</v>
      </c>
      <c r="K56" s="31"/>
      <c r="L56" s="20" t="str">
        <f t="shared" si="7"/>
        <v/>
      </c>
      <c r="N56" s="1"/>
    </row>
    <row r="57" spans="1:14" ht="25" customHeight="1" x14ac:dyDescent="0.45">
      <c r="A57" s="5"/>
      <c r="B57" s="30"/>
      <c r="C57" s="127">
        <v>50</v>
      </c>
      <c r="D57" s="101">
        <f t="shared" si="2"/>
        <v>97</v>
      </c>
      <c r="E57" s="128">
        <f t="shared" si="6"/>
        <v>5</v>
      </c>
      <c r="F57" s="102">
        <f t="shared" si="3"/>
        <v>44.07</v>
      </c>
      <c r="G57" s="103">
        <f>IF(D57=D56,"",_xlfn.IFNA(VLOOKUP(D57,'인원 입력 기능(국수)'!$A$5:$D$103,4,FALSE),0))</f>
        <v>3677</v>
      </c>
      <c r="H57" s="104">
        <f t="shared" si="4"/>
        <v>1.3828246930294654E-2</v>
      </c>
      <c r="I57" s="129">
        <f>SUM($G$7:G57)</f>
        <v>150565</v>
      </c>
      <c r="J57" s="106">
        <f t="shared" si="5"/>
        <v>0.56623606175137742</v>
      </c>
      <c r="K57" s="31"/>
      <c r="L57" s="20" t="str">
        <f t="shared" si="7"/>
        <v/>
      </c>
      <c r="N57" s="1"/>
    </row>
    <row r="58" spans="1:14" ht="25" customHeight="1" x14ac:dyDescent="0.45">
      <c r="A58" s="5"/>
      <c r="B58" s="30"/>
      <c r="C58" s="127">
        <v>49</v>
      </c>
      <c r="D58" s="101">
        <f t="shared" si="2"/>
        <v>96</v>
      </c>
      <c r="E58" s="128">
        <f t="shared" si="6"/>
        <v>5</v>
      </c>
      <c r="F58" s="102">
        <f t="shared" si="3"/>
        <v>42.7</v>
      </c>
      <c r="G58" s="103">
        <f>IF(D58=D57,"",_xlfn.IFNA(VLOOKUP(D58,'인원 입력 기능(국수)'!$A$5:$D$103,4,FALSE),0))</f>
        <v>3594</v>
      </c>
      <c r="H58" s="104">
        <f t="shared" si="4"/>
        <v>1.3516105375980143E-2</v>
      </c>
      <c r="I58" s="129">
        <f>SUM($G$7:G58)</f>
        <v>154159</v>
      </c>
      <c r="J58" s="106">
        <f t="shared" si="5"/>
        <v>0.57975216712735755</v>
      </c>
      <c r="K58" s="31"/>
      <c r="L58" s="20" t="str">
        <f t="shared" si="7"/>
        <v/>
      </c>
      <c r="N58" s="1"/>
    </row>
    <row r="59" spans="1:14" ht="25" customHeight="1" x14ac:dyDescent="0.45">
      <c r="A59" s="5"/>
      <c r="B59" s="30"/>
      <c r="C59" s="127">
        <v>48</v>
      </c>
      <c r="D59" s="101">
        <f t="shared" si="2"/>
        <v>95</v>
      </c>
      <c r="E59" s="128">
        <f t="shared" si="6"/>
        <v>5</v>
      </c>
      <c r="F59" s="102">
        <f t="shared" si="3"/>
        <v>41.35</v>
      </c>
      <c r="G59" s="103">
        <f>IF(D59=D58,"",_xlfn.IFNA(VLOOKUP(D59,'인원 입력 기능(국수)'!$A$5:$D$103,4,FALSE),0))</f>
        <v>3594</v>
      </c>
      <c r="H59" s="104">
        <f t="shared" si="4"/>
        <v>1.3516105375980143E-2</v>
      </c>
      <c r="I59" s="129">
        <f>SUM($G$7:G59)</f>
        <v>157753</v>
      </c>
      <c r="J59" s="106">
        <f t="shared" si="5"/>
        <v>0.59326827250333769</v>
      </c>
      <c r="K59" s="31"/>
      <c r="L59" s="20" t="str">
        <f t="shared" si="7"/>
        <v/>
      </c>
      <c r="N59" s="1"/>
    </row>
    <row r="60" spans="1:14" ht="25" customHeight="1" x14ac:dyDescent="0.45">
      <c r="A60" s="5"/>
      <c r="B60" s="30"/>
      <c r="C60" s="127">
        <v>47</v>
      </c>
      <c r="D60" s="115">
        <f t="shared" si="2"/>
        <v>94</v>
      </c>
      <c r="E60" s="130">
        <f t="shared" si="6"/>
        <v>5</v>
      </c>
      <c r="F60" s="116">
        <f t="shared" si="3"/>
        <v>39.39</v>
      </c>
      <c r="G60" s="117">
        <f>IF(D60=D59,"",_xlfn.IFNA(VLOOKUP(D60,'인원 입력 기능(국수)'!$A$5:$D$103,4,FALSE),0))</f>
        <v>6842</v>
      </c>
      <c r="H60" s="118">
        <f t="shared" si="4"/>
        <v>2.5730994152046785E-2</v>
      </c>
      <c r="I60" s="131">
        <f>SUM($G$7:G60)</f>
        <v>164595</v>
      </c>
      <c r="J60" s="120">
        <f t="shared" si="5"/>
        <v>0.61899926665538441</v>
      </c>
      <c r="K60" s="31"/>
      <c r="L60" s="20" t="str">
        <f t="shared" si="7"/>
        <v/>
      </c>
      <c r="N60" s="1"/>
    </row>
    <row r="61" spans="1:14" ht="25" customHeight="1" x14ac:dyDescent="0.45">
      <c r="A61" s="5"/>
      <c r="B61" s="30"/>
      <c r="C61" s="127">
        <v>46</v>
      </c>
      <c r="D61" s="121"/>
      <c r="E61" s="132"/>
      <c r="F61" s="122"/>
      <c r="G61" s="123"/>
      <c r="H61" s="124"/>
      <c r="I61" s="133"/>
      <c r="J61" s="126"/>
      <c r="K61" s="31"/>
      <c r="L61" s="20" t="str">
        <f t="shared" si="7"/>
        <v>경고</v>
      </c>
      <c r="N61" s="1"/>
    </row>
    <row r="62" spans="1:14" ht="25" customHeight="1" x14ac:dyDescent="0.45">
      <c r="A62" s="5"/>
      <c r="B62" s="30"/>
      <c r="C62" s="127">
        <v>45</v>
      </c>
      <c r="D62" s="101">
        <f t="shared" si="2"/>
        <v>93</v>
      </c>
      <c r="E62" s="128">
        <f t="shared" si="6"/>
        <v>6</v>
      </c>
      <c r="F62" s="102">
        <f t="shared" si="3"/>
        <v>37.47</v>
      </c>
      <c r="G62" s="103">
        <f>IF(D62=D61,"",_xlfn.IFNA(VLOOKUP(D62,'인원 입력 기능(국수)'!$A$5:$D$103,4,FALSE),0))</f>
        <v>3347</v>
      </c>
      <c r="H62" s="104">
        <f t="shared" si="4"/>
        <v>1.2587202196273106E-2</v>
      </c>
      <c r="I62" s="129">
        <f>SUM($G$7:G62)</f>
        <v>167942</v>
      </c>
      <c r="J62" s="106">
        <f t="shared" si="5"/>
        <v>0.63158646885165759</v>
      </c>
      <c r="K62" s="31"/>
      <c r="L62" s="20" t="str">
        <f t="shared" si="7"/>
        <v/>
      </c>
      <c r="N62" s="1"/>
    </row>
    <row r="63" spans="1:14" ht="25" customHeight="1" x14ac:dyDescent="0.45">
      <c r="A63" s="5"/>
      <c r="B63" s="30"/>
      <c r="C63" s="127">
        <v>44</v>
      </c>
      <c r="D63" s="101">
        <f t="shared" si="2"/>
        <v>92</v>
      </c>
      <c r="E63" s="128">
        <f t="shared" si="6"/>
        <v>6</v>
      </c>
      <c r="F63" s="102">
        <f t="shared" si="3"/>
        <v>36.229999999999997</v>
      </c>
      <c r="G63" s="103">
        <f>IF(D63=D62,"",_xlfn.IFNA(VLOOKUP(D63,'인원 입력 기능(국수)'!$A$5:$D$103,4,FALSE),0))</f>
        <v>3231</v>
      </c>
      <c r="H63" s="104">
        <f t="shared" si="4"/>
        <v>1.2150956168556439E-2</v>
      </c>
      <c r="I63" s="129">
        <f>SUM($G$7:G63)</f>
        <v>171173</v>
      </c>
      <c r="J63" s="106">
        <f t="shared" si="5"/>
        <v>0.64373742502021403</v>
      </c>
      <c r="K63" s="31"/>
      <c r="L63" s="20" t="str">
        <f t="shared" si="7"/>
        <v/>
      </c>
      <c r="N63" s="1"/>
    </row>
    <row r="64" spans="1:14" ht="25" customHeight="1" x14ac:dyDescent="0.45">
      <c r="A64" s="5"/>
      <c r="B64" s="30"/>
      <c r="C64" s="127">
        <v>43</v>
      </c>
      <c r="D64" s="101">
        <f t="shared" si="2"/>
        <v>91</v>
      </c>
      <c r="E64" s="128">
        <f t="shared" si="6"/>
        <v>6</v>
      </c>
      <c r="F64" s="102">
        <f t="shared" si="3"/>
        <v>35.020000000000003</v>
      </c>
      <c r="G64" s="103">
        <f>IF(D64=D63,"",_xlfn.IFNA(VLOOKUP(D64,'인원 입력 기능(국수)'!$A$5:$D$103,4,FALSE),0))</f>
        <v>3221</v>
      </c>
      <c r="H64" s="104">
        <f t="shared" si="4"/>
        <v>1.2113348752373968E-2</v>
      </c>
      <c r="I64" s="129">
        <f>SUM($G$7:G64)</f>
        <v>174394</v>
      </c>
      <c r="J64" s="106">
        <f t="shared" si="5"/>
        <v>0.65585077377258794</v>
      </c>
      <c r="K64" s="31"/>
      <c r="L64" s="20" t="str">
        <f t="shared" si="7"/>
        <v/>
      </c>
      <c r="N64" s="1"/>
    </row>
    <row r="65" spans="1:14" ht="25" customHeight="1" x14ac:dyDescent="0.45">
      <c r="A65" s="5"/>
      <c r="B65" s="30"/>
      <c r="C65" s="127">
        <v>42</v>
      </c>
      <c r="D65" s="101">
        <f t="shared" si="2"/>
        <v>90</v>
      </c>
      <c r="E65" s="128">
        <f t="shared" si="6"/>
        <v>6</v>
      </c>
      <c r="F65" s="102">
        <f t="shared" si="3"/>
        <v>33.81</v>
      </c>
      <c r="G65" s="103">
        <f>IF(D65=D64,"",_xlfn.IFNA(VLOOKUP(D65,'인원 입력 기능(국수)'!$A$5:$D$103,4,FALSE),0))</f>
        <v>3202</v>
      </c>
      <c r="H65" s="104">
        <f t="shared" si="4"/>
        <v>1.2041894661627273E-2</v>
      </c>
      <c r="I65" s="129">
        <f>SUM($G$7:G65)</f>
        <v>177596</v>
      </c>
      <c r="J65" s="106">
        <f t="shared" si="5"/>
        <v>0.66789266843421524</v>
      </c>
      <c r="K65" s="31"/>
      <c r="L65" s="20" t="str">
        <f t="shared" si="7"/>
        <v/>
      </c>
      <c r="N65" s="1"/>
    </row>
    <row r="66" spans="1:14" ht="25" customHeight="1" x14ac:dyDescent="0.45">
      <c r="A66" s="5"/>
      <c r="B66" s="30"/>
      <c r="C66" s="127">
        <v>41</v>
      </c>
      <c r="D66" s="101">
        <f t="shared" si="2"/>
        <v>89</v>
      </c>
      <c r="E66" s="128">
        <f t="shared" si="6"/>
        <v>6</v>
      </c>
      <c r="F66" s="102">
        <f t="shared" si="3"/>
        <v>32.619999999999997</v>
      </c>
      <c r="G66" s="103">
        <f>IF(D66=D65,"",_xlfn.IFNA(VLOOKUP(D66,'인원 입력 기능(국수)'!$A$5:$D$103,4,FALSE),0))</f>
        <v>3151</v>
      </c>
      <c r="H66" s="104">
        <f t="shared" si="4"/>
        <v>1.185009683909667E-2</v>
      </c>
      <c r="I66" s="129">
        <f>SUM($G$7:G66)</f>
        <v>180747</v>
      </c>
      <c r="J66" s="106">
        <f t="shared" si="5"/>
        <v>0.6797427652733119</v>
      </c>
      <c r="K66" s="31"/>
      <c r="L66" s="20" t="str">
        <f t="shared" si="7"/>
        <v/>
      </c>
      <c r="N66" s="1"/>
    </row>
    <row r="67" spans="1:14" ht="25" customHeight="1" x14ac:dyDescent="0.45">
      <c r="A67" s="5"/>
      <c r="B67" s="30"/>
      <c r="C67" s="127">
        <v>40</v>
      </c>
      <c r="D67" s="101">
        <f t="shared" si="2"/>
        <v>88</v>
      </c>
      <c r="E67" s="128">
        <f t="shared" si="6"/>
        <v>6</v>
      </c>
      <c r="F67" s="102">
        <f t="shared" si="3"/>
        <v>31.44</v>
      </c>
      <c r="G67" s="103">
        <f>IF(D67=D66,"",_xlfn.IFNA(VLOOKUP(D67,'인원 입력 기능(국수)'!$A$5:$D$103,4,FALSE),0))</f>
        <v>3098</v>
      </c>
      <c r="H67" s="104">
        <f t="shared" si="4"/>
        <v>1.1650777533329573E-2</v>
      </c>
      <c r="I67" s="129">
        <f>SUM($G$7:G67)</f>
        <v>183845</v>
      </c>
      <c r="J67" s="106">
        <f t="shared" si="5"/>
        <v>0.69139354280664145</v>
      </c>
      <c r="K67" s="31"/>
      <c r="L67" s="20" t="str">
        <f t="shared" si="7"/>
        <v/>
      </c>
      <c r="N67" s="1"/>
    </row>
    <row r="68" spans="1:14" ht="25" customHeight="1" x14ac:dyDescent="0.45">
      <c r="A68" s="5"/>
      <c r="B68" s="30"/>
      <c r="C68" s="127">
        <v>39</v>
      </c>
      <c r="D68" s="115">
        <f t="shared" si="2"/>
        <v>87</v>
      </c>
      <c r="E68" s="130">
        <f t="shared" si="6"/>
        <v>6</v>
      </c>
      <c r="F68" s="116">
        <f t="shared" si="3"/>
        <v>29.73</v>
      </c>
      <c r="G68" s="117">
        <f>IF(D68=D67,"",_xlfn.IFNA(VLOOKUP(D68,'인원 입력 기능(국수)'!$A$5:$D$103,4,FALSE),0))</f>
        <v>5998</v>
      </c>
      <c r="H68" s="118">
        <f t="shared" si="4"/>
        <v>2.2556928226246217E-2</v>
      </c>
      <c r="I68" s="131">
        <f>SUM($G$7:G68)</f>
        <v>189843</v>
      </c>
      <c r="J68" s="120">
        <f t="shared" si="5"/>
        <v>0.71395047103288767</v>
      </c>
      <c r="K68" s="31"/>
      <c r="L68" s="20" t="str">
        <f t="shared" si="7"/>
        <v/>
      </c>
      <c r="N68" s="1"/>
    </row>
    <row r="69" spans="1:14" ht="25" customHeight="1" x14ac:dyDescent="0.45">
      <c r="A69" s="5"/>
      <c r="B69" s="30"/>
      <c r="C69" s="127">
        <v>38</v>
      </c>
      <c r="D69" s="121"/>
      <c r="E69" s="132"/>
      <c r="F69" s="122"/>
      <c r="G69" s="123"/>
      <c r="H69" s="124"/>
      <c r="I69" s="133"/>
      <c r="J69" s="126"/>
      <c r="K69" s="31"/>
      <c r="L69" s="20" t="str">
        <f t="shared" si="7"/>
        <v>경고</v>
      </c>
      <c r="N69" s="1"/>
    </row>
    <row r="70" spans="1:14" ht="25" customHeight="1" x14ac:dyDescent="0.45">
      <c r="A70" s="5"/>
      <c r="B70" s="30"/>
      <c r="C70" s="127">
        <v>37</v>
      </c>
      <c r="D70" s="101">
        <f t="shared" si="2"/>
        <v>86</v>
      </c>
      <c r="E70" s="128">
        <f t="shared" si="6"/>
        <v>6</v>
      </c>
      <c r="F70" s="102">
        <f t="shared" si="3"/>
        <v>28.06</v>
      </c>
      <c r="G70" s="103">
        <f>IF(D70=D69,"",_xlfn.IFNA(VLOOKUP(D70,'인원 입력 기능(국수)'!$A$5:$D$103,4,FALSE),0))</f>
        <v>2922</v>
      </c>
      <c r="H70" s="104">
        <f t="shared" si="4"/>
        <v>1.098888700851808E-2</v>
      </c>
      <c r="I70" s="129">
        <f>SUM($G$7:G70)</f>
        <v>192765</v>
      </c>
      <c r="J70" s="106">
        <f t="shared" si="5"/>
        <v>0.72493935804140575</v>
      </c>
      <c r="K70" s="31"/>
      <c r="L70" s="20" t="str">
        <f t="shared" si="7"/>
        <v/>
      </c>
      <c r="N70" s="1"/>
    </row>
    <row r="71" spans="1:14" ht="25" customHeight="1" x14ac:dyDescent="0.45">
      <c r="A71" s="5"/>
      <c r="B71" s="30"/>
      <c r="C71" s="127">
        <v>36</v>
      </c>
      <c r="D71" s="101">
        <f t="shared" si="2"/>
        <v>85</v>
      </c>
      <c r="E71" s="128">
        <f t="shared" ref="E71:E101" si="8">IF(ROUND(D71,0)&gt;=$Q$7,1,IF(ROUND(D71,0)&gt;=$Q$8,2,IF(ROUND(D71,0)&gt;=$Q$9,3,IF(ROUND(D71,0)&gt;=$Q$10,4,IF(ROUND(D71,0)&gt;=$Q$11,5,IF(ROUND(D71,0)&gt;=$Q$12,6,IF(ROUND(D71,0)&gt;=$Q$13,7,IF(ROUND(D71,0)&gt;=$Q$14,8,9))))))))</f>
        <v>6</v>
      </c>
      <c r="F71" s="102">
        <f t="shared" si="3"/>
        <v>26.96</v>
      </c>
      <c r="G71" s="103">
        <f>IF(D71=D70,"",_xlfn.IFNA(VLOOKUP(D71,'인원 입력 기능(국수)'!$A$5:$D$103,4,FALSE),0))</f>
        <v>2878</v>
      </c>
      <c r="H71" s="104">
        <f t="shared" si="4"/>
        <v>1.0823414377315207E-2</v>
      </c>
      <c r="I71" s="129">
        <f>SUM($G$7:G71)</f>
        <v>195643</v>
      </c>
      <c r="J71" s="106">
        <f t="shared" si="5"/>
        <v>0.73576277241872101</v>
      </c>
      <c r="K71" s="31"/>
      <c r="L71" s="20" t="str">
        <f t="shared" si="7"/>
        <v/>
      </c>
      <c r="N71" s="1"/>
    </row>
    <row r="72" spans="1:14" ht="25" customHeight="1" x14ac:dyDescent="0.45">
      <c r="A72" s="5"/>
      <c r="B72" s="30"/>
      <c r="C72" s="127">
        <v>35</v>
      </c>
      <c r="D72" s="101">
        <f t="shared" si="2"/>
        <v>84</v>
      </c>
      <c r="E72" s="128">
        <f t="shared" si="8"/>
        <v>6</v>
      </c>
      <c r="F72" s="102">
        <f t="shared" si="3"/>
        <v>25.88</v>
      </c>
      <c r="G72" s="103">
        <f>IF(D72=D71,"",_xlfn.IFNA(VLOOKUP(D72,'인원 입력 기능(국수)'!$A$5:$D$103,4,FALSE),0))</f>
        <v>2878</v>
      </c>
      <c r="H72" s="104">
        <f t="shared" si="4"/>
        <v>1.0823414377315207E-2</v>
      </c>
      <c r="I72" s="129">
        <f>SUM($G$7:G72)</f>
        <v>198521</v>
      </c>
      <c r="J72" s="106">
        <f t="shared" si="5"/>
        <v>0.74658618679603617</v>
      </c>
      <c r="K72" s="31"/>
      <c r="L72" s="20" t="str">
        <f t="shared" si="7"/>
        <v/>
      </c>
      <c r="N72" s="1"/>
    </row>
    <row r="73" spans="1:14" ht="25" customHeight="1" x14ac:dyDescent="0.45">
      <c r="A73" s="5"/>
      <c r="B73" s="30"/>
      <c r="C73" s="127">
        <v>34</v>
      </c>
      <c r="D73" s="101">
        <f t="shared" si="2"/>
        <v>83</v>
      </c>
      <c r="E73" s="128">
        <f t="shared" si="8"/>
        <v>6</v>
      </c>
      <c r="F73" s="102">
        <f t="shared" si="3"/>
        <v>24.77</v>
      </c>
      <c r="G73" s="103">
        <f>IF(D73=D72,"",_xlfn.IFNA(VLOOKUP(D73,'인원 입력 기능(국수)'!$A$5:$D$103,4,FALSE),0))</f>
        <v>3065</v>
      </c>
      <c r="H73" s="104">
        <f t="shared" si="4"/>
        <v>1.1526673059927418E-2</v>
      </c>
      <c r="I73" s="129">
        <f>SUM($G$7:G73)</f>
        <v>201586</v>
      </c>
      <c r="J73" s="106">
        <f t="shared" si="5"/>
        <v>0.75811285985596355</v>
      </c>
      <c r="K73" s="31"/>
      <c r="L73" s="20" t="str">
        <f t="shared" ref="L73:L105" si="9">IF(ABS((C73-$H$3)/$H$4*20+100-D73)&gt;0.49, "경고", "")</f>
        <v/>
      </c>
      <c r="N73" s="1"/>
    </row>
    <row r="74" spans="1:14" ht="25" customHeight="1" x14ac:dyDescent="0.45">
      <c r="A74" s="5"/>
      <c r="B74" s="30"/>
      <c r="C74" s="127">
        <v>33</v>
      </c>
      <c r="D74" s="101">
        <f t="shared" ref="D74:D105" si="10">ROUND(20*(C74-$H$3)/$H$4+100,0)</f>
        <v>82</v>
      </c>
      <c r="E74" s="128">
        <f t="shared" si="8"/>
        <v>6</v>
      </c>
      <c r="F74" s="102">
        <f t="shared" ref="F74:F105" si="11">IF(I73=0,ROUND(100*(1-(I72+I74)/2/$J$3),2),ROUND(100*(1-(I73+I74)/2/$J$3),2))</f>
        <v>23.64</v>
      </c>
      <c r="G74" s="103">
        <f>IF(D74=D73,"",_xlfn.IFNA(VLOOKUP(D74,'인원 입력 기능(국수)'!$A$5:$D$103,4,FALSE),0))</f>
        <v>2940</v>
      </c>
      <c r="H74" s="104">
        <f t="shared" ref="H74:H105" si="12">G74/$J$3</f>
        <v>1.1056580357646529E-2</v>
      </c>
      <c r="I74" s="129">
        <f>SUM($G$7:G74)</f>
        <v>204526</v>
      </c>
      <c r="J74" s="106">
        <f t="shared" ref="J74:J105" si="13">I74/$J$3</f>
        <v>0.76916944021361011</v>
      </c>
      <c r="K74" s="31"/>
      <c r="L74" s="20" t="str">
        <f t="shared" si="9"/>
        <v/>
      </c>
      <c r="N74" s="1"/>
    </row>
    <row r="75" spans="1:14" ht="25" customHeight="1" x14ac:dyDescent="0.45">
      <c r="A75" s="5"/>
      <c r="B75" s="30"/>
      <c r="C75" s="127">
        <v>32</v>
      </c>
      <c r="D75" s="101">
        <f t="shared" si="10"/>
        <v>81</v>
      </c>
      <c r="E75" s="128">
        <f t="shared" si="8"/>
        <v>6</v>
      </c>
      <c r="F75" s="102">
        <f t="shared" si="11"/>
        <v>22.51</v>
      </c>
      <c r="G75" s="103">
        <f>IF(D75=D74,"",_xlfn.IFNA(VLOOKUP(D75,'인원 입력 기능(국수)'!$A$5:$D$103,4,FALSE),0))</f>
        <v>3021</v>
      </c>
      <c r="H75" s="104">
        <f t="shared" si="12"/>
        <v>1.1361200428724544E-2</v>
      </c>
      <c r="I75" s="129">
        <f>SUM($G$7:G75)</f>
        <v>207547</v>
      </c>
      <c r="J75" s="106">
        <f t="shared" si="13"/>
        <v>0.78053064064233468</v>
      </c>
      <c r="K75" s="31"/>
      <c r="L75" s="20" t="str">
        <f t="shared" si="9"/>
        <v/>
      </c>
      <c r="N75" s="1"/>
    </row>
    <row r="76" spans="1:14" ht="25" customHeight="1" x14ac:dyDescent="0.45">
      <c r="A76" s="5"/>
      <c r="B76" s="30"/>
      <c r="C76" s="127">
        <v>31</v>
      </c>
      <c r="D76" s="101">
        <f t="shared" si="10"/>
        <v>80</v>
      </c>
      <c r="E76" s="128">
        <f t="shared" si="8"/>
        <v>7</v>
      </c>
      <c r="F76" s="102">
        <f t="shared" si="11"/>
        <v>21.38</v>
      </c>
      <c r="G76" s="103">
        <f>IF(D76=D75,"",_xlfn.IFNA(VLOOKUP(D76,'인원 입력 기능(국수)'!$A$5:$D$103,4,FALSE),0))</f>
        <v>3010</v>
      </c>
      <c r="H76" s="104">
        <f t="shared" si="12"/>
        <v>1.1319832270923827E-2</v>
      </c>
      <c r="I76" s="129">
        <f>SUM($G$7:G76)</f>
        <v>210557</v>
      </c>
      <c r="J76" s="106">
        <f t="shared" si="13"/>
        <v>0.7918504729132585</v>
      </c>
      <c r="K76" s="31"/>
      <c r="L76" s="20" t="str">
        <f t="shared" si="9"/>
        <v/>
      </c>
      <c r="N76" s="1"/>
    </row>
    <row r="77" spans="1:14" ht="25" customHeight="1" x14ac:dyDescent="0.45">
      <c r="A77" s="5"/>
      <c r="B77" s="30"/>
      <c r="C77" s="127">
        <v>30</v>
      </c>
      <c r="D77" s="115">
        <f t="shared" si="10"/>
        <v>79</v>
      </c>
      <c r="E77" s="130">
        <f t="shared" si="8"/>
        <v>7</v>
      </c>
      <c r="F77" s="116">
        <f t="shared" si="11"/>
        <v>19.690000000000001</v>
      </c>
      <c r="G77" s="117">
        <f>IF(D77=D76,"",_xlfn.IFNA(VLOOKUP(D77,'인원 입력 기능(국수)'!$A$5:$D$103,4,FALSE),0))</f>
        <v>5986</v>
      </c>
      <c r="H77" s="118">
        <f t="shared" si="12"/>
        <v>2.2511799326827252E-2</v>
      </c>
      <c r="I77" s="131">
        <f>SUM($G$7:G77)</f>
        <v>216543</v>
      </c>
      <c r="J77" s="120">
        <f t="shared" si="13"/>
        <v>0.81436227224008573</v>
      </c>
      <c r="K77" s="31"/>
      <c r="L77" s="20" t="str">
        <f t="shared" si="9"/>
        <v>경고</v>
      </c>
      <c r="N77" s="1"/>
    </row>
    <row r="78" spans="1:14" ht="25" customHeight="1" x14ac:dyDescent="0.45">
      <c r="A78" s="5"/>
      <c r="B78" s="30"/>
      <c r="C78" s="127">
        <v>29</v>
      </c>
      <c r="D78" s="121"/>
      <c r="E78" s="132"/>
      <c r="F78" s="122"/>
      <c r="G78" s="123"/>
      <c r="H78" s="124"/>
      <c r="I78" s="133"/>
      <c r="J78" s="126"/>
      <c r="K78" s="31"/>
      <c r="L78" s="20" t="str">
        <f t="shared" si="9"/>
        <v>경고</v>
      </c>
      <c r="N78" s="1"/>
    </row>
    <row r="79" spans="1:14" ht="25" customHeight="1" x14ac:dyDescent="0.45">
      <c r="A79" s="5"/>
      <c r="B79" s="30"/>
      <c r="C79" s="127">
        <v>28</v>
      </c>
      <c r="D79" s="101">
        <f t="shared" si="10"/>
        <v>78</v>
      </c>
      <c r="E79" s="128">
        <f t="shared" si="8"/>
        <v>7</v>
      </c>
      <c r="F79" s="102">
        <f t="shared" si="11"/>
        <v>18.010000000000002</v>
      </c>
      <c r="G79" s="103">
        <f>IF(D79=D78,"",_xlfn.IFNA(VLOOKUP(D79,'인원 입력 기능(국수)'!$A$5:$D$103,4,FALSE),0))</f>
        <v>2950</v>
      </c>
      <c r="H79" s="104">
        <f t="shared" si="12"/>
        <v>1.1094187773828999E-2</v>
      </c>
      <c r="I79" s="129">
        <f>SUM($G$7:G79)</f>
        <v>219493</v>
      </c>
      <c r="J79" s="106">
        <f t="shared" si="13"/>
        <v>0.82545646001391471</v>
      </c>
      <c r="K79" s="31"/>
      <c r="L79" s="20" t="str">
        <f t="shared" si="9"/>
        <v/>
      </c>
      <c r="N79" s="1"/>
    </row>
    <row r="80" spans="1:14" ht="25" customHeight="1" x14ac:dyDescent="0.45">
      <c r="A80" s="5"/>
      <c r="B80" s="30"/>
      <c r="C80" s="127">
        <v>27</v>
      </c>
      <c r="D80" s="101">
        <f t="shared" si="10"/>
        <v>77</v>
      </c>
      <c r="E80" s="128">
        <f t="shared" si="8"/>
        <v>7</v>
      </c>
      <c r="F80" s="102">
        <f t="shared" si="11"/>
        <v>16.82</v>
      </c>
      <c r="G80" s="103">
        <f>IF(D80=D79,"",_xlfn.IFNA(VLOOKUP(D80,'인원 입력 기능(국수)'!$A$5:$D$103,4,FALSE),0))</f>
        <v>3348</v>
      </c>
      <c r="H80" s="104">
        <f t="shared" si="12"/>
        <v>1.2590962937891352E-2</v>
      </c>
      <c r="I80" s="129">
        <f>SUM($G$7:G80)</f>
        <v>222841</v>
      </c>
      <c r="J80" s="106">
        <f t="shared" si="13"/>
        <v>0.83804742295180612</v>
      </c>
      <c r="K80" s="31"/>
      <c r="L80" s="20" t="str">
        <f t="shared" si="9"/>
        <v/>
      </c>
      <c r="N80" s="1"/>
    </row>
    <row r="81" spans="1:14" ht="25" customHeight="1" x14ac:dyDescent="0.45">
      <c r="A81" s="5"/>
      <c r="B81" s="30"/>
      <c r="C81" s="127">
        <v>26</v>
      </c>
      <c r="D81" s="101">
        <f t="shared" si="10"/>
        <v>76</v>
      </c>
      <c r="E81" s="128">
        <f t="shared" si="8"/>
        <v>7</v>
      </c>
      <c r="F81" s="102">
        <f t="shared" si="11"/>
        <v>15.61</v>
      </c>
      <c r="G81" s="103">
        <f>IF(D81=D80,"",_xlfn.IFNA(VLOOKUP(D81,'인원 입력 기능(국수)'!$A$5:$D$103,4,FALSE),0))</f>
        <v>3115</v>
      </c>
      <c r="H81" s="104">
        <f t="shared" si="12"/>
        <v>1.1714710140839774E-2</v>
      </c>
      <c r="I81" s="129">
        <f>SUM($G$7:G81)</f>
        <v>225956</v>
      </c>
      <c r="J81" s="106">
        <f t="shared" si="13"/>
        <v>0.84976213309264592</v>
      </c>
      <c r="K81" s="31"/>
      <c r="L81" s="20" t="str">
        <f t="shared" si="9"/>
        <v/>
      </c>
      <c r="N81" s="1"/>
    </row>
    <row r="82" spans="1:14" ht="25" customHeight="1" x14ac:dyDescent="0.45">
      <c r="A82" s="5"/>
      <c r="B82" s="30"/>
      <c r="C82" s="127">
        <v>25</v>
      </c>
      <c r="D82" s="101">
        <f t="shared" si="10"/>
        <v>75</v>
      </c>
      <c r="E82" s="128">
        <f t="shared" si="8"/>
        <v>7</v>
      </c>
      <c r="F82" s="102">
        <f t="shared" si="11"/>
        <v>14.39</v>
      </c>
      <c r="G82" s="103">
        <f>IF(D82=D81,"",_xlfn.IFNA(VLOOKUP(D82,'인원 입력 기능(국수)'!$A$5:$D$103,4,FALSE),0))</f>
        <v>3354</v>
      </c>
      <c r="H82" s="104">
        <f t="shared" si="12"/>
        <v>1.2613527387600834E-2</v>
      </c>
      <c r="I82" s="129">
        <f>SUM($G$7:G82)</f>
        <v>229310</v>
      </c>
      <c r="J82" s="106">
        <f t="shared" si="13"/>
        <v>0.86237566048024672</v>
      </c>
      <c r="K82" s="31"/>
      <c r="L82" s="20" t="str">
        <f t="shared" si="9"/>
        <v/>
      </c>
      <c r="N82" s="1"/>
    </row>
    <row r="83" spans="1:14" ht="25" customHeight="1" x14ac:dyDescent="0.45">
      <c r="A83" s="5"/>
      <c r="B83" s="30"/>
      <c r="C83" s="127">
        <v>24</v>
      </c>
      <c r="D83" s="101">
        <f t="shared" si="10"/>
        <v>74</v>
      </c>
      <c r="E83" s="128">
        <f t="shared" si="8"/>
        <v>7</v>
      </c>
      <c r="F83" s="102">
        <f t="shared" si="11"/>
        <v>13.05</v>
      </c>
      <c r="G83" s="103">
        <f>IF(D83=D82,"",_xlfn.IFNA(VLOOKUP(D83,'인원 입력 기능(국수)'!$A$5:$D$103,4,FALSE),0))</f>
        <v>3775</v>
      </c>
      <c r="H83" s="104">
        <f t="shared" si="12"/>
        <v>1.4196799608882872E-2</v>
      </c>
      <c r="I83" s="129">
        <f>SUM($G$7:G83)</f>
        <v>233085</v>
      </c>
      <c r="J83" s="106">
        <f t="shared" si="13"/>
        <v>0.87657246008912959</v>
      </c>
      <c r="K83" s="31"/>
      <c r="L83" s="20" t="str">
        <f t="shared" si="9"/>
        <v/>
      </c>
      <c r="N83" s="1"/>
    </row>
    <row r="84" spans="1:14" ht="25" customHeight="1" x14ac:dyDescent="0.45">
      <c r="A84" s="5"/>
      <c r="B84" s="30"/>
      <c r="C84" s="127">
        <v>23</v>
      </c>
      <c r="D84" s="101">
        <f t="shared" si="10"/>
        <v>73</v>
      </c>
      <c r="E84" s="128">
        <f t="shared" si="8"/>
        <v>7</v>
      </c>
      <c r="F84" s="102">
        <f t="shared" si="11"/>
        <v>11.74</v>
      </c>
      <c r="G84" s="103">
        <f>IF(D84=D83,"",_xlfn.IFNA(VLOOKUP(D84,'인원 입력 기능(국수)'!$A$5:$D$103,4,FALSE),0))</f>
        <v>3202</v>
      </c>
      <c r="H84" s="104">
        <f t="shared" si="12"/>
        <v>1.2041894661627273E-2</v>
      </c>
      <c r="I84" s="129">
        <f>SUM($G$7:G84)</f>
        <v>236287</v>
      </c>
      <c r="J84" s="106">
        <f t="shared" si="13"/>
        <v>0.8886143547507569</v>
      </c>
      <c r="K84" s="31"/>
      <c r="L84" s="20" t="str">
        <f t="shared" si="9"/>
        <v/>
      </c>
      <c r="N84" s="1"/>
    </row>
    <row r="85" spans="1:14" ht="25" customHeight="1" x14ac:dyDescent="0.45">
      <c r="A85" s="5"/>
      <c r="B85" s="30"/>
      <c r="C85" s="127">
        <v>22</v>
      </c>
      <c r="D85" s="115">
        <f t="shared" si="10"/>
        <v>72</v>
      </c>
      <c r="E85" s="130">
        <f t="shared" si="8"/>
        <v>7</v>
      </c>
      <c r="F85" s="116">
        <f t="shared" si="11"/>
        <v>9.24</v>
      </c>
      <c r="G85" s="117">
        <f>IF(D85=D84,"",_xlfn.IFNA(VLOOKUP(D85,'인원 입력 기능(국수)'!$A$5:$D$103,4,FALSE),0))</f>
        <v>10097</v>
      </c>
      <c r="H85" s="118">
        <f t="shared" si="12"/>
        <v>3.7972208119441152E-2</v>
      </c>
      <c r="I85" s="131">
        <f>SUM($G$7:G85)</f>
        <v>246384</v>
      </c>
      <c r="J85" s="120">
        <f t="shared" si="13"/>
        <v>0.92658656287019803</v>
      </c>
      <c r="K85" s="31"/>
      <c r="L85" s="20" t="str">
        <f t="shared" si="9"/>
        <v/>
      </c>
      <c r="N85" s="1"/>
    </row>
    <row r="86" spans="1:14" ht="25" customHeight="1" x14ac:dyDescent="0.45">
      <c r="A86" s="5"/>
      <c r="B86" s="30"/>
      <c r="C86" s="127">
        <v>21</v>
      </c>
      <c r="D86" s="121"/>
      <c r="E86" s="132"/>
      <c r="F86" s="122"/>
      <c r="G86" s="123"/>
      <c r="H86" s="124"/>
      <c r="I86" s="133"/>
      <c r="J86" s="126"/>
      <c r="K86" s="31"/>
      <c r="L86" s="20" t="str">
        <f t="shared" si="9"/>
        <v>경고</v>
      </c>
      <c r="N86" s="1"/>
    </row>
    <row r="87" spans="1:14" ht="25" customHeight="1" x14ac:dyDescent="0.45">
      <c r="A87" s="5"/>
      <c r="B87" s="30"/>
      <c r="C87" s="127">
        <v>20</v>
      </c>
      <c r="D87" s="101">
        <f t="shared" si="10"/>
        <v>71</v>
      </c>
      <c r="E87" s="128">
        <f t="shared" si="8"/>
        <v>8</v>
      </c>
      <c r="F87" s="102">
        <f t="shared" si="11"/>
        <v>6.47</v>
      </c>
      <c r="G87" s="103">
        <f>IF(D87=D86,"",_xlfn.IFNA(VLOOKUP(D87,'인원 입력 기능(국수)'!$A$5:$D$103,4,FALSE),0))</f>
        <v>4622</v>
      </c>
      <c r="H87" s="104">
        <f t="shared" si="12"/>
        <v>1.7382147759538179E-2</v>
      </c>
      <c r="I87" s="129">
        <f>SUM($G$7:G87)</f>
        <v>251006</v>
      </c>
      <c r="J87" s="106">
        <f t="shared" si="13"/>
        <v>0.9439687106297362</v>
      </c>
      <c r="K87" s="31"/>
      <c r="L87" s="20" t="str">
        <f t="shared" si="9"/>
        <v/>
      </c>
      <c r="N87" s="1"/>
    </row>
    <row r="88" spans="1:14" ht="25" customHeight="1" x14ac:dyDescent="0.45">
      <c r="A88" s="5"/>
      <c r="B88" s="30"/>
      <c r="C88" s="127">
        <v>19</v>
      </c>
      <c r="D88" s="101">
        <f t="shared" si="10"/>
        <v>70</v>
      </c>
      <c r="E88" s="128">
        <f t="shared" si="8"/>
        <v>8</v>
      </c>
      <c r="F88" s="102">
        <f t="shared" si="11"/>
        <v>5.21</v>
      </c>
      <c r="G88" s="103">
        <f>IF(D88=D87,"",_xlfn.IFNA(VLOOKUP(D88,'인원 입력 기능(국수)'!$A$5:$D$103,4,FALSE),0))</f>
        <v>2087</v>
      </c>
      <c r="H88" s="104">
        <f t="shared" si="12"/>
        <v>7.8486677572817357E-3</v>
      </c>
      <c r="I88" s="129">
        <f>SUM($G$7:G88)</f>
        <v>253093</v>
      </c>
      <c r="J88" s="106">
        <f t="shared" si="13"/>
        <v>0.95181737838701796</v>
      </c>
      <c r="K88" s="31"/>
      <c r="L88" s="20" t="str">
        <f t="shared" si="9"/>
        <v/>
      </c>
      <c r="N88" s="1"/>
    </row>
    <row r="89" spans="1:14" ht="25" customHeight="1" x14ac:dyDescent="0.45">
      <c r="A89" s="5"/>
      <c r="B89" s="30"/>
      <c r="C89" s="127">
        <v>18</v>
      </c>
      <c r="D89" s="101">
        <f t="shared" si="10"/>
        <v>69</v>
      </c>
      <c r="E89" s="128">
        <f t="shared" si="8"/>
        <v>8</v>
      </c>
      <c r="F89" s="102">
        <f t="shared" si="11"/>
        <v>4.3499999999999996</v>
      </c>
      <c r="G89" s="103">
        <f>IF(D89=D88,"",_xlfn.IFNA(VLOOKUP(D89,'인원 입력 기능(국수)'!$A$5:$D$103,4,FALSE),0))</f>
        <v>2477</v>
      </c>
      <c r="H89" s="104">
        <f t="shared" si="12"/>
        <v>9.315356988398112E-3</v>
      </c>
      <c r="I89" s="129">
        <f>SUM($G$7:G89)</f>
        <v>255570</v>
      </c>
      <c r="J89" s="106">
        <f t="shared" si="13"/>
        <v>0.96113273537541599</v>
      </c>
      <c r="K89" s="31"/>
      <c r="L89" s="20" t="str">
        <f t="shared" si="9"/>
        <v/>
      </c>
      <c r="N89" s="1"/>
    </row>
    <row r="90" spans="1:14" ht="25" customHeight="1" x14ac:dyDescent="0.45">
      <c r="A90" s="5"/>
      <c r="B90" s="30"/>
      <c r="C90" s="127">
        <v>17</v>
      </c>
      <c r="D90" s="101">
        <f t="shared" si="10"/>
        <v>68</v>
      </c>
      <c r="E90" s="128">
        <f t="shared" si="8"/>
        <v>9</v>
      </c>
      <c r="F90" s="102">
        <f t="shared" si="11"/>
        <v>3.46</v>
      </c>
      <c r="G90" s="103">
        <f>IF(D90=D89,"",_xlfn.IFNA(VLOOKUP(D90,'인원 입력 기능(국수)'!$A$5:$D$103,4,FALSE),0))</f>
        <v>2258</v>
      </c>
      <c r="H90" s="104">
        <f t="shared" si="12"/>
        <v>8.4917545740019924E-3</v>
      </c>
      <c r="I90" s="129">
        <f>SUM($G$7:G90)</f>
        <v>257828</v>
      </c>
      <c r="J90" s="106">
        <f t="shared" si="13"/>
        <v>0.96962448994941808</v>
      </c>
      <c r="K90" s="31"/>
      <c r="L90" s="20" t="str">
        <f t="shared" si="9"/>
        <v/>
      </c>
      <c r="N90" s="1"/>
    </row>
    <row r="91" spans="1:14" ht="25" customHeight="1" x14ac:dyDescent="0.45">
      <c r="A91" s="5"/>
      <c r="B91" s="30"/>
      <c r="C91" s="127">
        <v>16</v>
      </c>
      <c r="D91" s="101">
        <f t="shared" si="10"/>
        <v>67</v>
      </c>
      <c r="E91" s="128">
        <f t="shared" si="8"/>
        <v>9</v>
      </c>
      <c r="F91" s="102">
        <f t="shared" si="11"/>
        <v>2.76</v>
      </c>
      <c r="G91" s="103">
        <f>IF(D91=D90,"",_xlfn.IFNA(VLOOKUP(D91,'인원 입력 기능(국수)'!$A$5:$D$103,4,FALSE),0))</f>
        <v>1478</v>
      </c>
      <c r="H91" s="104">
        <f t="shared" si="12"/>
        <v>5.5583761117692409E-3</v>
      </c>
      <c r="I91" s="129">
        <f>SUM($G$7:G91)</f>
        <v>259306</v>
      </c>
      <c r="J91" s="106">
        <f t="shared" si="13"/>
        <v>0.97518286606118731</v>
      </c>
      <c r="K91" s="31"/>
      <c r="L91" s="20" t="str">
        <f t="shared" si="9"/>
        <v/>
      </c>
      <c r="N91" s="1"/>
    </row>
    <row r="92" spans="1:14" ht="25" customHeight="1" x14ac:dyDescent="0.45">
      <c r="A92" s="5"/>
      <c r="B92" s="30"/>
      <c r="C92" s="127">
        <v>15</v>
      </c>
      <c r="D92" s="101">
        <f t="shared" si="10"/>
        <v>66</v>
      </c>
      <c r="E92" s="128">
        <f t="shared" si="8"/>
        <v>9</v>
      </c>
      <c r="F92" s="102">
        <f t="shared" si="11"/>
        <v>2.2599999999999998</v>
      </c>
      <c r="G92" s="103">
        <f>IF(D92=D91,"",_xlfn.IFNA(VLOOKUP(D92,'인원 입력 기능(국수)'!$A$5:$D$103,4,FALSE),0))</f>
        <v>1190</v>
      </c>
      <c r="H92" s="104">
        <f t="shared" si="12"/>
        <v>4.4752825257140709E-3</v>
      </c>
      <c r="I92" s="129">
        <f>SUM($G$7:G92)</f>
        <v>260496</v>
      </c>
      <c r="J92" s="106">
        <f t="shared" si="13"/>
        <v>0.97965814858690137</v>
      </c>
      <c r="K92" s="31"/>
      <c r="L92" s="20" t="str">
        <f t="shared" si="9"/>
        <v/>
      </c>
      <c r="N92" s="1"/>
    </row>
    <row r="93" spans="1:14" ht="25" customHeight="1" x14ac:dyDescent="0.45">
      <c r="A93" s="5"/>
      <c r="B93" s="30"/>
      <c r="C93" s="127">
        <v>14</v>
      </c>
      <c r="D93" s="115">
        <f t="shared" si="10"/>
        <v>65</v>
      </c>
      <c r="E93" s="130">
        <f t="shared" si="8"/>
        <v>9</v>
      </c>
      <c r="F93" s="116">
        <f t="shared" si="11"/>
        <v>1.7</v>
      </c>
      <c r="G93" s="117">
        <f>IF(D93=D92,"",_xlfn.IFNA(VLOOKUP(D93,'인원 입력 기능(국수)'!$A$5:$D$103,4,FALSE),0))</f>
        <v>1775</v>
      </c>
      <c r="H93" s="118">
        <f t="shared" si="12"/>
        <v>6.6753163723886353E-3</v>
      </c>
      <c r="I93" s="131">
        <f>SUM($G$7:G93)</f>
        <v>262271</v>
      </c>
      <c r="J93" s="120">
        <f t="shared" si="13"/>
        <v>0.98633346495928997</v>
      </c>
      <c r="K93" s="31"/>
      <c r="L93" s="20" t="str">
        <f t="shared" si="9"/>
        <v/>
      </c>
      <c r="N93" s="1"/>
    </row>
    <row r="94" spans="1:14" ht="25" customHeight="1" x14ac:dyDescent="0.45">
      <c r="A94" s="5"/>
      <c r="B94" s="30"/>
      <c r="C94" s="127">
        <v>13</v>
      </c>
      <c r="D94" s="121"/>
      <c r="E94" s="132"/>
      <c r="F94" s="122"/>
      <c r="G94" s="123"/>
      <c r="H94" s="124"/>
      <c r="I94" s="133"/>
      <c r="J94" s="126"/>
      <c r="K94" s="31"/>
      <c r="L94" s="20" t="str">
        <f t="shared" si="9"/>
        <v>경고</v>
      </c>
      <c r="N94" s="1"/>
    </row>
    <row r="95" spans="1:14" ht="25" customHeight="1" x14ac:dyDescent="0.45">
      <c r="A95" s="5"/>
      <c r="B95" s="30"/>
      <c r="C95" s="127">
        <v>12</v>
      </c>
      <c r="D95" s="101">
        <f t="shared" si="10"/>
        <v>64</v>
      </c>
      <c r="E95" s="128">
        <f t="shared" si="8"/>
        <v>9</v>
      </c>
      <c r="F95" s="102">
        <f t="shared" si="11"/>
        <v>1.25</v>
      </c>
      <c r="G95" s="103">
        <f>IF(D95=D94,"",_xlfn.IFNA(VLOOKUP(D95,'인원 입력 기능(국수)'!$A$5:$D$103,4,FALSE),0))</f>
        <v>618</v>
      </c>
      <c r="H95" s="104">
        <f t="shared" si="12"/>
        <v>2.3241383200767189E-3</v>
      </c>
      <c r="I95" s="129">
        <f>SUM($G$7:G95)</f>
        <v>262889</v>
      </c>
      <c r="J95" s="106">
        <f t="shared" si="13"/>
        <v>0.98865760327936669</v>
      </c>
      <c r="K95" s="31"/>
      <c r="L95" s="20" t="str">
        <f t="shared" si="9"/>
        <v/>
      </c>
      <c r="N95" s="1"/>
    </row>
    <row r="96" spans="1:14" ht="25" customHeight="1" x14ac:dyDescent="0.45">
      <c r="A96" s="5"/>
      <c r="B96" s="30"/>
      <c r="C96" s="127">
        <v>11</v>
      </c>
      <c r="D96" s="101">
        <f t="shared" si="10"/>
        <v>63</v>
      </c>
      <c r="E96" s="128">
        <f t="shared" si="8"/>
        <v>9</v>
      </c>
      <c r="F96" s="102">
        <f t="shared" si="11"/>
        <v>1.05</v>
      </c>
      <c r="G96" s="103">
        <f>IF(D96=D95,"",_xlfn.IFNA(VLOOKUP(D96,'인원 입력 기능(국수)'!$A$5:$D$103,4,FALSE),0))</f>
        <v>430</v>
      </c>
      <c r="H96" s="104">
        <f t="shared" si="12"/>
        <v>1.617118895846261E-3</v>
      </c>
      <c r="I96" s="129">
        <f>SUM($G$7:G96)</f>
        <v>263319</v>
      </c>
      <c r="J96" s="106">
        <f t="shared" si="13"/>
        <v>0.99027472217521295</v>
      </c>
      <c r="K96" s="31"/>
      <c r="L96" s="20" t="str">
        <f t="shared" si="9"/>
        <v/>
      </c>
      <c r="N96" s="1"/>
    </row>
    <row r="97" spans="1:14" ht="25" customHeight="1" x14ac:dyDescent="0.45">
      <c r="A97" s="5"/>
      <c r="B97" s="30"/>
      <c r="C97" s="127">
        <v>10</v>
      </c>
      <c r="D97" s="101">
        <f t="shared" si="10"/>
        <v>62</v>
      </c>
      <c r="E97" s="128">
        <f t="shared" si="8"/>
        <v>9</v>
      </c>
      <c r="F97" s="102">
        <f t="shared" si="11"/>
        <v>0.9</v>
      </c>
      <c r="G97" s="103">
        <f>IF(D97=D96,"",_xlfn.IFNA(VLOOKUP(D97,'인원 입력 기능(국수)'!$A$5:$D$103,4,FALSE),0))</f>
        <v>391</v>
      </c>
      <c r="H97" s="104">
        <f t="shared" si="12"/>
        <v>1.4704499727346233E-3</v>
      </c>
      <c r="I97" s="129">
        <f>SUM($G$7:G97)</f>
        <v>263710</v>
      </c>
      <c r="J97" s="106">
        <f t="shared" si="13"/>
        <v>0.99174517214794755</v>
      </c>
      <c r="K97" s="31"/>
      <c r="L97" s="20" t="str">
        <f t="shared" si="9"/>
        <v/>
      </c>
      <c r="N97" s="1"/>
    </row>
    <row r="98" spans="1:14" ht="25" customHeight="1" x14ac:dyDescent="0.45">
      <c r="A98" s="5"/>
      <c r="B98" s="30"/>
      <c r="C98" s="127">
        <v>9</v>
      </c>
      <c r="D98" s="101">
        <f t="shared" si="10"/>
        <v>61</v>
      </c>
      <c r="E98" s="128">
        <f t="shared" si="8"/>
        <v>9</v>
      </c>
      <c r="F98" s="102">
        <f t="shared" si="11"/>
        <v>0.79</v>
      </c>
      <c r="G98" s="103">
        <f>IF(D98=D97,"",_xlfn.IFNA(VLOOKUP(D98,'인원 입력 기능(국수)'!$A$5:$D$103,4,FALSE),0))</f>
        <v>205</v>
      </c>
      <c r="H98" s="104">
        <f t="shared" si="12"/>
        <v>7.7095203174065924E-4</v>
      </c>
      <c r="I98" s="129">
        <f>SUM($G$7:G98)</f>
        <v>263915</v>
      </c>
      <c r="J98" s="106">
        <f t="shared" si="13"/>
        <v>0.99251612417968826</v>
      </c>
      <c r="K98" s="31"/>
      <c r="L98" s="20" t="str">
        <f t="shared" si="9"/>
        <v/>
      </c>
      <c r="N98" s="1"/>
    </row>
    <row r="99" spans="1:14" ht="25" customHeight="1" x14ac:dyDescent="0.45">
      <c r="A99" s="5"/>
      <c r="B99" s="30"/>
      <c r="C99" s="127">
        <v>8</v>
      </c>
      <c r="D99" s="101">
        <f t="shared" si="10"/>
        <v>60</v>
      </c>
      <c r="E99" s="128">
        <f t="shared" si="8"/>
        <v>9</v>
      </c>
      <c r="F99" s="102">
        <f t="shared" si="11"/>
        <v>0.69</v>
      </c>
      <c r="G99" s="103">
        <f>IF(D99=D98,"",_xlfn.IFNA(VLOOKUP(D99,'인원 입력 기능(국수)'!$A$5:$D$103,4,FALSE),0))</f>
        <v>298</v>
      </c>
      <c r="H99" s="104">
        <f t="shared" si="12"/>
        <v>1.1207010022376413E-3</v>
      </c>
      <c r="I99" s="129">
        <f>SUM($G$7:G99)</f>
        <v>264213</v>
      </c>
      <c r="J99" s="106">
        <f t="shared" si="13"/>
        <v>0.99363682518192586</v>
      </c>
      <c r="K99" s="31"/>
      <c r="L99" s="20" t="str">
        <f t="shared" si="9"/>
        <v/>
      </c>
      <c r="N99" s="1"/>
    </row>
    <row r="100" spans="1:14" ht="25" customHeight="1" x14ac:dyDescent="0.45">
      <c r="A100" s="5"/>
      <c r="B100" s="30"/>
      <c r="C100" s="127">
        <v>7</v>
      </c>
      <c r="D100" s="101">
        <f t="shared" si="10"/>
        <v>59</v>
      </c>
      <c r="E100" s="128">
        <f t="shared" si="8"/>
        <v>9</v>
      </c>
      <c r="F100" s="102">
        <f t="shared" si="11"/>
        <v>0.62</v>
      </c>
      <c r="G100" s="103">
        <f>IF(D100=D99,"",_xlfn.IFNA(VLOOKUP(D100,'인원 입력 기능(국수)'!$A$5:$D$103,4,FALSE),0))</f>
        <v>79</v>
      </c>
      <c r="H100" s="104">
        <f t="shared" si="12"/>
        <v>2.9709858784152235E-4</v>
      </c>
      <c r="I100" s="129">
        <f>SUM($G$7:G100)</f>
        <v>264292</v>
      </c>
      <c r="J100" s="106">
        <f t="shared" si="13"/>
        <v>0.99393392376976741</v>
      </c>
      <c r="K100" s="31"/>
      <c r="L100" s="20" t="str">
        <f t="shared" si="9"/>
        <v/>
      </c>
      <c r="N100" s="1"/>
    </row>
    <row r="101" spans="1:14" ht="25" customHeight="1" x14ac:dyDescent="0.45">
      <c r="A101" s="5"/>
      <c r="B101" s="30"/>
      <c r="C101" s="107">
        <v>6</v>
      </c>
      <c r="D101" s="115">
        <f t="shared" si="10"/>
        <v>58</v>
      </c>
      <c r="E101" s="115">
        <f t="shared" si="8"/>
        <v>9</v>
      </c>
      <c r="F101" s="116">
        <f t="shared" si="11"/>
        <v>0.56000000000000005</v>
      </c>
      <c r="G101" s="117">
        <f>IF(D101=D100,"",_xlfn.IFNA(VLOOKUP(D101,'인원 입력 기능(국수)'!$A$5:$D$103,4,FALSE),0))</f>
        <v>244</v>
      </c>
      <c r="H101" s="118">
        <f t="shared" si="12"/>
        <v>9.1762095485229691E-4</v>
      </c>
      <c r="I101" s="119">
        <f>SUM($G$7:G101)</f>
        <v>264536</v>
      </c>
      <c r="J101" s="120">
        <f t="shared" si="13"/>
        <v>0.99485154472461967</v>
      </c>
      <c r="K101" s="31"/>
      <c r="L101" s="20" t="str">
        <f t="shared" si="9"/>
        <v/>
      </c>
      <c r="N101" s="1"/>
    </row>
    <row r="102" spans="1:14" ht="25" customHeight="1" x14ac:dyDescent="0.45">
      <c r="A102" s="5"/>
      <c r="B102" s="30"/>
      <c r="C102" s="107">
        <v>5</v>
      </c>
      <c r="D102" s="121"/>
      <c r="E102" s="121"/>
      <c r="F102" s="122"/>
      <c r="G102" s="123"/>
      <c r="H102" s="124"/>
      <c r="I102" s="125"/>
      <c r="J102" s="126"/>
      <c r="K102" s="31"/>
      <c r="L102" s="20" t="str">
        <f t="shared" si="9"/>
        <v>경고</v>
      </c>
      <c r="N102" s="1"/>
    </row>
    <row r="103" spans="1:14" ht="25" customHeight="1" x14ac:dyDescent="0.45">
      <c r="A103" s="5"/>
      <c r="B103" s="30"/>
      <c r="C103" s="107">
        <v>4</v>
      </c>
      <c r="D103" s="101">
        <f t="shared" si="10"/>
        <v>57</v>
      </c>
      <c r="E103" s="101">
        <f t="shared" ref="E103:E105" si="14">IF(ROUND(D103,0)&gt;=$Q$7,1,IF(ROUND(D103,0)&gt;=$Q$8,2,IF(ROUND(D103,0)&gt;=$Q$9,3,IF(ROUND(D103,0)&gt;=$Q$10,4,IF(ROUND(D103,0)&gt;=$Q$11,5,IF(ROUND(D103,0)&gt;=$Q$12,6,IF(ROUND(D103,0)&gt;=$Q$13,7,IF(ROUND(D103,0)&gt;=$Q$14,8,9))))))))</f>
        <v>9</v>
      </c>
      <c r="F103" s="102">
        <f t="shared" si="11"/>
        <v>0.5</v>
      </c>
      <c r="G103" s="103">
        <f>IF(D103=D102,"",_xlfn.IFNA(VLOOKUP(D103,'인원 입력 기능(국수)'!$A$5:$D$103,4,FALSE),0))</f>
        <v>100</v>
      </c>
      <c r="H103" s="104">
        <f t="shared" si="12"/>
        <v>3.7607416182471184E-4</v>
      </c>
      <c r="I103" s="114">
        <f>SUM($G$7:G103)</f>
        <v>264636</v>
      </c>
      <c r="J103" s="106">
        <f t="shared" si="13"/>
        <v>0.9952276188864444</v>
      </c>
      <c r="K103" s="31"/>
      <c r="L103" s="20" t="str">
        <f t="shared" si="9"/>
        <v/>
      </c>
      <c r="N103" s="1"/>
    </row>
    <row r="104" spans="1:14" ht="25" customHeight="1" x14ac:dyDescent="0.45">
      <c r="A104" s="5"/>
      <c r="B104" s="30"/>
      <c r="C104" s="107">
        <v>3</v>
      </c>
      <c r="D104" s="101">
        <f t="shared" si="10"/>
        <v>56</v>
      </c>
      <c r="E104" s="101">
        <f t="shared" si="14"/>
        <v>9</v>
      </c>
      <c r="F104" s="102">
        <f t="shared" si="11"/>
        <v>0.48</v>
      </c>
      <c r="G104" s="103">
        <f>IF(D104=D103,"",_xlfn.IFNA(VLOOKUP(D104,'인원 입력 기능(국수)'!$A$5:$D$103,4,FALSE),0))</f>
        <v>4</v>
      </c>
      <c r="H104" s="104">
        <f t="shared" si="12"/>
        <v>1.5042966472988473E-5</v>
      </c>
      <c r="I104" s="114">
        <f>SUM($G$7:G104)</f>
        <v>264640</v>
      </c>
      <c r="J104" s="106">
        <f t="shared" si="13"/>
        <v>0.99524266185291743</v>
      </c>
      <c r="K104" s="31"/>
      <c r="L104" s="20" t="str">
        <f t="shared" si="9"/>
        <v/>
      </c>
      <c r="N104" s="1"/>
    </row>
    <row r="105" spans="1:14" ht="25" customHeight="1" x14ac:dyDescent="0.45">
      <c r="A105" s="5"/>
      <c r="B105" s="30"/>
      <c r="C105" s="107">
        <v>2</v>
      </c>
      <c r="D105" s="101">
        <f t="shared" si="10"/>
        <v>55</v>
      </c>
      <c r="E105" s="101">
        <f t="shared" si="14"/>
        <v>9</v>
      </c>
      <c r="F105" s="102">
        <f t="shared" si="11"/>
        <v>0.46</v>
      </c>
      <c r="G105" s="103">
        <f>IF(D105=D104,"",_xlfn.IFNA(VLOOKUP(D105,'인원 입력 기능(국수)'!$A$5:$D$103,4,FALSE),0))</f>
        <v>98</v>
      </c>
      <c r="H105" s="104">
        <f t="shared" si="12"/>
        <v>3.6855267858821759E-4</v>
      </c>
      <c r="I105" s="114">
        <f>SUM($G$7:G105)</f>
        <v>264738</v>
      </c>
      <c r="J105" s="106">
        <f t="shared" si="13"/>
        <v>0.99561121453150558</v>
      </c>
      <c r="K105" s="31"/>
      <c r="L105" s="20" t="str">
        <f t="shared" si="9"/>
        <v/>
      </c>
      <c r="N105" s="1"/>
    </row>
    <row r="106" spans="1:14" ht="25" customHeight="1" x14ac:dyDescent="0.45">
      <c r="A106" s="5"/>
      <c r="B106" s="30"/>
      <c r="C106" s="107">
        <v>1</v>
      </c>
      <c r="D106" s="108" t="s">
        <v>54</v>
      </c>
      <c r="E106" s="108"/>
      <c r="F106" s="109"/>
      <c r="G106" s="110"/>
      <c r="H106" s="111"/>
      <c r="I106" s="134"/>
      <c r="J106" s="113"/>
      <c r="K106" s="31"/>
      <c r="L106" s="20"/>
    </row>
    <row r="107" spans="1:14" ht="25" customHeight="1" thickBot="1" x14ac:dyDescent="0.5">
      <c r="A107" s="5"/>
      <c r="B107" s="30"/>
      <c r="C107" s="135">
        <v>0</v>
      </c>
      <c r="D107" s="136">
        <f>ROUND(20*(C107-$H$3)/$H$4+100,0)</f>
        <v>53</v>
      </c>
      <c r="E107" s="136">
        <f>IF(ROUND(D107,0)&gt;=$Q$7,1,IF(ROUND(D107,0)&gt;=$Q$8,2,IF(ROUND(D107,0)&gt;=$Q$9,3,IF(ROUND(D107,0)&gt;=$Q$10,4,IF(ROUND(D107,0)&gt;=$Q$11,5,IF(ROUND(D107,0)&gt;=$Q$12,6,IF(ROUND(D107,0)&gt;=$Q$13,7,IF(ROUND(D107,0)&gt;=$Q$14,8,9))))))))</f>
        <v>9</v>
      </c>
      <c r="F107" s="137">
        <f>IF(I105=0,ROUND(100*(1-(I104+I107)/2/$J$3),2),ROUND(100*(1-(I105+I107)/2/$J$3),2))</f>
        <v>0.22</v>
      </c>
      <c r="G107" s="138">
        <f>_xlfn.IFNA(VLOOKUP(D107,'인원 입력 기능(국수)'!$A$5:$D$103,4,FALSE),0)</f>
        <v>1167</v>
      </c>
      <c r="H107" s="139">
        <f>G107/$J$3</f>
        <v>4.3887854684943875E-3</v>
      </c>
      <c r="I107" s="140">
        <f>SUM($G$7:G107)</f>
        <v>265905</v>
      </c>
      <c r="J107" s="141">
        <f>I107/$J$3</f>
        <v>1</v>
      </c>
      <c r="K107" s="31"/>
      <c r="L107" s="20" t="str">
        <f>IF(ABS((C107-$H$3)/$H$4*20+100-D107)&gt;0.49, "경고", "")</f>
        <v/>
      </c>
    </row>
    <row r="108" spans="1:14" s="5" customFormat="1" ht="6" customHeight="1" x14ac:dyDescent="0.45">
      <c r="B108" s="34"/>
      <c r="C108" s="35"/>
      <c r="D108" s="35"/>
      <c r="E108" s="35"/>
      <c r="F108" s="35"/>
      <c r="G108" s="35"/>
      <c r="H108" s="35"/>
      <c r="I108" s="35"/>
      <c r="J108" s="35"/>
      <c r="K108" s="36"/>
    </row>
    <row r="109" spans="1:14" ht="17" customHeight="1" x14ac:dyDescent="0.45">
      <c r="A109" s="5"/>
      <c r="L109" s="5"/>
    </row>
    <row r="110" spans="1:14" x14ac:dyDescent="0.45">
      <c r="A110" s="5"/>
      <c r="C110" s="5"/>
      <c r="D110" s="5"/>
      <c r="E110" s="5"/>
      <c r="F110" s="5"/>
      <c r="G110" s="5"/>
      <c r="H110" s="5"/>
      <c r="I110" s="5"/>
      <c r="J110" s="5"/>
      <c r="L110" s="5"/>
    </row>
  </sheetData>
  <mergeCells count="86">
    <mergeCell ref="I93:I94"/>
    <mergeCell ref="J93:J94"/>
    <mergeCell ref="D101:D102"/>
    <mergeCell ref="E101:E102"/>
    <mergeCell ref="F101:F102"/>
    <mergeCell ref="G101:G102"/>
    <mergeCell ref="H101:H102"/>
    <mergeCell ref="I101:I102"/>
    <mergeCell ref="J101:J102"/>
    <mergeCell ref="D93:D94"/>
    <mergeCell ref="E93:E94"/>
    <mergeCell ref="F93:F94"/>
    <mergeCell ref="G93:G94"/>
    <mergeCell ref="H93:H94"/>
    <mergeCell ref="I77:I78"/>
    <mergeCell ref="J77:J78"/>
    <mergeCell ref="D85:D86"/>
    <mergeCell ref="E85:E86"/>
    <mergeCell ref="F85:F86"/>
    <mergeCell ref="G85:G86"/>
    <mergeCell ref="H85:H86"/>
    <mergeCell ref="I85:I86"/>
    <mergeCell ref="J85:J86"/>
    <mergeCell ref="D77:D78"/>
    <mergeCell ref="E77:E78"/>
    <mergeCell ref="F77:F78"/>
    <mergeCell ref="G77:G78"/>
    <mergeCell ref="H77:H78"/>
    <mergeCell ref="I60:I61"/>
    <mergeCell ref="J60:J61"/>
    <mergeCell ref="D68:D69"/>
    <mergeCell ref="E68:E69"/>
    <mergeCell ref="F68:F69"/>
    <mergeCell ref="G68:G69"/>
    <mergeCell ref="H68:H69"/>
    <mergeCell ref="I68:I69"/>
    <mergeCell ref="J68:J69"/>
    <mergeCell ref="D60:D61"/>
    <mergeCell ref="E60:E61"/>
    <mergeCell ref="F60:F61"/>
    <mergeCell ref="G60:G61"/>
    <mergeCell ref="H60:H61"/>
    <mergeCell ref="I44:I45"/>
    <mergeCell ref="J44:J45"/>
    <mergeCell ref="D52:D53"/>
    <mergeCell ref="E52:E53"/>
    <mergeCell ref="F52:F53"/>
    <mergeCell ref="G52:G53"/>
    <mergeCell ref="H52:H53"/>
    <mergeCell ref="I52:I53"/>
    <mergeCell ref="J52:J53"/>
    <mergeCell ref="D44:D45"/>
    <mergeCell ref="E44:E45"/>
    <mergeCell ref="F44:F45"/>
    <mergeCell ref="G44:G45"/>
    <mergeCell ref="H44:H45"/>
    <mergeCell ref="I27:I28"/>
    <mergeCell ref="J27:J28"/>
    <mergeCell ref="D35:D36"/>
    <mergeCell ref="E35:E36"/>
    <mergeCell ref="F35:F36"/>
    <mergeCell ref="G35:G36"/>
    <mergeCell ref="H35:H36"/>
    <mergeCell ref="I35:I36"/>
    <mergeCell ref="J35:J36"/>
    <mergeCell ref="D27:D28"/>
    <mergeCell ref="E27:E28"/>
    <mergeCell ref="F27:F28"/>
    <mergeCell ref="G27:G28"/>
    <mergeCell ref="H27:H28"/>
    <mergeCell ref="G11:G12"/>
    <mergeCell ref="H11:H12"/>
    <mergeCell ref="I11:I12"/>
    <mergeCell ref="J11:J12"/>
    <mergeCell ref="D19:D20"/>
    <mergeCell ref="E19:E20"/>
    <mergeCell ref="F19:F20"/>
    <mergeCell ref="G19:G20"/>
    <mergeCell ref="H19:H20"/>
    <mergeCell ref="I19:I20"/>
    <mergeCell ref="J19:J20"/>
    <mergeCell ref="D3:F3"/>
    <mergeCell ref="D4:F4"/>
    <mergeCell ref="D11:D12"/>
    <mergeCell ref="E11:E12"/>
    <mergeCell ref="F11:F12"/>
  </mergeCells>
  <phoneticPr fontId="1" type="noConversion"/>
  <conditionalFormatting sqref="C7:C106">
    <cfRule type="expression" dxfId="61" priority="2">
      <formula>OR(AND($D7=0,OR($D6=$Q$7:$Q$14)),AND($D8&gt;0,OR($D7=$Q$7:$Q$14)))</formula>
    </cfRule>
  </conditionalFormatting>
  <conditionalFormatting sqref="D7:J11 D13:J19 D21:J27 D29:J35 D37:J44 D46:J52 D54:J60 D62:J68 D70:J77 D79:J85 D87:J93 D95:J101 D103:J107">
    <cfRule type="expression" dxfId="60" priority="3">
      <formula>OR($D7=$Q$7:$Q$14)</formula>
    </cfRule>
  </conditionalFormatting>
  <conditionalFormatting sqref="D7:D11 D13:D19 D21:D27 D29:D35 D37:D44 D46:D52 D54:D60 D62:D68 D70:D77 D79:D85 D87:D93 D95:D101 D103:D106">
    <cfRule type="expression" dxfId="59" priority="1">
      <formula>$D7=$D8</formula>
    </cfRule>
  </conditionalFormatting>
  <conditionalFormatting sqref="C107">
    <cfRule type="expression" dxfId="58" priority="7">
      <formula>OR(AND($D107=0,OR($D106=$Q$7:$Q$14)),AND($D109&gt;0,OR($D107=$Q$7:$Q$14)))</formula>
    </cfRule>
  </conditionalFormatting>
  <conditionalFormatting sqref="D107">
    <cfRule type="expression" dxfId="57" priority="9">
      <formula>$D107=$D109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749FE-5941-4A60-840C-DC2EFCC49008}">
  <sheetPr codeName="Sheet7"/>
  <dimension ref="A1:Q109"/>
  <sheetViews>
    <sheetView zoomScaleNormal="100" workbookViewId="0">
      <selection activeCell="B2" sqref="B2:K10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  <col min="13" max="14" width="12.4140625" customWidth="1"/>
  </cols>
  <sheetData>
    <row r="1" spans="1:17" x14ac:dyDescent="0.45">
      <c r="A1" s="5" t="s">
        <v>64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ht="25" customHeight="1" thickBot="1" x14ac:dyDescent="0.5">
      <c r="A3" s="5"/>
      <c r="B3" s="30"/>
      <c r="C3" s="84" t="s">
        <v>122</v>
      </c>
      <c r="D3" s="85" t="s">
        <v>67</v>
      </c>
      <c r="E3" s="86"/>
      <c r="F3" s="87"/>
      <c r="G3" s="84" t="s">
        <v>123</v>
      </c>
      <c r="H3" s="88" t="str">
        <f>'통계 및 응시자 수 입력 기능'!D5</f>
        <v>41.74</v>
      </c>
      <c r="I3" s="21" t="s">
        <v>124</v>
      </c>
      <c r="J3" s="89">
        <f>'통계 및 응시자 수 입력 기능'!C5</f>
        <v>264466</v>
      </c>
      <c r="K3" s="31"/>
      <c r="L3" s="5"/>
    </row>
    <row r="4" spans="1:17" ht="25" customHeight="1" thickBot="1" x14ac:dyDescent="0.5">
      <c r="A4" s="5"/>
      <c r="B4" s="30"/>
      <c r="C4" s="90" t="s">
        <v>125</v>
      </c>
      <c r="D4" s="91" t="s">
        <v>128</v>
      </c>
      <c r="E4" s="92"/>
      <c r="F4" s="93"/>
      <c r="G4" s="94" t="s">
        <v>127</v>
      </c>
      <c r="H4" s="95" t="str">
        <f>'통계 및 응시자 수 입력 기능'!E5</f>
        <v>24.03</v>
      </c>
      <c r="I4" s="39"/>
      <c r="J4" s="40"/>
      <c r="K4" s="31"/>
      <c r="L4" s="5"/>
    </row>
    <row r="5" spans="1:17" ht="25" customHeight="1" thickBot="1" x14ac:dyDescent="0.5">
      <c r="A5" s="5"/>
      <c r="B5" s="30"/>
      <c r="C5" s="32"/>
      <c r="D5" s="32"/>
      <c r="E5" s="32"/>
      <c r="F5" s="32"/>
      <c r="G5" s="32"/>
      <c r="H5" s="33"/>
      <c r="I5" s="33"/>
      <c r="J5" s="33"/>
      <c r="K5" s="31"/>
      <c r="L5" s="5"/>
    </row>
    <row r="6" spans="1:17" ht="25" customHeight="1" thickBot="1" x14ac:dyDescent="0.5">
      <c r="A6" s="5"/>
      <c r="B6" s="30"/>
      <c r="C6" s="96" t="s">
        <v>129</v>
      </c>
      <c r="D6" s="97" t="s">
        <v>130</v>
      </c>
      <c r="E6" s="97" t="s">
        <v>131</v>
      </c>
      <c r="F6" s="97" t="s">
        <v>132</v>
      </c>
      <c r="G6" s="97" t="s">
        <v>133</v>
      </c>
      <c r="H6" s="98" t="s">
        <v>134</v>
      </c>
      <c r="I6" s="98" t="s">
        <v>135</v>
      </c>
      <c r="J6" s="99" t="s">
        <v>136</v>
      </c>
      <c r="K6" s="31"/>
      <c r="L6" s="3" t="s">
        <v>63</v>
      </c>
      <c r="M6" s="3"/>
      <c r="N6" s="4"/>
    </row>
    <row r="7" spans="1:17" ht="25" customHeight="1" x14ac:dyDescent="0.45">
      <c r="A7" s="5"/>
      <c r="B7" s="30"/>
      <c r="C7" s="100">
        <v>100</v>
      </c>
      <c r="D7" s="101">
        <f>ROUND(20*(C7-$H$3)/$H$4+100,0)</f>
        <v>148</v>
      </c>
      <c r="E7" s="101">
        <f t="shared" ref="E7:E70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102">
        <f>ROUND(100*(1-(0+I7)/2/$J$3),2)</f>
        <v>99.91</v>
      </c>
      <c r="G7" s="103">
        <f>_xlfn.IFNA(VLOOKUP(D7,'인원 입력 기능(국수)'!$F$5:$I$103,4,FALSE),0)</f>
        <v>475</v>
      </c>
      <c r="H7" s="104">
        <f>G7/$J$3</f>
        <v>1.796072084880476E-3</v>
      </c>
      <c r="I7" s="105">
        <f>G7</f>
        <v>475</v>
      </c>
      <c r="J7" s="106">
        <f>I7/$J$3</f>
        <v>1.796072084880476E-3</v>
      </c>
      <c r="K7" s="31"/>
      <c r="L7" s="20" t="str">
        <f>IF(ABS((C7-$H$3)/$H$4*20+100-D7)&gt;0.49, "경고", "")</f>
        <v/>
      </c>
      <c r="N7" s="1"/>
      <c r="P7" s="1">
        <v>1</v>
      </c>
      <c r="Q7" s="1">
        <f>'표점등급&amp;절평인원 입력 기능'!C13</f>
        <v>135</v>
      </c>
    </row>
    <row r="8" spans="1:17" ht="25" customHeight="1" x14ac:dyDescent="0.45">
      <c r="A8" s="5"/>
      <c r="B8" s="30"/>
      <c r="C8" s="107">
        <v>99</v>
      </c>
      <c r="D8" s="108" t="s">
        <v>54</v>
      </c>
      <c r="E8" s="108"/>
      <c r="F8" s="109"/>
      <c r="G8" s="110"/>
      <c r="H8" s="111"/>
      <c r="I8" s="112"/>
      <c r="J8" s="113"/>
      <c r="K8" s="31"/>
      <c r="L8" s="20"/>
      <c r="N8" s="1"/>
      <c r="P8" s="1">
        <v>2</v>
      </c>
      <c r="Q8" s="1">
        <f>'표점등급&amp;절평인원 입력 기능'!C14</f>
        <v>127</v>
      </c>
    </row>
    <row r="9" spans="1:17" ht="25" customHeight="1" x14ac:dyDescent="0.45">
      <c r="A9" s="5"/>
      <c r="B9" s="30"/>
      <c r="C9" s="107">
        <v>98</v>
      </c>
      <c r="D9" s="101">
        <f t="shared" ref="D9:D40" si="1">ROUND(20*(C9-$H$3)/$H$4+100,0)</f>
        <v>147</v>
      </c>
      <c r="E9" s="101">
        <f t="shared" si="0"/>
        <v>1</v>
      </c>
      <c r="F9" s="102">
        <f>IF(I8=0,ROUND(100*(1-(I7+I9)/2/$J$3),2),ROUND(100*(1-(I8+I9)/2/$J$3),2))</f>
        <v>99.82</v>
      </c>
      <c r="G9" s="103">
        <f>_xlfn.IFNA(VLOOKUP(D9,'인원 입력 기능(국수)'!$F$5:$I$103,4,FALSE),0)</f>
        <v>0</v>
      </c>
      <c r="H9" s="104">
        <f>G9/$J$3</f>
        <v>0</v>
      </c>
      <c r="I9" s="114">
        <f>SUM($G$7:G9)</f>
        <v>475</v>
      </c>
      <c r="J9" s="106">
        <f>I9/$J$3</f>
        <v>1.796072084880476E-3</v>
      </c>
      <c r="K9" s="31"/>
      <c r="L9" s="20" t="str">
        <f t="shared" ref="L9:L40" si="2">IF(ABS((C9-$H$3)/$H$4*20+100-D9)&gt;0.49, "경고", "")</f>
        <v/>
      </c>
      <c r="N9" s="1"/>
      <c r="P9" s="1">
        <v>3</v>
      </c>
      <c r="Q9" s="1">
        <f>'표점등급&amp;절평인원 입력 기능'!C15</f>
        <v>118</v>
      </c>
    </row>
    <row r="10" spans="1:17" ht="25" customHeight="1" x14ac:dyDescent="0.45">
      <c r="A10" s="5"/>
      <c r="B10" s="30"/>
      <c r="C10" s="107">
        <v>97</v>
      </c>
      <c r="D10" s="101">
        <f t="shared" si="1"/>
        <v>146</v>
      </c>
      <c r="E10" s="101">
        <f t="shared" si="0"/>
        <v>1</v>
      </c>
      <c r="F10" s="102">
        <f t="shared" ref="F10:F72" si="3">IF(I9=0,ROUND(100*(1-(I8+I10)/2/$J$3),2),ROUND(100*(1-(I9+I10)/2/$J$3),2))</f>
        <v>99.81</v>
      </c>
      <c r="G10" s="103">
        <f>IF(D10=D9,"",_xlfn.IFNA(VLOOKUP(D10,'인원 입력 기능(국수)'!$F$5:$I$103,4,FALSE),0))</f>
        <v>44</v>
      </c>
      <c r="H10" s="104">
        <f t="shared" ref="H10:H72" si="4">G10/$J$3</f>
        <v>1.6637299312577042E-4</v>
      </c>
      <c r="I10" s="114">
        <f>SUM($G$7:G10)</f>
        <v>519</v>
      </c>
      <c r="J10" s="106">
        <f t="shared" ref="J10:J72" si="5">I10/$J$3</f>
        <v>1.9624450780062466E-3</v>
      </c>
      <c r="K10" s="31"/>
      <c r="L10" s="20" t="str">
        <f t="shared" si="2"/>
        <v/>
      </c>
      <c r="N10" s="1"/>
      <c r="P10" s="1">
        <v>4</v>
      </c>
      <c r="Q10" s="1">
        <f>'표점등급&amp;절평인원 입력 기능'!C16</f>
        <v>106</v>
      </c>
    </row>
    <row r="11" spans="1:17" ht="25" customHeight="1" x14ac:dyDescent="0.45">
      <c r="A11" s="5"/>
      <c r="B11" s="30"/>
      <c r="C11" s="107">
        <v>96</v>
      </c>
      <c r="D11" s="101">
        <f t="shared" si="1"/>
        <v>145</v>
      </c>
      <c r="E11" s="101">
        <f t="shared" si="0"/>
        <v>1</v>
      </c>
      <c r="F11" s="102">
        <f t="shared" si="3"/>
        <v>99.57</v>
      </c>
      <c r="G11" s="103">
        <f>IF(D11=D10,"",_xlfn.IFNA(VLOOKUP(D11,'인원 입력 기능(국수)'!$F$5:$I$103,4,FALSE),0))</f>
        <v>1223</v>
      </c>
      <c r="H11" s="104">
        <f t="shared" si="4"/>
        <v>4.6244129680185729E-3</v>
      </c>
      <c r="I11" s="114">
        <f>SUM($G$7:G11)</f>
        <v>1742</v>
      </c>
      <c r="J11" s="106">
        <f t="shared" si="5"/>
        <v>6.5868580460248195E-3</v>
      </c>
      <c r="K11" s="31"/>
      <c r="L11" s="20" t="str">
        <f t="shared" si="2"/>
        <v/>
      </c>
      <c r="N11" s="1"/>
      <c r="P11" s="1">
        <v>5</v>
      </c>
      <c r="Q11" s="1">
        <f>'표점등급&amp;절평인원 입력 기능'!C17</f>
        <v>91</v>
      </c>
    </row>
    <row r="12" spans="1:17" ht="25" customHeight="1" x14ac:dyDescent="0.45">
      <c r="A12" s="5"/>
      <c r="B12" s="30"/>
      <c r="C12" s="107">
        <v>95</v>
      </c>
      <c r="D12" s="101">
        <f t="shared" si="1"/>
        <v>144</v>
      </c>
      <c r="E12" s="101">
        <f t="shared" si="0"/>
        <v>1</v>
      </c>
      <c r="F12" s="102">
        <f t="shared" si="3"/>
        <v>99.34</v>
      </c>
      <c r="G12" s="103">
        <f>IF(D12=D11,"",_xlfn.IFNA(VLOOKUP(D12,'인원 입력 기능(국수)'!$F$5:$I$103,4,FALSE),0))</f>
        <v>0</v>
      </c>
      <c r="H12" s="104">
        <f t="shared" si="4"/>
        <v>0</v>
      </c>
      <c r="I12" s="114">
        <f>SUM($G$7:G12)</f>
        <v>1742</v>
      </c>
      <c r="J12" s="106">
        <f t="shared" si="5"/>
        <v>6.5868580460248195E-3</v>
      </c>
      <c r="K12" s="31"/>
      <c r="L12" s="20" t="str">
        <f t="shared" si="2"/>
        <v/>
      </c>
      <c r="N12" s="1"/>
      <c r="P12" s="1">
        <v>6</v>
      </c>
      <c r="Q12" s="1">
        <f>'표점등급&amp;절평인원 입력 기능'!C18</f>
        <v>79</v>
      </c>
    </row>
    <row r="13" spans="1:17" ht="25" customHeight="1" x14ac:dyDescent="0.45">
      <c r="A13" s="5"/>
      <c r="B13" s="30"/>
      <c r="C13" s="107">
        <v>94</v>
      </c>
      <c r="D13" s="115">
        <f t="shared" si="1"/>
        <v>143</v>
      </c>
      <c r="E13" s="115">
        <f t="shared" si="0"/>
        <v>1</v>
      </c>
      <c r="F13" s="116">
        <f t="shared" si="3"/>
        <v>99.31</v>
      </c>
      <c r="G13" s="117">
        <f>IF(D13=D12,"",_xlfn.IFNA(VLOOKUP(D13,'인원 입력 기능(국수)'!$F$5:$I$103,4,FALSE),0))</f>
        <v>183</v>
      </c>
      <c r="H13" s="118">
        <f t="shared" si="4"/>
        <v>6.919604032276361E-4</v>
      </c>
      <c r="I13" s="119">
        <f>SUM($G$7:G13)</f>
        <v>1925</v>
      </c>
      <c r="J13" s="120">
        <f t="shared" si="5"/>
        <v>7.2788184492524558E-3</v>
      </c>
      <c r="K13" s="31"/>
      <c r="L13" s="20" t="str">
        <f t="shared" si="2"/>
        <v>경고</v>
      </c>
      <c r="N13" s="1"/>
      <c r="P13" s="1">
        <v>7</v>
      </c>
      <c r="Q13" s="1">
        <f>'표점등급&amp;절평인원 입력 기능'!C19</f>
        <v>76</v>
      </c>
    </row>
    <row r="14" spans="1:17" ht="25" customHeight="1" x14ac:dyDescent="0.45">
      <c r="A14" s="5"/>
      <c r="B14" s="30"/>
      <c r="C14" s="107">
        <v>93</v>
      </c>
      <c r="D14" s="121"/>
      <c r="E14" s="121"/>
      <c r="F14" s="122"/>
      <c r="G14" s="123"/>
      <c r="H14" s="124"/>
      <c r="I14" s="125"/>
      <c r="J14" s="126"/>
      <c r="K14" s="31"/>
      <c r="L14" s="20" t="str">
        <f t="shared" si="2"/>
        <v>경고</v>
      </c>
      <c r="N14" s="1"/>
      <c r="P14" s="1">
        <v>8</v>
      </c>
      <c r="Q14" s="1">
        <f>'표점등급&amp;절평인원 입력 기능'!C20</f>
        <v>73</v>
      </c>
    </row>
    <row r="15" spans="1:17" ht="25" customHeight="1" x14ac:dyDescent="0.45">
      <c r="A15" s="5"/>
      <c r="B15" s="30"/>
      <c r="C15" s="107">
        <v>92</v>
      </c>
      <c r="D15" s="101">
        <f t="shared" si="1"/>
        <v>142</v>
      </c>
      <c r="E15" s="101">
        <f t="shared" si="0"/>
        <v>1</v>
      </c>
      <c r="F15" s="102">
        <f t="shared" si="3"/>
        <v>98.84</v>
      </c>
      <c r="G15" s="103">
        <f>IF(D15=D14,"",_xlfn.IFNA(VLOOKUP(D15,'인원 입력 기능(국수)'!$F$5:$I$103,4,FALSE),0))</f>
        <v>2285</v>
      </c>
      <c r="H15" s="104">
        <f t="shared" si="4"/>
        <v>8.6400520293723956E-3</v>
      </c>
      <c r="I15" s="114">
        <f>SUM($G$7:G15)</f>
        <v>4210</v>
      </c>
      <c r="J15" s="106">
        <f t="shared" si="5"/>
        <v>1.5918870478624853E-2</v>
      </c>
      <c r="K15" s="31"/>
      <c r="L15" s="20" t="str">
        <f t="shared" si="2"/>
        <v/>
      </c>
      <c r="N15" s="1"/>
      <c r="P15" s="1">
        <v>9</v>
      </c>
    </row>
    <row r="16" spans="1:17" ht="25" customHeight="1" x14ac:dyDescent="0.45">
      <c r="A16" s="5"/>
      <c r="B16" s="30"/>
      <c r="C16" s="107">
        <v>91</v>
      </c>
      <c r="D16" s="101">
        <f t="shared" si="1"/>
        <v>141</v>
      </c>
      <c r="E16" s="101">
        <f t="shared" si="0"/>
        <v>1</v>
      </c>
      <c r="F16" s="102">
        <f t="shared" si="3"/>
        <v>98.41</v>
      </c>
      <c r="G16" s="103">
        <f>IF(D16=D15,"",_xlfn.IFNA(VLOOKUP(D16,'인원 입력 기능(국수)'!$F$5:$I$103,4,FALSE),0))</f>
        <v>4</v>
      </c>
      <c r="H16" s="104">
        <f t="shared" si="4"/>
        <v>1.5124817556888219E-5</v>
      </c>
      <c r="I16" s="114">
        <f>SUM($G$7:G16)</f>
        <v>4214</v>
      </c>
      <c r="J16" s="106">
        <f t="shared" si="5"/>
        <v>1.5933995296181738E-2</v>
      </c>
      <c r="K16" s="31"/>
      <c r="L16" s="20" t="str">
        <f t="shared" si="2"/>
        <v/>
      </c>
      <c r="N16" s="1"/>
    </row>
    <row r="17" spans="1:17" ht="25" customHeight="1" x14ac:dyDescent="0.45">
      <c r="A17" s="5"/>
      <c r="B17" s="30"/>
      <c r="C17" s="107">
        <v>90</v>
      </c>
      <c r="D17" s="101">
        <f t="shared" si="1"/>
        <v>140</v>
      </c>
      <c r="E17" s="101">
        <f t="shared" si="0"/>
        <v>1</v>
      </c>
      <c r="F17" s="102">
        <f t="shared" si="3"/>
        <v>98.4</v>
      </c>
      <c r="G17" s="103">
        <f>IF(D17=D16,"",_xlfn.IFNA(VLOOKUP(D17,'인원 입력 기능(국수)'!$F$5:$I$103,4,FALSE),0))</f>
        <v>34</v>
      </c>
      <c r="H17" s="104">
        <f t="shared" si="4"/>
        <v>1.2856094923354987E-4</v>
      </c>
      <c r="I17" s="114">
        <f>SUM($G$7:G17)</f>
        <v>4248</v>
      </c>
      <c r="J17" s="106">
        <f t="shared" si="5"/>
        <v>1.6062556245415291E-2</v>
      </c>
      <c r="K17" s="31"/>
      <c r="L17" s="20" t="str">
        <f t="shared" si="2"/>
        <v/>
      </c>
      <c r="N17" s="1"/>
      <c r="Q17" s="1">
        <f>Q7*H3*H4*J3*IFERROR(IF(J107=1, 1, 0), 0)</f>
        <v>35810454305.502007</v>
      </c>
    </row>
    <row r="18" spans="1:17" ht="25" customHeight="1" x14ac:dyDescent="0.45">
      <c r="A18" s="5"/>
      <c r="B18" s="30"/>
      <c r="C18" s="107">
        <v>89</v>
      </c>
      <c r="D18" s="115">
        <f t="shared" si="1"/>
        <v>139</v>
      </c>
      <c r="E18" s="115">
        <f t="shared" si="0"/>
        <v>1</v>
      </c>
      <c r="F18" s="116">
        <f t="shared" si="3"/>
        <v>97.67</v>
      </c>
      <c r="G18" s="117">
        <f>IF(D18=D17,"",_xlfn.IFNA(VLOOKUP(D18,'인원 입력 기능(국수)'!$F$5:$I$103,4,FALSE),0))</f>
        <v>3852</v>
      </c>
      <c r="H18" s="118">
        <f t="shared" si="4"/>
        <v>1.4565199307283356E-2</v>
      </c>
      <c r="I18" s="119">
        <f>SUM($G$7:G18)</f>
        <v>8100</v>
      </c>
      <c r="J18" s="120">
        <f t="shared" si="5"/>
        <v>3.0627755552698647E-2</v>
      </c>
      <c r="K18" s="31"/>
      <c r="L18" s="20" t="str">
        <f t="shared" si="2"/>
        <v/>
      </c>
      <c r="N18" s="1"/>
    </row>
    <row r="19" spans="1:17" ht="25" customHeight="1" x14ac:dyDescent="0.45">
      <c r="A19" s="5"/>
      <c r="B19" s="30"/>
      <c r="C19" s="107">
        <v>88</v>
      </c>
      <c r="D19" s="121"/>
      <c r="E19" s="121"/>
      <c r="F19" s="122"/>
      <c r="G19" s="123"/>
      <c r="H19" s="124"/>
      <c r="I19" s="125"/>
      <c r="J19" s="126"/>
      <c r="K19" s="31"/>
      <c r="L19" s="20" t="str">
        <f t="shared" si="2"/>
        <v>경고</v>
      </c>
      <c r="N19" s="1"/>
    </row>
    <row r="20" spans="1:17" ht="25" customHeight="1" x14ac:dyDescent="0.45">
      <c r="A20" s="5"/>
      <c r="B20" s="30"/>
      <c r="C20" s="107">
        <v>87</v>
      </c>
      <c r="D20" s="101">
        <f t="shared" si="1"/>
        <v>138</v>
      </c>
      <c r="E20" s="128">
        <f t="shared" si="0"/>
        <v>1</v>
      </c>
      <c r="F20" s="102">
        <f t="shared" si="3"/>
        <v>96.93</v>
      </c>
      <c r="G20" s="103">
        <f>IF(D20=D19,"",_xlfn.IFNA(VLOOKUP(D20,'인원 입력 기능(국수)'!$F$5:$I$103,4,FALSE),0))</f>
        <v>14</v>
      </c>
      <c r="H20" s="104">
        <f t="shared" si="4"/>
        <v>5.2936861449108772E-5</v>
      </c>
      <c r="I20" s="114">
        <f>SUM($G$7:G20)</f>
        <v>8114</v>
      </c>
      <c r="J20" s="106">
        <f t="shared" si="5"/>
        <v>3.0680692414147753E-2</v>
      </c>
      <c r="K20" s="31"/>
      <c r="L20" s="20" t="str">
        <f t="shared" si="2"/>
        <v/>
      </c>
      <c r="N20" s="1"/>
    </row>
    <row r="21" spans="1:17" ht="25" customHeight="1" x14ac:dyDescent="0.45">
      <c r="A21" s="5"/>
      <c r="B21" s="30"/>
      <c r="C21" s="107">
        <v>86</v>
      </c>
      <c r="D21" s="101">
        <f t="shared" si="1"/>
        <v>137</v>
      </c>
      <c r="E21" s="128">
        <f t="shared" si="0"/>
        <v>1</v>
      </c>
      <c r="F21" s="102">
        <f t="shared" si="3"/>
        <v>96.91</v>
      </c>
      <c r="G21" s="103">
        <f>IF(D21=D20,"",_xlfn.IFNA(VLOOKUP(D21,'인원 입력 기능(국수)'!$F$5:$I$103,4,FALSE),0))</f>
        <v>90</v>
      </c>
      <c r="H21" s="104">
        <f t="shared" si="4"/>
        <v>3.4030839502998496E-4</v>
      </c>
      <c r="I21" s="114">
        <f>SUM($G$7:G21)</f>
        <v>8204</v>
      </c>
      <c r="J21" s="106">
        <f t="shared" si="5"/>
        <v>3.1021000809177739E-2</v>
      </c>
      <c r="K21" s="31"/>
      <c r="L21" s="20" t="str">
        <f t="shared" si="2"/>
        <v/>
      </c>
      <c r="N21" s="1"/>
    </row>
    <row r="22" spans="1:17" ht="25" customHeight="1" x14ac:dyDescent="0.45">
      <c r="A22" s="5"/>
      <c r="B22" s="30"/>
      <c r="C22" s="107">
        <v>85</v>
      </c>
      <c r="D22" s="101">
        <f t="shared" si="1"/>
        <v>136</v>
      </c>
      <c r="E22" s="128">
        <f t="shared" si="0"/>
        <v>1</v>
      </c>
      <c r="F22" s="102">
        <f t="shared" si="3"/>
        <v>96.72</v>
      </c>
      <c r="G22" s="103">
        <f>IF(D22=D21,"",_xlfn.IFNA(VLOOKUP(D22,'인원 입력 기능(국수)'!$F$5:$I$103,4,FALSE),0))</f>
        <v>932</v>
      </c>
      <c r="H22" s="104">
        <f t="shared" si="4"/>
        <v>3.5240824907549553E-3</v>
      </c>
      <c r="I22" s="114">
        <f>SUM($G$7:G22)</f>
        <v>9136</v>
      </c>
      <c r="J22" s="106">
        <f t="shared" si="5"/>
        <v>3.4545083299932694E-2</v>
      </c>
      <c r="K22" s="31"/>
      <c r="L22" s="20" t="str">
        <f t="shared" si="2"/>
        <v/>
      </c>
      <c r="N22" s="1"/>
    </row>
    <row r="23" spans="1:17" ht="25" customHeight="1" x14ac:dyDescent="0.45">
      <c r="A23" s="5"/>
      <c r="B23" s="30"/>
      <c r="C23" s="107">
        <v>84</v>
      </c>
      <c r="D23" s="101">
        <f t="shared" si="1"/>
        <v>135</v>
      </c>
      <c r="E23" s="128">
        <f t="shared" si="0"/>
        <v>1</v>
      </c>
      <c r="F23" s="102">
        <f t="shared" si="3"/>
        <v>95.74</v>
      </c>
      <c r="G23" s="103">
        <f>IF(D23=D22,"",_xlfn.IFNA(VLOOKUP(D23,'인원 입력 기능(국수)'!$F$5:$I$103,4,FALSE),0))</f>
        <v>4260</v>
      </c>
      <c r="H23" s="104">
        <f t="shared" si="4"/>
        <v>1.6107930698085953E-2</v>
      </c>
      <c r="I23" s="114">
        <f>SUM($G$7:G23)</f>
        <v>13396</v>
      </c>
      <c r="J23" s="106">
        <f t="shared" si="5"/>
        <v>5.0653013998018651E-2</v>
      </c>
      <c r="K23" s="31"/>
      <c r="L23" s="20" t="str">
        <f t="shared" si="2"/>
        <v/>
      </c>
      <c r="N23" s="1"/>
    </row>
    <row r="24" spans="1:17" ht="25" customHeight="1" x14ac:dyDescent="0.45">
      <c r="A24" s="5"/>
      <c r="B24" s="30"/>
      <c r="C24" s="127">
        <v>83</v>
      </c>
      <c r="D24" s="130">
        <f t="shared" si="1"/>
        <v>134</v>
      </c>
      <c r="E24" s="130">
        <f t="shared" si="0"/>
        <v>2</v>
      </c>
      <c r="F24" s="116">
        <f t="shared" si="3"/>
        <v>94.89</v>
      </c>
      <c r="G24" s="117">
        <f>IF(D24=D23,"",_xlfn.IFNA(VLOOKUP(D24,'인원 입력 기능(국수)'!$F$5:$I$103,4,FALSE),0))</f>
        <v>227</v>
      </c>
      <c r="H24" s="118">
        <f t="shared" si="4"/>
        <v>8.5833339635340644E-4</v>
      </c>
      <c r="I24" s="131">
        <f>SUM($G$7:G24)</f>
        <v>13623</v>
      </c>
      <c r="J24" s="120">
        <f t="shared" si="5"/>
        <v>5.1511347394372055E-2</v>
      </c>
      <c r="K24" s="31"/>
      <c r="L24" s="20" t="str">
        <f t="shared" si="2"/>
        <v/>
      </c>
      <c r="N24" s="1"/>
    </row>
    <row r="25" spans="1:17" ht="25" customHeight="1" x14ac:dyDescent="0.45">
      <c r="A25" s="5"/>
      <c r="B25" s="30"/>
      <c r="C25" s="127">
        <v>82</v>
      </c>
      <c r="D25" s="132"/>
      <c r="E25" s="132"/>
      <c r="F25" s="122"/>
      <c r="G25" s="123"/>
      <c r="H25" s="124"/>
      <c r="I25" s="133"/>
      <c r="J25" s="126"/>
      <c r="K25" s="31"/>
      <c r="L25" s="20" t="str">
        <f t="shared" si="2"/>
        <v>경고</v>
      </c>
      <c r="N25" s="1"/>
    </row>
    <row r="26" spans="1:17" ht="25" customHeight="1" x14ac:dyDescent="0.45">
      <c r="A26" s="5"/>
      <c r="B26" s="30"/>
      <c r="C26" s="127">
        <v>81</v>
      </c>
      <c r="D26" s="128">
        <f t="shared" si="1"/>
        <v>133</v>
      </c>
      <c r="E26" s="128">
        <f t="shared" si="0"/>
        <v>2</v>
      </c>
      <c r="F26" s="102">
        <f t="shared" si="3"/>
        <v>94.55</v>
      </c>
      <c r="G26" s="103">
        <f>IF(D26=D25,"",_xlfn.IFNA(VLOOKUP(D26,'인원 입력 기능(국수)'!$F$5:$I$103,4,FALSE),0))</f>
        <v>1556</v>
      </c>
      <c r="H26" s="104">
        <f t="shared" si="4"/>
        <v>5.8835540296295176E-3</v>
      </c>
      <c r="I26" s="129">
        <f>SUM($G$7:G26)</f>
        <v>15179</v>
      </c>
      <c r="J26" s="106">
        <f t="shared" si="5"/>
        <v>5.7394901424001575E-2</v>
      </c>
      <c r="K26" s="31"/>
      <c r="L26" s="20" t="str">
        <f t="shared" si="2"/>
        <v/>
      </c>
      <c r="N26" s="1"/>
    </row>
    <row r="27" spans="1:17" ht="25" customHeight="1" x14ac:dyDescent="0.45">
      <c r="A27" s="5"/>
      <c r="B27" s="30"/>
      <c r="C27" s="127">
        <v>80</v>
      </c>
      <c r="D27" s="128">
        <f t="shared" si="1"/>
        <v>132</v>
      </c>
      <c r="E27" s="128">
        <f t="shared" si="0"/>
        <v>2</v>
      </c>
      <c r="F27" s="102">
        <f t="shared" si="3"/>
        <v>93.28</v>
      </c>
      <c r="G27" s="103">
        <f>IF(D27=D26,"",_xlfn.IFNA(VLOOKUP(D27,'인원 입력 기능(국수)'!$F$5:$I$103,4,FALSE),0))</f>
        <v>5189</v>
      </c>
      <c r="H27" s="104">
        <f t="shared" si="4"/>
        <v>1.9620669575673242E-2</v>
      </c>
      <c r="I27" s="129">
        <f>SUM($G$7:G27)</f>
        <v>20368</v>
      </c>
      <c r="J27" s="106">
        <f t="shared" si="5"/>
        <v>7.7015570999674821E-2</v>
      </c>
      <c r="K27" s="31"/>
      <c r="L27" s="20" t="str">
        <f t="shared" si="2"/>
        <v/>
      </c>
      <c r="N27" s="1"/>
    </row>
    <row r="28" spans="1:17" ht="25" customHeight="1" x14ac:dyDescent="0.45">
      <c r="A28" s="5"/>
      <c r="B28" s="30"/>
      <c r="C28" s="127">
        <v>79</v>
      </c>
      <c r="D28" s="128">
        <f t="shared" si="1"/>
        <v>131</v>
      </c>
      <c r="E28" s="128">
        <f t="shared" si="0"/>
        <v>2</v>
      </c>
      <c r="F28" s="102">
        <f t="shared" si="3"/>
        <v>92.29</v>
      </c>
      <c r="G28" s="103">
        <f>IF(D28=D27,"",_xlfn.IFNA(VLOOKUP(D28,'인원 입력 기능(국수)'!$F$5:$I$103,4,FALSE),0))</f>
        <v>53</v>
      </c>
      <c r="H28" s="104">
        <f t="shared" si="4"/>
        <v>2.0040383262876892E-4</v>
      </c>
      <c r="I28" s="129">
        <f>SUM($G$7:G28)</f>
        <v>20421</v>
      </c>
      <c r="J28" s="106">
        <f t="shared" si="5"/>
        <v>7.721597483230358E-2</v>
      </c>
      <c r="K28" s="31"/>
      <c r="L28" s="20" t="str">
        <f t="shared" si="2"/>
        <v/>
      </c>
      <c r="N28" s="1"/>
    </row>
    <row r="29" spans="1:17" ht="25" customHeight="1" x14ac:dyDescent="0.45">
      <c r="A29" s="5"/>
      <c r="B29" s="30"/>
      <c r="C29" s="127">
        <v>78</v>
      </c>
      <c r="D29" s="128">
        <f t="shared" si="1"/>
        <v>130</v>
      </c>
      <c r="E29" s="128">
        <f t="shared" si="0"/>
        <v>2</v>
      </c>
      <c r="F29" s="102">
        <f t="shared" si="3"/>
        <v>92.2</v>
      </c>
      <c r="G29" s="103">
        <f>IF(D29=D28,"",_xlfn.IFNA(VLOOKUP(D29,'인원 입력 기능(국수)'!$F$5:$I$103,4,FALSE),0))</f>
        <v>420</v>
      </c>
      <c r="H29" s="104">
        <f t="shared" si="4"/>
        <v>1.5881058434732631E-3</v>
      </c>
      <c r="I29" s="129">
        <f>SUM($G$7:G29)</f>
        <v>20841</v>
      </c>
      <c r="J29" s="106">
        <f t="shared" si="5"/>
        <v>7.880408067577685E-2</v>
      </c>
      <c r="K29" s="31"/>
      <c r="L29" s="20" t="str">
        <f t="shared" si="2"/>
        <v/>
      </c>
      <c r="N29" s="1"/>
    </row>
    <row r="30" spans="1:17" ht="25" customHeight="1" x14ac:dyDescent="0.45">
      <c r="A30" s="5"/>
      <c r="B30" s="30"/>
      <c r="C30" s="127">
        <v>77</v>
      </c>
      <c r="D30" s="130">
        <f t="shared" si="1"/>
        <v>129</v>
      </c>
      <c r="E30" s="130">
        <f t="shared" si="0"/>
        <v>2</v>
      </c>
      <c r="F30" s="116">
        <f t="shared" si="3"/>
        <v>90.63</v>
      </c>
      <c r="G30" s="117">
        <f>IF(D30=D29,"",_xlfn.IFNA(VLOOKUP(D30,'인원 입력 기능(국수)'!$F$5:$I$103,4,FALSE),0))</f>
        <v>7869</v>
      </c>
      <c r="H30" s="118">
        <f t="shared" si="4"/>
        <v>2.9754297338788351E-2</v>
      </c>
      <c r="I30" s="131">
        <f>SUM($G$7:G30)</f>
        <v>28710</v>
      </c>
      <c r="J30" s="120">
        <f t="shared" si="5"/>
        <v>0.10855837801456519</v>
      </c>
      <c r="K30" s="31"/>
      <c r="L30" s="20" t="str">
        <f t="shared" si="2"/>
        <v/>
      </c>
      <c r="N30" s="1"/>
    </row>
    <row r="31" spans="1:17" ht="25" customHeight="1" x14ac:dyDescent="0.45">
      <c r="A31" s="5"/>
      <c r="B31" s="30"/>
      <c r="C31" s="127">
        <v>76</v>
      </c>
      <c r="D31" s="132"/>
      <c r="E31" s="132"/>
      <c r="F31" s="122"/>
      <c r="G31" s="123"/>
      <c r="H31" s="124"/>
      <c r="I31" s="133"/>
      <c r="J31" s="126"/>
      <c r="K31" s="31"/>
      <c r="L31" s="20" t="str">
        <f t="shared" si="2"/>
        <v>경고</v>
      </c>
      <c r="N31" s="1"/>
    </row>
    <row r="32" spans="1:17" ht="25" customHeight="1" x14ac:dyDescent="0.45">
      <c r="A32" s="5"/>
      <c r="B32" s="30"/>
      <c r="C32" s="127">
        <v>75</v>
      </c>
      <c r="D32" s="128">
        <f t="shared" si="1"/>
        <v>128</v>
      </c>
      <c r="E32" s="128">
        <f t="shared" si="0"/>
        <v>2</v>
      </c>
      <c r="F32" s="102">
        <f t="shared" si="3"/>
        <v>89.12</v>
      </c>
      <c r="G32" s="103">
        <f>IF(D32=D31,"",_xlfn.IFNA(VLOOKUP(D32,'인원 입력 기능(국수)'!$F$5:$I$103,4,FALSE),0))</f>
        <v>136</v>
      </c>
      <c r="H32" s="104">
        <f t="shared" si="4"/>
        <v>5.1424379693419946E-4</v>
      </c>
      <c r="I32" s="129">
        <f>SUM($G$7:G32)</f>
        <v>28846</v>
      </c>
      <c r="J32" s="106">
        <f t="shared" si="5"/>
        <v>0.1090726218114994</v>
      </c>
      <c r="K32" s="31"/>
      <c r="L32" s="20" t="str">
        <f t="shared" si="2"/>
        <v/>
      </c>
      <c r="N32" s="1"/>
    </row>
    <row r="33" spans="1:14" ht="25" customHeight="1" x14ac:dyDescent="0.45">
      <c r="A33" s="5"/>
      <c r="B33" s="30"/>
      <c r="C33" s="127">
        <v>74</v>
      </c>
      <c r="D33" s="128">
        <f t="shared" si="1"/>
        <v>127</v>
      </c>
      <c r="E33" s="128">
        <f t="shared" si="0"/>
        <v>2</v>
      </c>
      <c r="F33" s="102">
        <f t="shared" si="3"/>
        <v>88.95</v>
      </c>
      <c r="G33" s="103">
        <f>IF(D33=D32,"",_xlfn.IFNA(VLOOKUP(D33,'인원 입력 기능(국수)'!$F$5:$I$103,4,FALSE),0))</f>
        <v>749</v>
      </c>
      <c r="H33" s="104">
        <f t="shared" si="4"/>
        <v>2.832122087527319E-3</v>
      </c>
      <c r="I33" s="129">
        <f>SUM($G$7:G33)</f>
        <v>29595</v>
      </c>
      <c r="J33" s="106">
        <f t="shared" si="5"/>
        <v>0.11190474389902672</v>
      </c>
      <c r="K33" s="31"/>
      <c r="L33" s="20" t="str">
        <f t="shared" si="2"/>
        <v/>
      </c>
      <c r="N33" s="1"/>
    </row>
    <row r="34" spans="1:14" ht="25" customHeight="1" x14ac:dyDescent="0.45">
      <c r="A34" s="5"/>
      <c r="B34" s="30"/>
      <c r="C34" s="127">
        <v>73</v>
      </c>
      <c r="D34" s="128">
        <f t="shared" si="1"/>
        <v>126</v>
      </c>
      <c r="E34" s="128">
        <f t="shared" si="0"/>
        <v>3</v>
      </c>
      <c r="F34" s="102">
        <f t="shared" si="3"/>
        <v>88.22</v>
      </c>
      <c r="G34" s="103">
        <f>IF(D34=D33,"",_xlfn.IFNA(VLOOKUP(D34,'인원 입력 기능(국수)'!$F$5:$I$103,4,FALSE),0))</f>
        <v>3095</v>
      </c>
      <c r="H34" s="104">
        <f t="shared" si="4"/>
        <v>1.1702827584642261E-2</v>
      </c>
      <c r="I34" s="129">
        <f>SUM($G$7:G34)</f>
        <v>32690</v>
      </c>
      <c r="J34" s="106">
        <f t="shared" si="5"/>
        <v>0.12360757148366898</v>
      </c>
      <c r="K34" s="31"/>
      <c r="L34" s="20" t="str">
        <f t="shared" si="2"/>
        <v/>
      </c>
      <c r="N34" s="1"/>
    </row>
    <row r="35" spans="1:14" ht="25" customHeight="1" x14ac:dyDescent="0.45">
      <c r="A35" s="5"/>
      <c r="B35" s="30"/>
      <c r="C35" s="127">
        <v>72</v>
      </c>
      <c r="D35" s="128">
        <f t="shared" si="1"/>
        <v>125</v>
      </c>
      <c r="E35" s="128">
        <f t="shared" si="0"/>
        <v>3</v>
      </c>
      <c r="F35" s="102">
        <f t="shared" si="3"/>
        <v>86.54</v>
      </c>
      <c r="G35" s="103">
        <f>IF(D35=D34,"",_xlfn.IFNA(VLOOKUP(D35,'인원 입력 기능(국수)'!$F$5:$I$103,4,FALSE),0))</f>
        <v>5807</v>
      </c>
      <c r="H35" s="104">
        <f t="shared" si="4"/>
        <v>2.1957453888212474E-2</v>
      </c>
      <c r="I35" s="129">
        <f>SUM($G$7:G35)</f>
        <v>38497</v>
      </c>
      <c r="J35" s="106">
        <f t="shared" si="5"/>
        <v>0.14556502537188146</v>
      </c>
      <c r="K35" s="31"/>
      <c r="L35" s="20" t="str">
        <f t="shared" si="2"/>
        <v/>
      </c>
      <c r="N35" s="1"/>
    </row>
    <row r="36" spans="1:14" ht="25" customHeight="1" x14ac:dyDescent="0.45">
      <c r="A36" s="5"/>
      <c r="B36" s="30"/>
      <c r="C36" s="127">
        <v>71</v>
      </c>
      <c r="D36" s="130">
        <f t="shared" si="1"/>
        <v>124</v>
      </c>
      <c r="E36" s="130">
        <f t="shared" si="0"/>
        <v>3</v>
      </c>
      <c r="F36" s="116">
        <f t="shared" si="3"/>
        <v>85.17</v>
      </c>
      <c r="G36" s="117">
        <f>IF(D36=D35,"",_xlfn.IFNA(VLOOKUP(D36,'인원 입력 기능(국수)'!$F$5:$I$103,4,FALSE),0))</f>
        <v>1465</v>
      </c>
      <c r="H36" s="118">
        <f t="shared" si="4"/>
        <v>5.539464430210311E-3</v>
      </c>
      <c r="I36" s="131">
        <f>SUM($G$7:G36)</f>
        <v>39962</v>
      </c>
      <c r="J36" s="120">
        <f t="shared" si="5"/>
        <v>0.15110448980209176</v>
      </c>
      <c r="K36" s="31"/>
      <c r="L36" s="20" t="str">
        <f t="shared" si="2"/>
        <v/>
      </c>
      <c r="N36" s="1"/>
    </row>
    <row r="37" spans="1:14" ht="25" customHeight="1" x14ac:dyDescent="0.45">
      <c r="A37" s="5"/>
      <c r="B37" s="30"/>
      <c r="C37" s="127">
        <v>70</v>
      </c>
      <c r="D37" s="132"/>
      <c r="E37" s="132"/>
      <c r="F37" s="122"/>
      <c r="G37" s="123"/>
      <c r="H37" s="124"/>
      <c r="I37" s="133"/>
      <c r="J37" s="126"/>
      <c r="K37" s="31"/>
      <c r="L37" s="20" t="str">
        <f t="shared" si="2"/>
        <v>경고</v>
      </c>
      <c r="N37" s="1"/>
    </row>
    <row r="38" spans="1:14" ht="25" customHeight="1" x14ac:dyDescent="0.45">
      <c r="A38" s="5"/>
      <c r="B38" s="30"/>
      <c r="C38" s="127">
        <v>69</v>
      </c>
      <c r="D38" s="128">
        <f t="shared" si="1"/>
        <v>123</v>
      </c>
      <c r="E38" s="128">
        <f t="shared" si="0"/>
        <v>3</v>
      </c>
      <c r="F38" s="102">
        <f t="shared" si="3"/>
        <v>84.18</v>
      </c>
      <c r="G38" s="103">
        <f>IF(D38=D37,"",_xlfn.IFNA(VLOOKUP(D38,'인원 입력 기능(국수)'!$F$5:$I$103,4,FALSE),0))</f>
        <v>3745</v>
      </c>
      <c r="H38" s="104">
        <f t="shared" si="4"/>
        <v>1.4160610437636596E-2</v>
      </c>
      <c r="I38" s="129">
        <f>SUM($G$7:G38)</f>
        <v>43707</v>
      </c>
      <c r="J38" s="106">
        <f t="shared" si="5"/>
        <v>0.16526510023972835</v>
      </c>
      <c r="K38" s="31"/>
      <c r="L38" s="20" t="str">
        <f t="shared" si="2"/>
        <v/>
      </c>
      <c r="N38" s="1"/>
    </row>
    <row r="39" spans="1:14" ht="25" customHeight="1" x14ac:dyDescent="0.45">
      <c r="A39" s="5"/>
      <c r="B39" s="30"/>
      <c r="C39" s="127">
        <v>68</v>
      </c>
      <c r="D39" s="128">
        <f t="shared" si="1"/>
        <v>122</v>
      </c>
      <c r="E39" s="128">
        <f t="shared" si="0"/>
        <v>3</v>
      </c>
      <c r="F39" s="102">
        <f t="shared" si="3"/>
        <v>82.46</v>
      </c>
      <c r="G39" s="103">
        <f>IF(D39=D38,"",_xlfn.IFNA(VLOOKUP(D39,'인원 입력 기능(국수)'!$F$5:$I$103,4,FALSE),0))</f>
        <v>5370</v>
      </c>
      <c r="H39" s="104">
        <f t="shared" si="4"/>
        <v>2.0305067570122435E-2</v>
      </c>
      <c r="I39" s="129">
        <f>SUM($G$7:G39)</f>
        <v>49077</v>
      </c>
      <c r="J39" s="106">
        <f t="shared" si="5"/>
        <v>0.18557016780985081</v>
      </c>
      <c r="K39" s="31"/>
      <c r="L39" s="20" t="str">
        <f t="shared" si="2"/>
        <v/>
      </c>
      <c r="N39" s="1"/>
    </row>
    <row r="40" spans="1:14" ht="25" customHeight="1" x14ac:dyDescent="0.45">
      <c r="A40" s="5"/>
      <c r="B40" s="30"/>
      <c r="C40" s="127">
        <v>67</v>
      </c>
      <c r="D40" s="128">
        <f t="shared" si="1"/>
        <v>121</v>
      </c>
      <c r="E40" s="128">
        <f t="shared" si="0"/>
        <v>3</v>
      </c>
      <c r="F40" s="102">
        <f t="shared" si="3"/>
        <v>81.349999999999994</v>
      </c>
      <c r="G40" s="103">
        <f>IF(D40=D39,"",_xlfn.IFNA(VLOOKUP(D40,'인원 입력 기능(국수)'!$F$5:$I$103,4,FALSE),0))</f>
        <v>480</v>
      </c>
      <c r="H40" s="104">
        <f t="shared" si="4"/>
        <v>1.8149781068265865E-3</v>
      </c>
      <c r="I40" s="129">
        <f>SUM($G$7:G40)</f>
        <v>49557</v>
      </c>
      <c r="J40" s="106">
        <f t="shared" si="5"/>
        <v>0.18738514591667738</v>
      </c>
      <c r="K40" s="31"/>
      <c r="L40" s="20" t="str">
        <f t="shared" si="2"/>
        <v/>
      </c>
      <c r="N40" s="1"/>
    </row>
    <row r="41" spans="1:14" ht="25" customHeight="1" x14ac:dyDescent="0.45">
      <c r="A41" s="5"/>
      <c r="B41" s="30"/>
      <c r="C41" s="127">
        <v>66</v>
      </c>
      <c r="D41" s="128">
        <f t="shared" ref="D41:D72" si="6">ROUND(20*(C41-$H$3)/$H$4+100,0)</f>
        <v>120</v>
      </c>
      <c r="E41" s="128">
        <f t="shared" si="0"/>
        <v>3</v>
      </c>
      <c r="F41" s="102">
        <f t="shared" si="3"/>
        <v>80.900000000000006</v>
      </c>
      <c r="G41" s="103">
        <f>IF(D41=D40,"",_xlfn.IFNA(VLOOKUP(D41,'인원 입력 기능(국수)'!$F$5:$I$103,4,FALSE),0))</f>
        <v>1921</v>
      </c>
      <c r="H41" s="104">
        <f t="shared" si="4"/>
        <v>7.2636936316955673E-3</v>
      </c>
      <c r="I41" s="129">
        <f>SUM($G$7:G41)</f>
        <v>51478</v>
      </c>
      <c r="J41" s="106">
        <f t="shared" si="5"/>
        <v>0.19464883954837295</v>
      </c>
      <c r="K41" s="31"/>
      <c r="L41" s="20" t="str">
        <f t="shared" ref="L41:L72" si="7">IF(ABS((C41-$H$3)/$H$4*20+100-D41)&gt;0.49, "경고", "")</f>
        <v/>
      </c>
      <c r="N41" s="1"/>
    </row>
    <row r="42" spans="1:14" ht="25" customHeight="1" x14ac:dyDescent="0.45">
      <c r="A42" s="5"/>
      <c r="B42" s="30"/>
      <c r="C42" s="127">
        <v>65</v>
      </c>
      <c r="D42" s="130">
        <f t="shared" si="6"/>
        <v>119</v>
      </c>
      <c r="E42" s="130">
        <f t="shared" si="0"/>
        <v>3</v>
      </c>
      <c r="F42" s="116">
        <f t="shared" si="3"/>
        <v>78.819999999999993</v>
      </c>
      <c r="G42" s="117">
        <f>IF(D42=D41,"",_xlfn.IFNA(VLOOKUP(D42,'인원 입력 기능(국수)'!$F$5:$I$103,4,FALSE),0))</f>
        <v>9075</v>
      </c>
      <c r="H42" s="118">
        <f t="shared" si="4"/>
        <v>3.4314429832190151E-2</v>
      </c>
      <c r="I42" s="131">
        <f>SUM($G$7:G42)</f>
        <v>60553</v>
      </c>
      <c r="J42" s="120">
        <f t="shared" si="5"/>
        <v>0.22896326938056311</v>
      </c>
      <c r="K42" s="31"/>
      <c r="L42" s="20" t="str">
        <f t="shared" si="7"/>
        <v/>
      </c>
      <c r="N42" s="1"/>
    </row>
    <row r="43" spans="1:14" ht="25" customHeight="1" x14ac:dyDescent="0.45">
      <c r="A43" s="5"/>
      <c r="B43" s="30"/>
      <c r="C43" s="127">
        <v>64</v>
      </c>
      <c r="D43" s="132"/>
      <c r="E43" s="132"/>
      <c r="F43" s="122"/>
      <c r="G43" s="123"/>
      <c r="H43" s="124"/>
      <c r="I43" s="133"/>
      <c r="J43" s="126"/>
      <c r="K43" s="31"/>
      <c r="L43" s="20" t="str">
        <f t="shared" si="7"/>
        <v>경고</v>
      </c>
      <c r="N43" s="1"/>
    </row>
    <row r="44" spans="1:14" ht="25" customHeight="1" x14ac:dyDescent="0.45">
      <c r="A44" s="5"/>
      <c r="B44" s="30"/>
      <c r="C44" s="127">
        <v>63</v>
      </c>
      <c r="D44" s="128">
        <f t="shared" si="6"/>
        <v>118</v>
      </c>
      <c r="E44" s="128">
        <f t="shared" si="0"/>
        <v>3</v>
      </c>
      <c r="F44" s="102">
        <f t="shared" si="3"/>
        <v>76.94</v>
      </c>
      <c r="G44" s="103">
        <f>IF(D44=D43,"",_xlfn.IFNA(VLOOKUP(D44,'인원 입력 기능(국수)'!$F$5:$I$103,4,FALSE),0))</f>
        <v>883</v>
      </c>
      <c r="H44" s="104">
        <f t="shared" si="4"/>
        <v>3.3388034756830745E-3</v>
      </c>
      <c r="I44" s="129">
        <f>SUM($G$7:G44)</f>
        <v>61436</v>
      </c>
      <c r="J44" s="106">
        <f t="shared" si="5"/>
        <v>0.23230207285624618</v>
      </c>
      <c r="K44" s="31"/>
      <c r="L44" s="20" t="str">
        <f t="shared" si="7"/>
        <v/>
      </c>
      <c r="N44" s="1"/>
    </row>
    <row r="45" spans="1:14" ht="25" customHeight="1" x14ac:dyDescent="0.45">
      <c r="A45" s="5"/>
      <c r="B45" s="30"/>
      <c r="C45" s="127">
        <v>62</v>
      </c>
      <c r="D45" s="128">
        <f t="shared" si="6"/>
        <v>117</v>
      </c>
      <c r="E45" s="128">
        <f t="shared" si="0"/>
        <v>4</v>
      </c>
      <c r="F45" s="102">
        <f t="shared" si="3"/>
        <v>76.27</v>
      </c>
      <c r="G45" s="103">
        <f>IF(D45=D44,"",_xlfn.IFNA(VLOOKUP(D45,'인원 입력 기능(국수)'!$F$5:$I$103,4,FALSE),0))</f>
        <v>2652</v>
      </c>
      <c r="H45" s="104">
        <f t="shared" si="4"/>
        <v>1.002775404021689E-2</v>
      </c>
      <c r="I45" s="129">
        <f>SUM($G$7:G45)</f>
        <v>64088</v>
      </c>
      <c r="J45" s="106">
        <f t="shared" si="5"/>
        <v>0.24232982689646307</v>
      </c>
      <c r="K45" s="31"/>
      <c r="L45" s="20" t="str">
        <f t="shared" si="7"/>
        <v/>
      </c>
      <c r="N45" s="1"/>
    </row>
    <row r="46" spans="1:14" ht="25" customHeight="1" x14ac:dyDescent="0.45">
      <c r="A46" s="5"/>
      <c r="B46" s="30"/>
      <c r="C46" s="127">
        <v>61</v>
      </c>
      <c r="D46" s="128">
        <f t="shared" si="6"/>
        <v>116</v>
      </c>
      <c r="E46" s="128">
        <f t="shared" si="0"/>
        <v>4</v>
      </c>
      <c r="F46" s="102">
        <f t="shared" si="3"/>
        <v>74.87</v>
      </c>
      <c r="G46" s="103">
        <f>IF(D46=D45,"",_xlfn.IFNA(VLOOKUP(D46,'인원 입력 기능(국수)'!$F$5:$I$103,4,FALSE),0))</f>
        <v>4752</v>
      </c>
      <c r="H46" s="104">
        <f t="shared" si="4"/>
        <v>1.7968283257583206E-2</v>
      </c>
      <c r="I46" s="129">
        <f>SUM($G$7:G46)</f>
        <v>68840</v>
      </c>
      <c r="J46" s="106">
        <f t="shared" si="5"/>
        <v>0.26029811015404625</v>
      </c>
      <c r="K46" s="31"/>
      <c r="L46" s="20" t="str">
        <f t="shared" si="7"/>
        <v/>
      </c>
      <c r="N46" s="1"/>
    </row>
    <row r="47" spans="1:14" ht="25" customHeight="1" x14ac:dyDescent="0.45">
      <c r="A47" s="5"/>
      <c r="B47" s="30"/>
      <c r="C47" s="127">
        <v>60</v>
      </c>
      <c r="D47" s="128">
        <f t="shared" si="6"/>
        <v>115</v>
      </c>
      <c r="E47" s="128">
        <f t="shared" si="0"/>
        <v>4</v>
      </c>
      <c r="F47" s="102">
        <f t="shared" si="3"/>
        <v>73.31</v>
      </c>
      <c r="G47" s="103">
        <f>IF(D47=D46,"",_xlfn.IFNA(VLOOKUP(D47,'인원 입력 기능(국수)'!$F$5:$I$103,4,FALSE),0))</f>
        <v>3491</v>
      </c>
      <c r="H47" s="104">
        <f t="shared" si="4"/>
        <v>1.3200184522774194E-2</v>
      </c>
      <c r="I47" s="129">
        <f>SUM($G$7:G47)</f>
        <v>72331</v>
      </c>
      <c r="J47" s="106">
        <f t="shared" si="5"/>
        <v>0.27349829467682046</v>
      </c>
      <c r="K47" s="31"/>
      <c r="L47" s="20" t="str">
        <f t="shared" si="7"/>
        <v/>
      </c>
      <c r="N47" s="1"/>
    </row>
    <row r="48" spans="1:14" ht="25" customHeight="1" x14ac:dyDescent="0.45">
      <c r="A48" s="5"/>
      <c r="B48" s="30"/>
      <c r="C48" s="127">
        <v>59</v>
      </c>
      <c r="D48" s="130">
        <f t="shared" si="6"/>
        <v>114</v>
      </c>
      <c r="E48" s="130">
        <f t="shared" si="0"/>
        <v>4</v>
      </c>
      <c r="F48" s="116">
        <f t="shared" si="3"/>
        <v>71.680000000000007</v>
      </c>
      <c r="G48" s="117">
        <f>IF(D48=D47,"",_xlfn.IFNA(VLOOKUP(D48,'인원 입력 기능(국수)'!$F$5:$I$103,4,FALSE),0))</f>
        <v>5115</v>
      </c>
      <c r="H48" s="118">
        <f t="shared" si="4"/>
        <v>1.9340860450870811E-2</v>
      </c>
      <c r="I48" s="131">
        <f>SUM($G$7:G48)</f>
        <v>77446</v>
      </c>
      <c r="J48" s="120">
        <f t="shared" si="5"/>
        <v>0.29283915512769126</v>
      </c>
      <c r="K48" s="31"/>
      <c r="L48" s="20" t="str">
        <f t="shared" si="7"/>
        <v/>
      </c>
      <c r="N48" s="1"/>
    </row>
    <row r="49" spans="1:14" ht="25" customHeight="1" x14ac:dyDescent="0.45">
      <c r="A49" s="5"/>
      <c r="B49" s="30"/>
      <c r="C49" s="127">
        <v>58</v>
      </c>
      <c r="D49" s="132"/>
      <c r="E49" s="132"/>
      <c r="F49" s="122"/>
      <c r="G49" s="123"/>
      <c r="H49" s="124"/>
      <c r="I49" s="133"/>
      <c r="J49" s="126"/>
      <c r="K49" s="31"/>
      <c r="L49" s="20" t="str">
        <f t="shared" si="7"/>
        <v>경고</v>
      </c>
      <c r="N49" s="1"/>
    </row>
    <row r="50" spans="1:14" ht="25" customHeight="1" x14ac:dyDescent="0.45">
      <c r="A50" s="5"/>
      <c r="B50" s="30"/>
      <c r="C50" s="127">
        <v>57</v>
      </c>
      <c r="D50" s="128">
        <f t="shared" si="6"/>
        <v>113</v>
      </c>
      <c r="E50" s="128">
        <f t="shared" si="0"/>
        <v>4</v>
      </c>
      <c r="F50" s="102">
        <f t="shared" si="3"/>
        <v>69.87</v>
      </c>
      <c r="G50" s="103">
        <f>IF(D50=D49,"",_xlfn.IFNA(VLOOKUP(D50,'인원 입력 기능(국수)'!$F$5:$I$103,4,FALSE),0))</f>
        <v>4478</v>
      </c>
      <c r="H50" s="104">
        <f t="shared" si="4"/>
        <v>1.6932233254936362E-2</v>
      </c>
      <c r="I50" s="129">
        <f>SUM($G$7:G50)</f>
        <v>81924</v>
      </c>
      <c r="J50" s="106">
        <f t="shared" si="5"/>
        <v>0.30977138838262763</v>
      </c>
      <c r="K50" s="31"/>
      <c r="L50" s="20" t="str">
        <f t="shared" si="7"/>
        <v/>
      </c>
      <c r="N50" s="1"/>
    </row>
    <row r="51" spans="1:14" ht="25" customHeight="1" x14ac:dyDescent="0.45">
      <c r="A51" s="5"/>
      <c r="B51" s="30"/>
      <c r="C51" s="127">
        <v>56</v>
      </c>
      <c r="D51" s="128">
        <f t="shared" si="6"/>
        <v>112</v>
      </c>
      <c r="E51" s="128">
        <f t="shared" si="0"/>
        <v>4</v>
      </c>
      <c r="F51" s="102">
        <f t="shared" si="3"/>
        <v>68.56</v>
      </c>
      <c r="G51" s="103">
        <f>IF(D51=D50,"",_xlfn.IFNA(VLOOKUP(D51,'인원 입력 기능(국수)'!$F$5:$I$103,4,FALSE),0))</f>
        <v>2473</v>
      </c>
      <c r="H51" s="104">
        <f t="shared" si="4"/>
        <v>9.3509184545461418E-3</v>
      </c>
      <c r="I51" s="129">
        <f>SUM($G$7:G51)</f>
        <v>84397</v>
      </c>
      <c r="J51" s="106">
        <f t="shared" si="5"/>
        <v>0.3191223068371738</v>
      </c>
      <c r="K51" s="31"/>
      <c r="L51" s="20" t="str">
        <f t="shared" si="7"/>
        <v/>
      </c>
      <c r="N51" s="1"/>
    </row>
    <row r="52" spans="1:14" ht="25" customHeight="1" x14ac:dyDescent="0.45">
      <c r="A52" s="5"/>
      <c r="B52" s="30"/>
      <c r="C52" s="127">
        <v>55</v>
      </c>
      <c r="D52" s="128">
        <f t="shared" si="6"/>
        <v>111</v>
      </c>
      <c r="E52" s="128">
        <f t="shared" si="0"/>
        <v>4</v>
      </c>
      <c r="F52" s="102">
        <f t="shared" si="3"/>
        <v>67.63</v>
      </c>
      <c r="G52" s="103">
        <f>IF(D52=D51,"",_xlfn.IFNA(VLOOKUP(D52,'인원 입력 기능(국수)'!$F$5:$I$103,4,FALSE),0))</f>
        <v>2403</v>
      </c>
      <c r="H52" s="104">
        <f t="shared" si="4"/>
        <v>9.0862341473005974E-3</v>
      </c>
      <c r="I52" s="129">
        <f>SUM($G$7:G52)</f>
        <v>86800</v>
      </c>
      <c r="J52" s="106">
        <f t="shared" si="5"/>
        <v>0.32820854098447438</v>
      </c>
      <c r="K52" s="31"/>
      <c r="L52" s="20" t="str">
        <f t="shared" si="7"/>
        <v/>
      </c>
      <c r="N52" s="1"/>
    </row>
    <row r="53" spans="1:14" ht="25" customHeight="1" x14ac:dyDescent="0.45">
      <c r="A53" s="5"/>
      <c r="B53" s="30"/>
      <c r="C53" s="127">
        <v>54</v>
      </c>
      <c r="D53" s="128">
        <f t="shared" si="6"/>
        <v>110</v>
      </c>
      <c r="E53" s="128">
        <f t="shared" si="0"/>
        <v>4</v>
      </c>
      <c r="F53" s="102">
        <f t="shared" si="3"/>
        <v>66.38</v>
      </c>
      <c r="G53" s="103">
        <f>IF(D53=D52,"",_xlfn.IFNA(VLOOKUP(D53,'인원 입력 기능(국수)'!$F$5:$I$103,4,FALSE),0))</f>
        <v>4239</v>
      </c>
      <c r="H53" s="104">
        <f t="shared" si="4"/>
        <v>1.6028525405912292E-2</v>
      </c>
      <c r="I53" s="129">
        <f>SUM($G$7:G53)</f>
        <v>91039</v>
      </c>
      <c r="J53" s="106">
        <f t="shared" si="5"/>
        <v>0.34423706639038665</v>
      </c>
      <c r="K53" s="31"/>
      <c r="L53" s="20" t="str">
        <f t="shared" si="7"/>
        <v/>
      </c>
      <c r="N53" s="1"/>
    </row>
    <row r="54" spans="1:14" ht="25" customHeight="1" x14ac:dyDescent="0.45">
      <c r="A54" s="5"/>
      <c r="B54" s="30"/>
      <c r="C54" s="127">
        <v>53</v>
      </c>
      <c r="D54" s="130">
        <f t="shared" si="6"/>
        <v>109</v>
      </c>
      <c r="E54" s="130">
        <f t="shared" si="0"/>
        <v>4</v>
      </c>
      <c r="F54" s="116">
        <f t="shared" si="3"/>
        <v>64.459999999999994</v>
      </c>
      <c r="G54" s="117">
        <f>IF(D54=D53,"",_xlfn.IFNA(VLOOKUP(D54,'인원 입력 기능(국수)'!$F$5:$I$103,4,FALSE),0))</f>
        <v>5884</v>
      </c>
      <c r="H54" s="118">
        <f t="shared" si="4"/>
        <v>2.2248606626182572E-2</v>
      </c>
      <c r="I54" s="131">
        <f>SUM($G$7:G54)</f>
        <v>96923</v>
      </c>
      <c r="J54" s="120">
        <f t="shared" si="5"/>
        <v>0.36648567301656926</v>
      </c>
      <c r="K54" s="31"/>
      <c r="L54" s="20" t="str">
        <f t="shared" si="7"/>
        <v/>
      </c>
      <c r="N54" s="1"/>
    </row>
    <row r="55" spans="1:14" ht="25" customHeight="1" x14ac:dyDescent="0.45">
      <c r="A55" s="5"/>
      <c r="B55" s="30"/>
      <c r="C55" s="127">
        <v>52</v>
      </c>
      <c r="D55" s="132"/>
      <c r="E55" s="132"/>
      <c r="F55" s="122"/>
      <c r="G55" s="123"/>
      <c r="H55" s="124"/>
      <c r="I55" s="133"/>
      <c r="J55" s="126"/>
      <c r="K55" s="31"/>
      <c r="L55" s="20" t="str">
        <f t="shared" si="7"/>
        <v>경고</v>
      </c>
      <c r="N55" s="1"/>
    </row>
    <row r="56" spans="1:14" ht="25" customHeight="1" x14ac:dyDescent="0.45">
      <c r="A56" s="5"/>
      <c r="B56" s="30"/>
      <c r="C56" s="127">
        <v>51</v>
      </c>
      <c r="D56" s="128">
        <f t="shared" si="6"/>
        <v>108</v>
      </c>
      <c r="E56" s="128">
        <f t="shared" si="0"/>
        <v>4</v>
      </c>
      <c r="F56" s="102">
        <f t="shared" si="3"/>
        <v>62.7</v>
      </c>
      <c r="G56" s="103">
        <f>IF(D56=D55,"",_xlfn.IFNA(VLOOKUP(D56,'인원 입력 기능(국수)'!$F$5:$I$103,4,FALSE),0))</f>
        <v>3446</v>
      </c>
      <c r="H56" s="104">
        <f t="shared" si="4"/>
        <v>1.3030030325259201E-2</v>
      </c>
      <c r="I56" s="129">
        <f>SUM($G$7:G56)</f>
        <v>100369</v>
      </c>
      <c r="J56" s="106">
        <f t="shared" si="5"/>
        <v>0.37951570334182844</v>
      </c>
      <c r="K56" s="31"/>
      <c r="L56" s="20" t="str">
        <f t="shared" si="7"/>
        <v/>
      </c>
      <c r="N56" s="1"/>
    </row>
    <row r="57" spans="1:14" ht="25" customHeight="1" x14ac:dyDescent="0.45">
      <c r="A57" s="5"/>
      <c r="B57" s="30"/>
      <c r="C57" s="127">
        <v>50</v>
      </c>
      <c r="D57" s="128">
        <f t="shared" si="6"/>
        <v>107</v>
      </c>
      <c r="E57" s="128">
        <f t="shared" si="0"/>
        <v>4</v>
      </c>
      <c r="F57" s="102">
        <f t="shared" si="3"/>
        <v>61.31</v>
      </c>
      <c r="G57" s="103">
        <f>IF(D57=D56,"",_xlfn.IFNA(VLOOKUP(D57,'인원 입력 기능(국수)'!$F$5:$I$103,4,FALSE),0))</f>
        <v>3902</v>
      </c>
      <c r="H57" s="104">
        <f t="shared" si="4"/>
        <v>1.4754259526744459E-2</v>
      </c>
      <c r="I57" s="129">
        <f>SUM($G$7:G57)</f>
        <v>104271</v>
      </c>
      <c r="J57" s="106">
        <f t="shared" si="5"/>
        <v>0.39426996286857291</v>
      </c>
      <c r="K57" s="31"/>
      <c r="L57" s="20" t="str">
        <f t="shared" si="7"/>
        <v/>
      </c>
      <c r="N57" s="1"/>
    </row>
    <row r="58" spans="1:14" ht="25" customHeight="1" x14ac:dyDescent="0.45">
      <c r="A58" s="5"/>
      <c r="B58" s="30"/>
      <c r="C58" s="127">
        <v>49</v>
      </c>
      <c r="D58" s="128">
        <f t="shared" si="6"/>
        <v>106</v>
      </c>
      <c r="E58" s="128">
        <f t="shared" si="0"/>
        <v>4</v>
      </c>
      <c r="F58" s="102">
        <f t="shared" si="3"/>
        <v>60.09</v>
      </c>
      <c r="G58" s="103">
        <f>IF(D58=D57,"",_xlfn.IFNA(VLOOKUP(D58,'인원 입력 기능(국수)'!$F$5:$I$103,4,FALSE),0))</f>
        <v>2580</v>
      </c>
      <c r="H58" s="104">
        <f t="shared" si="4"/>
        <v>9.7555073241929018E-3</v>
      </c>
      <c r="I58" s="129">
        <f>SUM($G$7:G58)</f>
        <v>106851</v>
      </c>
      <c r="J58" s="106">
        <f t="shared" si="5"/>
        <v>0.4040254701927658</v>
      </c>
      <c r="K58" s="31"/>
      <c r="L58" s="20" t="str">
        <f t="shared" si="7"/>
        <v/>
      </c>
      <c r="N58" s="1"/>
    </row>
    <row r="59" spans="1:14" ht="25" customHeight="1" x14ac:dyDescent="0.45">
      <c r="A59" s="5"/>
      <c r="B59" s="30"/>
      <c r="C59" s="127">
        <v>48</v>
      </c>
      <c r="D59" s="128">
        <f t="shared" si="6"/>
        <v>105</v>
      </c>
      <c r="E59" s="128">
        <f t="shared" si="0"/>
        <v>5</v>
      </c>
      <c r="F59" s="102">
        <f t="shared" si="3"/>
        <v>59.04</v>
      </c>
      <c r="G59" s="103">
        <f>IF(D59=D58,"",_xlfn.IFNA(VLOOKUP(D59,'인원 입력 기능(국수)'!$F$5:$I$103,4,FALSE),0))</f>
        <v>2967</v>
      </c>
      <c r="H59" s="104">
        <f t="shared" si="4"/>
        <v>1.1218833422821838E-2</v>
      </c>
      <c r="I59" s="129">
        <f>SUM($G$7:G59)</f>
        <v>109818</v>
      </c>
      <c r="J59" s="106">
        <f t="shared" si="5"/>
        <v>0.41524430361558762</v>
      </c>
      <c r="K59" s="31"/>
      <c r="L59" s="20" t="str">
        <f t="shared" si="7"/>
        <v/>
      </c>
      <c r="N59" s="1"/>
    </row>
    <row r="60" spans="1:14" ht="25" customHeight="1" x14ac:dyDescent="0.45">
      <c r="A60" s="5"/>
      <c r="B60" s="30"/>
      <c r="C60" s="127">
        <v>47</v>
      </c>
      <c r="D60" s="130">
        <f t="shared" si="6"/>
        <v>104</v>
      </c>
      <c r="E60" s="130">
        <f t="shared" si="0"/>
        <v>5</v>
      </c>
      <c r="F60" s="116">
        <f t="shared" si="3"/>
        <v>57.18</v>
      </c>
      <c r="G60" s="117">
        <f>IF(D60=D59,"",_xlfn.IFNA(VLOOKUP(D60,'인원 입력 기능(국수)'!$F$5:$I$103,4,FALSE),0))</f>
        <v>6838</v>
      </c>
      <c r="H60" s="118">
        <f t="shared" si="4"/>
        <v>2.5855875613500411E-2</v>
      </c>
      <c r="I60" s="131">
        <f>SUM($G$7:G60)</f>
        <v>116656</v>
      </c>
      <c r="J60" s="120">
        <f t="shared" si="5"/>
        <v>0.44110017922908806</v>
      </c>
      <c r="K60" s="31"/>
      <c r="L60" s="20" t="str">
        <f t="shared" si="7"/>
        <v/>
      </c>
      <c r="N60" s="1"/>
    </row>
    <row r="61" spans="1:14" ht="25" customHeight="1" x14ac:dyDescent="0.45">
      <c r="A61" s="5"/>
      <c r="B61" s="30"/>
      <c r="C61" s="127">
        <v>46</v>
      </c>
      <c r="D61" s="132"/>
      <c r="E61" s="132"/>
      <c r="F61" s="122"/>
      <c r="G61" s="123"/>
      <c r="H61" s="124"/>
      <c r="I61" s="133"/>
      <c r="J61" s="126"/>
      <c r="K61" s="31"/>
      <c r="L61" s="20" t="str">
        <f t="shared" si="7"/>
        <v>경고</v>
      </c>
      <c r="N61" s="1"/>
    </row>
    <row r="62" spans="1:14" ht="25" customHeight="1" x14ac:dyDescent="0.45">
      <c r="A62" s="5"/>
      <c r="B62" s="30"/>
      <c r="C62" s="127">
        <v>45</v>
      </c>
      <c r="D62" s="128">
        <f t="shared" si="6"/>
        <v>103</v>
      </c>
      <c r="E62" s="128">
        <f t="shared" si="0"/>
        <v>5</v>
      </c>
      <c r="F62" s="102">
        <f t="shared" si="3"/>
        <v>55.37</v>
      </c>
      <c r="G62" s="103">
        <f>IF(D62=D61,"",_xlfn.IFNA(VLOOKUP(D62,'인원 입력 기능(국수)'!$F$5:$I$103,4,FALSE),0))</f>
        <v>2726</v>
      </c>
      <c r="H62" s="104">
        <f t="shared" si="4"/>
        <v>1.0307563165019322E-2</v>
      </c>
      <c r="I62" s="129">
        <f>SUM($G$7:G62)</f>
        <v>119382</v>
      </c>
      <c r="J62" s="106">
        <f t="shared" si="5"/>
        <v>0.45140774239410736</v>
      </c>
      <c r="K62" s="31"/>
      <c r="L62" s="20" t="str">
        <f t="shared" si="7"/>
        <v/>
      </c>
      <c r="N62" s="1"/>
    </row>
    <row r="63" spans="1:14" ht="25" customHeight="1" x14ac:dyDescent="0.45">
      <c r="A63" s="5"/>
      <c r="B63" s="30"/>
      <c r="C63" s="127">
        <v>44</v>
      </c>
      <c r="D63" s="128">
        <f t="shared" si="6"/>
        <v>102</v>
      </c>
      <c r="E63" s="128">
        <f t="shared" si="0"/>
        <v>5</v>
      </c>
      <c r="F63" s="102">
        <f t="shared" si="3"/>
        <v>54.16</v>
      </c>
      <c r="G63" s="103">
        <f>IF(D63=D62,"",_xlfn.IFNA(VLOOKUP(D63,'인원 입력 기능(국수)'!$F$5:$I$103,4,FALSE),0))</f>
        <v>3697</v>
      </c>
      <c r="H63" s="104">
        <f t="shared" si="4"/>
        <v>1.3979112626953937E-2</v>
      </c>
      <c r="I63" s="129">
        <f>SUM($G$7:G63)</f>
        <v>123079</v>
      </c>
      <c r="J63" s="106">
        <f t="shared" si="5"/>
        <v>0.46538685502106131</v>
      </c>
      <c r="K63" s="31"/>
      <c r="L63" s="20" t="str">
        <f t="shared" si="7"/>
        <v/>
      </c>
      <c r="N63" s="1"/>
    </row>
    <row r="64" spans="1:14" ht="25" customHeight="1" x14ac:dyDescent="0.45">
      <c r="A64" s="5"/>
      <c r="B64" s="30"/>
      <c r="C64" s="127">
        <v>43</v>
      </c>
      <c r="D64" s="128">
        <f t="shared" si="6"/>
        <v>101</v>
      </c>
      <c r="E64" s="128">
        <f t="shared" si="0"/>
        <v>5</v>
      </c>
      <c r="F64" s="102">
        <f t="shared" si="3"/>
        <v>52.87</v>
      </c>
      <c r="G64" s="103">
        <f>IF(D64=D63,"",_xlfn.IFNA(VLOOKUP(D64,'인원 입력 기능(국수)'!$F$5:$I$103,4,FALSE),0))</f>
        <v>3139</v>
      </c>
      <c r="H64" s="104">
        <f t="shared" si="4"/>
        <v>1.1869200577768031E-2</v>
      </c>
      <c r="I64" s="129">
        <f>SUM($G$7:G64)</f>
        <v>126218</v>
      </c>
      <c r="J64" s="106">
        <f t="shared" si="5"/>
        <v>0.47725605559882933</v>
      </c>
      <c r="K64" s="31"/>
      <c r="L64" s="20" t="str">
        <f t="shared" si="7"/>
        <v/>
      </c>
      <c r="N64" s="1"/>
    </row>
    <row r="65" spans="1:14" ht="25" customHeight="1" x14ac:dyDescent="0.45">
      <c r="A65" s="5"/>
      <c r="B65" s="30"/>
      <c r="C65" s="127">
        <v>42</v>
      </c>
      <c r="D65" s="128">
        <f t="shared" si="6"/>
        <v>100</v>
      </c>
      <c r="E65" s="128">
        <f t="shared" si="0"/>
        <v>5</v>
      </c>
      <c r="F65" s="102">
        <f t="shared" si="3"/>
        <v>51.78</v>
      </c>
      <c r="G65" s="103">
        <f>IF(D65=D64,"",_xlfn.IFNA(VLOOKUP(D65,'인원 입력 기능(국수)'!$F$5:$I$103,4,FALSE),0))</f>
        <v>2625</v>
      </c>
      <c r="H65" s="104">
        <f t="shared" si="4"/>
        <v>9.9256615217078945E-3</v>
      </c>
      <c r="I65" s="129">
        <f>SUM($G$7:G65)</f>
        <v>128843</v>
      </c>
      <c r="J65" s="106">
        <f t="shared" si="5"/>
        <v>0.48718171712053726</v>
      </c>
      <c r="K65" s="31"/>
      <c r="L65" s="20" t="str">
        <f t="shared" si="7"/>
        <v/>
      </c>
      <c r="N65" s="1"/>
    </row>
    <row r="66" spans="1:14" ht="25" customHeight="1" x14ac:dyDescent="0.45">
      <c r="A66" s="5"/>
      <c r="B66" s="30"/>
      <c r="C66" s="127">
        <v>41</v>
      </c>
      <c r="D66" s="130">
        <f t="shared" si="6"/>
        <v>99</v>
      </c>
      <c r="E66" s="130">
        <f t="shared" si="0"/>
        <v>5</v>
      </c>
      <c r="F66" s="116">
        <f t="shared" si="3"/>
        <v>50.05</v>
      </c>
      <c r="G66" s="117">
        <f>IF(D66=D65,"",_xlfn.IFNA(VLOOKUP(D66,'인원 입력 기능(국수)'!$F$5:$I$103,4,FALSE),0))</f>
        <v>6512</v>
      </c>
      <c r="H66" s="118">
        <f t="shared" si="4"/>
        <v>2.4623202982614022E-2</v>
      </c>
      <c r="I66" s="131">
        <f>SUM($G$7:G66)</f>
        <v>135355</v>
      </c>
      <c r="J66" s="120">
        <f t="shared" si="5"/>
        <v>0.51180492010315126</v>
      </c>
      <c r="K66" s="31"/>
      <c r="L66" s="20" t="str">
        <f t="shared" si="7"/>
        <v/>
      </c>
      <c r="N66" s="1"/>
    </row>
    <row r="67" spans="1:14" ht="25" customHeight="1" x14ac:dyDescent="0.45">
      <c r="A67" s="5"/>
      <c r="B67" s="30"/>
      <c r="C67" s="127">
        <v>40</v>
      </c>
      <c r="D67" s="132"/>
      <c r="E67" s="132"/>
      <c r="F67" s="122"/>
      <c r="G67" s="123"/>
      <c r="H67" s="124"/>
      <c r="I67" s="133"/>
      <c r="J67" s="126"/>
      <c r="K67" s="31"/>
      <c r="L67" s="20" t="str">
        <f t="shared" si="7"/>
        <v>경고</v>
      </c>
      <c r="N67" s="1"/>
    </row>
    <row r="68" spans="1:14" ht="25" customHeight="1" x14ac:dyDescent="0.45">
      <c r="A68" s="5"/>
      <c r="B68" s="30"/>
      <c r="C68" s="127">
        <v>39</v>
      </c>
      <c r="D68" s="128">
        <f t="shared" si="6"/>
        <v>98</v>
      </c>
      <c r="E68" s="128">
        <f t="shared" si="0"/>
        <v>5</v>
      </c>
      <c r="F68" s="102">
        <f t="shared" si="3"/>
        <v>48.35</v>
      </c>
      <c r="G68" s="103">
        <f>IF(D68=D67,"",_xlfn.IFNA(VLOOKUP(D68,'인원 입력 기능(국수)'!$F$5:$I$103,4,FALSE),0))</f>
        <v>2475</v>
      </c>
      <c r="H68" s="104">
        <f t="shared" si="4"/>
        <v>9.358480863324586E-3</v>
      </c>
      <c r="I68" s="129">
        <f>SUM($G$7:G68)</f>
        <v>137830</v>
      </c>
      <c r="J68" s="106">
        <f t="shared" si="5"/>
        <v>0.52116340096647584</v>
      </c>
      <c r="K68" s="31"/>
      <c r="L68" s="20" t="str">
        <f t="shared" si="7"/>
        <v/>
      </c>
      <c r="N68" s="1"/>
    </row>
    <row r="69" spans="1:14" ht="25" customHeight="1" x14ac:dyDescent="0.45">
      <c r="A69" s="5"/>
      <c r="B69" s="30"/>
      <c r="C69" s="127">
        <v>38</v>
      </c>
      <c r="D69" s="128">
        <f t="shared" si="6"/>
        <v>97</v>
      </c>
      <c r="E69" s="128">
        <f t="shared" si="0"/>
        <v>5</v>
      </c>
      <c r="F69" s="102">
        <f t="shared" si="3"/>
        <v>47.3</v>
      </c>
      <c r="G69" s="103">
        <f>IF(D69=D68,"",_xlfn.IFNA(VLOOKUP(D69,'인원 입력 기능(국수)'!$F$5:$I$103,4,FALSE),0))</f>
        <v>3102</v>
      </c>
      <c r="H69" s="104">
        <f t="shared" si="4"/>
        <v>1.1729296015366814E-2</v>
      </c>
      <c r="I69" s="129">
        <f>SUM($G$7:G69)</f>
        <v>140932</v>
      </c>
      <c r="J69" s="106">
        <f t="shared" si="5"/>
        <v>0.53289269698184261</v>
      </c>
      <c r="K69" s="31"/>
      <c r="L69" s="20" t="str">
        <f t="shared" si="7"/>
        <v/>
      </c>
      <c r="N69" s="1"/>
    </row>
    <row r="70" spans="1:14" ht="25" customHeight="1" x14ac:dyDescent="0.45">
      <c r="A70" s="5"/>
      <c r="B70" s="30"/>
      <c r="C70" s="127">
        <v>37</v>
      </c>
      <c r="D70" s="128">
        <f t="shared" si="6"/>
        <v>96</v>
      </c>
      <c r="E70" s="128">
        <f t="shared" si="0"/>
        <v>5</v>
      </c>
      <c r="F70" s="102">
        <f t="shared" si="3"/>
        <v>46.12</v>
      </c>
      <c r="G70" s="103">
        <f>IF(D70=D69,"",_xlfn.IFNA(VLOOKUP(D70,'인원 입력 기능(국수)'!$F$5:$I$103,4,FALSE),0))</f>
        <v>3122</v>
      </c>
      <c r="H70" s="104">
        <f t="shared" si="4"/>
        <v>1.1804920103151255E-2</v>
      </c>
      <c r="I70" s="129">
        <f>SUM($G$7:G70)</f>
        <v>144054</v>
      </c>
      <c r="J70" s="106">
        <f t="shared" si="5"/>
        <v>0.54469761708499387</v>
      </c>
      <c r="K70" s="31"/>
      <c r="L70" s="20" t="str">
        <f t="shared" si="7"/>
        <v/>
      </c>
      <c r="N70" s="1"/>
    </row>
    <row r="71" spans="1:14" ht="25" customHeight="1" x14ac:dyDescent="0.45">
      <c r="A71" s="5"/>
      <c r="B71" s="30"/>
      <c r="C71" s="127">
        <v>36</v>
      </c>
      <c r="D71" s="128">
        <f t="shared" si="6"/>
        <v>95</v>
      </c>
      <c r="E71" s="128">
        <f t="shared" ref="E71:E105" si="8">IF(ROUND(D71,0)&gt;=$Q$7,1,IF(ROUND(D71,0)&gt;=$Q$8,2,IF(ROUND(D71,0)&gt;=$Q$9,3,IF(ROUND(D71,0)&gt;=$Q$10,4,IF(ROUND(D71,0)&gt;=$Q$11,5,IF(ROUND(D71,0)&gt;=$Q$12,6,IF(ROUND(D71,0)&gt;=$Q$13,7,IF(ROUND(D71,0)&gt;=$Q$14,8,9))))))))</f>
        <v>5</v>
      </c>
      <c r="F71" s="102">
        <f t="shared" si="3"/>
        <v>45.06</v>
      </c>
      <c r="G71" s="103">
        <f>IF(D71=D70,"",_xlfn.IFNA(VLOOKUP(D71,'인원 입력 기능(국수)'!$F$5:$I$103,4,FALSE),0))</f>
        <v>2477</v>
      </c>
      <c r="H71" s="104">
        <f t="shared" si="4"/>
        <v>9.3660432721030303E-3</v>
      </c>
      <c r="I71" s="129">
        <f>SUM($G$7:G71)</f>
        <v>146531</v>
      </c>
      <c r="J71" s="106">
        <f t="shared" si="5"/>
        <v>0.55406366035709698</v>
      </c>
      <c r="K71" s="31"/>
      <c r="L71" s="20" t="str">
        <f t="shared" si="7"/>
        <v/>
      </c>
      <c r="N71" s="1"/>
    </row>
    <row r="72" spans="1:14" ht="25" customHeight="1" x14ac:dyDescent="0.45">
      <c r="A72" s="5"/>
      <c r="B72" s="30"/>
      <c r="C72" s="127">
        <v>35</v>
      </c>
      <c r="D72" s="130">
        <f t="shared" si="6"/>
        <v>94</v>
      </c>
      <c r="E72" s="130">
        <f t="shared" si="8"/>
        <v>5</v>
      </c>
      <c r="F72" s="116">
        <f t="shared" si="3"/>
        <v>43.49</v>
      </c>
      <c r="G72" s="117">
        <f>IF(D72=D71,"",_xlfn.IFNA(VLOOKUP(D72,'인원 입력 기능(국수)'!$F$5:$I$103,4,FALSE),0))</f>
        <v>5837</v>
      </c>
      <c r="H72" s="118">
        <f t="shared" si="4"/>
        <v>2.2070890019889135E-2</v>
      </c>
      <c r="I72" s="131">
        <f>SUM($G$7:G72)</f>
        <v>152368</v>
      </c>
      <c r="J72" s="120">
        <f t="shared" si="5"/>
        <v>0.57613455037698613</v>
      </c>
      <c r="K72" s="31"/>
      <c r="L72" s="20" t="str">
        <f t="shared" si="7"/>
        <v/>
      </c>
      <c r="N72" s="1"/>
    </row>
    <row r="73" spans="1:14" ht="25" customHeight="1" x14ac:dyDescent="0.45">
      <c r="A73" s="5"/>
      <c r="B73" s="30"/>
      <c r="C73" s="127">
        <v>34</v>
      </c>
      <c r="D73" s="132"/>
      <c r="E73" s="132"/>
      <c r="F73" s="122"/>
      <c r="G73" s="123"/>
      <c r="H73" s="124"/>
      <c r="I73" s="133"/>
      <c r="J73" s="126"/>
      <c r="K73" s="31"/>
      <c r="L73" s="20" t="str">
        <f t="shared" ref="L73:L105" si="9">IF(ABS((C73-$H$3)/$H$4*20+100-D73)&gt;0.49, "경고", "")</f>
        <v>경고</v>
      </c>
      <c r="N73" s="1"/>
    </row>
    <row r="74" spans="1:14" ht="25" customHeight="1" x14ac:dyDescent="0.45">
      <c r="A74" s="5"/>
      <c r="B74" s="30"/>
      <c r="C74" s="127">
        <v>33</v>
      </c>
      <c r="D74" s="128">
        <f t="shared" ref="D74:D104" si="10">ROUND(20*(C74-$H$3)/$H$4+100,0)</f>
        <v>93</v>
      </c>
      <c r="E74" s="128">
        <f t="shared" si="8"/>
        <v>5</v>
      </c>
      <c r="F74" s="102">
        <f t="shared" ref="F74:F105" si="11">IF(I73=0,ROUND(100*(1-(I72+I74)/2/$J$3),2),ROUND(100*(1-(I73+I74)/2/$J$3),2))</f>
        <v>41.92</v>
      </c>
      <c r="G74" s="103">
        <f>IF(D74=D73,"",_xlfn.IFNA(VLOOKUP(D74,'인원 입력 기능(국수)'!$F$5:$I$103,4,FALSE),0))</f>
        <v>2490</v>
      </c>
      <c r="H74" s="104">
        <f t="shared" ref="H74:H105" si="12">G74/$J$3</f>
        <v>9.4151989291629164E-3</v>
      </c>
      <c r="I74" s="129">
        <f>SUM($G$7:G74)</f>
        <v>154858</v>
      </c>
      <c r="J74" s="106">
        <f t="shared" ref="J74:J105" si="13">I74/$J$3</f>
        <v>0.585549749306149</v>
      </c>
      <c r="K74" s="31"/>
      <c r="L74" s="20" t="str">
        <f t="shared" si="9"/>
        <v/>
      </c>
      <c r="N74" s="1"/>
    </row>
    <row r="75" spans="1:14" ht="25" customHeight="1" x14ac:dyDescent="0.45">
      <c r="A75" s="5"/>
      <c r="B75" s="30"/>
      <c r="C75" s="127">
        <v>32</v>
      </c>
      <c r="D75" s="128">
        <f t="shared" si="10"/>
        <v>92</v>
      </c>
      <c r="E75" s="128">
        <f t="shared" si="8"/>
        <v>5</v>
      </c>
      <c r="F75" s="102">
        <f t="shared" si="11"/>
        <v>40.93</v>
      </c>
      <c r="G75" s="103">
        <f>IF(D75=D74,"",_xlfn.IFNA(VLOOKUP(D75,'인원 입력 기능(국수)'!$F$5:$I$103,4,FALSE),0))</f>
        <v>2731</v>
      </c>
      <c r="H75" s="104">
        <f t="shared" si="12"/>
        <v>1.0326469186965432E-2</v>
      </c>
      <c r="I75" s="129">
        <f>SUM($G$7:G75)</f>
        <v>157589</v>
      </c>
      <c r="J75" s="106">
        <f t="shared" si="13"/>
        <v>0.59587621849311445</v>
      </c>
      <c r="K75" s="31"/>
      <c r="L75" s="20" t="str">
        <f t="shared" si="9"/>
        <v/>
      </c>
      <c r="N75" s="1"/>
    </row>
    <row r="76" spans="1:14" ht="25" customHeight="1" x14ac:dyDescent="0.45">
      <c r="A76" s="5"/>
      <c r="B76" s="30"/>
      <c r="C76" s="127">
        <v>31</v>
      </c>
      <c r="D76" s="128">
        <f t="shared" si="10"/>
        <v>91</v>
      </c>
      <c r="E76" s="128">
        <f t="shared" si="8"/>
        <v>5</v>
      </c>
      <c r="F76" s="102">
        <f t="shared" si="11"/>
        <v>39.86</v>
      </c>
      <c r="G76" s="103">
        <f>IF(D76=D75,"",_xlfn.IFNA(VLOOKUP(D76,'인원 입력 기능(국수)'!$F$5:$I$103,4,FALSE),0))</f>
        <v>2909</v>
      </c>
      <c r="H76" s="104">
        <f t="shared" si="12"/>
        <v>1.0999523568246959E-2</v>
      </c>
      <c r="I76" s="129">
        <f>SUM($G$7:G76)</f>
        <v>160498</v>
      </c>
      <c r="J76" s="106">
        <f t="shared" si="13"/>
        <v>0.60687574206136141</v>
      </c>
      <c r="K76" s="31"/>
      <c r="L76" s="20" t="str">
        <f t="shared" si="9"/>
        <v/>
      </c>
      <c r="N76" s="1"/>
    </row>
    <row r="77" spans="1:14" ht="25" customHeight="1" x14ac:dyDescent="0.45">
      <c r="A77" s="5"/>
      <c r="B77" s="30"/>
      <c r="C77" s="127">
        <v>30</v>
      </c>
      <c r="D77" s="128">
        <f t="shared" si="10"/>
        <v>90</v>
      </c>
      <c r="E77" s="128">
        <f t="shared" si="8"/>
        <v>6</v>
      </c>
      <c r="F77" s="102">
        <f t="shared" si="11"/>
        <v>38.82</v>
      </c>
      <c r="G77" s="103">
        <f>IF(D77=D76,"",_xlfn.IFNA(VLOOKUP(D77,'인원 입력 기능(국수)'!$F$5:$I$103,4,FALSE),0))</f>
        <v>2584</v>
      </c>
      <c r="H77" s="104">
        <f t="shared" si="12"/>
        <v>9.7706321417497903E-3</v>
      </c>
      <c r="I77" s="129">
        <f>SUM($G$7:G77)</f>
        <v>163082</v>
      </c>
      <c r="J77" s="106">
        <f t="shared" si="13"/>
        <v>0.61664637420311119</v>
      </c>
      <c r="K77" s="31"/>
      <c r="L77" s="20" t="str">
        <f t="shared" si="9"/>
        <v/>
      </c>
      <c r="N77" s="1"/>
    </row>
    <row r="78" spans="1:14" ht="25" customHeight="1" x14ac:dyDescent="0.45">
      <c r="A78" s="5"/>
      <c r="B78" s="30"/>
      <c r="C78" s="127">
        <v>29</v>
      </c>
      <c r="D78" s="130">
        <f t="shared" si="10"/>
        <v>89</v>
      </c>
      <c r="E78" s="130">
        <f t="shared" si="8"/>
        <v>6</v>
      </c>
      <c r="F78" s="116">
        <f t="shared" si="11"/>
        <v>37.31</v>
      </c>
      <c r="G78" s="117">
        <f>IF(D78=D77,"",_xlfn.IFNA(VLOOKUP(D78,'인원 입력 기능(국수)'!$F$5:$I$103,4,FALSE),0))</f>
        <v>5425</v>
      </c>
      <c r="H78" s="118">
        <f t="shared" si="12"/>
        <v>2.0513033811529649E-2</v>
      </c>
      <c r="I78" s="131">
        <f>SUM($G$7:G78)</f>
        <v>168507</v>
      </c>
      <c r="J78" s="120">
        <f t="shared" si="13"/>
        <v>0.63715940801464077</v>
      </c>
      <c r="K78" s="31"/>
      <c r="L78" s="20" t="str">
        <f t="shared" si="9"/>
        <v/>
      </c>
      <c r="N78" s="1"/>
    </row>
    <row r="79" spans="1:14" ht="25" customHeight="1" x14ac:dyDescent="0.45">
      <c r="A79" s="5"/>
      <c r="B79" s="30"/>
      <c r="C79" s="127">
        <v>28</v>
      </c>
      <c r="D79" s="132"/>
      <c r="E79" s="132"/>
      <c r="F79" s="122"/>
      <c r="G79" s="123"/>
      <c r="H79" s="124"/>
      <c r="I79" s="133"/>
      <c r="J79" s="126"/>
      <c r="K79" s="31"/>
      <c r="L79" s="20" t="str">
        <f t="shared" si="9"/>
        <v>경고</v>
      </c>
      <c r="N79" s="1"/>
    </row>
    <row r="80" spans="1:14" ht="25" customHeight="1" x14ac:dyDescent="0.45">
      <c r="A80" s="5"/>
      <c r="B80" s="30"/>
      <c r="C80" s="127">
        <v>27</v>
      </c>
      <c r="D80" s="128">
        <f t="shared" si="10"/>
        <v>88</v>
      </c>
      <c r="E80" s="128">
        <f t="shared" si="8"/>
        <v>6</v>
      </c>
      <c r="F80" s="102">
        <f t="shared" si="11"/>
        <v>35.799999999999997</v>
      </c>
      <c r="G80" s="103">
        <f>IF(D80=D79,"",_xlfn.IFNA(VLOOKUP(D80,'인원 입력 기능(국수)'!$F$5:$I$103,4,FALSE),0))</f>
        <v>2559</v>
      </c>
      <c r="H80" s="104">
        <f t="shared" si="12"/>
        <v>9.6761020320192386E-3</v>
      </c>
      <c r="I80" s="129">
        <f>SUM($G$7:G80)</f>
        <v>171066</v>
      </c>
      <c r="J80" s="106">
        <f t="shared" si="13"/>
        <v>0.64683551004666007</v>
      </c>
      <c r="K80" s="31"/>
      <c r="L80" s="20" t="str">
        <f t="shared" si="9"/>
        <v/>
      </c>
      <c r="N80" s="1"/>
    </row>
    <row r="81" spans="1:14" ht="25" customHeight="1" x14ac:dyDescent="0.45">
      <c r="A81" s="5"/>
      <c r="B81" s="30"/>
      <c r="C81" s="127">
        <v>26</v>
      </c>
      <c r="D81" s="128">
        <f t="shared" si="10"/>
        <v>87</v>
      </c>
      <c r="E81" s="128">
        <f t="shared" si="8"/>
        <v>6</v>
      </c>
      <c r="F81" s="102">
        <f t="shared" si="11"/>
        <v>34.81</v>
      </c>
      <c r="G81" s="103">
        <f>IF(D81=D80,"",_xlfn.IFNA(VLOOKUP(D81,'인원 입력 기능(국수)'!$F$5:$I$103,4,FALSE),0))</f>
        <v>2689</v>
      </c>
      <c r="H81" s="104">
        <f t="shared" si="12"/>
        <v>1.0167658602618106E-2</v>
      </c>
      <c r="I81" s="129">
        <f>SUM($G$7:G81)</f>
        <v>173755</v>
      </c>
      <c r="J81" s="106">
        <f t="shared" si="13"/>
        <v>0.65700316864927821</v>
      </c>
      <c r="K81" s="31"/>
      <c r="L81" s="20" t="str">
        <f t="shared" si="9"/>
        <v/>
      </c>
      <c r="N81" s="1"/>
    </row>
    <row r="82" spans="1:14" ht="25" customHeight="1" x14ac:dyDescent="0.45">
      <c r="A82" s="5"/>
      <c r="B82" s="30"/>
      <c r="C82" s="127">
        <v>25</v>
      </c>
      <c r="D82" s="128">
        <f t="shared" si="10"/>
        <v>86</v>
      </c>
      <c r="E82" s="128">
        <f t="shared" si="8"/>
        <v>6</v>
      </c>
      <c r="F82" s="102">
        <f t="shared" si="11"/>
        <v>33.74</v>
      </c>
      <c r="G82" s="103">
        <f>IF(D82=D81,"",_xlfn.IFNA(VLOOKUP(D82,'인원 입력 기능(국수)'!$F$5:$I$103,4,FALSE),0))</f>
        <v>2985</v>
      </c>
      <c r="H82" s="104">
        <f t="shared" si="12"/>
        <v>1.1286895101827834E-2</v>
      </c>
      <c r="I82" s="129">
        <f>SUM($G$7:G82)</f>
        <v>176740</v>
      </c>
      <c r="J82" s="106">
        <f t="shared" si="13"/>
        <v>0.668290063751106</v>
      </c>
      <c r="K82" s="31"/>
      <c r="L82" s="20" t="str">
        <f t="shared" si="9"/>
        <v/>
      </c>
      <c r="N82" s="1"/>
    </row>
    <row r="83" spans="1:14" ht="25" customHeight="1" x14ac:dyDescent="0.45">
      <c r="A83" s="5"/>
      <c r="B83" s="30"/>
      <c r="C83" s="127">
        <v>24</v>
      </c>
      <c r="D83" s="128">
        <f t="shared" si="10"/>
        <v>85</v>
      </c>
      <c r="E83" s="128">
        <f t="shared" si="8"/>
        <v>6</v>
      </c>
      <c r="F83" s="102">
        <f t="shared" si="11"/>
        <v>32.64</v>
      </c>
      <c r="G83" s="103">
        <f>IF(D83=D82,"",_xlfn.IFNA(VLOOKUP(D83,'인원 입력 기능(국수)'!$F$5:$I$103,4,FALSE),0))</f>
        <v>2790</v>
      </c>
      <c r="H83" s="104">
        <f t="shared" si="12"/>
        <v>1.0549560245929533E-2</v>
      </c>
      <c r="I83" s="129">
        <f>SUM($G$7:G83)</f>
        <v>179530</v>
      </c>
      <c r="J83" s="106">
        <f t="shared" si="13"/>
        <v>0.67883962399703557</v>
      </c>
      <c r="K83" s="31"/>
      <c r="L83" s="20" t="str">
        <f t="shared" si="9"/>
        <v/>
      </c>
      <c r="N83" s="1"/>
    </row>
    <row r="84" spans="1:14" ht="25" customHeight="1" x14ac:dyDescent="0.45">
      <c r="A84" s="5"/>
      <c r="B84" s="30"/>
      <c r="C84" s="127">
        <v>23</v>
      </c>
      <c r="D84" s="130">
        <f t="shared" si="10"/>
        <v>84</v>
      </c>
      <c r="E84" s="130">
        <f t="shared" si="8"/>
        <v>6</v>
      </c>
      <c r="F84" s="116">
        <f t="shared" si="11"/>
        <v>30.85</v>
      </c>
      <c r="G84" s="117">
        <f>IF(D84=D83,"",_xlfn.IFNA(VLOOKUP(D84,'인원 입력 기능(국수)'!$F$5:$I$103,4,FALSE),0))</f>
        <v>6701</v>
      </c>
      <c r="H84" s="118">
        <f t="shared" si="12"/>
        <v>2.5337850612176992E-2</v>
      </c>
      <c r="I84" s="131">
        <f>SUM($G$7:G84)</f>
        <v>186231</v>
      </c>
      <c r="J84" s="120">
        <f t="shared" si="13"/>
        <v>0.70417747460921254</v>
      </c>
      <c r="K84" s="31"/>
      <c r="L84" s="20" t="str">
        <f t="shared" si="9"/>
        <v/>
      </c>
      <c r="N84" s="1"/>
    </row>
    <row r="85" spans="1:14" ht="25" customHeight="1" x14ac:dyDescent="0.45">
      <c r="A85" s="5"/>
      <c r="B85" s="30"/>
      <c r="C85" s="127">
        <v>22</v>
      </c>
      <c r="D85" s="132"/>
      <c r="E85" s="132"/>
      <c r="F85" s="122"/>
      <c r="G85" s="123"/>
      <c r="H85" s="124"/>
      <c r="I85" s="133"/>
      <c r="J85" s="126"/>
      <c r="K85" s="31"/>
      <c r="L85" s="20" t="str">
        <f t="shared" si="9"/>
        <v>경고</v>
      </c>
      <c r="N85" s="1"/>
    </row>
    <row r="86" spans="1:14" ht="25" customHeight="1" x14ac:dyDescent="0.45">
      <c r="A86" s="5"/>
      <c r="B86" s="30"/>
      <c r="C86" s="127">
        <v>21</v>
      </c>
      <c r="D86" s="128">
        <f t="shared" si="10"/>
        <v>83</v>
      </c>
      <c r="E86" s="128">
        <f t="shared" si="8"/>
        <v>6</v>
      </c>
      <c r="F86" s="102">
        <f t="shared" si="11"/>
        <v>28.96</v>
      </c>
      <c r="G86" s="103">
        <f>IF(D86=D85,"",_xlfn.IFNA(VLOOKUP(D86,'인원 입력 기능(국수)'!$F$5:$I$103,4,FALSE),0))</f>
        <v>3278</v>
      </c>
      <c r="H86" s="104">
        <f t="shared" si="12"/>
        <v>1.2394787987869896E-2</v>
      </c>
      <c r="I86" s="129">
        <f>SUM($G$7:G86)</f>
        <v>189509</v>
      </c>
      <c r="J86" s="106">
        <f t="shared" si="13"/>
        <v>0.7165722625970824</v>
      </c>
      <c r="K86" s="31"/>
      <c r="L86" s="20" t="str">
        <f t="shared" si="9"/>
        <v/>
      </c>
      <c r="N86" s="1"/>
    </row>
    <row r="87" spans="1:14" ht="25" customHeight="1" x14ac:dyDescent="0.45">
      <c r="A87" s="5"/>
      <c r="B87" s="30"/>
      <c r="C87" s="127">
        <v>20</v>
      </c>
      <c r="D87" s="128">
        <f t="shared" si="10"/>
        <v>82</v>
      </c>
      <c r="E87" s="128">
        <f t="shared" si="8"/>
        <v>6</v>
      </c>
      <c r="F87" s="102">
        <f t="shared" si="11"/>
        <v>27.62</v>
      </c>
      <c r="G87" s="103">
        <f>IF(D87=D86,"",_xlfn.IFNA(VLOOKUP(D87,'인원 입력 기능(국수)'!$F$5:$I$103,4,FALSE),0))</f>
        <v>3833</v>
      </c>
      <c r="H87" s="104">
        <f t="shared" si="12"/>
        <v>1.4493356423888137E-2</v>
      </c>
      <c r="I87" s="129">
        <f>SUM($G$7:G87)</f>
        <v>193342</v>
      </c>
      <c r="J87" s="106">
        <f t="shared" si="13"/>
        <v>0.73106561902097056</v>
      </c>
      <c r="K87" s="31"/>
      <c r="L87" s="20" t="str">
        <f t="shared" si="9"/>
        <v/>
      </c>
      <c r="N87" s="1"/>
    </row>
    <row r="88" spans="1:14" ht="25" customHeight="1" x14ac:dyDescent="0.45">
      <c r="A88" s="5"/>
      <c r="B88" s="30"/>
      <c r="C88" s="127">
        <v>19</v>
      </c>
      <c r="D88" s="128">
        <f t="shared" si="10"/>
        <v>81</v>
      </c>
      <c r="E88" s="128">
        <f t="shared" si="8"/>
        <v>6</v>
      </c>
      <c r="F88" s="102">
        <f t="shared" si="11"/>
        <v>25.97</v>
      </c>
      <c r="G88" s="103">
        <f>IF(D88=D87,"",_xlfn.IFNA(VLOOKUP(D88,'인원 입력 기능(국수)'!$F$5:$I$103,4,FALSE),0))</f>
        <v>4859</v>
      </c>
      <c r="H88" s="104">
        <f t="shared" si="12"/>
        <v>1.8372872127229965E-2</v>
      </c>
      <c r="I88" s="129">
        <f>SUM($G$7:G88)</f>
        <v>198201</v>
      </c>
      <c r="J88" s="106">
        <f t="shared" si="13"/>
        <v>0.74943849114820049</v>
      </c>
      <c r="K88" s="31"/>
      <c r="L88" s="20" t="str">
        <f t="shared" si="9"/>
        <v/>
      </c>
      <c r="N88" s="1"/>
    </row>
    <row r="89" spans="1:14" ht="25" customHeight="1" x14ac:dyDescent="0.45">
      <c r="A89" s="5"/>
      <c r="B89" s="30"/>
      <c r="C89" s="127">
        <v>18</v>
      </c>
      <c r="D89" s="128">
        <f t="shared" si="10"/>
        <v>80</v>
      </c>
      <c r="E89" s="128">
        <f t="shared" si="8"/>
        <v>6</v>
      </c>
      <c r="F89" s="102">
        <f t="shared" si="11"/>
        <v>24.32</v>
      </c>
      <c r="G89" s="103">
        <f>IF(D89=D88,"",_xlfn.IFNA(VLOOKUP(D89,'인원 입력 기능(국수)'!$F$5:$I$103,4,FALSE),0))</f>
        <v>3889</v>
      </c>
      <c r="H89" s="104">
        <f t="shared" si="12"/>
        <v>1.4705103869684572E-2</v>
      </c>
      <c r="I89" s="129">
        <f>SUM($G$7:G89)</f>
        <v>202090</v>
      </c>
      <c r="J89" s="106">
        <f t="shared" si="13"/>
        <v>0.76414359501788509</v>
      </c>
      <c r="K89" s="31"/>
      <c r="L89" s="20" t="str">
        <f t="shared" si="9"/>
        <v/>
      </c>
      <c r="N89" s="1"/>
    </row>
    <row r="90" spans="1:14" ht="25" customHeight="1" x14ac:dyDescent="0.45">
      <c r="A90" s="5"/>
      <c r="B90" s="30"/>
      <c r="C90" s="127">
        <v>17</v>
      </c>
      <c r="D90" s="130">
        <f t="shared" si="10"/>
        <v>79</v>
      </c>
      <c r="E90" s="130">
        <f t="shared" si="8"/>
        <v>6</v>
      </c>
      <c r="F90" s="116">
        <f t="shared" si="11"/>
        <v>19.91</v>
      </c>
      <c r="G90" s="117">
        <f>IF(D90=D89,"",_xlfn.IFNA(VLOOKUP(D90,'인원 입력 기능(국수)'!$F$5:$I$103,4,FALSE),0))</f>
        <v>19447</v>
      </c>
      <c r="H90" s="118">
        <f t="shared" si="12"/>
        <v>7.3533081757201302E-2</v>
      </c>
      <c r="I90" s="131">
        <f>SUM($G$7:G90)</f>
        <v>221537</v>
      </c>
      <c r="J90" s="120">
        <f t="shared" si="13"/>
        <v>0.83767667677508639</v>
      </c>
      <c r="K90" s="31"/>
      <c r="L90" s="20" t="str">
        <f t="shared" si="9"/>
        <v/>
      </c>
      <c r="N90" s="1"/>
    </row>
    <row r="91" spans="1:14" ht="25" customHeight="1" x14ac:dyDescent="0.45">
      <c r="A91" s="5"/>
      <c r="B91" s="30"/>
      <c r="C91" s="127">
        <v>16</v>
      </c>
      <c r="D91" s="132"/>
      <c r="E91" s="132"/>
      <c r="F91" s="122"/>
      <c r="G91" s="123"/>
      <c r="H91" s="124"/>
      <c r="I91" s="133"/>
      <c r="J91" s="126"/>
      <c r="K91" s="31"/>
      <c r="L91" s="20" t="str">
        <f t="shared" si="9"/>
        <v>경고</v>
      </c>
      <c r="N91" s="1"/>
    </row>
    <row r="92" spans="1:14" ht="25" customHeight="1" x14ac:dyDescent="0.45">
      <c r="A92" s="5"/>
      <c r="B92" s="30"/>
      <c r="C92" s="127">
        <v>15</v>
      </c>
      <c r="D92" s="128">
        <f t="shared" si="10"/>
        <v>78</v>
      </c>
      <c r="E92" s="128">
        <f t="shared" si="8"/>
        <v>7</v>
      </c>
      <c r="F92" s="102">
        <f t="shared" si="11"/>
        <v>15.36</v>
      </c>
      <c r="G92" s="103">
        <f>IF(D92=D91,"",_xlfn.IFNA(VLOOKUP(D92,'인원 입력 기능(국수)'!$F$5:$I$103,4,FALSE),0))</f>
        <v>4612</v>
      </c>
      <c r="H92" s="104">
        <f t="shared" si="12"/>
        <v>1.7438914643092118E-2</v>
      </c>
      <c r="I92" s="129">
        <f>SUM($G$7:G92)</f>
        <v>226149</v>
      </c>
      <c r="J92" s="106">
        <f t="shared" si="13"/>
        <v>0.8551155914181785</v>
      </c>
      <c r="K92" s="31"/>
      <c r="L92" s="20" t="str">
        <f t="shared" si="9"/>
        <v/>
      </c>
      <c r="N92" s="1"/>
    </row>
    <row r="93" spans="1:14" ht="25" customHeight="1" x14ac:dyDescent="0.45">
      <c r="A93" s="5"/>
      <c r="B93" s="30"/>
      <c r="C93" s="127">
        <v>14</v>
      </c>
      <c r="D93" s="128">
        <f t="shared" si="10"/>
        <v>77</v>
      </c>
      <c r="E93" s="128">
        <f t="shared" si="8"/>
        <v>7</v>
      </c>
      <c r="F93" s="102">
        <f t="shared" si="11"/>
        <v>13.48</v>
      </c>
      <c r="G93" s="103">
        <f>IF(D93=D92,"",_xlfn.IFNA(VLOOKUP(D93,'인원 입력 기능(국수)'!$F$5:$I$103,4,FALSE),0))</f>
        <v>5332</v>
      </c>
      <c r="H93" s="104">
        <f t="shared" si="12"/>
        <v>2.0161381803331997E-2</v>
      </c>
      <c r="I93" s="129">
        <f>SUM($G$7:G93)</f>
        <v>231481</v>
      </c>
      <c r="J93" s="106">
        <f t="shared" si="13"/>
        <v>0.87527697322151055</v>
      </c>
      <c r="K93" s="31"/>
      <c r="L93" s="20" t="str">
        <f t="shared" si="9"/>
        <v/>
      </c>
      <c r="N93" s="1"/>
    </row>
    <row r="94" spans="1:14" ht="25" customHeight="1" x14ac:dyDescent="0.45">
      <c r="A94" s="5"/>
      <c r="B94" s="30"/>
      <c r="C94" s="127">
        <v>13</v>
      </c>
      <c r="D94" s="128">
        <f t="shared" si="10"/>
        <v>76</v>
      </c>
      <c r="E94" s="128">
        <f t="shared" si="8"/>
        <v>7</v>
      </c>
      <c r="F94" s="102">
        <f t="shared" si="11"/>
        <v>11.08</v>
      </c>
      <c r="G94" s="103">
        <f>IF(D94=D93,"",_xlfn.IFNA(VLOOKUP(D94,'인원 입력 기능(국수)'!$F$5:$I$103,4,FALSE),0))</f>
        <v>7348</v>
      </c>
      <c r="H94" s="104">
        <f t="shared" si="12"/>
        <v>2.7784289852003659E-2</v>
      </c>
      <c r="I94" s="129">
        <f>SUM($G$7:G94)</f>
        <v>238829</v>
      </c>
      <c r="J94" s="106">
        <f t="shared" si="13"/>
        <v>0.9030612630735142</v>
      </c>
      <c r="K94" s="31"/>
      <c r="L94" s="20" t="str">
        <f t="shared" si="9"/>
        <v/>
      </c>
      <c r="N94" s="1"/>
    </row>
    <row r="95" spans="1:14" ht="25" customHeight="1" x14ac:dyDescent="0.45">
      <c r="A95" s="5"/>
      <c r="B95" s="30"/>
      <c r="C95" s="127">
        <v>12</v>
      </c>
      <c r="D95" s="128">
        <f t="shared" si="10"/>
        <v>75</v>
      </c>
      <c r="E95" s="128">
        <f t="shared" si="8"/>
        <v>8</v>
      </c>
      <c r="F95" s="102">
        <f t="shared" si="11"/>
        <v>7.8</v>
      </c>
      <c r="G95" s="103">
        <f>IF(D95=D94,"",_xlfn.IFNA(VLOOKUP(D95,'인원 입력 기능(국수)'!$F$5:$I$103,4,FALSE),0))</f>
        <v>10007</v>
      </c>
      <c r="H95" s="104">
        <f t="shared" si="12"/>
        <v>3.7838512322945106E-2</v>
      </c>
      <c r="I95" s="129">
        <f>SUM($G$7:G95)</f>
        <v>248836</v>
      </c>
      <c r="J95" s="106">
        <f t="shared" si="13"/>
        <v>0.9408997753964593</v>
      </c>
      <c r="K95" s="31"/>
      <c r="L95" s="20" t="str">
        <f t="shared" si="9"/>
        <v/>
      </c>
      <c r="N95" s="1"/>
    </row>
    <row r="96" spans="1:14" ht="25" customHeight="1" x14ac:dyDescent="0.45">
      <c r="A96" s="5"/>
      <c r="B96" s="30"/>
      <c r="C96" s="127">
        <v>11</v>
      </c>
      <c r="D96" s="130">
        <f t="shared" si="10"/>
        <v>74</v>
      </c>
      <c r="E96" s="130">
        <f t="shared" si="8"/>
        <v>8</v>
      </c>
      <c r="F96" s="116">
        <f t="shared" si="11"/>
        <v>4.97</v>
      </c>
      <c r="G96" s="117">
        <f>IF(D96=D95,"",_xlfn.IFNA(VLOOKUP(D96,'인원 입력 기능(국수)'!$F$5:$I$103,4,FALSE),0))</f>
        <v>4978</v>
      </c>
      <c r="H96" s="118">
        <f t="shared" si="12"/>
        <v>1.8822835449547388E-2</v>
      </c>
      <c r="I96" s="131">
        <f>SUM($G$7:G96)</f>
        <v>253814</v>
      </c>
      <c r="J96" s="120">
        <f t="shared" si="13"/>
        <v>0.95972261084600663</v>
      </c>
      <c r="K96" s="31"/>
      <c r="L96" s="20" t="str">
        <f t="shared" si="9"/>
        <v/>
      </c>
      <c r="N96" s="1"/>
    </row>
    <row r="97" spans="1:14" ht="25" customHeight="1" x14ac:dyDescent="0.45">
      <c r="A97" s="5"/>
      <c r="B97" s="30"/>
      <c r="C97" s="127">
        <v>10</v>
      </c>
      <c r="D97" s="132"/>
      <c r="E97" s="132"/>
      <c r="F97" s="122"/>
      <c r="G97" s="123"/>
      <c r="H97" s="124"/>
      <c r="I97" s="133"/>
      <c r="J97" s="126"/>
      <c r="K97" s="31"/>
      <c r="L97" s="20" t="str">
        <f t="shared" si="9"/>
        <v>경고</v>
      </c>
      <c r="N97" s="1"/>
    </row>
    <row r="98" spans="1:14" ht="25" customHeight="1" x14ac:dyDescent="0.45">
      <c r="A98" s="5"/>
      <c r="B98" s="30"/>
      <c r="C98" s="127">
        <v>9</v>
      </c>
      <c r="D98" s="128">
        <f t="shared" si="10"/>
        <v>73</v>
      </c>
      <c r="E98" s="128">
        <f t="shared" si="8"/>
        <v>8</v>
      </c>
      <c r="F98" s="102">
        <f t="shared" si="11"/>
        <v>3.47</v>
      </c>
      <c r="G98" s="103">
        <f>IF(D98=D97,"",_xlfn.IFNA(VLOOKUP(D98,'인원 입력 기능(국수)'!$F$5:$I$103,4,FALSE),0))</f>
        <v>2959</v>
      </c>
      <c r="H98" s="104">
        <f t="shared" si="12"/>
        <v>1.118858378770806E-2</v>
      </c>
      <c r="I98" s="129">
        <f>SUM($G$7:G98)</f>
        <v>256773</v>
      </c>
      <c r="J98" s="106">
        <f t="shared" si="13"/>
        <v>0.97091119463371478</v>
      </c>
      <c r="K98" s="31"/>
      <c r="L98" s="20" t="str">
        <f t="shared" si="9"/>
        <v/>
      </c>
      <c r="N98" s="1"/>
    </row>
    <row r="99" spans="1:14" ht="25" customHeight="1" x14ac:dyDescent="0.45">
      <c r="A99" s="5"/>
      <c r="B99" s="30"/>
      <c r="C99" s="127">
        <v>8</v>
      </c>
      <c r="D99" s="128">
        <f t="shared" si="10"/>
        <v>72</v>
      </c>
      <c r="E99" s="128">
        <f t="shared" si="8"/>
        <v>9</v>
      </c>
      <c r="F99" s="102">
        <f t="shared" si="11"/>
        <v>2.62</v>
      </c>
      <c r="G99" s="103">
        <f>IF(D99=D98,"",_xlfn.IFNA(VLOOKUP(D99,'인원 입력 기능(국수)'!$F$5:$I$103,4,FALSE),0))</f>
        <v>1521</v>
      </c>
      <c r="H99" s="104">
        <f t="shared" si="12"/>
        <v>5.7512118760067454E-3</v>
      </c>
      <c r="I99" s="129">
        <f>SUM($G$7:G99)</f>
        <v>258294</v>
      </c>
      <c r="J99" s="106">
        <f t="shared" si="13"/>
        <v>0.97666240650972147</v>
      </c>
      <c r="K99" s="31"/>
      <c r="L99" s="20" t="str">
        <f t="shared" si="9"/>
        <v/>
      </c>
      <c r="N99" s="1"/>
    </row>
    <row r="100" spans="1:14" ht="25" customHeight="1" x14ac:dyDescent="0.45">
      <c r="A100" s="5"/>
      <c r="B100" s="30"/>
      <c r="C100" s="127">
        <v>7</v>
      </c>
      <c r="D100" s="128">
        <f t="shared" si="10"/>
        <v>71</v>
      </c>
      <c r="E100" s="128">
        <f t="shared" si="8"/>
        <v>9</v>
      </c>
      <c r="F100" s="102">
        <f t="shared" si="11"/>
        <v>2.0699999999999998</v>
      </c>
      <c r="G100" s="103">
        <f>IF(D100=D99,"",_xlfn.IFNA(VLOOKUP(D100,'인원 입력 기능(국수)'!$F$5:$I$103,4,FALSE),0))</f>
        <v>1399</v>
      </c>
      <c r="H100" s="104">
        <f t="shared" si="12"/>
        <v>5.2899049405216551E-3</v>
      </c>
      <c r="I100" s="129">
        <f>SUM($G$7:G100)</f>
        <v>259693</v>
      </c>
      <c r="J100" s="106">
        <f t="shared" si="13"/>
        <v>0.98195231145024309</v>
      </c>
      <c r="K100" s="31"/>
      <c r="L100" s="20" t="str">
        <f t="shared" si="9"/>
        <v/>
      </c>
      <c r="N100" s="1"/>
    </row>
    <row r="101" spans="1:14" ht="25" customHeight="1" x14ac:dyDescent="0.45">
      <c r="A101" s="5"/>
      <c r="B101" s="30"/>
      <c r="C101" s="107">
        <v>6</v>
      </c>
      <c r="D101" s="101">
        <f t="shared" si="10"/>
        <v>70</v>
      </c>
      <c r="E101" s="128">
        <f t="shared" si="8"/>
        <v>9</v>
      </c>
      <c r="F101" s="102">
        <f t="shared" si="11"/>
        <v>1.55</v>
      </c>
      <c r="G101" s="103">
        <f>IF(D101=D100,"",_xlfn.IFNA(VLOOKUP(D101,'인원 입력 기능(국수)'!$F$5:$I$103,4,FALSE),0))</f>
        <v>1337</v>
      </c>
      <c r="H101" s="104">
        <f t="shared" si="12"/>
        <v>5.0554702683898878E-3</v>
      </c>
      <c r="I101" s="114">
        <f>SUM($G$7:G101)</f>
        <v>261030</v>
      </c>
      <c r="J101" s="106">
        <f t="shared" si="13"/>
        <v>0.98700778171863301</v>
      </c>
      <c r="K101" s="31"/>
      <c r="L101" s="20" t="str">
        <f t="shared" si="9"/>
        <v/>
      </c>
      <c r="N101" s="1"/>
    </row>
    <row r="102" spans="1:14" ht="25" customHeight="1" x14ac:dyDescent="0.45">
      <c r="A102" s="5"/>
      <c r="B102" s="30"/>
      <c r="C102" s="107">
        <v>5</v>
      </c>
      <c r="D102" s="115">
        <f t="shared" si="10"/>
        <v>69</v>
      </c>
      <c r="E102" s="130">
        <f t="shared" si="8"/>
        <v>9</v>
      </c>
      <c r="F102" s="116">
        <f t="shared" si="11"/>
        <v>1.08</v>
      </c>
      <c r="G102" s="117">
        <f>IF(D102=D101,"",_xlfn.IFNA(VLOOKUP(D102,'인원 입력 기능(국수)'!$F$5:$I$103,4,FALSE),0))</f>
        <v>1177</v>
      </c>
      <c r="H102" s="118">
        <f t="shared" si="12"/>
        <v>4.4504775661143589E-3</v>
      </c>
      <c r="I102" s="119">
        <f>SUM($G$7:G102)</f>
        <v>262207</v>
      </c>
      <c r="J102" s="120">
        <f t="shared" si="13"/>
        <v>0.9914582592847474</v>
      </c>
      <c r="K102" s="31"/>
      <c r="L102" s="20" t="str">
        <f t="shared" si="9"/>
        <v/>
      </c>
      <c r="N102" s="1"/>
    </row>
    <row r="103" spans="1:14" ht="25" customHeight="1" x14ac:dyDescent="0.45">
      <c r="A103" s="5"/>
      <c r="B103" s="30"/>
      <c r="C103" s="107">
        <v>4</v>
      </c>
      <c r="D103" s="121"/>
      <c r="E103" s="132"/>
      <c r="F103" s="122"/>
      <c r="G103" s="123"/>
      <c r="H103" s="124"/>
      <c r="I103" s="125"/>
      <c r="J103" s="126"/>
      <c r="K103" s="31"/>
      <c r="L103" s="20" t="str">
        <f t="shared" si="9"/>
        <v>경고</v>
      </c>
      <c r="N103" s="1"/>
    </row>
    <row r="104" spans="1:14" ht="25" customHeight="1" x14ac:dyDescent="0.45">
      <c r="A104" s="5"/>
      <c r="B104" s="30"/>
      <c r="C104" s="107">
        <v>3</v>
      </c>
      <c r="D104" s="101">
        <f t="shared" si="10"/>
        <v>68</v>
      </c>
      <c r="E104" s="101">
        <f t="shared" si="8"/>
        <v>9</v>
      </c>
      <c r="F104" s="102">
        <f t="shared" si="11"/>
        <v>0.76</v>
      </c>
      <c r="G104" s="103">
        <f>IF(D104=D103,"",_xlfn.IFNA(VLOOKUP(D104,'인원 입력 기능(국수)'!$F$5:$I$103,4,FALSE),0))</f>
        <v>478</v>
      </c>
      <c r="H104" s="104">
        <f t="shared" si="12"/>
        <v>1.8074156980481422E-3</v>
      </c>
      <c r="I104" s="114">
        <f>SUM($G$7:G104)</f>
        <v>262685</v>
      </c>
      <c r="J104" s="106">
        <f t="shared" si="13"/>
        <v>0.9932656749827955</v>
      </c>
      <c r="K104" s="31"/>
      <c r="L104" s="20" t="str">
        <f t="shared" si="9"/>
        <v/>
      </c>
      <c r="N104" s="1"/>
    </row>
    <row r="105" spans="1:14" ht="25" customHeight="1" x14ac:dyDescent="0.45">
      <c r="A105" s="5"/>
      <c r="B105" s="30"/>
      <c r="C105" s="107">
        <v>2</v>
      </c>
      <c r="D105" s="101">
        <f t="shared" ref="D105" si="14">ROUND(20*(C105-$H$3)/$H$4+100,0)</f>
        <v>67</v>
      </c>
      <c r="E105" s="101">
        <f t="shared" si="8"/>
        <v>9</v>
      </c>
      <c r="F105" s="102">
        <f t="shared" si="11"/>
        <v>0.61</v>
      </c>
      <c r="G105" s="103">
        <f>IF(D105=D104,"",_xlfn.IFNA(VLOOKUP(D105,'인원 입력 기능(국수)'!$F$5:$I$103,4,FALSE),0))</f>
        <v>348</v>
      </c>
      <c r="H105" s="104">
        <f t="shared" si="12"/>
        <v>1.315859127449275E-3</v>
      </c>
      <c r="I105" s="114">
        <f>SUM($G$7:G105)</f>
        <v>263033</v>
      </c>
      <c r="J105" s="106">
        <f t="shared" si="13"/>
        <v>0.99458153411024475</v>
      </c>
      <c r="K105" s="31"/>
      <c r="L105" s="20" t="str">
        <f t="shared" si="9"/>
        <v/>
      </c>
      <c r="N105" s="1"/>
    </row>
    <row r="106" spans="1:14" ht="25" customHeight="1" x14ac:dyDescent="0.45">
      <c r="A106" s="5"/>
      <c r="B106" s="30"/>
      <c r="C106" s="107">
        <v>1</v>
      </c>
      <c r="D106" s="108" t="s">
        <v>54</v>
      </c>
      <c r="E106" s="108"/>
      <c r="F106" s="109"/>
      <c r="G106" s="110"/>
      <c r="H106" s="111"/>
      <c r="I106" s="134"/>
      <c r="J106" s="113"/>
      <c r="K106" s="31"/>
      <c r="L106" s="20"/>
    </row>
    <row r="107" spans="1:14" ht="25" customHeight="1" thickBot="1" x14ac:dyDescent="0.5">
      <c r="A107" s="5"/>
      <c r="B107" s="30"/>
      <c r="C107" s="135">
        <v>0</v>
      </c>
      <c r="D107" s="136">
        <f>ROUND(20*(C107-$H$3)/$H$4+100,0)</f>
        <v>65</v>
      </c>
      <c r="E107" s="136">
        <f>IF(ROUND(D107,0)&gt;=$Q$7,1,IF(ROUND(D107,0)&gt;=$Q$8,2,IF(ROUND(D107,0)&gt;=$Q$9,3,IF(ROUND(D107,0)&gt;=$Q$10,4,IF(ROUND(D107,0)&gt;=$Q$11,5,IF(ROUND(D107,0)&gt;=$Q$12,6,IF(ROUND(D107,0)&gt;=$Q$13,7,IF(ROUND(D107,0)&gt;=$Q$14,8,9))))))))</f>
        <v>9</v>
      </c>
      <c r="F107" s="137">
        <f>IF(I105=0,ROUND(100*(1-(I104+I107)/2/$J$3),2),ROUND(100*(1-(I105+I107)/2/$J$3),2))</f>
        <v>0.27</v>
      </c>
      <c r="G107" s="138">
        <f>_xlfn.IFNA(VLOOKUP(D107,'인원 입력 기능(국수)'!$F$5:$I$103,4,FALSE),0)</f>
        <v>1433</v>
      </c>
      <c r="H107" s="139">
        <f>G107/$J$3</f>
        <v>5.4184658897552052E-3</v>
      </c>
      <c r="I107" s="140">
        <f>SUM($G$7:G107)</f>
        <v>264466</v>
      </c>
      <c r="J107" s="141">
        <f>I107/$J$3</f>
        <v>1</v>
      </c>
      <c r="K107" s="31"/>
      <c r="L107" s="20" t="str">
        <f>IF(ABS((C107-$H$3)/$H$4*20+100-D107)&gt;0.49, "경고", "")</f>
        <v/>
      </c>
    </row>
    <row r="108" spans="1:14" s="5" customFormat="1" ht="6" customHeight="1" x14ac:dyDescent="0.45">
      <c r="B108" s="34"/>
      <c r="C108" s="35"/>
      <c r="D108" s="35"/>
      <c r="E108" s="35"/>
      <c r="F108" s="35"/>
      <c r="G108" s="35"/>
      <c r="H108" s="35"/>
      <c r="I108" s="35"/>
      <c r="J108" s="35"/>
      <c r="K108" s="36"/>
    </row>
    <row r="109" spans="1:14" ht="17" customHeight="1" x14ac:dyDescent="0.45">
      <c r="A109" s="5"/>
      <c r="C109" s="5"/>
      <c r="D109" s="5"/>
      <c r="E109" s="5"/>
      <c r="F109" s="5"/>
      <c r="G109" s="5"/>
      <c r="H109" s="5"/>
      <c r="I109" s="5"/>
      <c r="J109" s="5"/>
      <c r="L109" s="5"/>
    </row>
  </sheetData>
  <mergeCells count="114">
    <mergeCell ref="I96:I97"/>
    <mergeCell ref="J96:J97"/>
    <mergeCell ref="D102:D103"/>
    <mergeCell ref="E102:E103"/>
    <mergeCell ref="F102:F103"/>
    <mergeCell ref="G102:G103"/>
    <mergeCell ref="H102:H103"/>
    <mergeCell ref="I102:I103"/>
    <mergeCell ref="J102:J103"/>
    <mergeCell ref="D96:D97"/>
    <mergeCell ref="E96:E97"/>
    <mergeCell ref="F96:F97"/>
    <mergeCell ref="G96:G97"/>
    <mergeCell ref="H96:H97"/>
    <mergeCell ref="I84:I85"/>
    <mergeCell ref="J84:J85"/>
    <mergeCell ref="D90:D91"/>
    <mergeCell ref="E90:E91"/>
    <mergeCell ref="F90:F91"/>
    <mergeCell ref="G90:G91"/>
    <mergeCell ref="H90:H91"/>
    <mergeCell ref="I90:I91"/>
    <mergeCell ref="J90:J91"/>
    <mergeCell ref="D84:D85"/>
    <mergeCell ref="E84:E85"/>
    <mergeCell ref="F84:F85"/>
    <mergeCell ref="G84:G85"/>
    <mergeCell ref="H84:H85"/>
    <mergeCell ref="I72:I73"/>
    <mergeCell ref="J72:J73"/>
    <mergeCell ref="D78:D79"/>
    <mergeCell ref="E78:E79"/>
    <mergeCell ref="F78:F79"/>
    <mergeCell ref="G78:G79"/>
    <mergeCell ref="H78:H79"/>
    <mergeCell ref="I78:I79"/>
    <mergeCell ref="J78:J79"/>
    <mergeCell ref="D72:D73"/>
    <mergeCell ref="E72:E73"/>
    <mergeCell ref="F72:F73"/>
    <mergeCell ref="G72:G73"/>
    <mergeCell ref="H72:H73"/>
    <mergeCell ref="I60:I61"/>
    <mergeCell ref="J60:J61"/>
    <mergeCell ref="D66:D67"/>
    <mergeCell ref="E66:E67"/>
    <mergeCell ref="F66:F67"/>
    <mergeCell ref="G66:G67"/>
    <mergeCell ref="H66:H67"/>
    <mergeCell ref="I66:I67"/>
    <mergeCell ref="J66:J67"/>
    <mergeCell ref="D60:D61"/>
    <mergeCell ref="E60:E61"/>
    <mergeCell ref="F60:F61"/>
    <mergeCell ref="G60:G61"/>
    <mergeCell ref="H60:H61"/>
    <mergeCell ref="I48:I49"/>
    <mergeCell ref="J48:J49"/>
    <mergeCell ref="D54:D55"/>
    <mergeCell ref="E54:E55"/>
    <mergeCell ref="F54:F55"/>
    <mergeCell ref="G54:G55"/>
    <mergeCell ref="H54:H55"/>
    <mergeCell ref="I54:I55"/>
    <mergeCell ref="J54:J55"/>
    <mergeCell ref="D48:D49"/>
    <mergeCell ref="E48:E49"/>
    <mergeCell ref="F48:F49"/>
    <mergeCell ref="G48:G49"/>
    <mergeCell ref="H48:H49"/>
    <mergeCell ref="I36:I37"/>
    <mergeCell ref="J36:J37"/>
    <mergeCell ref="D42:D43"/>
    <mergeCell ref="E42:E43"/>
    <mergeCell ref="F42:F43"/>
    <mergeCell ref="G42:G43"/>
    <mergeCell ref="H42:H43"/>
    <mergeCell ref="I42:I43"/>
    <mergeCell ref="J42:J43"/>
    <mergeCell ref="D36:D37"/>
    <mergeCell ref="E36:E37"/>
    <mergeCell ref="F36:F37"/>
    <mergeCell ref="G36:G37"/>
    <mergeCell ref="H36:H37"/>
    <mergeCell ref="D30:D31"/>
    <mergeCell ref="E30:E31"/>
    <mergeCell ref="F30:F31"/>
    <mergeCell ref="G30:G31"/>
    <mergeCell ref="H30:H31"/>
    <mergeCell ref="I30:I31"/>
    <mergeCell ref="J30:J31"/>
    <mergeCell ref="D24:D25"/>
    <mergeCell ref="E24:E25"/>
    <mergeCell ref="F24:F25"/>
    <mergeCell ref="G24:G25"/>
    <mergeCell ref="H24:H25"/>
    <mergeCell ref="D18:D19"/>
    <mergeCell ref="E18:E19"/>
    <mergeCell ref="F18:F19"/>
    <mergeCell ref="G18:G19"/>
    <mergeCell ref="H18:H19"/>
    <mergeCell ref="I18:I19"/>
    <mergeCell ref="J18:J19"/>
    <mergeCell ref="I24:I25"/>
    <mergeCell ref="J24:J25"/>
    <mergeCell ref="D3:F3"/>
    <mergeCell ref="D4:F4"/>
    <mergeCell ref="D13:D14"/>
    <mergeCell ref="E13:E14"/>
    <mergeCell ref="F13:F14"/>
    <mergeCell ref="G13:G14"/>
    <mergeCell ref="H13:H14"/>
    <mergeCell ref="I13:I14"/>
    <mergeCell ref="J13:J14"/>
  </mergeCells>
  <phoneticPr fontId="1" type="noConversion"/>
  <conditionalFormatting sqref="D7:G13 I7:J13 D15:G18 I15:J18 D20:G24 I20:J24 D26:G30 I26:J30 D32:G36 I32:J36 D38:G42 I38:J42 D44:G48 I44:J48 D50:G54 I50:J54 D56:G60 I56:J60 D62:G66 I62:J66 D68:G72 I68:J72 D74:G78 I74:J78 D80:G84 I80:J84 D86:G90 I86:J90 D92:G96 I92:J96 D98:G102 I98:J102 D104:G107 I104:J107">
    <cfRule type="expression" dxfId="56" priority="4">
      <formula>OR($D7=$Q$7:$Q$14)</formula>
    </cfRule>
  </conditionalFormatting>
  <conditionalFormatting sqref="C7:C106">
    <cfRule type="expression" dxfId="55" priority="3">
      <formula>OR(AND($D7=0,OR($D6=$Q$7:$Q$14)),AND($D8&gt;0,OR($D7=$Q$7:$Q$14)))</formula>
    </cfRule>
  </conditionalFormatting>
  <conditionalFormatting sqref="D7:D13 D15:D18 D20:D24 D26:D30 D32:D36 D38:D42 D44:D48 D50:D54 D56:D60 D62:D66 D68:D72 D74:D78 D80:D84 D86:D90 D92:D96 D98:D102 D104:D106">
    <cfRule type="expression" dxfId="54" priority="2">
      <formula>$D7=$D8</formula>
    </cfRule>
  </conditionalFormatting>
  <conditionalFormatting sqref="H7:H13 H15:H18 H20:H24 H26:H30 H32:H36 H38:H42 H44:H48 H50:H54 H56:H60 H62:H66 H68:H72 H74:H78 H80:H84 H86:H90 H92:H96 H98:H102 H104:H107">
    <cfRule type="expression" dxfId="53" priority="1">
      <formula>OR($D7=$Q$7:$Q$14)</formula>
    </cfRule>
  </conditionalFormatting>
  <conditionalFormatting sqref="C107">
    <cfRule type="expression" dxfId="52" priority="11">
      <formula>OR(AND($D107=0,OR($D106=$Q$7:$Q$14)),AND($D109&gt;0,OR($D107=$Q$7:$Q$14)))</formula>
    </cfRule>
  </conditionalFormatting>
  <conditionalFormatting sqref="D107">
    <cfRule type="expression" dxfId="51" priority="13">
      <formula>$D107=$D109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C9F68-5CFB-48ED-A130-AE73DC06040C}">
  <sheetPr codeName="Sheet8"/>
  <dimension ref="A1:L16"/>
  <sheetViews>
    <sheetView zoomScaleNormal="100" workbookViewId="0">
      <selection activeCell="B2" sqref="B2:K16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customWidth="1"/>
  </cols>
  <sheetData>
    <row r="1" spans="1:12" x14ac:dyDescent="0.45">
      <c r="A1" s="5" t="s">
        <v>65</v>
      </c>
      <c r="C1" s="5"/>
      <c r="D1" s="5"/>
      <c r="E1" s="5"/>
      <c r="F1" s="5"/>
      <c r="G1" s="5"/>
      <c r="H1" s="5"/>
      <c r="I1" s="5"/>
      <c r="J1" s="5"/>
      <c r="K1" s="5"/>
    </row>
    <row r="2" spans="1:12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2" ht="25" customHeight="1" thickBot="1" x14ac:dyDescent="0.5">
      <c r="A3" s="5"/>
      <c r="B3" s="30"/>
      <c r="C3" s="84" t="s">
        <v>122</v>
      </c>
      <c r="D3" s="85" t="s">
        <v>67</v>
      </c>
      <c r="E3" s="86"/>
      <c r="F3" s="87"/>
      <c r="G3" s="84" t="s">
        <v>123</v>
      </c>
      <c r="H3" s="88" t="str">
        <f>'통계 및 응시자 수 입력 기능'!D6</f>
        <v>57.67</v>
      </c>
      <c r="I3" s="21" t="s">
        <v>124</v>
      </c>
      <c r="J3" s="89">
        <f>'통계 및 응시자 수 입력 기능'!C6</f>
        <v>262512</v>
      </c>
      <c r="K3" s="31"/>
    </row>
    <row r="4" spans="1:12" ht="25" customHeight="1" thickBot="1" x14ac:dyDescent="0.5">
      <c r="A4" s="5"/>
      <c r="B4" s="30"/>
      <c r="C4" s="90" t="s">
        <v>125</v>
      </c>
      <c r="D4" s="91" t="s">
        <v>137</v>
      </c>
      <c r="E4" s="92"/>
      <c r="F4" s="93"/>
      <c r="G4" s="94" t="s">
        <v>127</v>
      </c>
      <c r="H4" s="95" t="str">
        <f>'통계 및 응시자 수 입력 기능'!E6</f>
        <v>21.97</v>
      </c>
      <c r="I4" s="39"/>
      <c r="J4" s="40"/>
      <c r="K4" s="31"/>
    </row>
    <row r="5" spans="1:12" ht="25" customHeight="1" thickBot="1" x14ac:dyDescent="0.5">
      <c r="A5" s="5"/>
      <c r="B5" s="30"/>
      <c r="C5" s="33"/>
      <c r="D5" s="33"/>
      <c r="E5" s="33"/>
      <c r="F5" s="33"/>
      <c r="G5" s="33"/>
      <c r="H5" s="33"/>
      <c r="I5" s="33"/>
      <c r="J5" s="33"/>
      <c r="K5" s="31"/>
    </row>
    <row r="6" spans="1:12" ht="25" customHeight="1" thickBot="1" x14ac:dyDescent="0.5">
      <c r="A6" s="5"/>
      <c r="B6" s="30"/>
      <c r="C6" s="96" t="s">
        <v>139</v>
      </c>
      <c r="D6" s="142" t="s">
        <v>140</v>
      </c>
      <c r="E6" s="143" t="s">
        <v>141</v>
      </c>
      <c r="F6" s="97" t="s">
        <v>142</v>
      </c>
      <c r="G6" s="97" t="s">
        <v>143</v>
      </c>
      <c r="H6" s="99" t="s">
        <v>144</v>
      </c>
      <c r="I6" s="33"/>
      <c r="J6" s="33"/>
      <c r="K6" s="31"/>
      <c r="L6" s="5"/>
    </row>
    <row r="7" spans="1:12" ht="25" customHeight="1" x14ac:dyDescent="0.45">
      <c r="A7" s="5"/>
      <c r="B7" s="30"/>
      <c r="C7" s="144">
        <v>1</v>
      </c>
      <c r="D7" s="145">
        <v>90</v>
      </c>
      <c r="E7" s="146">
        <f>'표점등급&amp;절평인원 입력 기능'!D22</f>
        <v>19672</v>
      </c>
      <c r="F7" s="147">
        <f>E7/$J$3</f>
        <v>7.4937526665447673E-2</v>
      </c>
      <c r="G7" s="148">
        <f>SUM($E$7:E7)</f>
        <v>19672</v>
      </c>
      <c r="H7" s="149">
        <f>G7/$J$3</f>
        <v>7.4937526665447673E-2</v>
      </c>
      <c r="I7" s="33"/>
      <c r="J7" s="33"/>
      <c r="K7" s="31"/>
      <c r="L7" s="5"/>
    </row>
    <row r="8" spans="1:12" ht="25" customHeight="1" x14ac:dyDescent="0.45">
      <c r="A8" s="5"/>
      <c r="B8" s="30"/>
      <c r="C8" s="150">
        <v>2</v>
      </c>
      <c r="D8" s="151">
        <v>80</v>
      </c>
      <c r="E8" s="152">
        <f>'표점등급&amp;절평인원 입력 기능'!D23</f>
        <v>26833</v>
      </c>
      <c r="F8" s="153">
        <f t="shared" ref="F8:F15" si="0">E8/$J$3</f>
        <v>0.10221627963674042</v>
      </c>
      <c r="G8" s="154">
        <f>SUM($E$7:E8)</f>
        <v>46505</v>
      </c>
      <c r="H8" s="155">
        <f t="shared" ref="H8:H15" si="1">G8/$J$3</f>
        <v>0.17715380630218808</v>
      </c>
      <c r="I8" s="33"/>
      <c r="J8" s="33"/>
      <c r="K8" s="31"/>
      <c r="L8" s="5"/>
    </row>
    <row r="9" spans="1:12" ht="25" customHeight="1" x14ac:dyDescent="0.45">
      <c r="A9" s="5"/>
      <c r="B9" s="30"/>
      <c r="C9" s="150">
        <v>3</v>
      </c>
      <c r="D9" s="151">
        <v>70</v>
      </c>
      <c r="E9" s="152">
        <f>'표점등급&amp;절평인원 입력 기능'!D24</f>
        <v>39483</v>
      </c>
      <c r="F9" s="153">
        <f t="shared" si="0"/>
        <v>0.15040455293472299</v>
      </c>
      <c r="G9" s="154">
        <f>SUM($E$7:E9)</f>
        <v>85988</v>
      </c>
      <c r="H9" s="155">
        <f t="shared" si="1"/>
        <v>0.32755835923691107</v>
      </c>
      <c r="I9" s="33"/>
      <c r="J9" s="33"/>
      <c r="K9" s="31"/>
      <c r="L9" s="5"/>
    </row>
    <row r="10" spans="1:12" ht="25" customHeight="1" x14ac:dyDescent="0.45">
      <c r="A10" s="5"/>
      <c r="B10" s="30"/>
      <c r="C10" s="150">
        <v>4</v>
      </c>
      <c r="D10" s="151">
        <v>60</v>
      </c>
      <c r="E10" s="152">
        <f>'표점등급&amp;절평인원 입력 기능'!D25</f>
        <v>43534</v>
      </c>
      <c r="F10" s="153">
        <f t="shared" si="0"/>
        <v>0.16583622843908088</v>
      </c>
      <c r="G10" s="154">
        <f>SUM($E$7:E10)</f>
        <v>129522</v>
      </c>
      <c r="H10" s="155">
        <f t="shared" si="1"/>
        <v>0.49339458767599198</v>
      </c>
      <c r="I10" s="33"/>
      <c r="J10" s="33"/>
      <c r="K10" s="31"/>
      <c r="L10" s="5"/>
    </row>
    <row r="11" spans="1:12" ht="25" customHeight="1" x14ac:dyDescent="0.45">
      <c r="A11" s="5"/>
      <c r="B11" s="30"/>
      <c r="C11" s="150">
        <v>5</v>
      </c>
      <c r="D11" s="151">
        <v>50</v>
      </c>
      <c r="E11" s="152">
        <f>'표점등급&amp;절평인원 입력 기능'!D26</f>
        <v>38915</v>
      </c>
      <c r="F11" s="153">
        <f t="shared" si="0"/>
        <v>0.14824084232339854</v>
      </c>
      <c r="G11" s="154">
        <f>SUM($E$7:E11)</f>
        <v>168437</v>
      </c>
      <c r="H11" s="155">
        <f t="shared" si="1"/>
        <v>0.64163542999939049</v>
      </c>
      <c r="I11" s="33"/>
      <c r="J11" s="33"/>
      <c r="K11" s="31"/>
      <c r="L11" s="5"/>
    </row>
    <row r="12" spans="1:12" ht="25" customHeight="1" x14ac:dyDescent="0.45">
      <c r="A12" s="5"/>
      <c r="B12" s="30"/>
      <c r="C12" s="150">
        <v>6</v>
      </c>
      <c r="D12" s="151">
        <v>40</v>
      </c>
      <c r="E12" s="152">
        <f>'표점등급&amp;절평인원 입력 기능'!D27</f>
        <v>33600</v>
      </c>
      <c r="F12" s="153">
        <f t="shared" si="0"/>
        <v>0.12799414883891022</v>
      </c>
      <c r="G12" s="154">
        <f>SUM($E$7:E12)</f>
        <v>202037</v>
      </c>
      <c r="H12" s="155">
        <f t="shared" si="1"/>
        <v>0.76962957883830074</v>
      </c>
      <c r="I12" s="33"/>
      <c r="J12" s="33"/>
      <c r="K12" s="31"/>
      <c r="L12" s="5"/>
    </row>
    <row r="13" spans="1:12" ht="25" customHeight="1" x14ac:dyDescent="0.45">
      <c r="A13" s="5"/>
      <c r="B13" s="30"/>
      <c r="C13" s="150">
        <v>7</v>
      </c>
      <c r="D13" s="151">
        <v>30</v>
      </c>
      <c r="E13" s="152">
        <f>'표점등급&amp;절평인원 입력 기능'!D28</f>
        <v>27215</v>
      </c>
      <c r="F13" s="153">
        <f t="shared" si="0"/>
        <v>0.10367145120984946</v>
      </c>
      <c r="G13" s="154">
        <f>SUM($E$7:E13)</f>
        <v>229252</v>
      </c>
      <c r="H13" s="155">
        <f t="shared" si="1"/>
        <v>0.87330103004815018</v>
      </c>
      <c r="I13" s="33"/>
      <c r="J13" s="33"/>
      <c r="K13" s="31"/>
      <c r="L13" s="5"/>
    </row>
    <row r="14" spans="1:12" ht="25" customHeight="1" x14ac:dyDescent="0.45">
      <c r="A14" s="5"/>
      <c r="B14" s="30"/>
      <c r="C14" s="150">
        <v>8</v>
      </c>
      <c r="D14" s="151">
        <v>20</v>
      </c>
      <c r="E14" s="152">
        <f>'표점등급&amp;절평인원 입력 기능'!D29</f>
        <v>21605</v>
      </c>
      <c r="F14" s="153">
        <f t="shared" si="0"/>
        <v>8.2300999573352837E-2</v>
      </c>
      <c r="G14" s="154">
        <f>SUM($E$7:E14)</f>
        <v>250857</v>
      </c>
      <c r="H14" s="155">
        <f t="shared" si="1"/>
        <v>0.95560202962150298</v>
      </c>
      <c r="I14" s="33"/>
      <c r="J14" s="33"/>
      <c r="K14" s="31"/>
      <c r="L14" s="5"/>
    </row>
    <row r="15" spans="1:12" ht="25" customHeight="1" thickBot="1" x14ac:dyDescent="0.5">
      <c r="A15" s="5"/>
      <c r="B15" s="30"/>
      <c r="C15" s="156">
        <v>9</v>
      </c>
      <c r="D15" s="157">
        <v>0</v>
      </c>
      <c r="E15" s="158">
        <f>'표점등급&amp;절평인원 입력 기능'!D30</f>
        <v>11655</v>
      </c>
      <c r="F15" s="159">
        <f t="shared" si="0"/>
        <v>4.4397970378496986E-2</v>
      </c>
      <c r="G15" s="160">
        <f>SUM($E$7:E15)</f>
        <v>262512</v>
      </c>
      <c r="H15" s="161">
        <f t="shared" si="1"/>
        <v>1</v>
      </c>
      <c r="I15" s="33"/>
      <c r="J15" s="33"/>
      <c r="K15" s="31"/>
      <c r="L15" s="5"/>
    </row>
    <row r="16" spans="1:12" ht="6" customHeight="1" x14ac:dyDescent="0.45">
      <c r="A16" s="5"/>
      <c r="B16" s="34"/>
      <c r="C16" s="35"/>
      <c r="D16" s="35"/>
      <c r="E16" s="35"/>
      <c r="F16" s="35"/>
      <c r="G16" s="35"/>
      <c r="H16" s="35"/>
      <c r="I16" s="35"/>
      <c r="J16" s="35"/>
      <c r="K16" s="36"/>
    </row>
  </sheetData>
  <mergeCells count="2">
    <mergeCell ref="D3:F3"/>
    <mergeCell ref="D4:F4"/>
  </mergeCells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AB635-F5A9-449C-B5D9-16CA419300D1}">
  <sheetPr codeName="Sheet9"/>
  <dimension ref="A1:L16"/>
  <sheetViews>
    <sheetView zoomScaleNormal="100" workbookViewId="0">
      <selection activeCell="B2" sqref="B2:K16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customWidth="1"/>
  </cols>
  <sheetData>
    <row r="1" spans="1:12" x14ac:dyDescent="0.45">
      <c r="A1" s="5" t="s">
        <v>65</v>
      </c>
      <c r="C1" s="5"/>
      <c r="D1" s="5"/>
      <c r="E1" s="5"/>
      <c r="F1" s="5"/>
      <c r="G1" s="5"/>
      <c r="H1" s="5"/>
      <c r="I1" s="5"/>
      <c r="J1" s="5"/>
      <c r="K1" s="5"/>
    </row>
    <row r="2" spans="1:12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2" ht="25" customHeight="1" thickBot="1" x14ac:dyDescent="0.5">
      <c r="A3" s="5"/>
      <c r="B3" s="30"/>
      <c r="C3" s="84" t="s">
        <v>122</v>
      </c>
      <c r="D3" s="85" t="s">
        <v>67</v>
      </c>
      <c r="E3" s="86"/>
      <c r="F3" s="87"/>
      <c r="G3" s="84" t="s">
        <v>123</v>
      </c>
      <c r="H3" s="88" t="str">
        <f>'통계 및 응시자 수 입력 기능'!D7</f>
        <v>23.53</v>
      </c>
      <c r="I3" s="21" t="s">
        <v>124</v>
      </c>
      <c r="J3" s="89">
        <f>'통계 및 응시자 수 입력 기능'!C7</f>
        <v>261642</v>
      </c>
      <c r="K3" s="31"/>
    </row>
    <row r="4" spans="1:12" ht="25" customHeight="1" thickBot="1" x14ac:dyDescent="0.5">
      <c r="A4" s="5"/>
      <c r="B4" s="30"/>
      <c r="C4" s="90" t="s">
        <v>125</v>
      </c>
      <c r="D4" s="91" t="s">
        <v>138</v>
      </c>
      <c r="E4" s="92"/>
      <c r="F4" s="93"/>
      <c r="G4" s="94" t="s">
        <v>127</v>
      </c>
      <c r="H4" s="95" t="str">
        <f>'통계 및 응시자 수 입력 기능'!E7</f>
        <v>11.72</v>
      </c>
      <c r="I4" s="39"/>
      <c r="J4" s="40"/>
      <c r="K4" s="31"/>
    </row>
    <row r="5" spans="1:12" ht="25" customHeight="1" thickBot="1" x14ac:dyDescent="0.5">
      <c r="A5" s="5"/>
      <c r="B5" s="30"/>
      <c r="C5" s="33"/>
      <c r="D5" s="33"/>
      <c r="E5" s="33"/>
      <c r="F5" s="33"/>
      <c r="G5" s="33"/>
      <c r="H5" s="33"/>
      <c r="I5" s="33"/>
      <c r="J5" s="33"/>
      <c r="K5" s="31"/>
    </row>
    <row r="6" spans="1:12" ht="25" customHeight="1" thickBot="1" x14ac:dyDescent="0.5">
      <c r="A6" s="5"/>
      <c r="B6" s="30"/>
      <c r="C6" s="96" t="s">
        <v>139</v>
      </c>
      <c r="D6" s="142" t="s">
        <v>140</v>
      </c>
      <c r="E6" s="143" t="s">
        <v>141</v>
      </c>
      <c r="F6" s="97" t="s">
        <v>142</v>
      </c>
      <c r="G6" s="97" t="s">
        <v>143</v>
      </c>
      <c r="H6" s="99" t="s">
        <v>144</v>
      </c>
      <c r="I6" s="33"/>
      <c r="J6" s="33"/>
      <c r="K6" s="31"/>
      <c r="L6" s="5"/>
    </row>
    <row r="7" spans="1:12" ht="25" customHeight="1" x14ac:dyDescent="0.45">
      <c r="A7" s="5"/>
      <c r="B7" s="30"/>
      <c r="C7" s="162">
        <v>1</v>
      </c>
      <c r="D7" s="163">
        <v>40</v>
      </c>
      <c r="E7" s="146">
        <f>'표점등급&amp;절평인원 입력 기능'!D31</f>
        <v>29283</v>
      </c>
      <c r="F7" s="147">
        <f>E7/$J$3</f>
        <v>0.11192010457036715</v>
      </c>
      <c r="G7" s="148">
        <f>SUM($E$7:E7)</f>
        <v>29283</v>
      </c>
      <c r="H7" s="149">
        <f>G7/$J$3</f>
        <v>0.11192010457036715</v>
      </c>
      <c r="I7" s="33"/>
      <c r="J7" s="33"/>
      <c r="K7" s="31"/>
      <c r="L7" s="5"/>
    </row>
    <row r="8" spans="1:12" ht="25" customHeight="1" x14ac:dyDescent="0.45">
      <c r="A8" s="5"/>
      <c r="B8" s="30"/>
      <c r="C8" s="164">
        <v>2</v>
      </c>
      <c r="D8" s="165">
        <v>35</v>
      </c>
      <c r="E8" s="152">
        <f>'표점등급&amp;절평인원 입력 기능'!D32</f>
        <v>24158</v>
      </c>
      <c r="F8" s="153">
        <f t="shared" ref="F8:F15" si="0">E8/$J$3</f>
        <v>9.2332270812789996E-2</v>
      </c>
      <c r="G8" s="154">
        <f>SUM($E$7:E8)</f>
        <v>53441</v>
      </c>
      <c r="H8" s="155">
        <f t="shared" ref="H8:H15" si="1">G8/$J$3</f>
        <v>0.20425237538315713</v>
      </c>
      <c r="I8" s="33"/>
      <c r="J8" s="33"/>
      <c r="K8" s="31"/>
      <c r="L8" s="5"/>
    </row>
    <row r="9" spans="1:12" ht="25" customHeight="1" x14ac:dyDescent="0.45">
      <c r="A9" s="5"/>
      <c r="B9" s="30"/>
      <c r="C9" s="164">
        <v>3</v>
      </c>
      <c r="D9" s="165">
        <v>30</v>
      </c>
      <c r="E9" s="152">
        <f>'표점등급&amp;절평인원 입력 기능'!D33</f>
        <v>29718</v>
      </c>
      <c r="F9" s="153">
        <f t="shared" si="0"/>
        <v>0.11358268167954687</v>
      </c>
      <c r="G9" s="154">
        <f>SUM($E$7:E9)</f>
        <v>83159</v>
      </c>
      <c r="H9" s="155">
        <f t="shared" si="1"/>
        <v>0.31783505706270399</v>
      </c>
      <c r="I9" s="33"/>
      <c r="J9" s="33"/>
      <c r="K9" s="31"/>
      <c r="L9" s="5"/>
    </row>
    <row r="10" spans="1:12" ht="25" customHeight="1" x14ac:dyDescent="0.45">
      <c r="A10" s="5"/>
      <c r="B10" s="30"/>
      <c r="C10" s="164">
        <v>4</v>
      </c>
      <c r="D10" s="165">
        <v>25</v>
      </c>
      <c r="E10" s="152">
        <f>'표점등급&amp;절평인원 입력 기능'!D34</f>
        <v>33094</v>
      </c>
      <c r="F10" s="153">
        <f t="shared" si="0"/>
        <v>0.12648580885331864</v>
      </c>
      <c r="G10" s="154">
        <f>SUM($E$7:E10)</f>
        <v>116253</v>
      </c>
      <c r="H10" s="155">
        <f t="shared" si="1"/>
        <v>0.44432086591602266</v>
      </c>
      <c r="I10" s="33"/>
      <c r="J10" s="33"/>
      <c r="K10" s="31"/>
      <c r="L10" s="5"/>
    </row>
    <row r="11" spans="1:12" ht="25" customHeight="1" x14ac:dyDescent="0.45">
      <c r="A11" s="5"/>
      <c r="B11" s="30"/>
      <c r="C11" s="164">
        <v>5</v>
      </c>
      <c r="D11" s="165">
        <v>20</v>
      </c>
      <c r="E11" s="152">
        <f>'표점등급&amp;절평인원 입력 기능'!D35</f>
        <v>35088</v>
      </c>
      <c r="F11" s="153">
        <f t="shared" si="0"/>
        <v>0.13410690944114478</v>
      </c>
      <c r="G11" s="154">
        <f>SUM($E$7:E11)</f>
        <v>151341</v>
      </c>
      <c r="H11" s="155">
        <f t="shared" si="1"/>
        <v>0.57842777535716738</v>
      </c>
      <c r="I11" s="33"/>
      <c r="J11" s="33"/>
      <c r="K11" s="31"/>
      <c r="L11" s="5"/>
    </row>
    <row r="12" spans="1:12" ht="25" customHeight="1" x14ac:dyDescent="0.45">
      <c r="A12" s="5"/>
      <c r="B12" s="30"/>
      <c r="C12" s="164">
        <v>6</v>
      </c>
      <c r="D12" s="165">
        <v>15</v>
      </c>
      <c r="E12" s="152">
        <f>'표점등급&amp;절평인원 입력 기능'!D36</f>
        <v>37231</v>
      </c>
      <c r="F12" s="153">
        <f t="shared" si="0"/>
        <v>0.14229749046406923</v>
      </c>
      <c r="G12" s="154">
        <f>SUM($E$7:E12)</f>
        <v>188572</v>
      </c>
      <c r="H12" s="155">
        <f t="shared" si="1"/>
        <v>0.72072526582123664</v>
      </c>
      <c r="I12" s="33"/>
      <c r="J12" s="33"/>
      <c r="K12" s="31"/>
      <c r="L12" s="5"/>
    </row>
    <row r="13" spans="1:12" ht="25" customHeight="1" x14ac:dyDescent="0.45">
      <c r="A13" s="5"/>
      <c r="B13" s="30"/>
      <c r="C13" s="164">
        <v>7</v>
      </c>
      <c r="D13" s="165">
        <v>10</v>
      </c>
      <c r="E13" s="152">
        <f>'표점등급&amp;절평인원 입력 기능'!D37</f>
        <v>42811</v>
      </c>
      <c r="F13" s="153">
        <f t="shared" si="0"/>
        <v>0.16362434165768494</v>
      </c>
      <c r="G13" s="154">
        <f>SUM($E$7:E13)</f>
        <v>231383</v>
      </c>
      <c r="H13" s="155">
        <f t="shared" si="1"/>
        <v>0.88434960747892155</v>
      </c>
      <c r="I13" s="33"/>
      <c r="J13" s="33"/>
      <c r="K13" s="31"/>
      <c r="L13" s="5"/>
    </row>
    <row r="14" spans="1:12" ht="25" customHeight="1" x14ac:dyDescent="0.45">
      <c r="A14" s="5"/>
      <c r="B14" s="30"/>
      <c r="C14" s="164">
        <v>8</v>
      </c>
      <c r="D14" s="165">
        <v>5</v>
      </c>
      <c r="E14" s="152">
        <f>'표점등급&amp;절평인원 입력 기능'!D38</f>
        <v>26046</v>
      </c>
      <c r="F14" s="153">
        <f t="shared" si="0"/>
        <v>9.9548237668264275E-2</v>
      </c>
      <c r="G14" s="154">
        <f>SUM($E$7:E14)</f>
        <v>257429</v>
      </c>
      <c r="H14" s="155">
        <f t="shared" si="1"/>
        <v>0.98389784514718581</v>
      </c>
      <c r="I14" s="33"/>
      <c r="J14" s="33"/>
      <c r="K14" s="31"/>
      <c r="L14" s="5"/>
    </row>
    <row r="15" spans="1:12" ht="25" customHeight="1" thickBot="1" x14ac:dyDescent="0.5">
      <c r="A15" s="5"/>
      <c r="B15" s="30"/>
      <c r="C15" s="166">
        <v>9</v>
      </c>
      <c r="D15" s="167">
        <v>0</v>
      </c>
      <c r="E15" s="158">
        <f>'표점등급&amp;절평인원 입력 기능'!D39</f>
        <v>4213</v>
      </c>
      <c r="F15" s="159">
        <f t="shared" si="0"/>
        <v>1.610215485281415E-2</v>
      </c>
      <c r="G15" s="160">
        <f>SUM($E$7:E15)</f>
        <v>261642</v>
      </c>
      <c r="H15" s="161">
        <f t="shared" si="1"/>
        <v>1</v>
      </c>
      <c r="I15" s="33"/>
      <c r="J15" s="33"/>
      <c r="K15" s="31"/>
      <c r="L15" s="5"/>
    </row>
    <row r="16" spans="1:12" ht="6" customHeight="1" x14ac:dyDescent="0.45">
      <c r="A16" s="5"/>
      <c r="B16" s="34"/>
      <c r="C16" s="35"/>
      <c r="D16" s="35"/>
      <c r="E16" s="35"/>
      <c r="F16" s="35"/>
      <c r="G16" s="35"/>
      <c r="H16" s="35"/>
      <c r="I16" s="35"/>
      <c r="J16" s="35"/>
      <c r="K16" s="36"/>
    </row>
  </sheetData>
  <mergeCells count="2">
    <mergeCell ref="D3:F3"/>
    <mergeCell ref="D4:F4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58F2E-2945-4475-AB2E-3ED4D0C21331}">
  <sheetPr codeName="Sheet10"/>
  <dimension ref="A1:Q105"/>
  <sheetViews>
    <sheetView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5" t="s">
        <v>6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37"/>
      <c r="C3" s="84" t="s">
        <v>122</v>
      </c>
      <c r="D3" s="85" t="s">
        <v>67</v>
      </c>
      <c r="E3" s="86"/>
      <c r="F3" s="87"/>
      <c r="G3" s="84" t="s">
        <v>123</v>
      </c>
      <c r="H3" s="88" t="str">
        <f>'통계 및 응시자 수 입력 기능'!D8</f>
        <v>24.91</v>
      </c>
      <c r="I3" s="21" t="s">
        <v>124</v>
      </c>
      <c r="J3" s="89">
        <f>'통계 및 응시자 수 입력 기능'!C8</f>
        <v>56150</v>
      </c>
      <c r="K3" s="38"/>
      <c r="L3" s="20"/>
    </row>
    <row r="4" spans="1:17" s="22" customFormat="1" ht="25" customHeight="1" thickBot="1" x14ac:dyDescent="0.5">
      <c r="A4" s="20"/>
      <c r="B4" s="37"/>
      <c r="C4" s="90" t="s">
        <v>125</v>
      </c>
      <c r="D4" s="91" t="s">
        <v>145</v>
      </c>
      <c r="E4" s="92"/>
      <c r="F4" s="93"/>
      <c r="G4" s="94" t="s">
        <v>127</v>
      </c>
      <c r="H4" s="95" t="str">
        <f>'통계 및 응시자 수 입력 기능'!E8</f>
        <v>11.09</v>
      </c>
      <c r="I4" s="39"/>
      <c r="J4" s="40"/>
      <c r="K4" s="38"/>
      <c r="L4" s="20"/>
    </row>
    <row r="5" spans="1:17" s="22" customFormat="1" ht="25" customHeight="1" thickBot="1" x14ac:dyDescent="0.5">
      <c r="A5" s="20"/>
      <c r="B5" s="37"/>
      <c r="C5" s="32"/>
      <c r="D5" s="32"/>
      <c r="E5" s="32"/>
      <c r="F5" s="32"/>
      <c r="G5" s="32"/>
      <c r="H5" s="33"/>
      <c r="I5" s="33"/>
      <c r="J5" s="33"/>
      <c r="K5" s="38"/>
      <c r="L5" s="20"/>
    </row>
    <row r="6" spans="1:17" s="22" customFormat="1" ht="25" customHeight="1" thickBot="1" x14ac:dyDescent="0.5">
      <c r="A6" s="20"/>
      <c r="B6" s="37"/>
      <c r="C6" s="96" t="s">
        <v>129</v>
      </c>
      <c r="D6" s="97" t="s">
        <v>130</v>
      </c>
      <c r="E6" s="97" t="s">
        <v>131</v>
      </c>
      <c r="F6" s="97" t="s">
        <v>132</v>
      </c>
      <c r="G6" s="97" t="s">
        <v>133</v>
      </c>
      <c r="H6" s="97" t="s">
        <v>134</v>
      </c>
      <c r="I6" s="98" t="s">
        <v>135</v>
      </c>
      <c r="J6" s="99" t="s">
        <v>136</v>
      </c>
      <c r="K6" s="38"/>
      <c r="L6" s="19" t="s">
        <v>62</v>
      </c>
      <c r="M6" s="19"/>
      <c r="N6" s="23"/>
    </row>
    <row r="7" spans="1:17" s="22" customFormat="1" ht="25" customHeight="1" x14ac:dyDescent="0.45">
      <c r="A7" s="20"/>
      <c r="B7" s="37"/>
      <c r="C7" s="100">
        <v>50</v>
      </c>
      <c r="D7" s="101">
        <f>ROUND(10*(C7-$H$3)/$H$4+50,0)</f>
        <v>73</v>
      </c>
      <c r="E7" s="101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102">
        <f>ROUND(100*(1-(0+I7)/2/$J$3),2)</f>
        <v>99.74</v>
      </c>
      <c r="G7" s="103">
        <f>_xlfn.IFNA(VLOOKUP(D7,'인원 입력 기능(사과탐)'!$A$5:$D$59,4,FALSE),0)</f>
        <v>287</v>
      </c>
      <c r="H7" s="104">
        <f>G7/$J$3</f>
        <v>5.1113089937666967E-3</v>
      </c>
      <c r="I7" s="105">
        <f>G7</f>
        <v>287</v>
      </c>
      <c r="J7" s="106">
        <f>I7/$J$3</f>
        <v>5.1113089937666967E-3</v>
      </c>
      <c r="K7" s="38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기능'!C40</f>
        <v>66</v>
      </c>
    </row>
    <row r="8" spans="1:17" s="22" customFormat="1" ht="25" customHeight="1" x14ac:dyDescent="0.45">
      <c r="A8" s="20"/>
      <c r="B8" s="37"/>
      <c r="C8" s="107">
        <v>49</v>
      </c>
      <c r="D8" s="108" t="s">
        <v>54</v>
      </c>
      <c r="E8" s="108"/>
      <c r="F8" s="109"/>
      <c r="G8" s="110"/>
      <c r="H8" s="168"/>
      <c r="I8" s="112"/>
      <c r="J8" s="113"/>
      <c r="K8" s="38"/>
      <c r="L8" s="20"/>
      <c r="N8" s="24"/>
      <c r="P8" s="24">
        <v>2</v>
      </c>
      <c r="Q8" s="24">
        <f>'표점등급&amp;절평인원 입력 기능'!C41</f>
        <v>62</v>
      </c>
    </row>
    <row r="9" spans="1:17" s="22" customFormat="1" ht="25" customHeight="1" x14ac:dyDescent="0.45">
      <c r="A9" s="20"/>
      <c r="B9" s="37"/>
      <c r="C9" s="100">
        <v>48</v>
      </c>
      <c r="D9" s="101">
        <f>ROUND(10*(C9-$H$3)/$H$4+50,0)</f>
        <v>71</v>
      </c>
      <c r="E9" s="101">
        <f t="shared" si="0"/>
        <v>1</v>
      </c>
      <c r="F9" s="102">
        <f>IF(I8=0,ROUND(100*(1-(I7+I9)/2/$J$3),2),ROUND(100*(1-(I8+I9)/2/$J$3),2))</f>
        <v>99.29</v>
      </c>
      <c r="G9" s="103">
        <f>_xlfn.IFNA(VLOOKUP(D9,'인원 입력 기능(사과탐)'!$A$5:$D$59,4,FALSE),0)</f>
        <v>226</v>
      </c>
      <c r="H9" s="104">
        <f t="shared" ref="H9:H55" si="1">G9/$J$3</f>
        <v>4.0249332146037398E-3</v>
      </c>
      <c r="I9" s="114">
        <f>SUM($G$7:G9)</f>
        <v>513</v>
      </c>
      <c r="J9" s="106">
        <f>I9/$J$3</f>
        <v>9.1362422083704365E-3</v>
      </c>
      <c r="K9" s="38"/>
      <c r="L9" s="20" t="str">
        <f t="shared" ref="L9:L55" si="2">IF(ABS((C9-$H$3)/$H$4*10+50-D9)&gt;0.49, "경고", "")</f>
        <v/>
      </c>
      <c r="N9" s="24"/>
      <c r="P9" s="24">
        <v>3</v>
      </c>
      <c r="Q9" s="24">
        <f>'표점등급&amp;절평인원 입력 기능'!C42</f>
        <v>58</v>
      </c>
    </row>
    <row r="10" spans="1:17" s="22" customFormat="1" ht="25" customHeight="1" x14ac:dyDescent="0.45">
      <c r="A10" s="20"/>
      <c r="B10" s="37"/>
      <c r="C10" s="107">
        <v>47</v>
      </c>
      <c r="D10" s="101">
        <f t="shared" ref="D10:D55" si="3">ROUND(10*(C10-$H$3)/$H$4+50,0)</f>
        <v>70</v>
      </c>
      <c r="E10" s="101">
        <f t="shared" si="0"/>
        <v>1</v>
      </c>
      <c r="F10" s="102">
        <f t="shared" ref="F10:F55" si="4">IF(I9=0,ROUND(100*(1-(I8+I10)/2/$J$3),2),ROUND(100*(1-(I9+I10)/2/$J$3),2))</f>
        <v>98.72</v>
      </c>
      <c r="G10" s="103">
        <f>IF(D10=D9,"",_xlfn.IFNA(VLOOKUP(D10,'인원 입력 기능(사과탐)'!$A$5:$D$59,4,FALSE),0))</f>
        <v>410</v>
      </c>
      <c r="H10" s="104">
        <f t="shared" si="1"/>
        <v>7.3018699910952804E-3</v>
      </c>
      <c r="I10" s="114">
        <f>SUM($G$7:G10)</f>
        <v>923</v>
      </c>
      <c r="J10" s="106">
        <f t="shared" ref="J10:J55" si="5">I10/$J$3</f>
        <v>1.6438112199465716E-2</v>
      </c>
      <c r="K10" s="38"/>
      <c r="L10" s="20" t="str">
        <f t="shared" si="2"/>
        <v/>
      </c>
      <c r="N10" s="24"/>
      <c r="P10" s="24">
        <v>4</v>
      </c>
      <c r="Q10" s="24">
        <f>'표점등급&amp;절평인원 입력 기능'!C43</f>
        <v>54</v>
      </c>
    </row>
    <row r="11" spans="1:17" s="22" customFormat="1" ht="25" customHeight="1" x14ac:dyDescent="0.45">
      <c r="A11" s="20"/>
      <c r="B11" s="37"/>
      <c r="C11" s="100">
        <v>46</v>
      </c>
      <c r="D11" s="101">
        <f t="shared" si="3"/>
        <v>69</v>
      </c>
      <c r="E11" s="101">
        <f t="shared" si="0"/>
        <v>1</v>
      </c>
      <c r="F11" s="102">
        <f t="shared" si="4"/>
        <v>98.26</v>
      </c>
      <c r="G11" s="103">
        <f>IF(D11=D10,"",_xlfn.IFNA(VLOOKUP(D11,'인원 입력 기능(사과탐)'!$A$5:$D$59,4,FALSE),0))</f>
        <v>104</v>
      </c>
      <c r="H11" s="104">
        <f t="shared" si="1"/>
        <v>1.8521816562778273E-3</v>
      </c>
      <c r="I11" s="114">
        <f>SUM($G$7:G11)</f>
        <v>1027</v>
      </c>
      <c r="J11" s="106">
        <f t="shared" si="5"/>
        <v>1.8290293855743545E-2</v>
      </c>
      <c r="K11" s="38"/>
      <c r="L11" s="20" t="str">
        <f t="shared" si="2"/>
        <v/>
      </c>
      <c r="N11" s="24"/>
      <c r="P11" s="24">
        <v>5</v>
      </c>
      <c r="Q11" s="24">
        <f>'표점등급&amp;절평인원 입력 기능'!C44</f>
        <v>48</v>
      </c>
    </row>
    <row r="12" spans="1:17" s="22" customFormat="1" ht="25" customHeight="1" x14ac:dyDescent="0.45">
      <c r="A12" s="20"/>
      <c r="B12" s="37"/>
      <c r="C12" s="107">
        <v>45</v>
      </c>
      <c r="D12" s="101">
        <f t="shared" si="3"/>
        <v>68</v>
      </c>
      <c r="E12" s="101">
        <f t="shared" si="0"/>
        <v>1</v>
      </c>
      <c r="F12" s="102">
        <f t="shared" si="4"/>
        <v>97.74</v>
      </c>
      <c r="G12" s="103">
        <f>IF(D12=D11,"",_xlfn.IFNA(VLOOKUP(D12,'인원 입력 기능(사과탐)'!$A$5:$D$59,4,FALSE),0))</f>
        <v>487</v>
      </c>
      <c r="H12" s="104">
        <f t="shared" si="1"/>
        <v>8.6731967943009802E-3</v>
      </c>
      <c r="I12" s="114">
        <f>SUM($G$7:G12)</f>
        <v>1514</v>
      </c>
      <c r="J12" s="106">
        <f t="shared" si="5"/>
        <v>2.6963490650044525E-2</v>
      </c>
      <c r="K12" s="38"/>
      <c r="L12" s="20" t="str">
        <f t="shared" si="2"/>
        <v/>
      </c>
      <c r="N12" s="24"/>
      <c r="P12" s="24">
        <v>6</v>
      </c>
      <c r="Q12" s="24">
        <f>'표점등급&amp;절평인원 입력 기능'!C45</f>
        <v>40</v>
      </c>
    </row>
    <row r="13" spans="1:17" s="22" customFormat="1" ht="25" customHeight="1" x14ac:dyDescent="0.45">
      <c r="A13" s="20"/>
      <c r="B13" s="37"/>
      <c r="C13" s="100">
        <v>44</v>
      </c>
      <c r="D13" s="101">
        <f t="shared" si="3"/>
        <v>67</v>
      </c>
      <c r="E13" s="101">
        <f t="shared" si="0"/>
        <v>1</v>
      </c>
      <c r="F13" s="102">
        <f t="shared" si="4"/>
        <v>96.92</v>
      </c>
      <c r="G13" s="103">
        <f>IF(D13=D12,"",_xlfn.IFNA(VLOOKUP(D13,'인원 입력 기능(사과탐)'!$A$5:$D$59,4,FALSE),0))</f>
        <v>427</v>
      </c>
      <c r="H13" s="104">
        <f t="shared" si="1"/>
        <v>7.6046304541406949E-3</v>
      </c>
      <c r="I13" s="114">
        <f>SUM($G$7:G13)</f>
        <v>1941</v>
      </c>
      <c r="J13" s="106">
        <f t="shared" si="5"/>
        <v>3.4568121104185216E-2</v>
      </c>
      <c r="K13" s="38"/>
      <c r="L13" s="20" t="str">
        <f t="shared" si="2"/>
        <v/>
      </c>
      <c r="N13" s="24"/>
      <c r="P13" s="24">
        <v>7</v>
      </c>
      <c r="Q13" s="24">
        <f>'표점등급&amp;절평인원 입력 기능'!C46</f>
        <v>36</v>
      </c>
    </row>
    <row r="14" spans="1:17" s="22" customFormat="1" ht="25" customHeight="1" x14ac:dyDescent="0.45">
      <c r="A14" s="20"/>
      <c r="B14" s="37"/>
      <c r="C14" s="107">
        <v>43</v>
      </c>
      <c r="D14" s="101">
        <f t="shared" si="3"/>
        <v>66</v>
      </c>
      <c r="E14" s="101">
        <f t="shared" si="0"/>
        <v>1</v>
      </c>
      <c r="F14" s="102">
        <f t="shared" si="4"/>
        <v>96.18</v>
      </c>
      <c r="G14" s="103">
        <f>IF(D14=D13,"",_xlfn.IFNA(VLOOKUP(D14,'인원 입력 기능(사과탐)'!$A$5:$D$59,4,FALSE),0))</f>
        <v>413</v>
      </c>
      <c r="H14" s="104">
        <f t="shared" si="1"/>
        <v>7.3552983081032952E-3</v>
      </c>
      <c r="I14" s="114">
        <f>SUM($G$7:G14)</f>
        <v>2354</v>
      </c>
      <c r="J14" s="106">
        <f t="shared" si="5"/>
        <v>4.1923419412288512E-2</v>
      </c>
      <c r="K14" s="38"/>
      <c r="L14" s="20" t="str">
        <f t="shared" si="2"/>
        <v/>
      </c>
      <c r="N14" s="24"/>
      <c r="P14" s="24">
        <v>8</v>
      </c>
      <c r="Q14" s="24">
        <f>'표점등급&amp;절평인원 입력 기능'!C47</f>
        <v>34</v>
      </c>
    </row>
    <row r="15" spans="1:17" s="22" customFormat="1" ht="25" customHeight="1" x14ac:dyDescent="0.45">
      <c r="A15" s="20"/>
      <c r="B15" s="37"/>
      <c r="C15" s="100">
        <v>42</v>
      </c>
      <c r="D15" s="115">
        <f t="shared" si="3"/>
        <v>65</v>
      </c>
      <c r="E15" s="115">
        <f t="shared" si="0"/>
        <v>2</v>
      </c>
      <c r="F15" s="116">
        <f t="shared" si="4"/>
        <v>94.6</v>
      </c>
      <c r="G15" s="117">
        <f>IF(D15=D14,"",_xlfn.IFNA(VLOOKUP(D15,'인원 입력 기능(사과탐)'!$A$5:$D$59,4,FALSE),0))</f>
        <v>1355</v>
      </c>
      <c r="H15" s="118">
        <f t="shared" si="1"/>
        <v>2.4131789848619769E-2</v>
      </c>
      <c r="I15" s="119">
        <f>SUM($G$7:G15)</f>
        <v>3709</v>
      </c>
      <c r="J15" s="120">
        <f t="shared" si="5"/>
        <v>6.6055209260908285E-2</v>
      </c>
      <c r="K15" s="38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7"/>
      <c r="C16" s="107">
        <v>41</v>
      </c>
      <c r="D16" s="121"/>
      <c r="E16" s="121"/>
      <c r="F16" s="122"/>
      <c r="G16" s="123"/>
      <c r="H16" s="124"/>
      <c r="I16" s="125"/>
      <c r="J16" s="126"/>
      <c r="K16" s="38"/>
      <c r="L16" s="20" t="str">
        <f t="shared" si="2"/>
        <v>경고</v>
      </c>
      <c r="N16" s="24"/>
    </row>
    <row r="17" spans="1:17" s="22" customFormat="1" ht="25" customHeight="1" x14ac:dyDescent="0.45">
      <c r="A17" s="20"/>
      <c r="B17" s="37"/>
      <c r="C17" s="100">
        <v>40</v>
      </c>
      <c r="D17" s="101">
        <f t="shared" si="3"/>
        <v>64</v>
      </c>
      <c r="E17" s="101">
        <f t="shared" si="0"/>
        <v>2</v>
      </c>
      <c r="F17" s="102">
        <f t="shared" si="4"/>
        <v>92.47</v>
      </c>
      <c r="G17" s="103">
        <f>IF(D17=D16,"",_xlfn.IFNA(VLOOKUP(D17,'인원 입력 기능(사과탐)'!$A$5:$D$59,4,FALSE),0))</f>
        <v>1036</v>
      </c>
      <c r="H17" s="104">
        <f t="shared" si="1"/>
        <v>1.8450578806767585E-2</v>
      </c>
      <c r="I17" s="114">
        <f>SUM($G$7:G17)</f>
        <v>4745</v>
      </c>
      <c r="J17" s="106">
        <f t="shared" si="5"/>
        <v>8.4505788067675863E-2</v>
      </c>
      <c r="K17" s="38"/>
      <c r="L17" s="20" t="str">
        <f t="shared" si="2"/>
        <v/>
      </c>
      <c r="N17" s="24"/>
      <c r="Q17" s="24">
        <f>Q7*H3*H4*J3*IFERROR(IF(J57=1, 1, 0), 0)</f>
        <v>1023761916.21</v>
      </c>
    </row>
    <row r="18" spans="1:17" s="22" customFormat="1" ht="25" customHeight="1" x14ac:dyDescent="0.45">
      <c r="A18" s="20"/>
      <c r="B18" s="37"/>
      <c r="C18" s="107">
        <v>39</v>
      </c>
      <c r="D18" s="101">
        <f t="shared" si="3"/>
        <v>63</v>
      </c>
      <c r="E18" s="101">
        <f t="shared" si="0"/>
        <v>2</v>
      </c>
      <c r="F18" s="102">
        <f t="shared" si="4"/>
        <v>90.55</v>
      </c>
      <c r="G18" s="103">
        <f>IF(D18=D17,"",_xlfn.IFNA(VLOOKUP(D18,'인원 입력 기능(사과탐)'!$A$5:$D$59,4,FALSE),0))</f>
        <v>1123</v>
      </c>
      <c r="H18" s="104">
        <f t="shared" si="1"/>
        <v>0.02</v>
      </c>
      <c r="I18" s="114">
        <f>SUM($G$7:G18)</f>
        <v>5868</v>
      </c>
      <c r="J18" s="106">
        <f t="shared" si="5"/>
        <v>0.10450578806767587</v>
      </c>
      <c r="K18" s="38"/>
      <c r="L18" s="20" t="str">
        <f t="shared" si="2"/>
        <v/>
      </c>
      <c r="N18" s="24"/>
    </row>
    <row r="19" spans="1:17" s="22" customFormat="1" ht="25" customHeight="1" x14ac:dyDescent="0.45">
      <c r="A19" s="20"/>
      <c r="B19" s="37"/>
      <c r="C19" s="100">
        <v>38</v>
      </c>
      <c r="D19" s="101">
        <f t="shared" si="3"/>
        <v>62</v>
      </c>
      <c r="E19" s="101">
        <f t="shared" si="0"/>
        <v>2</v>
      </c>
      <c r="F19" s="102">
        <f t="shared" si="4"/>
        <v>88.65</v>
      </c>
      <c r="G19" s="103">
        <f>IF(D19=D18,"",_xlfn.IFNA(VLOOKUP(D19,'인원 입력 기능(사과탐)'!$A$5:$D$59,4,FALSE),0))</f>
        <v>1010</v>
      </c>
      <c r="H19" s="104">
        <f t="shared" si="1"/>
        <v>1.7987533392698131E-2</v>
      </c>
      <c r="I19" s="114">
        <f>SUM($G$7:G19)</f>
        <v>6878</v>
      </c>
      <c r="J19" s="106">
        <f t="shared" si="5"/>
        <v>0.12249332146037401</v>
      </c>
      <c r="K19" s="38"/>
      <c r="L19" s="20" t="str">
        <f t="shared" si="2"/>
        <v/>
      </c>
      <c r="N19" s="24"/>
    </row>
    <row r="20" spans="1:17" s="22" customFormat="1" ht="25" customHeight="1" x14ac:dyDescent="0.45">
      <c r="A20" s="20"/>
      <c r="B20" s="37"/>
      <c r="C20" s="107">
        <v>37</v>
      </c>
      <c r="D20" s="101">
        <f t="shared" si="3"/>
        <v>61</v>
      </c>
      <c r="E20" s="101">
        <f t="shared" si="0"/>
        <v>3</v>
      </c>
      <c r="F20" s="102">
        <f t="shared" si="4"/>
        <v>86.22</v>
      </c>
      <c r="G20" s="103">
        <f>IF(D20=D19,"",_xlfn.IFNA(VLOOKUP(D20,'인원 입력 기능(사과탐)'!$A$5:$D$59,4,FALSE),0))</f>
        <v>1717</v>
      </c>
      <c r="H20" s="104">
        <f t="shared" si="1"/>
        <v>3.0578806767586821E-2</v>
      </c>
      <c r="I20" s="114">
        <f>SUM($G$7:G20)</f>
        <v>8595</v>
      </c>
      <c r="J20" s="106">
        <f t="shared" si="5"/>
        <v>0.15307212822796082</v>
      </c>
      <c r="K20" s="38"/>
      <c r="L20" s="20" t="str">
        <f t="shared" si="2"/>
        <v/>
      </c>
      <c r="N20" s="24"/>
    </row>
    <row r="21" spans="1:17" s="22" customFormat="1" ht="25" customHeight="1" x14ac:dyDescent="0.45">
      <c r="A21" s="20"/>
      <c r="B21" s="37"/>
      <c r="C21" s="169">
        <v>36</v>
      </c>
      <c r="D21" s="128">
        <f t="shared" si="3"/>
        <v>60</v>
      </c>
      <c r="E21" s="128">
        <f t="shared" si="0"/>
        <v>3</v>
      </c>
      <c r="F21" s="102">
        <f t="shared" si="4"/>
        <v>83.66</v>
      </c>
      <c r="G21" s="103">
        <f>IF(D21=D20,"",_xlfn.IFNA(VLOOKUP(D21,'인원 입력 기능(사과탐)'!$A$5:$D$59,4,FALSE),0))</f>
        <v>1155</v>
      </c>
      <c r="H21" s="104">
        <f t="shared" si="1"/>
        <v>2.0569902048085485E-2</v>
      </c>
      <c r="I21" s="114">
        <f>SUM($G$7:G21)</f>
        <v>9750</v>
      </c>
      <c r="J21" s="106">
        <f t="shared" si="5"/>
        <v>0.1736420302760463</v>
      </c>
      <c r="K21" s="38"/>
      <c r="L21" s="20" t="str">
        <f t="shared" si="2"/>
        <v/>
      </c>
      <c r="N21" s="24"/>
    </row>
    <row r="22" spans="1:17" s="22" customFormat="1" ht="25" customHeight="1" x14ac:dyDescent="0.45">
      <c r="A22" s="20"/>
      <c r="B22" s="37"/>
      <c r="C22" s="127">
        <v>35</v>
      </c>
      <c r="D22" s="128">
        <f t="shared" si="3"/>
        <v>59</v>
      </c>
      <c r="E22" s="128">
        <f t="shared" si="0"/>
        <v>3</v>
      </c>
      <c r="F22" s="102">
        <f t="shared" si="4"/>
        <v>81</v>
      </c>
      <c r="G22" s="103">
        <f>IF(D22=D21,"",_xlfn.IFNA(VLOOKUP(D22,'인원 입력 기능(사과탐)'!$A$5:$D$59,4,FALSE),0))</f>
        <v>1838</v>
      </c>
      <c r="H22" s="104">
        <f t="shared" si="1"/>
        <v>3.2733748886910059E-2</v>
      </c>
      <c r="I22" s="114">
        <f>SUM($G$7:G22)</f>
        <v>11588</v>
      </c>
      <c r="J22" s="106">
        <f t="shared" si="5"/>
        <v>0.20637577916295638</v>
      </c>
      <c r="K22" s="38"/>
      <c r="L22" s="20" t="str">
        <f t="shared" si="2"/>
        <v/>
      </c>
      <c r="N22" s="24"/>
    </row>
    <row r="23" spans="1:17" s="22" customFormat="1" ht="25" customHeight="1" x14ac:dyDescent="0.45">
      <c r="A23" s="20"/>
      <c r="B23" s="37"/>
      <c r="C23" s="169">
        <v>34</v>
      </c>
      <c r="D23" s="128">
        <f t="shared" si="3"/>
        <v>58</v>
      </c>
      <c r="E23" s="128">
        <f t="shared" si="0"/>
        <v>3</v>
      </c>
      <c r="F23" s="102">
        <f t="shared" si="4"/>
        <v>77.52</v>
      </c>
      <c r="G23" s="103">
        <f>IF(D23=D22,"",_xlfn.IFNA(VLOOKUP(D23,'인원 입력 기능(사과탐)'!$A$5:$D$59,4,FALSE),0))</f>
        <v>2071</v>
      </c>
      <c r="H23" s="104">
        <f t="shared" si="1"/>
        <v>3.6883348174532503E-2</v>
      </c>
      <c r="I23" s="114">
        <f>SUM($G$7:G23)</f>
        <v>13659</v>
      </c>
      <c r="J23" s="106">
        <f t="shared" si="5"/>
        <v>0.24325912733748886</v>
      </c>
      <c r="K23" s="38"/>
      <c r="L23" s="20" t="str">
        <f t="shared" si="2"/>
        <v/>
      </c>
      <c r="N23" s="24"/>
    </row>
    <row r="24" spans="1:17" s="22" customFormat="1" ht="25" customHeight="1" x14ac:dyDescent="0.45">
      <c r="A24" s="20"/>
      <c r="B24" s="37"/>
      <c r="C24" s="127">
        <v>33</v>
      </c>
      <c r="D24" s="128">
        <f t="shared" si="3"/>
        <v>57</v>
      </c>
      <c r="E24" s="128">
        <f t="shared" si="0"/>
        <v>4</v>
      </c>
      <c r="F24" s="102">
        <f t="shared" si="4"/>
        <v>74.260000000000005</v>
      </c>
      <c r="G24" s="103">
        <f>IF(D24=D23,"",_xlfn.IFNA(VLOOKUP(D24,'인원 입력 기능(사과탐)'!$A$5:$D$59,4,FALSE),0))</f>
        <v>1593</v>
      </c>
      <c r="H24" s="104">
        <f t="shared" si="1"/>
        <v>2.8370436331255567E-2</v>
      </c>
      <c r="I24" s="114">
        <f>SUM($G$7:G24)</f>
        <v>15252</v>
      </c>
      <c r="J24" s="106">
        <f t="shared" si="5"/>
        <v>0.27162956366874441</v>
      </c>
      <c r="K24" s="38"/>
      <c r="L24" s="20" t="str">
        <f t="shared" si="2"/>
        <v/>
      </c>
      <c r="N24" s="24"/>
    </row>
    <row r="25" spans="1:17" s="22" customFormat="1" ht="25" customHeight="1" x14ac:dyDescent="0.45">
      <c r="A25" s="20"/>
      <c r="B25" s="37"/>
      <c r="C25" s="169">
        <v>32</v>
      </c>
      <c r="D25" s="128">
        <f t="shared" si="3"/>
        <v>56</v>
      </c>
      <c r="E25" s="128">
        <f t="shared" si="0"/>
        <v>4</v>
      </c>
      <c r="F25" s="102">
        <f t="shared" si="4"/>
        <v>70.69</v>
      </c>
      <c r="G25" s="103">
        <f>IF(D25=D24,"",_xlfn.IFNA(VLOOKUP(D25,'인원 입력 기능(사과탐)'!$A$5:$D$59,4,FALSE),0))</f>
        <v>2412</v>
      </c>
      <c r="H25" s="104">
        <f t="shared" si="1"/>
        <v>4.2956366874443458E-2</v>
      </c>
      <c r="I25" s="114">
        <f>SUM($G$7:G25)</f>
        <v>17664</v>
      </c>
      <c r="J25" s="106">
        <f t="shared" si="5"/>
        <v>0.3145859305431879</v>
      </c>
      <c r="K25" s="38"/>
      <c r="L25" s="20" t="str">
        <f t="shared" si="2"/>
        <v/>
      </c>
      <c r="N25" s="24"/>
    </row>
    <row r="26" spans="1:17" s="22" customFormat="1" ht="25" customHeight="1" x14ac:dyDescent="0.45">
      <c r="A26" s="20"/>
      <c r="B26" s="37"/>
      <c r="C26" s="127">
        <v>31</v>
      </c>
      <c r="D26" s="130">
        <f t="shared" si="3"/>
        <v>55</v>
      </c>
      <c r="E26" s="130">
        <f t="shared" si="0"/>
        <v>4</v>
      </c>
      <c r="F26" s="116">
        <f t="shared" si="4"/>
        <v>65.010000000000005</v>
      </c>
      <c r="G26" s="117">
        <f>IF(D26=D25,"",_xlfn.IFNA(VLOOKUP(D26,'인원 입력 기능(사과탐)'!$A$5:$D$59,4,FALSE),0))</f>
        <v>3964</v>
      </c>
      <c r="H26" s="118">
        <f t="shared" si="1"/>
        <v>7.0596616206589496E-2</v>
      </c>
      <c r="I26" s="119">
        <f>SUM($G$7:G26)</f>
        <v>21628</v>
      </c>
      <c r="J26" s="120">
        <f t="shared" si="5"/>
        <v>0.38518254674977737</v>
      </c>
      <c r="K26" s="38"/>
      <c r="L26" s="20" t="str">
        <f t="shared" si="2"/>
        <v>경고</v>
      </c>
      <c r="N26" s="24"/>
    </row>
    <row r="27" spans="1:17" s="22" customFormat="1" ht="25" customHeight="1" x14ac:dyDescent="0.45">
      <c r="A27" s="20"/>
      <c r="B27" s="37"/>
      <c r="C27" s="169">
        <v>30</v>
      </c>
      <c r="D27" s="132"/>
      <c r="E27" s="132"/>
      <c r="F27" s="122"/>
      <c r="G27" s="123"/>
      <c r="H27" s="124"/>
      <c r="I27" s="125"/>
      <c r="J27" s="126"/>
      <c r="K27" s="38"/>
      <c r="L27" s="20" t="str">
        <f t="shared" si="2"/>
        <v>경고</v>
      </c>
      <c r="N27" s="24"/>
    </row>
    <row r="28" spans="1:17" s="22" customFormat="1" ht="25" customHeight="1" x14ac:dyDescent="0.45">
      <c r="A28" s="20"/>
      <c r="B28" s="37"/>
      <c r="C28" s="127">
        <v>29</v>
      </c>
      <c r="D28" s="128">
        <f t="shared" si="3"/>
        <v>54</v>
      </c>
      <c r="E28" s="128">
        <f t="shared" si="0"/>
        <v>4</v>
      </c>
      <c r="F28" s="102">
        <f t="shared" si="4"/>
        <v>59.33</v>
      </c>
      <c r="G28" s="103">
        <f>IF(D28=D27,"",_xlfn.IFNA(VLOOKUP(D28,'인원 입력 기능(사과탐)'!$A$5:$D$59,4,FALSE),0))</f>
        <v>2412</v>
      </c>
      <c r="H28" s="104">
        <f t="shared" si="1"/>
        <v>4.2956366874443458E-2</v>
      </c>
      <c r="I28" s="114">
        <f>SUM($G$7:G28)</f>
        <v>24040</v>
      </c>
      <c r="J28" s="106">
        <f t="shared" si="5"/>
        <v>0.42813891362422085</v>
      </c>
      <c r="K28" s="38"/>
      <c r="L28" s="20" t="str">
        <f t="shared" si="2"/>
        <v/>
      </c>
      <c r="N28" s="24"/>
    </row>
    <row r="29" spans="1:17" s="22" customFormat="1" ht="25" customHeight="1" x14ac:dyDescent="0.45">
      <c r="A29" s="20"/>
      <c r="B29" s="37"/>
      <c r="C29" s="169">
        <v>28</v>
      </c>
      <c r="D29" s="128">
        <f t="shared" si="3"/>
        <v>53</v>
      </c>
      <c r="E29" s="128">
        <f t="shared" si="0"/>
        <v>5</v>
      </c>
      <c r="F29" s="102">
        <f t="shared" si="4"/>
        <v>55.6</v>
      </c>
      <c r="G29" s="103">
        <f>IF(D29=D28,"",_xlfn.IFNA(VLOOKUP(D29,'인원 입력 기능(사과탐)'!$A$5:$D$59,4,FALSE),0))</f>
        <v>1780</v>
      </c>
      <c r="H29" s="104">
        <f t="shared" si="1"/>
        <v>3.1700801424755121E-2</v>
      </c>
      <c r="I29" s="114">
        <f>SUM($G$7:G29)</f>
        <v>25820</v>
      </c>
      <c r="J29" s="106">
        <f t="shared" si="5"/>
        <v>0.45983971504897597</v>
      </c>
      <c r="K29" s="38"/>
      <c r="L29" s="20" t="str">
        <f t="shared" si="2"/>
        <v/>
      </c>
      <c r="N29" s="24"/>
    </row>
    <row r="30" spans="1:17" s="22" customFormat="1" ht="25" customHeight="1" x14ac:dyDescent="0.45">
      <c r="A30" s="20"/>
      <c r="B30" s="37"/>
      <c r="C30" s="127">
        <v>27</v>
      </c>
      <c r="D30" s="128">
        <f t="shared" si="3"/>
        <v>52</v>
      </c>
      <c r="E30" s="128">
        <f t="shared" si="0"/>
        <v>5</v>
      </c>
      <c r="F30" s="102">
        <f t="shared" si="4"/>
        <v>52.14</v>
      </c>
      <c r="G30" s="103">
        <f>IF(D30=D29,"",_xlfn.IFNA(VLOOKUP(D30,'인원 입력 기능(사과탐)'!$A$5:$D$59,4,FALSE),0))</f>
        <v>2110</v>
      </c>
      <c r="H30" s="104">
        <f t="shared" si="1"/>
        <v>3.7577916295636685E-2</v>
      </c>
      <c r="I30" s="114">
        <f>SUM($G$7:G30)</f>
        <v>27930</v>
      </c>
      <c r="J30" s="106">
        <f t="shared" si="5"/>
        <v>0.49741763134461264</v>
      </c>
      <c r="K30" s="38"/>
      <c r="L30" s="20" t="str">
        <f t="shared" si="2"/>
        <v/>
      </c>
      <c r="N30" s="24"/>
    </row>
    <row r="31" spans="1:17" s="22" customFormat="1" ht="25" customHeight="1" x14ac:dyDescent="0.45">
      <c r="A31" s="20"/>
      <c r="B31" s="37"/>
      <c r="C31" s="169">
        <v>26</v>
      </c>
      <c r="D31" s="128">
        <f t="shared" si="3"/>
        <v>51</v>
      </c>
      <c r="E31" s="128">
        <f t="shared" si="0"/>
        <v>5</v>
      </c>
      <c r="F31" s="102">
        <f t="shared" si="4"/>
        <v>48.58</v>
      </c>
      <c r="G31" s="103">
        <f>IF(D31=D30,"",_xlfn.IFNA(VLOOKUP(D31,'인원 입력 기능(사과탐)'!$A$5:$D$59,4,FALSE),0))</f>
        <v>1890</v>
      </c>
      <c r="H31" s="104">
        <f t="shared" si="1"/>
        <v>3.3659839715048975E-2</v>
      </c>
      <c r="I31" s="114">
        <f>SUM($G$7:G31)</f>
        <v>29820</v>
      </c>
      <c r="J31" s="106">
        <f t="shared" si="5"/>
        <v>0.53107747105966163</v>
      </c>
      <c r="K31" s="38"/>
      <c r="L31" s="20" t="str">
        <f t="shared" si="2"/>
        <v/>
      </c>
      <c r="N31" s="24"/>
    </row>
    <row r="32" spans="1:17" s="22" customFormat="1" ht="25" customHeight="1" x14ac:dyDescent="0.45">
      <c r="A32" s="20"/>
      <c r="B32" s="37"/>
      <c r="C32" s="127">
        <v>25</v>
      </c>
      <c r="D32" s="128">
        <f t="shared" si="3"/>
        <v>50</v>
      </c>
      <c r="E32" s="128">
        <f t="shared" si="0"/>
        <v>5</v>
      </c>
      <c r="F32" s="102">
        <f t="shared" si="4"/>
        <v>45.57</v>
      </c>
      <c r="G32" s="103">
        <f>IF(D32=D31,"",_xlfn.IFNA(VLOOKUP(D32,'인원 입력 기능(사과탐)'!$A$5:$D$59,4,FALSE),0))</f>
        <v>1487</v>
      </c>
      <c r="H32" s="104">
        <f t="shared" si="1"/>
        <v>2.6482635796972395E-2</v>
      </c>
      <c r="I32" s="114">
        <f>SUM($G$7:G32)</f>
        <v>31307</v>
      </c>
      <c r="J32" s="106">
        <f t="shared" si="5"/>
        <v>0.55756010685663404</v>
      </c>
      <c r="K32" s="38"/>
      <c r="L32" s="20" t="str">
        <f t="shared" si="2"/>
        <v/>
      </c>
      <c r="N32" s="24"/>
    </row>
    <row r="33" spans="1:14" s="22" customFormat="1" ht="25" customHeight="1" x14ac:dyDescent="0.45">
      <c r="A33" s="20"/>
      <c r="B33" s="37"/>
      <c r="C33" s="169">
        <v>24</v>
      </c>
      <c r="D33" s="128">
        <f t="shared" si="3"/>
        <v>49</v>
      </c>
      <c r="E33" s="128">
        <f t="shared" si="0"/>
        <v>5</v>
      </c>
      <c r="F33" s="102">
        <f t="shared" si="4"/>
        <v>42.65</v>
      </c>
      <c r="G33" s="103">
        <f>IF(D33=D32,"",_xlfn.IFNA(VLOOKUP(D33,'인원 입력 기능(사과탐)'!$A$5:$D$59,4,FALSE),0))</f>
        <v>1790</v>
      </c>
      <c r="H33" s="104">
        <f t="shared" si="1"/>
        <v>3.1878895814781837E-2</v>
      </c>
      <c r="I33" s="114">
        <f>SUM($G$7:G33)</f>
        <v>33097</v>
      </c>
      <c r="J33" s="106">
        <f t="shared" si="5"/>
        <v>0.5894390026714158</v>
      </c>
      <c r="K33" s="38"/>
      <c r="L33" s="20" t="str">
        <f t="shared" si="2"/>
        <v/>
      </c>
      <c r="N33" s="24"/>
    </row>
    <row r="34" spans="1:14" s="22" customFormat="1" ht="25" customHeight="1" x14ac:dyDescent="0.45">
      <c r="A34" s="20"/>
      <c r="B34" s="37"/>
      <c r="C34" s="127">
        <v>23</v>
      </c>
      <c r="D34" s="128">
        <f t="shared" si="3"/>
        <v>48</v>
      </c>
      <c r="E34" s="128">
        <f t="shared" si="0"/>
        <v>5</v>
      </c>
      <c r="F34" s="102">
        <f t="shared" si="4"/>
        <v>39.909999999999997</v>
      </c>
      <c r="G34" s="103">
        <f>IF(D34=D33,"",_xlfn.IFNA(VLOOKUP(D34,'인원 입력 기능(사과탐)'!$A$5:$D$59,4,FALSE),0))</f>
        <v>1291</v>
      </c>
      <c r="H34" s="104">
        <f t="shared" si="1"/>
        <v>2.2991985752448797E-2</v>
      </c>
      <c r="I34" s="114">
        <f>SUM($G$7:G34)</f>
        <v>34388</v>
      </c>
      <c r="J34" s="106">
        <f t="shared" si="5"/>
        <v>0.61243098842386468</v>
      </c>
      <c r="K34" s="38"/>
      <c r="L34" s="20" t="str">
        <f t="shared" si="2"/>
        <v/>
      </c>
      <c r="N34" s="24"/>
    </row>
    <row r="35" spans="1:14" s="22" customFormat="1" ht="25" customHeight="1" x14ac:dyDescent="0.45">
      <c r="A35" s="20"/>
      <c r="B35" s="37"/>
      <c r="C35" s="169">
        <v>22</v>
      </c>
      <c r="D35" s="128">
        <f t="shared" si="3"/>
        <v>47</v>
      </c>
      <c r="E35" s="128">
        <f t="shared" si="0"/>
        <v>6</v>
      </c>
      <c r="F35" s="102">
        <f t="shared" si="4"/>
        <v>37.479999999999997</v>
      </c>
      <c r="G35" s="103">
        <f>IF(D35=D34,"",_xlfn.IFNA(VLOOKUP(D35,'인원 입력 기능(사과탐)'!$A$5:$D$59,4,FALSE),0))</f>
        <v>1434</v>
      </c>
      <c r="H35" s="104">
        <f t="shared" si="1"/>
        <v>2.5538735529830811E-2</v>
      </c>
      <c r="I35" s="114">
        <f>SUM($G$7:G35)</f>
        <v>35822</v>
      </c>
      <c r="J35" s="106">
        <f t="shared" si="5"/>
        <v>0.63796972395369544</v>
      </c>
      <c r="K35" s="38"/>
      <c r="L35" s="20" t="str">
        <f t="shared" si="2"/>
        <v/>
      </c>
      <c r="N35" s="24"/>
    </row>
    <row r="36" spans="1:14" s="22" customFormat="1" ht="25" customHeight="1" x14ac:dyDescent="0.45">
      <c r="A36" s="20"/>
      <c r="B36" s="37"/>
      <c r="C36" s="127">
        <v>21</v>
      </c>
      <c r="D36" s="130">
        <f t="shared" si="3"/>
        <v>46</v>
      </c>
      <c r="E36" s="130">
        <f t="shared" si="0"/>
        <v>6</v>
      </c>
      <c r="F36" s="116">
        <f t="shared" si="4"/>
        <v>34.14</v>
      </c>
      <c r="G36" s="117">
        <f>IF(D36=D35,"",_xlfn.IFNA(VLOOKUP(D36,'인원 입력 기능(사과탐)'!$A$5:$D$59,4,FALSE),0))</f>
        <v>2317</v>
      </c>
      <c r="H36" s="118">
        <f t="shared" si="1"/>
        <v>4.1264470169189674E-2</v>
      </c>
      <c r="I36" s="119">
        <f>SUM($G$7:G36)</f>
        <v>38139</v>
      </c>
      <c r="J36" s="120">
        <f t="shared" si="5"/>
        <v>0.6792341941228851</v>
      </c>
      <c r="K36" s="38"/>
      <c r="L36" s="20" t="str">
        <f t="shared" si="2"/>
        <v/>
      </c>
      <c r="N36" s="24"/>
    </row>
    <row r="37" spans="1:14" s="22" customFormat="1" ht="25" customHeight="1" x14ac:dyDescent="0.45">
      <c r="A37" s="20"/>
      <c r="B37" s="37"/>
      <c r="C37" s="169">
        <v>20</v>
      </c>
      <c r="D37" s="132"/>
      <c r="E37" s="132"/>
      <c r="F37" s="122"/>
      <c r="G37" s="123"/>
      <c r="H37" s="124"/>
      <c r="I37" s="125"/>
      <c r="J37" s="126"/>
      <c r="K37" s="38"/>
      <c r="L37" s="20" t="str">
        <f t="shared" si="2"/>
        <v>경고</v>
      </c>
      <c r="N37" s="24"/>
    </row>
    <row r="38" spans="1:14" s="22" customFormat="1" ht="25" customHeight="1" x14ac:dyDescent="0.45">
      <c r="A38" s="20"/>
      <c r="B38" s="37"/>
      <c r="C38" s="127">
        <v>19</v>
      </c>
      <c r="D38" s="128">
        <f t="shared" si="3"/>
        <v>45</v>
      </c>
      <c r="E38" s="128">
        <f t="shared" si="0"/>
        <v>6</v>
      </c>
      <c r="F38" s="102">
        <f t="shared" si="4"/>
        <v>31.05</v>
      </c>
      <c r="G38" s="103">
        <f>IF(D38=D37,"",_xlfn.IFNA(VLOOKUP(D38,'인원 입력 기능(사과탐)'!$A$5:$D$59,4,FALSE),0))</f>
        <v>1155</v>
      </c>
      <c r="H38" s="104">
        <f t="shared" si="1"/>
        <v>2.0569902048085485E-2</v>
      </c>
      <c r="I38" s="114">
        <f>SUM($G$7:G38)</f>
        <v>39294</v>
      </c>
      <c r="J38" s="106">
        <f t="shared" si="5"/>
        <v>0.69980409617097061</v>
      </c>
      <c r="K38" s="38"/>
      <c r="L38" s="20" t="str">
        <f t="shared" si="2"/>
        <v/>
      </c>
      <c r="N38" s="24"/>
    </row>
    <row r="39" spans="1:14" s="22" customFormat="1" ht="25" customHeight="1" x14ac:dyDescent="0.45">
      <c r="A39" s="20"/>
      <c r="B39" s="37"/>
      <c r="C39" s="169">
        <v>18</v>
      </c>
      <c r="D39" s="128">
        <f t="shared" si="3"/>
        <v>44</v>
      </c>
      <c r="E39" s="128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6</v>
      </c>
      <c r="F39" s="102">
        <f t="shared" si="4"/>
        <v>29.18</v>
      </c>
      <c r="G39" s="103">
        <f>IF(D39=D38,"",_xlfn.IFNA(VLOOKUP(D39,'인원 입력 기능(사과탐)'!$A$5:$D$59,4,FALSE),0))</f>
        <v>938</v>
      </c>
      <c r="H39" s="104">
        <f t="shared" si="1"/>
        <v>1.6705253784505786E-2</v>
      </c>
      <c r="I39" s="114">
        <f>SUM($G$7:G39)</f>
        <v>40232</v>
      </c>
      <c r="J39" s="106">
        <f t="shared" si="5"/>
        <v>0.71650934995547644</v>
      </c>
      <c r="K39" s="38"/>
      <c r="L39" s="20" t="str">
        <f t="shared" si="2"/>
        <v/>
      </c>
      <c r="N39" s="24"/>
    </row>
    <row r="40" spans="1:14" s="22" customFormat="1" ht="25" customHeight="1" x14ac:dyDescent="0.45">
      <c r="A40" s="20"/>
      <c r="B40" s="37"/>
      <c r="C40" s="127">
        <v>17</v>
      </c>
      <c r="D40" s="128">
        <f t="shared" si="3"/>
        <v>43</v>
      </c>
      <c r="E40" s="128">
        <f t="shared" si="6"/>
        <v>6</v>
      </c>
      <c r="F40" s="102">
        <f t="shared" si="4"/>
        <v>27.47</v>
      </c>
      <c r="G40" s="103">
        <f>IF(D40=D39,"",_xlfn.IFNA(VLOOKUP(D40,'인원 입력 기능(사과탐)'!$A$5:$D$59,4,FALSE),0))</f>
        <v>989</v>
      </c>
      <c r="H40" s="104">
        <f t="shared" si="1"/>
        <v>1.7613535173642031E-2</v>
      </c>
      <c r="I40" s="114">
        <f>SUM($G$7:G40)</f>
        <v>41221</v>
      </c>
      <c r="J40" s="106">
        <f t="shared" si="5"/>
        <v>0.73412288512911839</v>
      </c>
      <c r="K40" s="38"/>
      <c r="L40" s="20" t="str">
        <f t="shared" si="2"/>
        <v/>
      </c>
      <c r="N40" s="24"/>
    </row>
    <row r="41" spans="1:14" s="22" customFormat="1" ht="25" customHeight="1" x14ac:dyDescent="0.45">
      <c r="A41" s="20"/>
      <c r="B41" s="37"/>
      <c r="C41" s="169">
        <v>16</v>
      </c>
      <c r="D41" s="128">
        <f t="shared" si="3"/>
        <v>42</v>
      </c>
      <c r="E41" s="128">
        <f t="shared" si="6"/>
        <v>6</v>
      </c>
      <c r="F41" s="102">
        <f t="shared" si="4"/>
        <v>25.74</v>
      </c>
      <c r="G41" s="103">
        <f>IF(D41=D40,"",_xlfn.IFNA(VLOOKUP(D41,'인원 입력 기능(사과탐)'!$A$5:$D$59,4,FALSE),0))</f>
        <v>957</v>
      </c>
      <c r="H41" s="104">
        <f t="shared" si="1"/>
        <v>1.7043633125556543E-2</v>
      </c>
      <c r="I41" s="114">
        <f>SUM($G$7:G41)</f>
        <v>42178</v>
      </c>
      <c r="J41" s="106">
        <f t="shared" si="5"/>
        <v>0.75116651825467495</v>
      </c>
      <c r="K41" s="38"/>
      <c r="L41" s="20" t="str">
        <f t="shared" si="2"/>
        <v/>
      </c>
      <c r="N41" s="24"/>
    </row>
    <row r="42" spans="1:14" s="22" customFormat="1" ht="25" customHeight="1" x14ac:dyDescent="0.45">
      <c r="A42" s="20"/>
      <c r="B42" s="37"/>
      <c r="C42" s="127">
        <v>15</v>
      </c>
      <c r="D42" s="128">
        <f t="shared" si="3"/>
        <v>41</v>
      </c>
      <c r="E42" s="128">
        <f t="shared" si="6"/>
        <v>6</v>
      </c>
      <c r="F42" s="102">
        <f t="shared" si="4"/>
        <v>23.99</v>
      </c>
      <c r="G42" s="103">
        <f>IF(D42=D41,"",_xlfn.IFNA(VLOOKUP(D42,'인원 입력 기능(사과탐)'!$A$5:$D$59,4,FALSE),0))</f>
        <v>1002</v>
      </c>
      <c r="H42" s="104">
        <f t="shared" si="1"/>
        <v>1.7845057880676758E-2</v>
      </c>
      <c r="I42" s="114">
        <f>SUM($G$7:G42)</f>
        <v>43180</v>
      </c>
      <c r="J42" s="106">
        <f t="shared" si="5"/>
        <v>0.76901157613535176</v>
      </c>
      <c r="K42" s="38"/>
      <c r="L42" s="20" t="str">
        <f t="shared" si="2"/>
        <v/>
      </c>
      <c r="N42" s="24"/>
    </row>
    <row r="43" spans="1:14" s="22" customFormat="1" ht="25" customHeight="1" x14ac:dyDescent="0.45">
      <c r="A43" s="20"/>
      <c r="B43" s="37"/>
      <c r="C43" s="169">
        <v>14</v>
      </c>
      <c r="D43" s="128">
        <f t="shared" si="3"/>
        <v>40</v>
      </c>
      <c r="E43" s="128">
        <f t="shared" si="6"/>
        <v>6</v>
      </c>
      <c r="F43" s="102">
        <f t="shared" si="4"/>
        <v>22.3</v>
      </c>
      <c r="G43" s="103">
        <f>IF(D43=D42,"",_xlfn.IFNA(VLOOKUP(D43,'인원 입력 기능(사과탐)'!$A$5:$D$59,4,FALSE),0))</f>
        <v>893</v>
      </c>
      <c r="H43" s="104">
        <f t="shared" si="1"/>
        <v>1.5903829029385575E-2</v>
      </c>
      <c r="I43" s="114">
        <f>SUM($G$7:G43)</f>
        <v>44073</v>
      </c>
      <c r="J43" s="106">
        <f t="shared" si="5"/>
        <v>0.78491540516473735</v>
      </c>
      <c r="K43" s="38"/>
      <c r="L43" s="20" t="str">
        <f t="shared" si="2"/>
        <v/>
      </c>
      <c r="N43" s="24"/>
    </row>
    <row r="44" spans="1:14" s="22" customFormat="1" ht="25" customHeight="1" x14ac:dyDescent="0.45">
      <c r="A44" s="20"/>
      <c r="B44" s="37"/>
      <c r="C44" s="127">
        <v>13</v>
      </c>
      <c r="D44" s="128">
        <f t="shared" si="3"/>
        <v>39</v>
      </c>
      <c r="E44" s="128">
        <f t="shared" si="6"/>
        <v>7</v>
      </c>
      <c r="F44" s="102">
        <f t="shared" si="4"/>
        <v>20.37</v>
      </c>
      <c r="G44" s="103">
        <f>IF(D44=D43,"",_xlfn.IFNA(VLOOKUP(D44,'인원 입력 기능(사과탐)'!$A$5:$D$59,4,FALSE),0))</f>
        <v>1279</v>
      </c>
      <c r="H44" s="104">
        <f t="shared" si="1"/>
        <v>2.2778272484416742E-2</v>
      </c>
      <c r="I44" s="114">
        <f>SUM($G$7:G44)</f>
        <v>45352</v>
      </c>
      <c r="J44" s="106">
        <f t="shared" si="5"/>
        <v>0.80769367764915401</v>
      </c>
      <c r="K44" s="38"/>
      <c r="L44" s="20" t="str">
        <f t="shared" si="2"/>
        <v/>
      </c>
      <c r="N44" s="24"/>
    </row>
    <row r="45" spans="1:14" s="22" customFormat="1" ht="25" customHeight="1" x14ac:dyDescent="0.45">
      <c r="A45" s="20"/>
      <c r="B45" s="37"/>
      <c r="C45" s="169">
        <v>12</v>
      </c>
      <c r="D45" s="128">
        <f t="shared" si="3"/>
        <v>38</v>
      </c>
      <c r="E45" s="128">
        <f t="shared" si="6"/>
        <v>7</v>
      </c>
      <c r="F45" s="102">
        <f t="shared" si="4"/>
        <v>18.329999999999998</v>
      </c>
      <c r="G45" s="103">
        <f>IF(D45=D44,"",_xlfn.IFNA(VLOOKUP(D45,'인원 입력 기능(사과탐)'!$A$5:$D$59,4,FALSE),0))</f>
        <v>1006</v>
      </c>
      <c r="H45" s="104">
        <f t="shared" si="1"/>
        <v>1.7916295636687445E-2</v>
      </c>
      <c r="I45" s="114">
        <f>SUM($G$7:G45)</f>
        <v>46358</v>
      </c>
      <c r="J45" s="106">
        <f t="shared" si="5"/>
        <v>0.82560997328584151</v>
      </c>
      <c r="K45" s="38"/>
      <c r="L45" s="20" t="str">
        <f t="shared" si="2"/>
        <v/>
      </c>
      <c r="N45" s="24"/>
    </row>
    <row r="46" spans="1:14" s="22" customFormat="1" ht="25" customHeight="1" x14ac:dyDescent="0.45">
      <c r="A46" s="20"/>
      <c r="B46" s="37"/>
      <c r="C46" s="127">
        <v>11</v>
      </c>
      <c r="D46" s="130">
        <f t="shared" si="3"/>
        <v>37</v>
      </c>
      <c r="E46" s="130">
        <f t="shared" si="6"/>
        <v>7</v>
      </c>
      <c r="F46" s="116">
        <f t="shared" si="4"/>
        <v>14.27</v>
      </c>
      <c r="G46" s="117">
        <f>IF(D46=D45,"",_xlfn.IFNA(VLOOKUP(D46,'인원 입력 기능(사과탐)'!$A$5:$D$59,4,FALSE),0))</f>
        <v>3560</v>
      </c>
      <c r="H46" s="118">
        <f t="shared" si="1"/>
        <v>6.3401602849510241E-2</v>
      </c>
      <c r="I46" s="119">
        <f>SUM($G$7:G46)</f>
        <v>49918</v>
      </c>
      <c r="J46" s="120">
        <f t="shared" si="5"/>
        <v>0.88901157613535176</v>
      </c>
      <c r="K46" s="38"/>
      <c r="L46" s="20" t="str">
        <f t="shared" si="2"/>
        <v/>
      </c>
      <c r="N46" s="24"/>
    </row>
    <row r="47" spans="1:14" s="22" customFormat="1" ht="25" customHeight="1" x14ac:dyDescent="0.45">
      <c r="A47" s="20"/>
      <c r="B47" s="37"/>
      <c r="C47" s="169">
        <v>10</v>
      </c>
      <c r="D47" s="132"/>
      <c r="E47" s="132"/>
      <c r="F47" s="122"/>
      <c r="G47" s="123"/>
      <c r="H47" s="124"/>
      <c r="I47" s="125"/>
      <c r="J47" s="126"/>
      <c r="K47" s="38"/>
      <c r="L47" s="20" t="str">
        <f t="shared" si="2"/>
        <v>경고</v>
      </c>
      <c r="N47" s="24"/>
    </row>
    <row r="48" spans="1:14" s="22" customFormat="1" ht="25" customHeight="1" x14ac:dyDescent="0.45">
      <c r="A48" s="20"/>
      <c r="B48" s="37"/>
      <c r="C48" s="127">
        <v>9</v>
      </c>
      <c r="D48" s="128">
        <f t="shared" si="3"/>
        <v>36</v>
      </c>
      <c r="E48" s="128">
        <f t="shared" si="6"/>
        <v>7</v>
      </c>
      <c r="F48" s="102">
        <f t="shared" si="4"/>
        <v>10.44</v>
      </c>
      <c r="G48" s="103">
        <f>IF(D48=D47,"",_xlfn.IFNA(VLOOKUP(D48,'인원 입력 기능(사과탐)'!$A$5:$D$59,4,FALSE),0))</f>
        <v>741</v>
      </c>
      <c r="H48" s="104">
        <f t="shared" si="1"/>
        <v>1.3196794300979519E-2</v>
      </c>
      <c r="I48" s="114">
        <f>SUM($G$7:G48)</f>
        <v>50659</v>
      </c>
      <c r="J48" s="106">
        <f t="shared" si="5"/>
        <v>0.90220837043633129</v>
      </c>
      <c r="K48" s="38"/>
      <c r="L48" s="20" t="str">
        <f t="shared" si="2"/>
        <v/>
      </c>
      <c r="N48" s="24"/>
    </row>
    <row r="49" spans="1:14" s="22" customFormat="1" ht="25" customHeight="1" x14ac:dyDescent="0.45">
      <c r="A49" s="20"/>
      <c r="B49" s="37"/>
      <c r="C49" s="169">
        <v>8</v>
      </c>
      <c r="D49" s="128">
        <f t="shared" si="3"/>
        <v>35</v>
      </c>
      <c r="E49" s="128">
        <f t="shared" si="6"/>
        <v>8</v>
      </c>
      <c r="F49" s="102">
        <f t="shared" si="4"/>
        <v>9.09</v>
      </c>
      <c r="G49" s="103">
        <f>IF(D49=D48,"",_xlfn.IFNA(VLOOKUP(D49,'인원 입력 기능(사과탐)'!$A$5:$D$59,4,FALSE),0))</f>
        <v>778</v>
      </c>
      <c r="H49" s="104">
        <f t="shared" si="1"/>
        <v>1.3855743544078361E-2</v>
      </c>
      <c r="I49" s="114">
        <f>SUM($G$7:G49)</f>
        <v>51437</v>
      </c>
      <c r="J49" s="106">
        <f t="shared" si="5"/>
        <v>0.91606411398040966</v>
      </c>
      <c r="K49" s="38"/>
      <c r="L49" s="20" t="str">
        <f t="shared" si="2"/>
        <v/>
      </c>
      <c r="N49" s="24"/>
    </row>
    <row r="50" spans="1:14" s="22" customFormat="1" ht="25" customHeight="1" x14ac:dyDescent="0.45">
      <c r="A50" s="20"/>
      <c r="B50" s="37"/>
      <c r="C50" s="127">
        <v>7</v>
      </c>
      <c r="D50" s="128">
        <f t="shared" si="3"/>
        <v>34</v>
      </c>
      <c r="E50" s="128">
        <f t="shared" si="6"/>
        <v>8</v>
      </c>
      <c r="F50" s="102">
        <f t="shared" si="4"/>
        <v>5.5</v>
      </c>
      <c r="G50" s="103">
        <f>IF(D50=D49,"",_xlfn.IFNA(VLOOKUP(D50,'인원 입력 기능(사과탐)'!$A$5:$D$59,4,FALSE),0))</f>
        <v>3246</v>
      </c>
      <c r="H50" s="104">
        <f t="shared" si="1"/>
        <v>5.7809439002671416E-2</v>
      </c>
      <c r="I50" s="114">
        <f>SUM($G$7:G50)</f>
        <v>54683</v>
      </c>
      <c r="J50" s="106">
        <f t="shared" si="5"/>
        <v>0.97387355298308098</v>
      </c>
      <c r="K50" s="38"/>
      <c r="L50" s="20" t="str">
        <f t="shared" si="2"/>
        <v/>
      </c>
      <c r="N50" s="24"/>
    </row>
    <row r="51" spans="1:14" s="22" customFormat="1" ht="25" customHeight="1" x14ac:dyDescent="0.45">
      <c r="A51" s="20"/>
      <c r="B51" s="37"/>
      <c r="C51" s="169">
        <v>6</v>
      </c>
      <c r="D51" s="128">
        <f t="shared" si="3"/>
        <v>33</v>
      </c>
      <c r="E51" s="128">
        <f t="shared" si="6"/>
        <v>9</v>
      </c>
      <c r="F51" s="102">
        <f t="shared" si="4"/>
        <v>2.29</v>
      </c>
      <c r="G51" s="103">
        <f>IF(D51=D50,"",_xlfn.IFNA(VLOOKUP(D51,'인원 입력 기능(사과탐)'!$A$5:$D$59,4,FALSE),0))</f>
        <v>362</v>
      </c>
      <c r="H51" s="104">
        <f t="shared" si="1"/>
        <v>6.4470169189670525E-3</v>
      </c>
      <c r="I51" s="114">
        <f>SUM($G$7:G51)</f>
        <v>55045</v>
      </c>
      <c r="J51" s="106">
        <f t="shared" si="5"/>
        <v>0.98032056990204808</v>
      </c>
      <c r="K51" s="38"/>
      <c r="L51" s="20" t="str">
        <f t="shared" si="2"/>
        <v/>
      </c>
      <c r="N51" s="24"/>
    </row>
    <row r="52" spans="1:14" s="22" customFormat="1" ht="25" customHeight="1" x14ac:dyDescent="0.45">
      <c r="A52" s="20"/>
      <c r="B52" s="37"/>
      <c r="C52" s="127">
        <v>5</v>
      </c>
      <c r="D52" s="128">
        <f t="shared" si="3"/>
        <v>32</v>
      </c>
      <c r="E52" s="128">
        <f t="shared" si="6"/>
        <v>9</v>
      </c>
      <c r="F52" s="102">
        <f t="shared" si="4"/>
        <v>1.55</v>
      </c>
      <c r="G52" s="103">
        <f>IF(D52=D51,"",_xlfn.IFNA(VLOOKUP(D52,'인원 입력 기능(사과탐)'!$A$5:$D$59,4,FALSE),0))</f>
        <v>470</v>
      </c>
      <c r="H52" s="104">
        <f t="shared" si="1"/>
        <v>8.3704363312555648E-3</v>
      </c>
      <c r="I52" s="114">
        <f>SUM($G$7:G52)</f>
        <v>55515</v>
      </c>
      <c r="J52" s="106">
        <f t="shared" si="5"/>
        <v>0.98869100623330364</v>
      </c>
      <c r="K52" s="38"/>
      <c r="L52" s="20" t="str">
        <f t="shared" si="2"/>
        <v/>
      </c>
      <c r="N52" s="24"/>
    </row>
    <row r="53" spans="1:14" s="22" customFormat="1" ht="25" customHeight="1" x14ac:dyDescent="0.45">
      <c r="A53" s="20"/>
      <c r="B53" s="37"/>
      <c r="C53" s="100">
        <v>4</v>
      </c>
      <c r="D53" s="101">
        <f t="shared" si="3"/>
        <v>31</v>
      </c>
      <c r="E53" s="101">
        <f t="shared" si="6"/>
        <v>9</v>
      </c>
      <c r="F53" s="102">
        <f t="shared" si="4"/>
        <v>0.94</v>
      </c>
      <c r="G53" s="103">
        <f>IF(D53=D52,"",_xlfn.IFNA(VLOOKUP(D53,'인원 입력 기능(사과탐)'!$A$5:$D$59,4,FALSE),0))</f>
        <v>210</v>
      </c>
      <c r="H53" s="104">
        <f t="shared" si="1"/>
        <v>3.7399821905609973E-3</v>
      </c>
      <c r="I53" s="114">
        <f>SUM($G$7:G53)</f>
        <v>55725</v>
      </c>
      <c r="J53" s="106">
        <f t="shared" si="5"/>
        <v>0.99243098842386468</v>
      </c>
      <c r="K53" s="38"/>
      <c r="L53" s="20" t="str">
        <f t="shared" si="2"/>
        <v/>
      </c>
      <c r="N53" s="24"/>
    </row>
    <row r="54" spans="1:14" s="22" customFormat="1" ht="25" customHeight="1" x14ac:dyDescent="0.45">
      <c r="A54" s="20"/>
      <c r="B54" s="37"/>
      <c r="C54" s="107">
        <v>3</v>
      </c>
      <c r="D54" s="101">
        <f t="shared" si="3"/>
        <v>30</v>
      </c>
      <c r="E54" s="101">
        <f t="shared" si="6"/>
        <v>9</v>
      </c>
      <c r="F54" s="102">
        <f t="shared" si="4"/>
        <v>0.59</v>
      </c>
      <c r="G54" s="103">
        <f>IF(D54=D53,"",_xlfn.IFNA(VLOOKUP(D54,'인원 입력 기능(사과탐)'!$A$5:$D$59,4,FALSE),0))</f>
        <v>190</v>
      </c>
      <c r="H54" s="104">
        <f t="shared" si="1"/>
        <v>3.3837934105075689E-3</v>
      </c>
      <c r="I54" s="114">
        <f>SUM($G$7:G54)</f>
        <v>55915</v>
      </c>
      <c r="J54" s="106">
        <f t="shared" si="5"/>
        <v>0.99581478183437222</v>
      </c>
      <c r="K54" s="38"/>
      <c r="L54" s="20" t="str">
        <f t="shared" si="2"/>
        <v/>
      </c>
      <c r="N54" s="24"/>
    </row>
    <row r="55" spans="1:14" s="22" customFormat="1" ht="25" customHeight="1" x14ac:dyDescent="0.45">
      <c r="A55" s="20"/>
      <c r="B55" s="37"/>
      <c r="C55" s="100">
        <v>2</v>
      </c>
      <c r="D55" s="101">
        <f t="shared" si="3"/>
        <v>29</v>
      </c>
      <c r="E55" s="101">
        <f t="shared" si="6"/>
        <v>9</v>
      </c>
      <c r="F55" s="102">
        <f t="shared" si="4"/>
        <v>0.27</v>
      </c>
      <c r="G55" s="103">
        <f>IF(D55=D54,"",_xlfn.IFNA(VLOOKUP(D55,'인원 입력 기능(사과탐)'!$A$5:$D$59,4,FALSE),0))</f>
        <v>171</v>
      </c>
      <c r="H55" s="104">
        <f t="shared" si="1"/>
        <v>3.045414069456812E-3</v>
      </c>
      <c r="I55" s="114">
        <f>SUM($G$7:G55)</f>
        <v>56086</v>
      </c>
      <c r="J55" s="106">
        <f t="shared" si="5"/>
        <v>0.99886019590382902</v>
      </c>
      <c r="K55" s="38"/>
      <c r="L55" s="20" t="str">
        <f t="shared" si="2"/>
        <v/>
      </c>
      <c r="N55" s="24"/>
    </row>
    <row r="56" spans="1:14" s="22" customFormat="1" ht="25" customHeight="1" x14ac:dyDescent="0.45">
      <c r="A56" s="20"/>
      <c r="B56" s="37"/>
      <c r="C56" s="107">
        <v>1</v>
      </c>
      <c r="D56" s="108" t="s">
        <v>54</v>
      </c>
      <c r="E56" s="108"/>
      <c r="F56" s="109"/>
      <c r="G56" s="170"/>
      <c r="H56" s="168"/>
      <c r="I56" s="134"/>
      <c r="J56" s="113"/>
      <c r="K56" s="38"/>
      <c r="L56" s="20"/>
      <c r="N56" s="24"/>
    </row>
    <row r="57" spans="1:14" s="22" customFormat="1" ht="25" customHeight="1" thickBot="1" x14ac:dyDescent="0.5">
      <c r="A57" s="20"/>
      <c r="B57" s="37"/>
      <c r="C57" s="171">
        <v>0</v>
      </c>
      <c r="D57" s="136">
        <f>ROUND(10*(C57-$H$3)/$H$4+50,0)</f>
        <v>28</v>
      </c>
      <c r="E57" s="172">
        <f t="shared" si="6"/>
        <v>9</v>
      </c>
      <c r="F57" s="137">
        <f>IF(I55=0,ROUND(100*(1-(I54+I57)/2/$J$3),2),ROUND(100*(1-(I55+I57)/2/$J$3),2))</f>
        <v>0.06</v>
      </c>
      <c r="G57" s="173">
        <f>_xlfn.IFNA(VLOOKUP(D57,'인원 입력 기능(사과탐)'!$A$5:$D$59,4,FALSE),0)</f>
        <v>64</v>
      </c>
      <c r="H57" s="139">
        <f>G57/$J$3</f>
        <v>1.1398040961709706E-3</v>
      </c>
      <c r="I57" s="140">
        <f>SUM($G$7:G57)</f>
        <v>56150</v>
      </c>
      <c r="J57" s="174">
        <f>I57/$J$3</f>
        <v>1</v>
      </c>
      <c r="K57" s="38"/>
      <c r="L57" s="20" t="str">
        <f>IF(ABS((C57-$H$3)/$H$4*10+50-D57)&gt;0.49, "경고", "")</f>
        <v/>
      </c>
      <c r="N57" s="24"/>
    </row>
    <row r="58" spans="1:14" ht="6" customHeight="1" x14ac:dyDescent="0.45">
      <c r="A58" s="5"/>
      <c r="B58" s="34"/>
      <c r="C58" s="35"/>
      <c r="D58" s="35"/>
      <c r="E58" s="35"/>
      <c r="F58" s="35"/>
      <c r="G58" s="35"/>
      <c r="H58" s="35"/>
      <c r="I58" s="35"/>
      <c r="J58" s="35"/>
      <c r="K58" s="36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30">
    <mergeCell ref="I36:I37"/>
    <mergeCell ref="J36:J37"/>
    <mergeCell ref="D46:D47"/>
    <mergeCell ref="E46:E47"/>
    <mergeCell ref="F46:F47"/>
    <mergeCell ref="G46:G47"/>
    <mergeCell ref="H46:H47"/>
    <mergeCell ref="I46:I47"/>
    <mergeCell ref="J46:J47"/>
    <mergeCell ref="D36:D37"/>
    <mergeCell ref="E36:E37"/>
    <mergeCell ref="F36:F37"/>
    <mergeCell ref="G36:G37"/>
    <mergeCell ref="H36:H37"/>
    <mergeCell ref="G15:G16"/>
    <mergeCell ref="H15:H16"/>
    <mergeCell ref="I15:I16"/>
    <mergeCell ref="J15:J16"/>
    <mergeCell ref="D26:D27"/>
    <mergeCell ref="E26:E27"/>
    <mergeCell ref="F26:F27"/>
    <mergeCell ref="G26:G27"/>
    <mergeCell ref="H26:H27"/>
    <mergeCell ref="I26:I27"/>
    <mergeCell ref="J26:J27"/>
    <mergeCell ref="D3:F3"/>
    <mergeCell ref="D4:F4"/>
    <mergeCell ref="D15:D16"/>
    <mergeCell ref="E15:E16"/>
    <mergeCell ref="F15:F16"/>
  </mergeCells>
  <phoneticPr fontId="1" type="noConversion"/>
  <conditionalFormatting sqref="D7:J15 D17:J26 D28:J36 D38:J46 D48:J57">
    <cfRule type="expression" dxfId="50" priority="3">
      <formula>OR($D7=$Q$7:$Q$14)</formula>
    </cfRule>
  </conditionalFormatting>
  <conditionalFormatting sqref="C7:C57">
    <cfRule type="expression" dxfId="49" priority="2">
      <formula>OR(AND($D7=0,OR($D6=$Q$7:$Q$14)),AND($D8&gt;0,OR($D7=$Q$7:$Q$14)))</formula>
    </cfRule>
  </conditionalFormatting>
  <conditionalFormatting sqref="D7:D15 D17:D26 D28:D36 D38:D46 D48:D57">
    <cfRule type="expression" dxfId="48" priority="1">
      <formula>$D7=$D8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C077F-33A8-4B1F-8311-5093F7F331C9}">
  <sheetPr codeName="Sheet11"/>
  <dimension ref="A1:Q105"/>
  <sheetViews>
    <sheetView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5" t="s">
        <v>6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37"/>
      <c r="C3" s="84" t="s">
        <v>122</v>
      </c>
      <c r="D3" s="85" t="s">
        <v>67</v>
      </c>
      <c r="E3" s="86"/>
      <c r="F3" s="87"/>
      <c r="G3" s="84" t="s">
        <v>123</v>
      </c>
      <c r="H3" s="88" t="str">
        <f>'통계 및 응시자 수 입력 기능'!D9</f>
        <v>24.38</v>
      </c>
      <c r="I3" s="21" t="s">
        <v>124</v>
      </c>
      <c r="J3" s="89">
        <f>'통계 및 응시자 수 입력 기능'!C9</f>
        <v>35434</v>
      </c>
      <c r="K3" s="38"/>
      <c r="L3" s="20"/>
    </row>
    <row r="4" spans="1:17" s="22" customFormat="1" ht="25" customHeight="1" thickBot="1" x14ac:dyDescent="0.5">
      <c r="A4" s="20"/>
      <c r="B4" s="37"/>
      <c r="C4" s="90" t="s">
        <v>125</v>
      </c>
      <c r="D4" s="91" t="s">
        <v>157</v>
      </c>
      <c r="E4" s="92"/>
      <c r="F4" s="93"/>
      <c r="G4" s="94" t="s">
        <v>127</v>
      </c>
      <c r="H4" s="95" t="str">
        <f>'통계 및 응시자 수 입력 기능'!E9</f>
        <v>11.95</v>
      </c>
      <c r="I4" s="39"/>
      <c r="J4" s="40"/>
      <c r="K4" s="38"/>
      <c r="L4" s="20"/>
    </row>
    <row r="5" spans="1:17" s="22" customFormat="1" ht="25" customHeight="1" thickBot="1" x14ac:dyDescent="0.5">
      <c r="A5" s="20"/>
      <c r="B5" s="37"/>
      <c r="C5" s="32"/>
      <c r="D5" s="32"/>
      <c r="E5" s="32"/>
      <c r="F5" s="32"/>
      <c r="G5" s="32"/>
      <c r="H5" s="33"/>
      <c r="I5" s="33"/>
      <c r="J5" s="33"/>
      <c r="K5" s="38"/>
      <c r="L5" s="20"/>
    </row>
    <row r="6" spans="1:17" s="22" customFormat="1" ht="25" customHeight="1" thickBot="1" x14ac:dyDescent="0.5">
      <c r="A6" s="20"/>
      <c r="B6" s="37"/>
      <c r="C6" s="96" t="s">
        <v>129</v>
      </c>
      <c r="D6" s="97" t="s">
        <v>130</v>
      </c>
      <c r="E6" s="97" t="s">
        <v>131</v>
      </c>
      <c r="F6" s="97" t="s">
        <v>132</v>
      </c>
      <c r="G6" s="97" t="s">
        <v>133</v>
      </c>
      <c r="H6" s="97" t="s">
        <v>134</v>
      </c>
      <c r="I6" s="98" t="s">
        <v>135</v>
      </c>
      <c r="J6" s="99" t="s">
        <v>136</v>
      </c>
      <c r="K6" s="38"/>
      <c r="L6" s="19" t="s">
        <v>62</v>
      </c>
      <c r="M6" s="19"/>
      <c r="N6" s="23"/>
    </row>
    <row r="7" spans="1:17" s="22" customFormat="1" ht="25" customHeight="1" x14ac:dyDescent="0.45">
      <c r="A7" s="20"/>
      <c r="B7" s="37"/>
      <c r="C7" s="100">
        <v>50</v>
      </c>
      <c r="D7" s="101">
        <f>ROUND(10*(C7-$H$3)/$H$4+50,0)</f>
        <v>71</v>
      </c>
      <c r="E7" s="101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102">
        <f>ROUND(100*(1-(0+I7)/2/$J$3),2)</f>
        <v>99.36</v>
      </c>
      <c r="G7" s="103">
        <f>_xlfn.IFNA(VLOOKUP(D7,'인원 입력 기능(사과탐)'!$F$5:$I$59,4,FALSE),0)</f>
        <v>452</v>
      </c>
      <c r="H7" s="104">
        <f>G7/$J$3</f>
        <v>1.2756109950894622E-2</v>
      </c>
      <c r="I7" s="105">
        <f>G7</f>
        <v>452</v>
      </c>
      <c r="J7" s="106">
        <f>I7/$J$3</f>
        <v>1.2756109950894622E-2</v>
      </c>
      <c r="K7" s="38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기능'!C49</f>
        <v>67</v>
      </c>
    </row>
    <row r="8" spans="1:17" s="22" customFormat="1" ht="25" customHeight="1" x14ac:dyDescent="0.45">
      <c r="A8" s="20"/>
      <c r="B8" s="37"/>
      <c r="C8" s="107">
        <v>49</v>
      </c>
      <c r="D8" s="108" t="s">
        <v>54</v>
      </c>
      <c r="E8" s="108"/>
      <c r="F8" s="109"/>
      <c r="G8" s="110"/>
      <c r="H8" s="168"/>
      <c r="I8" s="112"/>
      <c r="J8" s="113"/>
      <c r="K8" s="38"/>
      <c r="L8" s="20"/>
      <c r="N8" s="24"/>
      <c r="P8" s="24">
        <v>2</v>
      </c>
      <c r="Q8" s="24">
        <f>'표점등급&amp;절평인원 입력 기능'!C50</f>
        <v>64</v>
      </c>
    </row>
    <row r="9" spans="1:17" s="22" customFormat="1" ht="25" customHeight="1" x14ac:dyDescent="0.45">
      <c r="A9" s="20"/>
      <c r="B9" s="37"/>
      <c r="C9" s="100">
        <v>48</v>
      </c>
      <c r="D9" s="101">
        <f>ROUND(10*(C9-$H$3)/$H$4+50,0)</f>
        <v>70</v>
      </c>
      <c r="E9" s="101">
        <f t="shared" si="0"/>
        <v>1</v>
      </c>
      <c r="F9" s="102">
        <f>IF(I8=0,ROUND(100*(1-(I7+I9)/2/$J$3),2),ROUND(100*(1-(I8+I9)/2/$J$3),2))</f>
        <v>98.33</v>
      </c>
      <c r="G9" s="103">
        <f>_xlfn.IFNA(VLOOKUP(D9,'인원 입력 기능(사과탐)'!$F$5:$I$59,4,FALSE),0)</f>
        <v>282</v>
      </c>
      <c r="H9" s="104">
        <f t="shared" ref="H9:H55" si="1">G9/$J$3</f>
        <v>7.9584579782130162E-3</v>
      </c>
      <c r="I9" s="114">
        <f>SUM($G$7:G9)</f>
        <v>734</v>
      </c>
      <c r="J9" s="106">
        <f>I9/$J$3</f>
        <v>2.0714567929107638E-2</v>
      </c>
      <c r="K9" s="38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기능'!C51</f>
        <v>59</v>
      </c>
    </row>
    <row r="10" spans="1:17" s="22" customFormat="1" ht="25" customHeight="1" x14ac:dyDescent="0.45">
      <c r="A10" s="20"/>
      <c r="B10" s="37"/>
      <c r="C10" s="107">
        <v>47</v>
      </c>
      <c r="D10" s="101">
        <f t="shared" ref="D10:D55" si="3">ROUND(10*(C10-$H$3)/$H$4+50,0)</f>
        <v>69</v>
      </c>
      <c r="E10" s="101">
        <f t="shared" si="0"/>
        <v>1</v>
      </c>
      <c r="F10" s="102">
        <f t="shared" ref="F10:F55" si="4">IF(I9=0,ROUND(100*(1-(I8+I10)/2/$J$3),2),ROUND(100*(1-(I9+I10)/2/$J$3),2))</f>
        <v>97.2</v>
      </c>
      <c r="G10" s="103">
        <f>IF(D10=D9,"",_xlfn.IFNA(VLOOKUP(D10,'인원 입력 기능(사과탐)'!$F$5:$I$59,4,FALSE),0))</f>
        <v>517</v>
      </c>
      <c r="H10" s="104">
        <f t="shared" si="1"/>
        <v>1.4590506293390528E-2</v>
      </c>
      <c r="I10" s="114">
        <f>SUM($G$7:G10)</f>
        <v>1251</v>
      </c>
      <c r="J10" s="106">
        <f t="shared" ref="J10:J55" si="5">I10/$J$3</f>
        <v>3.5305074222498165E-2</v>
      </c>
      <c r="K10" s="38"/>
      <c r="L10" s="20" t="str">
        <f t="shared" si="2"/>
        <v/>
      </c>
      <c r="N10" s="24"/>
      <c r="P10" s="24">
        <v>4</v>
      </c>
      <c r="Q10" s="24">
        <f>'표점등급&amp;절평인원 입력 기능'!C52</f>
        <v>53</v>
      </c>
    </row>
    <row r="11" spans="1:17" s="22" customFormat="1" ht="25" customHeight="1" x14ac:dyDescent="0.45">
      <c r="A11" s="20"/>
      <c r="B11" s="37"/>
      <c r="C11" s="100">
        <v>46</v>
      </c>
      <c r="D11" s="101">
        <f t="shared" si="3"/>
        <v>68</v>
      </c>
      <c r="E11" s="101">
        <f t="shared" si="0"/>
        <v>1</v>
      </c>
      <c r="F11" s="102">
        <f t="shared" si="4"/>
        <v>96.31</v>
      </c>
      <c r="G11" s="103">
        <f>IF(D11=D10,"",_xlfn.IFNA(VLOOKUP(D11,'인원 입력 기능(사과탐)'!$F$5:$I$59,4,FALSE),0))</f>
        <v>111</v>
      </c>
      <c r="H11" s="104">
        <f t="shared" si="1"/>
        <v>3.1325845233391657E-3</v>
      </c>
      <c r="I11" s="114">
        <f>SUM($G$7:G11)</f>
        <v>1362</v>
      </c>
      <c r="J11" s="106">
        <f t="shared" si="5"/>
        <v>3.8437658745837329E-2</v>
      </c>
      <c r="K11" s="38"/>
      <c r="L11" s="20" t="str">
        <f t="shared" si="2"/>
        <v/>
      </c>
      <c r="N11" s="24"/>
      <c r="P11" s="24">
        <v>5</v>
      </c>
      <c r="Q11" s="24">
        <f>'표점등급&amp;절평인원 입력 기능'!C53</f>
        <v>46</v>
      </c>
    </row>
    <row r="12" spans="1:17" s="22" customFormat="1" ht="25" customHeight="1" x14ac:dyDescent="0.45">
      <c r="A12" s="20"/>
      <c r="B12" s="37"/>
      <c r="C12" s="107">
        <v>45</v>
      </c>
      <c r="D12" s="101">
        <f t="shared" si="3"/>
        <v>67</v>
      </c>
      <c r="E12" s="101">
        <f t="shared" si="0"/>
        <v>1</v>
      </c>
      <c r="F12" s="102">
        <f t="shared" si="4"/>
        <v>95.4</v>
      </c>
      <c r="G12" s="103">
        <f>IF(D12=D11,"",_xlfn.IFNA(VLOOKUP(D12,'인원 입력 기능(사과탐)'!$F$5:$I$59,4,FALSE),0))</f>
        <v>533</v>
      </c>
      <c r="H12" s="104">
        <f t="shared" si="1"/>
        <v>1.5042050008466444E-2</v>
      </c>
      <c r="I12" s="114">
        <f>SUM($G$7:G12)</f>
        <v>1895</v>
      </c>
      <c r="J12" s="106">
        <f t="shared" si="5"/>
        <v>5.3479708754303773E-2</v>
      </c>
      <c r="K12" s="38"/>
      <c r="L12" s="20" t="str">
        <f t="shared" si="2"/>
        <v/>
      </c>
      <c r="N12" s="24"/>
      <c r="P12" s="24">
        <v>6</v>
      </c>
      <c r="Q12" s="24">
        <f>'표점등급&amp;절평인원 입력 기능'!C54</f>
        <v>40</v>
      </c>
    </row>
    <row r="13" spans="1:17" s="22" customFormat="1" ht="25" customHeight="1" x14ac:dyDescent="0.45">
      <c r="A13" s="20"/>
      <c r="B13" s="37"/>
      <c r="C13" s="100">
        <v>44</v>
      </c>
      <c r="D13" s="115">
        <f t="shared" si="3"/>
        <v>66</v>
      </c>
      <c r="E13" s="115">
        <f t="shared" si="0"/>
        <v>2</v>
      </c>
      <c r="F13" s="116">
        <f t="shared" si="4"/>
        <v>93.43</v>
      </c>
      <c r="G13" s="117">
        <f>IF(D13=D12,"",_xlfn.IFNA(VLOOKUP(D13,'인원 입력 기능(사과탐)'!$F$5:$I$59,4,FALSE),0))</f>
        <v>868</v>
      </c>
      <c r="H13" s="118">
        <f t="shared" si="1"/>
        <v>2.449624654286843E-2</v>
      </c>
      <c r="I13" s="119">
        <f>SUM($G$7:G13)</f>
        <v>2763</v>
      </c>
      <c r="J13" s="120">
        <f t="shared" si="5"/>
        <v>7.7975955297172203E-2</v>
      </c>
      <c r="K13" s="38"/>
      <c r="L13" s="20" t="str">
        <f t="shared" si="2"/>
        <v/>
      </c>
      <c r="N13" s="24"/>
      <c r="P13" s="24">
        <v>7</v>
      </c>
      <c r="Q13" s="24">
        <f>'표점등급&amp;절평인원 입력 기능'!C55</f>
        <v>38</v>
      </c>
    </row>
    <row r="14" spans="1:17" s="22" customFormat="1" ht="25" customHeight="1" x14ac:dyDescent="0.45">
      <c r="A14" s="20"/>
      <c r="B14" s="37"/>
      <c r="C14" s="107">
        <v>43</v>
      </c>
      <c r="D14" s="121"/>
      <c r="E14" s="121"/>
      <c r="F14" s="122"/>
      <c r="G14" s="123"/>
      <c r="H14" s="124"/>
      <c r="I14" s="125"/>
      <c r="J14" s="126"/>
      <c r="K14" s="38"/>
      <c r="L14" s="20" t="str">
        <f t="shared" si="2"/>
        <v>경고</v>
      </c>
      <c r="N14" s="24"/>
      <c r="P14" s="24">
        <v>8</v>
      </c>
      <c r="Q14" s="24">
        <f>'표점등급&amp;절평인원 입력 기능'!C56</f>
        <v>35</v>
      </c>
    </row>
    <row r="15" spans="1:17" s="22" customFormat="1" ht="25" customHeight="1" x14ac:dyDescent="0.45">
      <c r="A15" s="20"/>
      <c r="B15" s="37"/>
      <c r="C15" s="100">
        <v>42</v>
      </c>
      <c r="D15" s="101">
        <f t="shared" si="3"/>
        <v>65</v>
      </c>
      <c r="E15" s="101">
        <f t="shared" si="0"/>
        <v>2</v>
      </c>
      <c r="F15" s="102">
        <f t="shared" si="4"/>
        <v>91.16</v>
      </c>
      <c r="G15" s="103">
        <f>IF(D15=D14,"",_xlfn.IFNA(VLOOKUP(D15,'인원 입력 기능(사과탐)'!$F$5:$I$59,4,FALSE),0))</f>
        <v>737</v>
      </c>
      <c r="H15" s="104">
        <f t="shared" si="1"/>
        <v>2.079923237568437E-2</v>
      </c>
      <c r="I15" s="114">
        <f>SUM($G$7:G15)</f>
        <v>3500</v>
      </c>
      <c r="J15" s="106">
        <f t="shared" si="5"/>
        <v>9.8775187672856576E-2</v>
      </c>
      <c r="K15" s="38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7"/>
      <c r="C16" s="107">
        <v>41</v>
      </c>
      <c r="D16" s="101">
        <f t="shared" si="3"/>
        <v>64</v>
      </c>
      <c r="E16" s="101">
        <f t="shared" si="0"/>
        <v>2</v>
      </c>
      <c r="F16" s="102">
        <f t="shared" si="4"/>
        <v>89.35</v>
      </c>
      <c r="G16" s="103">
        <f>IF(D16=D15,"",_xlfn.IFNA(VLOOKUP(D16,'인원 입력 기능(사과탐)'!$F$5:$I$59,4,FALSE),0))</f>
        <v>545</v>
      </c>
      <c r="H16" s="104">
        <f t="shared" si="1"/>
        <v>1.5380707794773381E-2</v>
      </c>
      <c r="I16" s="114">
        <f>SUM($G$7:G16)</f>
        <v>4045</v>
      </c>
      <c r="J16" s="106">
        <f t="shared" si="5"/>
        <v>0.11415589546762996</v>
      </c>
      <c r="K16" s="38"/>
      <c r="L16" s="20" t="str">
        <f t="shared" si="2"/>
        <v/>
      </c>
      <c r="N16" s="24"/>
    </row>
    <row r="17" spans="1:17" s="22" customFormat="1" ht="25" customHeight="1" x14ac:dyDescent="0.45">
      <c r="A17" s="20"/>
      <c r="B17" s="37"/>
      <c r="C17" s="100">
        <v>40</v>
      </c>
      <c r="D17" s="101">
        <f t="shared" si="3"/>
        <v>63</v>
      </c>
      <c r="E17" s="101">
        <f t="shared" si="0"/>
        <v>3</v>
      </c>
      <c r="F17" s="102">
        <f t="shared" si="4"/>
        <v>87.8</v>
      </c>
      <c r="G17" s="103">
        <f>IF(D17=D16,"",_xlfn.IFNA(VLOOKUP(D17,'인원 입력 기능(사과탐)'!$F$5:$I$59,4,FALSE),0))</f>
        <v>553</v>
      </c>
      <c r="H17" s="104">
        <f t="shared" si="1"/>
        <v>1.560647965231134E-2</v>
      </c>
      <c r="I17" s="114">
        <f>SUM($G$7:G17)</f>
        <v>4598</v>
      </c>
      <c r="J17" s="106">
        <f t="shared" si="5"/>
        <v>0.12976237511994129</v>
      </c>
      <c r="K17" s="38"/>
      <c r="L17" s="20" t="str">
        <f t="shared" si="2"/>
        <v/>
      </c>
      <c r="N17" s="24"/>
      <c r="Q17" s="24">
        <f>Q7*H3*H4*J3*IFERROR(IF(J57=1, 1, 0), 0)</f>
        <v>691666258.59799993</v>
      </c>
    </row>
    <row r="18" spans="1:17" s="22" customFormat="1" ht="25" customHeight="1" x14ac:dyDescent="0.45">
      <c r="A18" s="20"/>
      <c r="B18" s="37"/>
      <c r="C18" s="107">
        <v>39</v>
      </c>
      <c r="D18" s="101">
        <f t="shared" si="3"/>
        <v>62</v>
      </c>
      <c r="E18" s="101">
        <f t="shared" si="0"/>
        <v>3</v>
      </c>
      <c r="F18" s="102">
        <f t="shared" si="4"/>
        <v>85.97</v>
      </c>
      <c r="G18" s="103">
        <f>IF(D18=D17,"",_xlfn.IFNA(VLOOKUP(D18,'인원 입력 기능(사과탐)'!$F$5:$I$59,4,FALSE),0))</f>
        <v>745</v>
      </c>
      <c r="H18" s="104">
        <f t="shared" si="1"/>
        <v>2.102500423322233E-2</v>
      </c>
      <c r="I18" s="114">
        <f>SUM($G$7:G18)</f>
        <v>5343</v>
      </c>
      <c r="J18" s="106">
        <f t="shared" si="5"/>
        <v>0.15078737935316364</v>
      </c>
      <c r="K18" s="38"/>
      <c r="L18" s="20" t="str">
        <f t="shared" si="2"/>
        <v/>
      </c>
      <c r="N18" s="24"/>
    </row>
    <row r="19" spans="1:17" s="22" customFormat="1" ht="25" customHeight="1" x14ac:dyDescent="0.45">
      <c r="A19" s="20"/>
      <c r="B19" s="37"/>
      <c r="C19" s="100">
        <v>38</v>
      </c>
      <c r="D19" s="115">
        <f t="shared" si="3"/>
        <v>61</v>
      </c>
      <c r="E19" s="115">
        <f t="shared" si="0"/>
        <v>3</v>
      </c>
      <c r="F19" s="116">
        <f t="shared" si="4"/>
        <v>82.93</v>
      </c>
      <c r="G19" s="117">
        <f>IF(D19=D18,"",_xlfn.IFNA(VLOOKUP(D19,'인원 입력 기능(사과탐)'!$F$5:$I$59,4,FALSE),0))</f>
        <v>1413</v>
      </c>
      <c r="H19" s="118">
        <f t="shared" si="1"/>
        <v>3.987695433764181E-2</v>
      </c>
      <c r="I19" s="119">
        <f>SUM($G$7:G19)</f>
        <v>6756</v>
      </c>
      <c r="J19" s="120">
        <f t="shared" si="5"/>
        <v>0.19066433369080543</v>
      </c>
      <c r="K19" s="38"/>
      <c r="L19" s="20" t="str">
        <f t="shared" si="2"/>
        <v/>
      </c>
      <c r="N19" s="24"/>
    </row>
    <row r="20" spans="1:17" s="22" customFormat="1" ht="25" customHeight="1" x14ac:dyDescent="0.45">
      <c r="A20" s="20"/>
      <c r="B20" s="37"/>
      <c r="C20" s="107">
        <v>37</v>
      </c>
      <c r="D20" s="121"/>
      <c r="E20" s="121"/>
      <c r="F20" s="122"/>
      <c r="G20" s="123"/>
      <c r="H20" s="124"/>
      <c r="I20" s="125"/>
      <c r="J20" s="126"/>
      <c r="K20" s="38"/>
      <c r="L20" s="20" t="str">
        <f t="shared" si="2"/>
        <v>경고</v>
      </c>
      <c r="N20" s="24"/>
    </row>
    <row r="21" spans="1:17" s="22" customFormat="1" ht="25" customHeight="1" x14ac:dyDescent="0.45">
      <c r="A21" s="20"/>
      <c r="B21" s="37"/>
      <c r="C21" s="169">
        <v>36</v>
      </c>
      <c r="D21" s="128">
        <f t="shared" si="3"/>
        <v>60</v>
      </c>
      <c r="E21" s="128">
        <f t="shared" si="0"/>
        <v>3</v>
      </c>
      <c r="F21" s="102">
        <f t="shared" si="4"/>
        <v>79.87</v>
      </c>
      <c r="G21" s="103">
        <f>IF(D21=D20,"",_xlfn.IFNA(VLOOKUP(D21,'인원 입력 기능(사과탐)'!$F$5:$I$59,4,FALSE),0))</f>
        <v>757</v>
      </c>
      <c r="H21" s="104">
        <f t="shared" si="1"/>
        <v>2.1363662019529266E-2</v>
      </c>
      <c r="I21" s="114">
        <f>SUM($G$7:G21)</f>
        <v>7513</v>
      </c>
      <c r="J21" s="106">
        <f t="shared" si="5"/>
        <v>0.2120279957103347</v>
      </c>
      <c r="K21" s="38"/>
      <c r="L21" s="20" t="str">
        <f t="shared" si="2"/>
        <v/>
      </c>
      <c r="N21" s="24"/>
    </row>
    <row r="22" spans="1:17" s="22" customFormat="1" ht="25" customHeight="1" x14ac:dyDescent="0.45">
      <c r="A22" s="20"/>
      <c r="B22" s="37"/>
      <c r="C22" s="127">
        <v>35</v>
      </c>
      <c r="D22" s="128">
        <f t="shared" si="3"/>
        <v>59</v>
      </c>
      <c r="E22" s="128">
        <f t="shared" si="0"/>
        <v>3</v>
      </c>
      <c r="F22" s="102">
        <f t="shared" si="4"/>
        <v>77.7</v>
      </c>
      <c r="G22" s="103">
        <f>IF(D22=D21,"",_xlfn.IFNA(VLOOKUP(D22,'인원 입력 기능(사과탐)'!$F$5:$I$59,4,FALSE),0))</f>
        <v>776</v>
      </c>
      <c r="H22" s="104">
        <f t="shared" si="1"/>
        <v>2.1899870181181915E-2</v>
      </c>
      <c r="I22" s="114">
        <f>SUM($G$7:G22)</f>
        <v>8289</v>
      </c>
      <c r="J22" s="106">
        <f t="shared" si="5"/>
        <v>0.23392786589151662</v>
      </c>
      <c r="K22" s="38"/>
      <c r="L22" s="20" t="str">
        <f t="shared" si="2"/>
        <v/>
      </c>
      <c r="N22" s="24"/>
    </row>
    <row r="23" spans="1:17" s="22" customFormat="1" ht="25" customHeight="1" x14ac:dyDescent="0.45">
      <c r="A23" s="20"/>
      <c r="B23" s="37"/>
      <c r="C23" s="169">
        <v>34</v>
      </c>
      <c r="D23" s="128">
        <f t="shared" si="3"/>
        <v>58</v>
      </c>
      <c r="E23" s="128">
        <f t="shared" si="0"/>
        <v>4</v>
      </c>
      <c r="F23" s="102">
        <f t="shared" si="4"/>
        <v>75.36</v>
      </c>
      <c r="G23" s="103">
        <f>IF(D23=D22,"",_xlfn.IFNA(VLOOKUP(D23,'인원 입력 기능(사과탐)'!$F$5:$I$59,4,FALSE),0))</f>
        <v>885</v>
      </c>
      <c r="H23" s="104">
        <f t="shared" si="1"/>
        <v>2.497601174013659E-2</v>
      </c>
      <c r="I23" s="114">
        <f>SUM($G$7:G23)</f>
        <v>9174</v>
      </c>
      <c r="J23" s="106">
        <f t="shared" si="5"/>
        <v>0.25890387763165323</v>
      </c>
      <c r="K23" s="38"/>
      <c r="L23" s="20" t="str">
        <f t="shared" si="2"/>
        <v/>
      </c>
      <c r="N23" s="24"/>
    </row>
    <row r="24" spans="1:17" s="22" customFormat="1" ht="25" customHeight="1" x14ac:dyDescent="0.45">
      <c r="A24" s="20"/>
      <c r="B24" s="37"/>
      <c r="C24" s="127">
        <v>33</v>
      </c>
      <c r="D24" s="128">
        <f t="shared" si="3"/>
        <v>57</v>
      </c>
      <c r="E24" s="128">
        <f t="shared" si="0"/>
        <v>4</v>
      </c>
      <c r="F24" s="102">
        <f t="shared" si="4"/>
        <v>72.97</v>
      </c>
      <c r="G24" s="103">
        <f>IF(D24=D23,"",_xlfn.IFNA(VLOOKUP(D24,'인원 입력 기능(사과탐)'!$F$5:$I$59,4,FALSE),0))</f>
        <v>805</v>
      </c>
      <c r="H24" s="104">
        <f t="shared" si="1"/>
        <v>2.2718293164757014E-2</v>
      </c>
      <c r="I24" s="114">
        <f>SUM($G$7:G24)</f>
        <v>9979</v>
      </c>
      <c r="J24" s="106">
        <f t="shared" si="5"/>
        <v>0.28162217079641022</v>
      </c>
      <c r="K24" s="38"/>
      <c r="L24" s="20" t="str">
        <f t="shared" si="2"/>
        <v/>
      </c>
      <c r="N24" s="24"/>
    </row>
    <row r="25" spans="1:17" s="22" customFormat="1" ht="25" customHeight="1" x14ac:dyDescent="0.45">
      <c r="A25" s="20"/>
      <c r="B25" s="37"/>
      <c r="C25" s="169">
        <v>32</v>
      </c>
      <c r="D25" s="130">
        <f t="shared" si="3"/>
        <v>56</v>
      </c>
      <c r="E25" s="130">
        <f t="shared" si="0"/>
        <v>4</v>
      </c>
      <c r="F25" s="116">
        <f t="shared" si="4"/>
        <v>69.41</v>
      </c>
      <c r="G25" s="117">
        <f>IF(D25=D24,"",_xlfn.IFNA(VLOOKUP(D25,'인원 입력 기능(사과탐)'!$F$5:$I$59,4,FALSE),0))</f>
        <v>1724</v>
      </c>
      <c r="H25" s="118">
        <f t="shared" si="1"/>
        <v>4.8653835299429925E-2</v>
      </c>
      <c r="I25" s="119">
        <f>SUM($G$7:G25)</f>
        <v>11703</v>
      </c>
      <c r="J25" s="120">
        <f t="shared" si="5"/>
        <v>0.33027600609584018</v>
      </c>
      <c r="K25" s="38"/>
      <c r="L25" s="20" t="str">
        <f t="shared" si="2"/>
        <v/>
      </c>
      <c r="N25" s="24"/>
    </row>
    <row r="26" spans="1:17" s="22" customFormat="1" ht="25" customHeight="1" x14ac:dyDescent="0.45">
      <c r="A26" s="20"/>
      <c r="B26" s="37"/>
      <c r="C26" s="127">
        <v>31</v>
      </c>
      <c r="D26" s="132"/>
      <c r="E26" s="132"/>
      <c r="F26" s="122"/>
      <c r="G26" s="123"/>
      <c r="H26" s="124"/>
      <c r="I26" s="125"/>
      <c r="J26" s="126"/>
      <c r="K26" s="38"/>
      <c r="L26" s="20" t="str">
        <f t="shared" si="2"/>
        <v>경고</v>
      </c>
      <c r="N26" s="24"/>
    </row>
    <row r="27" spans="1:17" s="22" customFormat="1" ht="25" customHeight="1" x14ac:dyDescent="0.45">
      <c r="A27" s="20"/>
      <c r="B27" s="37"/>
      <c r="C27" s="169">
        <v>30</v>
      </c>
      <c r="D27" s="128">
        <f t="shared" si="3"/>
        <v>55</v>
      </c>
      <c r="E27" s="128">
        <f t="shared" si="0"/>
        <v>4</v>
      </c>
      <c r="F27" s="102">
        <f t="shared" si="4"/>
        <v>65.75</v>
      </c>
      <c r="G27" s="103">
        <f>IF(D27=D26,"",_xlfn.IFNA(VLOOKUP(D27,'인원 입력 기능(사과탐)'!$F$5:$I$59,4,FALSE),0))</f>
        <v>865</v>
      </c>
      <c r="H27" s="104">
        <f t="shared" si="1"/>
        <v>2.4411582096291698E-2</v>
      </c>
      <c r="I27" s="114">
        <f>SUM($G$7:G27)</f>
        <v>12568</v>
      </c>
      <c r="J27" s="106">
        <f t="shared" si="5"/>
        <v>0.35468758819213186</v>
      </c>
      <c r="K27" s="38"/>
      <c r="L27" s="20" t="str">
        <f t="shared" si="2"/>
        <v/>
      </c>
      <c r="N27" s="24"/>
    </row>
    <row r="28" spans="1:17" s="22" customFormat="1" ht="25" customHeight="1" x14ac:dyDescent="0.45">
      <c r="A28" s="20"/>
      <c r="B28" s="37"/>
      <c r="C28" s="127">
        <v>29</v>
      </c>
      <c r="D28" s="128">
        <f t="shared" si="3"/>
        <v>54</v>
      </c>
      <c r="E28" s="128">
        <f t="shared" si="0"/>
        <v>4</v>
      </c>
      <c r="F28" s="102">
        <f t="shared" si="4"/>
        <v>63.24</v>
      </c>
      <c r="G28" s="103">
        <f>IF(D28=D27,"",_xlfn.IFNA(VLOOKUP(D28,'인원 입력 기능(사과탐)'!$F$5:$I$59,4,FALSE),0))</f>
        <v>917</v>
      </c>
      <c r="H28" s="104">
        <f t="shared" si="1"/>
        <v>2.5879099170288425E-2</v>
      </c>
      <c r="I28" s="114">
        <f>SUM($G$7:G28)</f>
        <v>13485</v>
      </c>
      <c r="J28" s="106">
        <f t="shared" si="5"/>
        <v>0.38056668736242028</v>
      </c>
      <c r="K28" s="38"/>
      <c r="L28" s="20" t="str">
        <f t="shared" si="2"/>
        <v/>
      </c>
      <c r="N28" s="24"/>
    </row>
    <row r="29" spans="1:17" s="22" customFormat="1" ht="25" customHeight="1" x14ac:dyDescent="0.45">
      <c r="A29" s="20"/>
      <c r="B29" s="37"/>
      <c r="C29" s="169">
        <v>28</v>
      </c>
      <c r="D29" s="128">
        <f t="shared" si="3"/>
        <v>53</v>
      </c>
      <c r="E29" s="128">
        <f t="shared" si="0"/>
        <v>4</v>
      </c>
      <c r="F29" s="102">
        <f t="shared" si="4"/>
        <v>60.71</v>
      </c>
      <c r="G29" s="103">
        <f>IF(D29=D28,"",_xlfn.IFNA(VLOOKUP(D29,'인원 입력 기능(사과탐)'!$F$5:$I$59,4,FALSE),0))</f>
        <v>873</v>
      </c>
      <c r="H29" s="104">
        <f t="shared" si="1"/>
        <v>2.4637353953829655E-2</v>
      </c>
      <c r="I29" s="114">
        <f>SUM($G$7:G29)</f>
        <v>14358</v>
      </c>
      <c r="J29" s="106">
        <f t="shared" si="5"/>
        <v>0.40520404131624993</v>
      </c>
      <c r="K29" s="38"/>
      <c r="L29" s="20" t="str">
        <f t="shared" si="2"/>
        <v/>
      </c>
      <c r="N29" s="24"/>
    </row>
    <row r="30" spans="1:17" s="22" customFormat="1" ht="25" customHeight="1" x14ac:dyDescent="0.45">
      <c r="A30" s="20"/>
      <c r="B30" s="37"/>
      <c r="C30" s="127">
        <v>27</v>
      </c>
      <c r="D30" s="128">
        <f t="shared" si="3"/>
        <v>52</v>
      </c>
      <c r="E30" s="128">
        <f t="shared" si="0"/>
        <v>5</v>
      </c>
      <c r="F30" s="102">
        <f t="shared" si="4"/>
        <v>58.17</v>
      </c>
      <c r="G30" s="103">
        <f>IF(D30=D29,"",_xlfn.IFNA(VLOOKUP(D30,'인원 입력 기능(사과탐)'!$F$5:$I$59,4,FALSE),0))</f>
        <v>928</v>
      </c>
      <c r="H30" s="104">
        <f t="shared" si="1"/>
        <v>2.6189535474403117E-2</v>
      </c>
      <c r="I30" s="114">
        <f>SUM($G$7:G30)</f>
        <v>15286</v>
      </c>
      <c r="J30" s="106">
        <f t="shared" si="5"/>
        <v>0.43139357679065304</v>
      </c>
      <c r="K30" s="38"/>
      <c r="L30" s="20" t="str">
        <f t="shared" si="2"/>
        <v/>
      </c>
      <c r="N30" s="24"/>
    </row>
    <row r="31" spans="1:17" s="22" customFormat="1" ht="25" customHeight="1" x14ac:dyDescent="0.45">
      <c r="A31" s="20"/>
      <c r="B31" s="37"/>
      <c r="C31" s="169">
        <v>26</v>
      </c>
      <c r="D31" s="130">
        <f t="shared" si="3"/>
        <v>51</v>
      </c>
      <c r="E31" s="130">
        <f t="shared" si="0"/>
        <v>5</v>
      </c>
      <c r="F31" s="116">
        <f t="shared" si="4"/>
        <v>54.32</v>
      </c>
      <c r="G31" s="117">
        <f>IF(D31=D30,"",_xlfn.IFNA(VLOOKUP(D31,'인원 입력 기능(사과탐)'!$F$5:$I$59,4,FALSE),0))</f>
        <v>1803</v>
      </c>
      <c r="H31" s="118">
        <f t="shared" si="1"/>
        <v>5.0883332392617261E-2</v>
      </c>
      <c r="I31" s="119">
        <f>SUM($G$7:G31)</f>
        <v>17089</v>
      </c>
      <c r="J31" s="120">
        <f t="shared" si="5"/>
        <v>0.48227690918327032</v>
      </c>
      <c r="K31" s="38"/>
      <c r="L31" s="20" t="str">
        <f t="shared" si="2"/>
        <v/>
      </c>
      <c r="N31" s="24"/>
    </row>
    <row r="32" spans="1:17" s="22" customFormat="1" ht="25" customHeight="1" x14ac:dyDescent="0.45">
      <c r="A32" s="20"/>
      <c r="B32" s="37"/>
      <c r="C32" s="127">
        <v>25</v>
      </c>
      <c r="D32" s="132"/>
      <c r="E32" s="132"/>
      <c r="F32" s="122"/>
      <c r="G32" s="123"/>
      <c r="H32" s="124"/>
      <c r="I32" s="125"/>
      <c r="J32" s="126"/>
      <c r="K32" s="38"/>
      <c r="L32" s="20" t="str">
        <f t="shared" si="2"/>
        <v>경고</v>
      </c>
      <c r="N32" s="24"/>
    </row>
    <row r="33" spans="1:14" s="22" customFormat="1" ht="25" customHeight="1" x14ac:dyDescent="0.45">
      <c r="A33" s="20"/>
      <c r="B33" s="37"/>
      <c r="C33" s="169">
        <v>24</v>
      </c>
      <c r="D33" s="128">
        <f t="shared" si="3"/>
        <v>50</v>
      </c>
      <c r="E33" s="128">
        <f t="shared" si="0"/>
        <v>5</v>
      </c>
      <c r="F33" s="102">
        <f t="shared" si="4"/>
        <v>50.57</v>
      </c>
      <c r="G33" s="103">
        <f>IF(D33=D32,"",_xlfn.IFNA(VLOOKUP(D33,'인원 입력 기능(사과탐)'!$F$5:$I$59,4,FALSE),0))</f>
        <v>855</v>
      </c>
      <c r="H33" s="104">
        <f t="shared" si="1"/>
        <v>2.4129367274369248E-2</v>
      </c>
      <c r="I33" s="114">
        <f>SUM($G$7:G33)</f>
        <v>17944</v>
      </c>
      <c r="J33" s="106">
        <f t="shared" si="5"/>
        <v>0.50640627645763958</v>
      </c>
      <c r="K33" s="38"/>
      <c r="L33" s="20" t="str">
        <f t="shared" si="2"/>
        <v/>
      </c>
      <c r="N33" s="24"/>
    </row>
    <row r="34" spans="1:14" s="22" customFormat="1" ht="25" customHeight="1" x14ac:dyDescent="0.45">
      <c r="A34" s="20"/>
      <c r="B34" s="37"/>
      <c r="C34" s="127">
        <v>23</v>
      </c>
      <c r="D34" s="128">
        <f t="shared" si="3"/>
        <v>49</v>
      </c>
      <c r="E34" s="128">
        <f t="shared" si="0"/>
        <v>5</v>
      </c>
      <c r="F34" s="102">
        <f t="shared" si="4"/>
        <v>48.18</v>
      </c>
      <c r="G34" s="103">
        <f>IF(D34=D33,"",_xlfn.IFNA(VLOOKUP(D34,'인원 입력 기능(사과탐)'!$F$5:$I$59,4,FALSE),0))</f>
        <v>836</v>
      </c>
      <c r="H34" s="104">
        <f t="shared" si="1"/>
        <v>2.3593159112716599E-2</v>
      </c>
      <c r="I34" s="114">
        <f>SUM($G$7:G34)</f>
        <v>18780</v>
      </c>
      <c r="J34" s="106">
        <f t="shared" si="5"/>
        <v>0.52999943557035611</v>
      </c>
      <c r="K34" s="38"/>
      <c r="L34" s="20" t="str">
        <f t="shared" si="2"/>
        <v/>
      </c>
      <c r="N34" s="24"/>
    </row>
    <row r="35" spans="1:14" s="22" customFormat="1" ht="25" customHeight="1" x14ac:dyDescent="0.45">
      <c r="A35" s="20"/>
      <c r="B35" s="37"/>
      <c r="C35" s="169">
        <v>22</v>
      </c>
      <c r="D35" s="128">
        <f t="shared" si="3"/>
        <v>48</v>
      </c>
      <c r="E35" s="128">
        <f t="shared" si="0"/>
        <v>5</v>
      </c>
      <c r="F35" s="102">
        <f t="shared" si="4"/>
        <v>45.86</v>
      </c>
      <c r="G35" s="103">
        <f>IF(D35=D34,"",_xlfn.IFNA(VLOOKUP(D35,'인원 입력 기능(사과탐)'!$F$5:$I$59,4,FALSE),0))</f>
        <v>806</v>
      </c>
      <c r="H35" s="104">
        <f t="shared" si="1"/>
        <v>2.2746514646949257E-2</v>
      </c>
      <c r="I35" s="114">
        <f>SUM($G$7:G35)</f>
        <v>19586</v>
      </c>
      <c r="J35" s="106">
        <f t="shared" si="5"/>
        <v>0.55274595021730544</v>
      </c>
      <c r="K35" s="38"/>
      <c r="L35" s="20" t="str">
        <f t="shared" si="2"/>
        <v/>
      </c>
      <c r="N35" s="24"/>
    </row>
    <row r="36" spans="1:14" s="22" customFormat="1" ht="25" customHeight="1" x14ac:dyDescent="0.45">
      <c r="A36" s="20"/>
      <c r="B36" s="37"/>
      <c r="C36" s="127">
        <v>21</v>
      </c>
      <c r="D36" s="128">
        <f t="shared" si="3"/>
        <v>47</v>
      </c>
      <c r="E36" s="128">
        <f t="shared" si="0"/>
        <v>5</v>
      </c>
      <c r="F36" s="102">
        <f t="shared" si="4"/>
        <v>43.55</v>
      </c>
      <c r="G36" s="103">
        <f>IF(D36=D35,"",_xlfn.IFNA(VLOOKUP(D36,'인원 입력 기능(사과탐)'!$F$5:$I$59,4,FALSE),0))</f>
        <v>834</v>
      </c>
      <c r="H36" s="104">
        <f t="shared" si="1"/>
        <v>2.353671614833211E-2</v>
      </c>
      <c r="I36" s="114">
        <f>SUM($G$7:G36)</f>
        <v>20420</v>
      </c>
      <c r="J36" s="106">
        <f t="shared" si="5"/>
        <v>0.57628266636563752</v>
      </c>
      <c r="K36" s="38"/>
      <c r="L36" s="20" t="str">
        <f t="shared" si="2"/>
        <v/>
      </c>
      <c r="N36" s="24"/>
    </row>
    <row r="37" spans="1:14" s="22" customFormat="1" ht="25" customHeight="1" x14ac:dyDescent="0.45">
      <c r="A37" s="20"/>
      <c r="B37" s="37"/>
      <c r="C37" s="169">
        <v>20</v>
      </c>
      <c r="D37" s="128">
        <f t="shared" si="3"/>
        <v>46</v>
      </c>
      <c r="E37" s="128">
        <f t="shared" si="0"/>
        <v>5</v>
      </c>
      <c r="F37" s="102">
        <f t="shared" si="4"/>
        <v>41.13</v>
      </c>
      <c r="G37" s="103">
        <f>IF(D37=D36,"",_xlfn.IFNA(VLOOKUP(D37,'인원 입력 기능(사과탐)'!$F$5:$I$59,4,FALSE),0))</f>
        <v>880</v>
      </c>
      <c r="H37" s="104">
        <f t="shared" si="1"/>
        <v>2.4834904329175369E-2</v>
      </c>
      <c r="I37" s="114">
        <f>SUM($G$7:G37)</f>
        <v>21300</v>
      </c>
      <c r="J37" s="106">
        <f t="shared" si="5"/>
        <v>0.60111757069481286</v>
      </c>
      <c r="K37" s="38"/>
      <c r="L37" s="20" t="str">
        <f t="shared" si="2"/>
        <v/>
      </c>
      <c r="N37" s="24"/>
    </row>
    <row r="38" spans="1:14" s="22" customFormat="1" ht="25" customHeight="1" x14ac:dyDescent="0.45">
      <c r="A38" s="20"/>
      <c r="B38" s="37"/>
      <c r="C38" s="127">
        <v>19</v>
      </c>
      <c r="D38" s="130">
        <f t="shared" si="3"/>
        <v>45</v>
      </c>
      <c r="E38" s="130">
        <f t="shared" si="0"/>
        <v>6</v>
      </c>
      <c r="F38" s="116">
        <f t="shared" si="4"/>
        <v>37.450000000000003</v>
      </c>
      <c r="G38" s="117">
        <f>IF(D38=D37,"",_xlfn.IFNA(VLOOKUP(D38,'인원 입력 기능(사과탐)'!$F$5:$I$59,4,FALSE),0))</f>
        <v>1727</v>
      </c>
      <c r="H38" s="118">
        <f t="shared" si="1"/>
        <v>4.8738499746006657E-2</v>
      </c>
      <c r="I38" s="119">
        <f>SUM($G$7:G38)</f>
        <v>23027</v>
      </c>
      <c r="J38" s="120">
        <f t="shared" si="5"/>
        <v>0.6498560704408195</v>
      </c>
      <c r="K38" s="38"/>
      <c r="L38" s="20" t="str">
        <f t="shared" si="2"/>
        <v>경고</v>
      </c>
      <c r="N38" s="24"/>
    </row>
    <row r="39" spans="1:14" s="22" customFormat="1" ht="25" customHeight="1" x14ac:dyDescent="0.45">
      <c r="A39" s="20"/>
      <c r="B39" s="37"/>
      <c r="C39" s="169">
        <v>18</v>
      </c>
      <c r="D39" s="132"/>
      <c r="E39" s="132"/>
      <c r="F39" s="122"/>
      <c r="G39" s="123"/>
      <c r="H39" s="124"/>
      <c r="I39" s="125"/>
      <c r="J39" s="126"/>
      <c r="K39" s="38"/>
      <c r="L39" s="20" t="str">
        <f t="shared" si="2"/>
        <v>경고</v>
      </c>
      <c r="N39" s="24"/>
    </row>
    <row r="40" spans="1:14" s="22" customFormat="1" ht="25" customHeight="1" x14ac:dyDescent="0.45">
      <c r="A40" s="20"/>
      <c r="B40" s="37"/>
      <c r="C40" s="127">
        <v>17</v>
      </c>
      <c r="D40" s="128">
        <f t="shared" si="3"/>
        <v>44</v>
      </c>
      <c r="E40" s="128">
        <f t="shared" ref="E40:E57" si="6">IF(ROUND(D40,0)&gt;=$Q$7,1,IF(ROUND(D40,0)&gt;=$Q$8,2,IF(ROUND(D40,0)&gt;=$Q$9,3,IF(ROUND(D40,0)&gt;=$Q$10,4,IF(ROUND(D40,0)&gt;=$Q$11,5,IF(ROUND(D40,0)&gt;=$Q$12,6,IF(ROUND(D40,0)&gt;=$Q$13,7,IF(ROUND(D40,0)&gt;=$Q$14,8,9))))))))</f>
        <v>6</v>
      </c>
      <c r="F40" s="102">
        <f t="shared" si="4"/>
        <v>33.9</v>
      </c>
      <c r="G40" s="103">
        <f>IF(D40=D39,"",_xlfn.IFNA(VLOOKUP(D40,'인원 입력 기능(사과탐)'!$F$5:$I$59,4,FALSE),0))</f>
        <v>791</v>
      </c>
      <c r="H40" s="104">
        <f t="shared" si="1"/>
        <v>2.2323192414065586E-2</v>
      </c>
      <c r="I40" s="114">
        <f>SUM($G$7:G40)</f>
        <v>23818</v>
      </c>
      <c r="J40" s="106">
        <f t="shared" si="5"/>
        <v>0.67217926285488516</v>
      </c>
      <c r="K40" s="38"/>
      <c r="L40" s="20" t="str">
        <f t="shared" si="2"/>
        <v/>
      </c>
      <c r="N40" s="24"/>
    </row>
    <row r="41" spans="1:14" s="22" customFormat="1" ht="25" customHeight="1" x14ac:dyDescent="0.45">
      <c r="A41" s="20"/>
      <c r="B41" s="37"/>
      <c r="C41" s="169">
        <v>16</v>
      </c>
      <c r="D41" s="128">
        <f t="shared" si="3"/>
        <v>43</v>
      </c>
      <c r="E41" s="128">
        <f t="shared" si="6"/>
        <v>6</v>
      </c>
      <c r="F41" s="102">
        <f t="shared" si="4"/>
        <v>31.63</v>
      </c>
      <c r="G41" s="103">
        <f>IF(D41=D40,"",_xlfn.IFNA(VLOOKUP(D41,'인원 입력 기능(사과탐)'!$F$5:$I$59,4,FALSE),0))</f>
        <v>818</v>
      </c>
      <c r="H41" s="104">
        <f t="shared" si="1"/>
        <v>2.3085172433256196E-2</v>
      </c>
      <c r="I41" s="114">
        <f>SUM($G$7:G41)</f>
        <v>24636</v>
      </c>
      <c r="J41" s="106">
        <f t="shared" si="5"/>
        <v>0.6952644352881413</v>
      </c>
      <c r="K41" s="38"/>
      <c r="L41" s="20" t="str">
        <f t="shared" si="2"/>
        <v/>
      </c>
      <c r="N41" s="24"/>
    </row>
    <row r="42" spans="1:14" s="22" customFormat="1" ht="25" customHeight="1" x14ac:dyDescent="0.45">
      <c r="A42" s="20"/>
      <c r="B42" s="37"/>
      <c r="C42" s="127">
        <v>15</v>
      </c>
      <c r="D42" s="128">
        <f t="shared" si="3"/>
        <v>42</v>
      </c>
      <c r="E42" s="128">
        <f t="shared" si="6"/>
        <v>6</v>
      </c>
      <c r="F42" s="102">
        <f t="shared" si="4"/>
        <v>29.12</v>
      </c>
      <c r="G42" s="103">
        <f>IF(D42=D41,"",_xlfn.IFNA(VLOOKUP(D42,'인원 입력 기능(사과탐)'!$F$5:$I$59,4,FALSE),0))</f>
        <v>959</v>
      </c>
      <c r="H42" s="104">
        <f t="shared" si="1"/>
        <v>2.7064401422362702E-2</v>
      </c>
      <c r="I42" s="114">
        <f>SUM($G$7:G42)</f>
        <v>25595</v>
      </c>
      <c r="J42" s="106">
        <f t="shared" si="5"/>
        <v>0.72232883671050407</v>
      </c>
      <c r="K42" s="38"/>
      <c r="L42" s="20" t="str">
        <f t="shared" si="2"/>
        <v/>
      </c>
      <c r="N42" s="24"/>
    </row>
    <row r="43" spans="1:14" s="22" customFormat="1" ht="25" customHeight="1" x14ac:dyDescent="0.45">
      <c r="A43" s="20"/>
      <c r="B43" s="37"/>
      <c r="C43" s="169">
        <v>14</v>
      </c>
      <c r="D43" s="128">
        <f t="shared" si="3"/>
        <v>41</v>
      </c>
      <c r="E43" s="128">
        <f t="shared" si="6"/>
        <v>6</v>
      </c>
      <c r="F43" s="102">
        <f t="shared" si="4"/>
        <v>26.66</v>
      </c>
      <c r="G43" s="103">
        <f>IF(D43=D42,"",_xlfn.IFNA(VLOOKUP(D43,'인원 입력 기능(사과탐)'!$F$5:$I$59,4,FALSE),0))</f>
        <v>783</v>
      </c>
      <c r="H43" s="104">
        <f t="shared" si="1"/>
        <v>2.2097420556527629E-2</v>
      </c>
      <c r="I43" s="114">
        <f>SUM($G$7:G43)</f>
        <v>26378</v>
      </c>
      <c r="J43" s="106">
        <f t="shared" si="5"/>
        <v>0.74442625726703171</v>
      </c>
      <c r="K43" s="38"/>
      <c r="L43" s="20" t="str">
        <f t="shared" si="2"/>
        <v/>
      </c>
      <c r="N43" s="24"/>
    </row>
    <row r="44" spans="1:14" s="22" customFormat="1" ht="25" customHeight="1" x14ac:dyDescent="0.45">
      <c r="A44" s="20"/>
      <c r="B44" s="37"/>
      <c r="C44" s="127">
        <v>13</v>
      </c>
      <c r="D44" s="130">
        <f t="shared" si="3"/>
        <v>40</v>
      </c>
      <c r="E44" s="130">
        <f t="shared" si="6"/>
        <v>6</v>
      </c>
      <c r="F44" s="116">
        <f t="shared" si="4"/>
        <v>21.71</v>
      </c>
      <c r="G44" s="117">
        <f>IF(D44=D43,"",_xlfn.IFNA(VLOOKUP(D44,'인원 입력 기능(사과탐)'!$F$5:$I$59,4,FALSE),0))</f>
        <v>2726</v>
      </c>
      <c r="H44" s="118">
        <f t="shared" si="1"/>
        <v>7.6931760456059151E-2</v>
      </c>
      <c r="I44" s="119">
        <f>SUM($G$7:G44)</f>
        <v>29104</v>
      </c>
      <c r="J44" s="120">
        <f t="shared" si="5"/>
        <v>0.82135801772309081</v>
      </c>
      <c r="K44" s="38"/>
      <c r="L44" s="20" t="str">
        <f t="shared" si="2"/>
        <v/>
      </c>
      <c r="N44" s="24"/>
    </row>
    <row r="45" spans="1:14" s="22" customFormat="1" ht="25" customHeight="1" x14ac:dyDescent="0.45">
      <c r="A45" s="20"/>
      <c r="B45" s="37"/>
      <c r="C45" s="169">
        <v>12</v>
      </c>
      <c r="D45" s="132"/>
      <c r="E45" s="132"/>
      <c r="F45" s="122"/>
      <c r="G45" s="123"/>
      <c r="H45" s="124"/>
      <c r="I45" s="125"/>
      <c r="J45" s="126"/>
      <c r="K45" s="38"/>
      <c r="L45" s="20" t="str">
        <f t="shared" si="2"/>
        <v>경고</v>
      </c>
      <c r="N45" s="24"/>
    </row>
    <row r="46" spans="1:14" s="22" customFormat="1" ht="25" customHeight="1" x14ac:dyDescent="0.45">
      <c r="A46" s="20"/>
      <c r="B46" s="37"/>
      <c r="C46" s="127">
        <v>11</v>
      </c>
      <c r="D46" s="128">
        <f t="shared" si="3"/>
        <v>39</v>
      </c>
      <c r="E46" s="128">
        <f t="shared" si="6"/>
        <v>7</v>
      </c>
      <c r="F46" s="102">
        <f t="shared" si="4"/>
        <v>16.559999999999999</v>
      </c>
      <c r="G46" s="103">
        <f>IF(D46=D45,"",_xlfn.IFNA(VLOOKUP(D46,'인원 입력 기능(사과탐)'!$F$5:$I$59,4,FALSE),0))</f>
        <v>926</v>
      </c>
      <c r="H46" s="104">
        <f t="shared" si="1"/>
        <v>2.6133092510018625E-2</v>
      </c>
      <c r="I46" s="114">
        <f>SUM($G$7:G46)</f>
        <v>30030</v>
      </c>
      <c r="J46" s="106">
        <f t="shared" si="5"/>
        <v>0.84749111023310941</v>
      </c>
      <c r="K46" s="38"/>
      <c r="L46" s="20" t="str">
        <f t="shared" si="2"/>
        <v/>
      </c>
      <c r="N46" s="24"/>
    </row>
    <row r="47" spans="1:14" s="22" customFormat="1" ht="25" customHeight="1" x14ac:dyDescent="0.45">
      <c r="A47" s="20"/>
      <c r="B47" s="37"/>
      <c r="C47" s="169">
        <v>10</v>
      </c>
      <c r="D47" s="128">
        <f t="shared" si="3"/>
        <v>38</v>
      </c>
      <c r="E47" s="128">
        <f t="shared" si="6"/>
        <v>7</v>
      </c>
      <c r="F47" s="102">
        <f t="shared" si="4"/>
        <v>11.53</v>
      </c>
      <c r="G47" s="103">
        <f>IF(D47=D46,"",_xlfn.IFNA(VLOOKUP(D47,'인원 입력 기능(사과탐)'!$F$5:$I$59,4,FALSE),0))</f>
        <v>2636</v>
      </c>
      <c r="H47" s="104">
        <f t="shared" si="1"/>
        <v>7.4391827058757132E-2</v>
      </c>
      <c r="I47" s="114">
        <f>SUM($G$7:G47)</f>
        <v>32666</v>
      </c>
      <c r="J47" s="106">
        <f t="shared" si="5"/>
        <v>0.92188293729186654</v>
      </c>
      <c r="K47" s="38"/>
      <c r="L47" s="20" t="str">
        <f t="shared" si="2"/>
        <v/>
      </c>
      <c r="N47" s="24"/>
    </row>
    <row r="48" spans="1:14" s="22" customFormat="1" ht="25" customHeight="1" x14ac:dyDescent="0.45">
      <c r="A48" s="20"/>
      <c r="B48" s="37"/>
      <c r="C48" s="127">
        <v>9</v>
      </c>
      <c r="D48" s="128">
        <f t="shared" si="3"/>
        <v>37</v>
      </c>
      <c r="E48" s="128">
        <f t="shared" si="6"/>
        <v>8</v>
      </c>
      <c r="F48" s="102">
        <f t="shared" si="4"/>
        <v>7</v>
      </c>
      <c r="G48" s="103">
        <f>IF(D48=D47,"",_xlfn.IFNA(VLOOKUP(D48,'인원 입력 기능(사과탐)'!$F$5:$I$59,4,FALSE),0))</f>
        <v>575</v>
      </c>
      <c r="H48" s="104">
        <f t="shared" si="1"/>
        <v>1.6227352260540725E-2</v>
      </c>
      <c r="I48" s="114">
        <f>SUM($G$7:G48)</f>
        <v>33241</v>
      </c>
      <c r="J48" s="106">
        <f t="shared" si="5"/>
        <v>0.93811028955240727</v>
      </c>
      <c r="K48" s="38"/>
      <c r="L48" s="20" t="str">
        <f t="shared" si="2"/>
        <v/>
      </c>
      <c r="N48" s="24"/>
    </row>
    <row r="49" spans="1:14" s="22" customFormat="1" ht="25" customHeight="1" x14ac:dyDescent="0.45">
      <c r="A49" s="20"/>
      <c r="B49" s="37"/>
      <c r="C49" s="169">
        <v>8</v>
      </c>
      <c r="D49" s="128">
        <f t="shared" si="3"/>
        <v>36</v>
      </c>
      <c r="E49" s="128">
        <f t="shared" si="6"/>
        <v>8</v>
      </c>
      <c r="F49" s="102">
        <f t="shared" si="4"/>
        <v>5.42</v>
      </c>
      <c r="G49" s="103">
        <f>IF(D49=D48,"",_xlfn.IFNA(VLOOKUP(D49,'인원 입력 기능(사과탐)'!$F$5:$I$59,4,FALSE),0))</f>
        <v>548</v>
      </c>
      <c r="H49" s="104">
        <f t="shared" si="1"/>
        <v>1.5465372241350115E-2</v>
      </c>
      <c r="I49" s="114">
        <f>SUM($G$7:G49)</f>
        <v>33789</v>
      </c>
      <c r="J49" s="106">
        <f t="shared" si="5"/>
        <v>0.95357566179375741</v>
      </c>
      <c r="K49" s="38"/>
      <c r="L49" s="20" t="str">
        <f t="shared" si="2"/>
        <v/>
      </c>
      <c r="N49" s="24"/>
    </row>
    <row r="50" spans="1:14" s="22" customFormat="1" ht="25" customHeight="1" x14ac:dyDescent="0.45">
      <c r="A50" s="20"/>
      <c r="B50" s="37"/>
      <c r="C50" s="127">
        <v>7</v>
      </c>
      <c r="D50" s="130">
        <f t="shared" si="3"/>
        <v>35</v>
      </c>
      <c r="E50" s="130">
        <f t="shared" si="6"/>
        <v>8</v>
      </c>
      <c r="F50" s="116">
        <f t="shared" si="4"/>
        <v>3.35</v>
      </c>
      <c r="G50" s="117">
        <f>IF(D50=D49,"",_xlfn.IFNA(VLOOKUP(D50,'인원 입력 기능(사과탐)'!$F$5:$I$59,4,FALSE),0))</f>
        <v>915</v>
      </c>
      <c r="H50" s="118">
        <f t="shared" si="1"/>
        <v>2.5822656205903936E-2</v>
      </c>
      <c r="I50" s="119">
        <f>SUM($G$7:G50)</f>
        <v>34704</v>
      </c>
      <c r="J50" s="120">
        <f t="shared" si="5"/>
        <v>0.97939831799966137</v>
      </c>
      <c r="K50" s="38"/>
      <c r="L50" s="20" t="str">
        <f t="shared" si="2"/>
        <v/>
      </c>
      <c r="N50" s="24"/>
    </row>
    <row r="51" spans="1:14" s="22" customFormat="1" ht="25" customHeight="1" x14ac:dyDescent="0.45">
      <c r="A51" s="20"/>
      <c r="B51" s="37"/>
      <c r="C51" s="169">
        <v>6</v>
      </c>
      <c r="D51" s="132"/>
      <c r="E51" s="132"/>
      <c r="F51" s="122"/>
      <c r="G51" s="123"/>
      <c r="H51" s="124"/>
      <c r="I51" s="125"/>
      <c r="J51" s="126"/>
      <c r="K51" s="38"/>
      <c r="L51" s="20" t="str">
        <f t="shared" si="2"/>
        <v>경고</v>
      </c>
      <c r="N51" s="24"/>
    </row>
    <row r="52" spans="1:14" s="22" customFormat="1" ht="25" customHeight="1" x14ac:dyDescent="0.45">
      <c r="A52" s="20"/>
      <c r="B52" s="37"/>
      <c r="C52" s="127">
        <v>5</v>
      </c>
      <c r="D52" s="128">
        <f t="shared" si="3"/>
        <v>34</v>
      </c>
      <c r="E52" s="128">
        <f t="shared" si="6"/>
        <v>9</v>
      </c>
      <c r="F52" s="102">
        <f t="shared" si="4"/>
        <v>1.6</v>
      </c>
      <c r="G52" s="103">
        <f>IF(D52=D51,"",_xlfn.IFNA(VLOOKUP(D52,'인원 입력 기능(사과탐)'!$F$5:$I$59,4,FALSE),0))</f>
        <v>324</v>
      </c>
      <c r="H52" s="104">
        <f t="shared" si="1"/>
        <v>9.1437602302872952E-3</v>
      </c>
      <c r="I52" s="114">
        <f>SUM($G$7:G52)</f>
        <v>35028</v>
      </c>
      <c r="J52" s="106">
        <f t="shared" si="5"/>
        <v>0.98854207822994866</v>
      </c>
      <c r="K52" s="38"/>
      <c r="L52" s="20" t="str">
        <f t="shared" si="2"/>
        <v/>
      </c>
      <c r="N52" s="24"/>
    </row>
    <row r="53" spans="1:14" s="22" customFormat="1" ht="25" customHeight="1" x14ac:dyDescent="0.45">
      <c r="A53" s="20"/>
      <c r="B53" s="37"/>
      <c r="C53" s="100">
        <v>4</v>
      </c>
      <c r="D53" s="101">
        <f t="shared" si="3"/>
        <v>33</v>
      </c>
      <c r="E53" s="101">
        <f t="shared" si="6"/>
        <v>9</v>
      </c>
      <c r="F53" s="102">
        <f t="shared" si="4"/>
        <v>0.95</v>
      </c>
      <c r="G53" s="103">
        <f>IF(D53=D52,"",_xlfn.IFNA(VLOOKUP(D53,'인원 입력 기능(사과탐)'!$F$5:$I$59,4,FALSE),0))</f>
        <v>139</v>
      </c>
      <c r="H53" s="104">
        <f t="shared" si="1"/>
        <v>3.922786024722018E-3</v>
      </c>
      <c r="I53" s="114">
        <f>SUM($G$7:G53)</f>
        <v>35167</v>
      </c>
      <c r="J53" s="106">
        <f t="shared" si="5"/>
        <v>0.99246486425467062</v>
      </c>
      <c r="K53" s="38"/>
      <c r="L53" s="20" t="str">
        <f t="shared" si="2"/>
        <v/>
      </c>
      <c r="N53" s="24"/>
    </row>
    <row r="54" spans="1:14" s="22" customFormat="1" ht="25" customHeight="1" x14ac:dyDescent="0.45">
      <c r="A54" s="20"/>
      <c r="B54" s="37"/>
      <c r="C54" s="107">
        <v>3</v>
      </c>
      <c r="D54" s="101">
        <f t="shared" si="3"/>
        <v>32</v>
      </c>
      <c r="E54" s="101">
        <f t="shared" si="6"/>
        <v>9</v>
      </c>
      <c r="F54" s="102">
        <f t="shared" si="4"/>
        <v>0.63</v>
      </c>
      <c r="G54" s="103">
        <f>IF(D54=D53,"",_xlfn.IFNA(VLOOKUP(D54,'인원 입력 기능(사과탐)'!$F$5:$I$59,4,FALSE),0))</f>
        <v>84</v>
      </c>
      <c r="H54" s="104">
        <f t="shared" si="1"/>
        <v>2.3706045041485581E-3</v>
      </c>
      <c r="I54" s="114">
        <f>SUM($G$7:G54)</f>
        <v>35251</v>
      </c>
      <c r="J54" s="106">
        <f t="shared" si="5"/>
        <v>0.99483546875881923</v>
      </c>
      <c r="K54" s="38"/>
      <c r="L54" s="20" t="str">
        <f t="shared" si="2"/>
        <v/>
      </c>
      <c r="N54" s="24"/>
    </row>
    <row r="55" spans="1:14" s="22" customFormat="1" ht="25" customHeight="1" x14ac:dyDescent="0.45">
      <c r="A55" s="20"/>
      <c r="B55" s="37"/>
      <c r="C55" s="100">
        <v>2</v>
      </c>
      <c r="D55" s="101">
        <f t="shared" si="3"/>
        <v>31</v>
      </c>
      <c r="E55" s="101">
        <f t="shared" si="6"/>
        <v>9</v>
      </c>
      <c r="F55" s="102">
        <f t="shared" si="4"/>
        <v>0.35</v>
      </c>
      <c r="G55" s="103">
        <f>IF(D55=D54,"",_xlfn.IFNA(VLOOKUP(D55,'인원 입력 기능(사과탐)'!$F$5:$I$59,4,FALSE),0))</f>
        <v>116</v>
      </c>
      <c r="H55" s="104">
        <f t="shared" si="1"/>
        <v>3.2736919343003897E-3</v>
      </c>
      <c r="I55" s="114">
        <f>SUM($G$7:G55)</f>
        <v>35367</v>
      </c>
      <c r="J55" s="106">
        <f t="shared" si="5"/>
        <v>0.99810916069311961</v>
      </c>
      <c r="K55" s="38"/>
      <c r="L55" s="20" t="str">
        <f t="shared" si="2"/>
        <v/>
      </c>
      <c r="N55" s="24"/>
    </row>
    <row r="56" spans="1:14" s="22" customFormat="1" ht="25" customHeight="1" x14ac:dyDescent="0.45">
      <c r="A56" s="20"/>
      <c r="B56" s="37"/>
      <c r="C56" s="107">
        <v>1</v>
      </c>
      <c r="D56" s="108" t="s">
        <v>54</v>
      </c>
      <c r="E56" s="108"/>
      <c r="F56" s="109"/>
      <c r="G56" s="170"/>
      <c r="H56" s="168"/>
      <c r="I56" s="134"/>
      <c r="J56" s="113"/>
      <c r="K56" s="38"/>
      <c r="L56" s="20"/>
      <c r="N56" s="24"/>
    </row>
    <row r="57" spans="1:14" s="22" customFormat="1" ht="25" customHeight="1" thickBot="1" x14ac:dyDescent="0.5">
      <c r="A57" s="20"/>
      <c r="B57" s="37"/>
      <c r="C57" s="171">
        <v>0</v>
      </c>
      <c r="D57" s="136">
        <f>ROUND(10*(C57-$H$3)/$H$4+50,0)</f>
        <v>30</v>
      </c>
      <c r="E57" s="172">
        <f t="shared" si="6"/>
        <v>9</v>
      </c>
      <c r="F57" s="137">
        <f>IF(I55=0,ROUND(100*(1-(I54+I57)/2/$J$3),2),ROUND(100*(1-(I55+I57)/2/$J$3),2))</f>
        <v>0.09</v>
      </c>
      <c r="G57" s="173">
        <f>_xlfn.IFNA(VLOOKUP(D57,'인원 입력 기능(사과탐)'!$F$5:$I$59,4,FALSE),0)</f>
        <v>67</v>
      </c>
      <c r="H57" s="139">
        <f>G57/$J$3</f>
        <v>1.8908393068803975E-3</v>
      </c>
      <c r="I57" s="140">
        <f>SUM($G$7:G57)</f>
        <v>35434</v>
      </c>
      <c r="J57" s="174">
        <f>I57/$J$3</f>
        <v>1</v>
      </c>
      <c r="K57" s="38"/>
      <c r="L57" s="20" t="str">
        <f t="shared" si="2"/>
        <v/>
      </c>
      <c r="N57" s="24"/>
    </row>
    <row r="58" spans="1:14" ht="6" customHeight="1" x14ac:dyDescent="0.45">
      <c r="A58" s="5"/>
      <c r="B58" s="34"/>
      <c r="C58" s="35"/>
      <c r="D58" s="35"/>
      <c r="E58" s="35"/>
      <c r="F58" s="35"/>
      <c r="G58" s="35"/>
      <c r="H58" s="35"/>
      <c r="I58" s="35"/>
      <c r="J58" s="35"/>
      <c r="K58" s="36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51">
    <mergeCell ref="I50:I51"/>
    <mergeCell ref="J50:J51"/>
    <mergeCell ref="D50:D51"/>
    <mergeCell ref="E50:E51"/>
    <mergeCell ref="F50:F51"/>
    <mergeCell ref="G50:G51"/>
    <mergeCell ref="H50:H51"/>
    <mergeCell ref="I38:I39"/>
    <mergeCell ref="J38:J39"/>
    <mergeCell ref="D44:D45"/>
    <mergeCell ref="E44:E45"/>
    <mergeCell ref="F44:F45"/>
    <mergeCell ref="G44:G45"/>
    <mergeCell ref="H44:H45"/>
    <mergeCell ref="I44:I45"/>
    <mergeCell ref="J44:J45"/>
    <mergeCell ref="D38:D39"/>
    <mergeCell ref="E38:E39"/>
    <mergeCell ref="F38:F39"/>
    <mergeCell ref="G38:G39"/>
    <mergeCell ref="H38:H39"/>
    <mergeCell ref="I25:I26"/>
    <mergeCell ref="J25:J26"/>
    <mergeCell ref="D31:D32"/>
    <mergeCell ref="E31:E32"/>
    <mergeCell ref="F31:F32"/>
    <mergeCell ref="G31:G32"/>
    <mergeCell ref="H31:H32"/>
    <mergeCell ref="I31:I32"/>
    <mergeCell ref="J31:J32"/>
    <mergeCell ref="D25:D26"/>
    <mergeCell ref="E25:E26"/>
    <mergeCell ref="F25:F26"/>
    <mergeCell ref="G25:G26"/>
    <mergeCell ref="H25:H26"/>
    <mergeCell ref="G13:G14"/>
    <mergeCell ref="H13:H14"/>
    <mergeCell ref="I13:I14"/>
    <mergeCell ref="J13:J14"/>
    <mergeCell ref="D19:D20"/>
    <mergeCell ref="E19:E20"/>
    <mergeCell ref="F19:F20"/>
    <mergeCell ref="G19:G20"/>
    <mergeCell ref="H19:H20"/>
    <mergeCell ref="I19:I20"/>
    <mergeCell ref="J19:J20"/>
    <mergeCell ref="D3:F3"/>
    <mergeCell ref="D4:F4"/>
    <mergeCell ref="D13:D14"/>
    <mergeCell ref="E13:E14"/>
    <mergeCell ref="F13:F14"/>
  </mergeCells>
  <phoneticPr fontId="1" type="noConversion"/>
  <conditionalFormatting sqref="D7:G13 I7:J13 D15:G19 I15:J19 D21:G25 I21:J25 D27:G31 I27:J31 D33:G38 I33:J38 D40:G44 I40:J44 D46:G50 I46:J50 D52:G57 I52:J57">
    <cfRule type="expression" dxfId="47" priority="4">
      <formula>OR($D7=$Q$7:$Q$14)</formula>
    </cfRule>
  </conditionalFormatting>
  <conditionalFormatting sqref="C7:C57">
    <cfRule type="expression" dxfId="46" priority="3">
      <formula>OR(AND($D7=0,OR($D6=$Q$7:$Q$14)),AND($D8&gt;0,OR($D7=$Q$7:$Q$14)))</formula>
    </cfRule>
  </conditionalFormatting>
  <conditionalFormatting sqref="D7:D13 D15:D19 D21:D25 D27:D31 D33:D38 D40:D44 D46:D50 D52:D57">
    <cfRule type="expression" dxfId="45" priority="2">
      <formula>$D7=$D8</formula>
    </cfRule>
  </conditionalFormatting>
  <conditionalFormatting sqref="H7:H13 H15:H19 H21:H25 H27:H31 H33:H38 H40:H44 H46:H50 H52:H57">
    <cfRule type="expression" dxfId="44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BCCE87-7659-4AFA-9575-51790801DEFC}">
  <sheetPr codeName="Sheet12"/>
  <dimension ref="A1:Q105"/>
  <sheetViews>
    <sheetView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5" t="s">
        <v>6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37"/>
      <c r="C3" s="84" t="s">
        <v>122</v>
      </c>
      <c r="D3" s="85" t="s">
        <v>67</v>
      </c>
      <c r="E3" s="86"/>
      <c r="F3" s="87"/>
      <c r="G3" s="84" t="s">
        <v>123</v>
      </c>
      <c r="H3" s="88" t="str">
        <f>'통계 및 응시자 수 입력 기능'!D10</f>
        <v>25.92</v>
      </c>
      <c r="I3" s="21" t="s">
        <v>124</v>
      </c>
      <c r="J3" s="89">
        <f>'통계 및 응시자 수 입력 기능'!C10</f>
        <v>25834</v>
      </c>
      <c r="K3" s="38"/>
      <c r="L3" s="20"/>
    </row>
    <row r="4" spans="1:17" s="22" customFormat="1" ht="25" customHeight="1" thickBot="1" x14ac:dyDescent="0.5">
      <c r="A4" s="20"/>
      <c r="B4" s="37"/>
      <c r="C4" s="90" t="s">
        <v>125</v>
      </c>
      <c r="D4" s="91" t="s">
        <v>156</v>
      </c>
      <c r="E4" s="92"/>
      <c r="F4" s="93"/>
      <c r="G4" s="94" t="s">
        <v>127</v>
      </c>
      <c r="H4" s="95" t="str">
        <f>'통계 및 응시자 수 입력 기능'!E10</f>
        <v>11.51</v>
      </c>
      <c r="I4" s="39"/>
      <c r="J4" s="40"/>
      <c r="K4" s="38"/>
      <c r="L4" s="20"/>
    </row>
    <row r="5" spans="1:17" s="22" customFormat="1" ht="25" customHeight="1" thickBot="1" x14ac:dyDescent="0.5">
      <c r="A5" s="20"/>
      <c r="B5" s="37"/>
      <c r="C5" s="32"/>
      <c r="D5" s="32"/>
      <c r="E5" s="32"/>
      <c r="F5" s="32"/>
      <c r="G5" s="32"/>
      <c r="H5" s="33"/>
      <c r="I5" s="33"/>
      <c r="J5" s="33"/>
      <c r="K5" s="38"/>
      <c r="L5" s="20"/>
    </row>
    <row r="6" spans="1:17" s="22" customFormat="1" ht="25" customHeight="1" thickBot="1" x14ac:dyDescent="0.5">
      <c r="A6" s="20"/>
      <c r="B6" s="37"/>
      <c r="C6" s="96" t="s">
        <v>129</v>
      </c>
      <c r="D6" s="97" t="s">
        <v>130</v>
      </c>
      <c r="E6" s="97" t="s">
        <v>131</v>
      </c>
      <c r="F6" s="97" t="s">
        <v>132</v>
      </c>
      <c r="G6" s="97" t="s">
        <v>133</v>
      </c>
      <c r="H6" s="97" t="s">
        <v>134</v>
      </c>
      <c r="I6" s="98" t="s">
        <v>135</v>
      </c>
      <c r="J6" s="99" t="s">
        <v>136</v>
      </c>
      <c r="K6" s="38"/>
      <c r="L6" s="19" t="s">
        <v>62</v>
      </c>
      <c r="M6" s="19"/>
      <c r="N6" s="23"/>
    </row>
    <row r="7" spans="1:17" s="22" customFormat="1" ht="25" customHeight="1" x14ac:dyDescent="0.45">
      <c r="A7" s="20"/>
      <c r="B7" s="37"/>
      <c r="C7" s="100">
        <v>50</v>
      </c>
      <c r="D7" s="101">
        <f>ROUND(10*(C7-$H$3)/$H$4+50,0)</f>
        <v>71</v>
      </c>
      <c r="E7" s="101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102">
        <f>ROUND(100*(1-(0+I7)/2/$J$3),2)</f>
        <v>99.39</v>
      </c>
      <c r="G7" s="103">
        <f>_xlfn.IFNA(VLOOKUP(D7,'인원 입력 기능(사과탐)'!$K$5:$N$59,4,FALSE),0)</f>
        <v>315</v>
      </c>
      <c r="H7" s="104">
        <f>G7/$J$3</f>
        <v>1.2193233723000697E-2</v>
      </c>
      <c r="I7" s="105">
        <f>G7</f>
        <v>315</v>
      </c>
      <c r="J7" s="106">
        <f>I7/$J$3</f>
        <v>1.2193233723000697E-2</v>
      </c>
      <c r="K7" s="38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기능'!C58</f>
        <v>67</v>
      </c>
    </row>
    <row r="8" spans="1:17" s="22" customFormat="1" ht="25" customHeight="1" x14ac:dyDescent="0.45">
      <c r="A8" s="20"/>
      <c r="B8" s="37"/>
      <c r="C8" s="107">
        <v>49</v>
      </c>
      <c r="D8" s="108" t="s">
        <v>54</v>
      </c>
      <c r="E8" s="108"/>
      <c r="F8" s="109"/>
      <c r="G8" s="110"/>
      <c r="H8" s="168"/>
      <c r="I8" s="112"/>
      <c r="J8" s="113"/>
      <c r="K8" s="38"/>
      <c r="L8" s="20"/>
      <c r="N8" s="24"/>
      <c r="P8" s="24">
        <v>2</v>
      </c>
      <c r="Q8" s="24">
        <f>'표점등급&amp;절평인원 입력 기능'!C59</f>
        <v>63</v>
      </c>
    </row>
    <row r="9" spans="1:17" s="22" customFormat="1" ht="25" customHeight="1" x14ac:dyDescent="0.45">
      <c r="A9" s="20"/>
      <c r="B9" s="37"/>
      <c r="C9" s="100">
        <v>48</v>
      </c>
      <c r="D9" s="101">
        <f>ROUND(10*(C9-$H$3)/$H$4+50,0)</f>
        <v>69</v>
      </c>
      <c r="E9" s="101">
        <f t="shared" si="0"/>
        <v>1</v>
      </c>
      <c r="F9" s="102">
        <f>IF(I8=0,ROUND(100*(1-(I7+I9)/2/$J$3),2),ROUND(100*(1-(I8+I9)/2/$J$3),2))</f>
        <v>98.57</v>
      </c>
      <c r="G9" s="103">
        <f>_xlfn.IFNA(VLOOKUP(D9,'인원 입력 기능(사과탐)'!$K$5:$N$59,4,FALSE),0)</f>
        <v>111</v>
      </c>
      <c r="H9" s="104">
        <f t="shared" ref="H9:H55" si="1">G9/$J$3</f>
        <v>4.2966633119145316E-3</v>
      </c>
      <c r="I9" s="114">
        <f>SUM($G$7:G9)</f>
        <v>426</v>
      </c>
      <c r="J9" s="106">
        <f>I9/$J$3</f>
        <v>1.6489897034915227E-2</v>
      </c>
      <c r="K9" s="38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기능'!C60</f>
        <v>59</v>
      </c>
    </row>
    <row r="10" spans="1:17" s="22" customFormat="1" ht="25" customHeight="1" x14ac:dyDescent="0.45">
      <c r="A10" s="20"/>
      <c r="B10" s="37"/>
      <c r="C10" s="107">
        <v>47</v>
      </c>
      <c r="D10" s="101">
        <f t="shared" ref="D10:D55" si="3">ROUND(10*(C10-$H$3)/$H$4+50,0)</f>
        <v>68</v>
      </c>
      <c r="E10" s="101">
        <f t="shared" si="0"/>
        <v>1</v>
      </c>
      <c r="F10" s="102">
        <f t="shared" ref="F10:F55" si="4">IF(I9=0,ROUND(100*(1-(I8+I10)/2/$J$3),2),ROUND(100*(1-(I9+I10)/2/$J$3),2))</f>
        <v>97.34</v>
      </c>
      <c r="G10" s="103">
        <f>IF(D10=D9,"",_xlfn.IFNA(VLOOKUP(D10,'인원 입력 기능(사과탐)'!$K$5:$N$59,4,FALSE),0))</f>
        <v>523</v>
      </c>
      <c r="H10" s="104">
        <f t="shared" si="1"/>
        <v>2.0244638848029729E-2</v>
      </c>
      <c r="I10" s="114">
        <f>SUM($G$7:G10)</f>
        <v>949</v>
      </c>
      <c r="J10" s="106">
        <f t="shared" ref="J10:J55" si="5">I10/$J$3</f>
        <v>3.6734535882944959E-2</v>
      </c>
      <c r="K10" s="38"/>
      <c r="L10" s="20" t="str">
        <f t="shared" si="2"/>
        <v/>
      </c>
      <c r="N10" s="24"/>
      <c r="P10" s="24">
        <v>4</v>
      </c>
      <c r="Q10" s="24">
        <f>'표점등급&amp;절평인원 입력 기능'!C61</f>
        <v>54</v>
      </c>
    </row>
    <row r="11" spans="1:17" s="22" customFormat="1" ht="25" customHeight="1" x14ac:dyDescent="0.45">
      <c r="A11" s="20"/>
      <c r="B11" s="37"/>
      <c r="C11" s="100">
        <v>46</v>
      </c>
      <c r="D11" s="115">
        <f t="shared" si="3"/>
        <v>67</v>
      </c>
      <c r="E11" s="115">
        <f t="shared" si="0"/>
        <v>1</v>
      </c>
      <c r="F11" s="116">
        <f t="shared" si="4"/>
        <v>95.59</v>
      </c>
      <c r="G11" s="117">
        <f>IF(D11=D10,"",_xlfn.IFNA(VLOOKUP(D11,'인원 입력 기능(사과탐)'!$K$5:$N$59,4,FALSE),0))</f>
        <v>378</v>
      </c>
      <c r="H11" s="118">
        <f t="shared" si="1"/>
        <v>1.4631880467600836E-2</v>
      </c>
      <c r="I11" s="119">
        <f>SUM($G$7:G11)</f>
        <v>1327</v>
      </c>
      <c r="J11" s="120">
        <f t="shared" si="5"/>
        <v>5.1366416350545792E-2</v>
      </c>
      <c r="K11" s="38"/>
      <c r="L11" s="20" t="str">
        <f t="shared" si="2"/>
        <v/>
      </c>
      <c r="N11" s="24"/>
      <c r="P11" s="24">
        <v>5</v>
      </c>
      <c r="Q11" s="24">
        <f>'표점등급&amp;절평인원 입력 기능'!C62</f>
        <v>47</v>
      </c>
    </row>
    <row r="12" spans="1:17" s="22" customFormat="1" ht="25" customHeight="1" x14ac:dyDescent="0.45">
      <c r="A12" s="20"/>
      <c r="B12" s="37"/>
      <c r="C12" s="107">
        <v>45</v>
      </c>
      <c r="D12" s="121"/>
      <c r="E12" s="121"/>
      <c r="F12" s="122"/>
      <c r="G12" s="123"/>
      <c r="H12" s="124"/>
      <c r="I12" s="125"/>
      <c r="J12" s="126"/>
      <c r="K12" s="38"/>
      <c r="L12" s="20" t="str">
        <f t="shared" si="2"/>
        <v>경고</v>
      </c>
      <c r="N12" s="24"/>
      <c r="P12" s="24">
        <v>6</v>
      </c>
      <c r="Q12" s="24">
        <f>'표점등급&amp;절평인원 입력 기능'!C63</f>
        <v>41</v>
      </c>
    </row>
    <row r="13" spans="1:17" s="22" customFormat="1" ht="25" customHeight="1" x14ac:dyDescent="0.45">
      <c r="A13" s="20"/>
      <c r="B13" s="37"/>
      <c r="C13" s="100">
        <v>44</v>
      </c>
      <c r="D13" s="101">
        <f t="shared" si="3"/>
        <v>66</v>
      </c>
      <c r="E13" s="101">
        <f t="shared" si="0"/>
        <v>2</v>
      </c>
      <c r="F13" s="102">
        <f t="shared" si="4"/>
        <v>93.68</v>
      </c>
      <c r="G13" s="103">
        <f>IF(D13=D12,"",_xlfn.IFNA(VLOOKUP(D13,'인원 입력 기능(사과탐)'!$K$5:$N$59,4,FALSE),0))</f>
        <v>611</v>
      </c>
      <c r="H13" s="104">
        <f t="shared" si="1"/>
        <v>2.3651002554772781E-2</v>
      </c>
      <c r="I13" s="114">
        <f>SUM($G$7:G13)</f>
        <v>1938</v>
      </c>
      <c r="J13" s="106">
        <f t="shared" si="5"/>
        <v>7.5017418905318572E-2</v>
      </c>
      <c r="K13" s="38"/>
      <c r="L13" s="20" t="str">
        <f t="shared" si="2"/>
        <v/>
      </c>
      <c r="N13" s="24"/>
      <c r="P13" s="24">
        <v>7</v>
      </c>
      <c r="Q13" s="24">
        <f>'표점등급&amp;절평인원 입력 기능'!C64</f>
        <v>37</v>
      </c>
    </row>
    <row r="14" spans="1:17" s="22" customFormat="1" ht="25" customHeight="1" x14ac:dyDescent="0.45">
      <c r="A14" s="20"/>
      <c r="B14" s="37"/>
      <c r="C14" s="107">
        <v>43</v>
      </c>
      <c r="D14" s="101">
        <f t="shared" si="3"/>
        <v>65</v>
      </c>
      <c r="E14" s="101">
        <f t="shared" si="0"/>
        <v>2</v>
      </c>
      <c r="F14" s="102">
        <f t="shared" si="4"/>
        <v>92.19</v>
      </c>
      <c r="G14" s="103">
        <f>IF(D14=D13,"",_xlfn.IFNA(VLOOKUP(D14,'인원 입력 기능(사과탐)'!$K$5:$N$59,4,FALSE),0))</f>
        <v>158</v>
      </c>
      <c r="H14" s="104">
        <f t="shared" si="1"/>
        <v>6.1159712007432063E-3</v>
      </c>
      <c r="I14" s="114">
        <f>SUM($G$7:G14)</f>
        <v>2096</v>
      </c>
      <c r="J14" s="106">
        <f t="shared" si="5"/>
        <v>8.1133390106061784E-2</v>
      </c>
      <c r="K14" s="38"/>
      <c r="L14" s="20" t="str">
        <f t="shared" si="2"/>
        <v/>
      </c>
      <c r="N14" s="24"/>
      <c r="P14" s="24">
        <v>8</v>
      </c>
      <c r="Q14" s="24">
        <f>'표점등급&amp;절평인원 입력 기능'!C65</f>
        <v>34</v>
      </c>
    </row>
    <row r="15" spans="1:17" s="22" customFormat="1" ht="25" customHeight="1" x14ac:dyDescent="0.45">
      <c r="A15" s="20"/>
      <c r="B15" s="37"/>
      <c r="C15" s="100">
        <v>42</v>
      </c>
      <c r="D15" s="101">
        <f t="shared" si="3"/>
        <v>64</v>
      </c>
      <c r="E15" s="101">
        <f t="shared" si="0"/>
        <v>2</v>
      </c>
      <c r="F15" s="102">
        <f t="shared" si="4"/>
        <v>90.81</v>
      </c>
      <c r="G15" s="103">
        <f>IF(D15=D14,"",_xlfn.IFNA(VLOOKUP(D15,'인원 입력 기능(사과탐)'!$K$5:$N$59,4,FALSE),0))</f>
        <v>555</v>
      </c>
      <c r="H15" s="104">
        <f t="shared" si="1"/>
        <v>2.1483316559572658E-2</v>
      </c>
      <c r="I15" s="114">
        <f>SUM($G$7:G15)</f>
        <v>2651</v>
      </c>
      <c r="J15" s="106">
        <f t="shared" si="5"/>
        <v>0.10261670666563444</v>
      </c>
      <c r="K15" s="38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7"/>
      <c r="C16" s="107">
        <v>41</v>
      </c>
      <c r="D16" s="101">
        <f t="shared" si="3"/>
        <v>63</v>
      </c>
      <c r="E16" s="101">
        <f t="shared" si="0"/>
        <v>2</v>
      </c>
      <c r="F16" s="102">
        <f t="shared" si="4"/>
        <v>88.75</v>
      </c>
      <c r="G16" s="103">
        <f>IF(D16=D15,"",_xlfn.IFNA(VLOOKUP(D16,'인원 입력 기능(사과탐)'!$K$5:$N$59,4,FALSE),0))</f>
        <v>509</v>
      </c>
      <c r="H16" s="104">
        <f t="shared" si="1"/>
        <v>1.9702717349229699E-2</v>
      </c>
      <c r="I16" s="114">
        <f>SUM($G$7:G16)</f>
        <v>3160</v>
      </c>
      <c r="J16" s="106">
        <f t="shared" si="5"/>
        <v>0.12231942401486413</v>
      </c>
      <c r="K16" s="38"/>
      <c r="L16" s="20" t="str">
        <f t="shared" si="2"/>
        <v/>
      </c>
      <c r="N16" s="24"/>
    </row>
    <row r="17" spans="1:17" s="22" customFormat="1" ht="25" customHeight="1" x14ac:dyDescent="0.45">
      <c r="A17" s="20"/>
      <c r="B17" s="37"/>
      <c r="C17" s="100">
        <v>40</v>
      </c>
      <c r="D17" s="101">
        <f t="shared" si="3"/>
        <v>62</v>
      </c>
      <c r="E17" s="101">
        <f t="shared" si="0"/>
        <v>3</v>
      </c>
      <c r="F17" s="102">
        <f t="shared" si="4"/>
        <v>86.99</v>
      </c>
      <c r="G17" s="103">
        <f>IF(D17=D16,"",_xlfn.IFNA(VLOOKUP(D17,'인원 입력 기능(사과탐)'!$K$5:$N$59,4,FALSE),0))</f>
        <v>403</v>
      </c>
      <c r="H17" s="104">
        <f t="shared" si="1"/>
        <v>1.5599597429743749E-2</v>
      </c>
      <c r="I17" s="114">
        <f>SUM($G$7:G17)</f>
        <v>3563</v>
      </c>
      <c r="J17" s="106">
        <f t="shared" si="5"/>
        <v>0.13791902144460788</v>
      </c>
      <c r="K17" s="38"/>
      <c r="L17" s="20" t="str">
        <f t="shared" si="2"/>
        <v/>
      </c>
      <c r="N17" s="24"/>
      <c r="Q17" s="24">
        <f>Q7*H3*H4*J3*IFERROR(IF(J57=1, 1, 0), 0)</f>
        <v>516388757.81760001</v>
      </c>
    </row>
    <row r="18" spans="1:17" s="22" customFormat="1" ht="25" customHeight="1" x14ac:dyDescent="0.45">
      <c r="A18" s="20"/>
      <c r="B18" s="37"/>
      <c r="C18" s="107">
        <v>39</v>
      </c>
      <c r="D18" s="101">
        <f t="shared" si="3"/>
        <v>61</v>
      </c>
      <c r="E18" s="101">
        <f t="shared" si="0"/>
        <v>3</v>
      </c>
      <c r="F18" s="102">
        <f t="shared" si="4"/>
        <v>84.91</v>
      </c>
      <c r="G18" s="103">
        <f>IF(D18=D17,"",_xlfn.IFNA(VLOOKUP(D18,'인원 입력 기능(사과탐)'!$K$5:$N$59,4,FALSE),0))</f>
        <v>672</v>
      </c>
      <c r="H18" s="104">
        <f t="shared" si="1"/>
        <v>2.6012231942401487E-2</v>
      </c>
      <c r="I18" s="114">
        <f>SUM($G$7:G18)</f>
        <v>4235</v>
      </c>
      <c r="J18" s="106">
        <f t="shared" si="5"/>
        <v>0.16393125338700937</v>
      </c>
      <c r="K18" s="38"/>
      <c r="L18" s="20" t="str">
        <f t="shared" si="2"/>
        <v/>
      </c>
      <c r="N18" s="24"/>
    </row>
    <row r="19" spans="1:17" s="22" customFormat="1" ht="25" customHeight="1" x14ac:dyDescent="0.45">
      <c r="A19" s="20"/>
      <c r="B19" s="37"/>
      <c r="C19" s="100">
        <v>38</v>
      </c>
      <c r="D19" s="115">
        <f t="shared" si="3"/>
        <v>60</v>
      </c>
      <c r="E19" s="115">
        <f t="shared" si="0"/>
        <v>3</v>
      </c>
      <c r="F19" s="116">
        <f t="shared" si="4"/>
        <v>81.38</v>
      </c>
      <c r="G19" s="117">
        <f>IF(D19=D18,"",_xlfn.IFNA(VLOOKUP(D19,'인원 입력 기능(사과탐)'!$K$5:$N$59,4,FALSE),0))</f>
        <v>1150</v>
      </c>
      <c r="H19" s="118">
        <f t="shared" si="1"/>
        <v>4.451498025857397E-2</v>
      </c>
      <c r="I19" s="119">
        <f>SUM($G$7:G19)</f>
        <v>5385</v>
      </c>
      <c r="J19" s="120">
        <f t="shared" si="5"/>
        <v>0.20844623364558335</v>
      </c>
      <c r="K19" s="38"/>
      <c r="L19" s="20" t="str">
        <f t="shared" si="2"/>
        <v>경고</v>
      </c>
      <c r="N19" s="24"/>
    </row>
    <row r="20" spans="1:17" s="22" customFormat="1" ht="25" customHeight="1" x14ac:dyDescent="0.45">
      <c r="A20" s="20"/>
      <c r="B20" s="37"/>
      <c r="C20" s="107">
        <v>37</v>
      </c>
      <c r="D20" s="121"/>
      <c r="E20" s="121"/>
      <c r="F20" s="122"/>
      <c r="G20" s="123"/>
      <c r="H20" s="124"/>
      <c r="I20" s="125"/>
      <c r="J20" s="126"/>
      <c r="K20" s="38"/>
      <c r="L20" s="20" t="str">
        <f t="shared" si="2"/>
        <v>경고</v>
      </c>
      <c r="N20" s="24"/>
    </row>
    <row r="21" spans="1:17" s="22" customFormat="1" ht="25" customHeight="1" x14ac:dyDescent="0.45">
      <c r="A21" s="20"/>
      <c r="B21" s="37"/>
      <c r="C21" s="169">
        <v>36</v>
      </c>
      <c r="D21" s="128">
        <f t="shared" si="3"/>
        <v>59</v>
      </c>
      <c r="E21" s="128">
        <f t="shared" si="0"/>
        <v>3</v>
      </c>
      <c r="F21" s="102">
        <f t="shared" si="4"/>
        <v>77.84</v>
      </c>
      <c r="G21" s="103">
        <f>IF(D21=D20,"",_xlfn.IFNA(VLOOKUP(D21,'인원 입력 기능(사과탐)'!$K$5:$N$59,4,FALSE),0))</f>
        <v>679</v>
      </c>
      <c r="H21" s="104">
        <f t="shared" si="1"/>
        <v>2.6283192691801502E-2</v>
      </c>
      <c r="I21" s="114">
        <f>SUM($G$7:G21)</f>
        <v>6064</v>
      </c>
      <c r="J21" s="106">
        <f t="shared" si="5"/>
        <v>0.23472942633738483</v>
      </c>
      <c r="K21" s="38"/>
      <c r="L21" s="20" t="str">
        <f t="shared" si="2"/>
        <v/>
      </c>
      <c r="N21" s="24"/>
    </row>
    <row r="22" spans="1:17" s="22" customFormat="1" ht="25" customHeight="1" x14ac:dyDescent="0.45">
      <c r="A22" s="20"/>
      <c r="B22" s="37"/>
      <c r="C22" s="127">
        <v>35</v>
      </c>
      <c r="D22" s="128">
        <f t="shared" si="3"/>
        <v>58</v>
      </c>
      <c r="E22" s="128">
        <f t="shared" si="0"/>
        <v>4</v>
      </c>
      <c r="F22" s="102">
        <f t="shared" si="4"/>
        <v>75.3</v>
      </c>
      <c r="G22" s="103">
        <f>IF(D22=D21,"",_xlfn.IFNA(VLOOKUP(D22,'인원 입력 기능(사과탐)'!$K$5:$N$59,4,FALSE),0))</f>
        <v>636</v>
      </c>
      <c r="H22" s="104">
        <f t="shared" si="1"/>
        <v>2.4618719516915692E-2</v>
      </c>
      <c r="I22" s="114">
        <f>SUM($G$7:G22)</f>
        <v>6700</v>
      </c>
      <c r="J22" s="106">
        <f t="shared" si="5"/>
        <v>0.25934814585430055</v>
      </c>
      <c r="K22" s="38"/>
      <c r="L22" s="20" t="str">
        <f t="shared" si="2"/>
        <v/>
      </c>
      <c r="N22" s="24"/>
    </row>
    <row r="23" spans="1:17" s="22" customFormat="1" ht="25" customHeight="1" x14ac:dyDescent="0.45">
      <c r="A23" s="20"/>
      <c r="B23" s="37"/>
      <c r="C23" s="169">
        <v>34</v>
      </c>
      <c r="D23" s="128">
        <f t="shared" si="3"/>
        <v>57</v>
      </c>
      <c r="E23" s="128">
        <f t="shared" si="0"/>
        <v>4</v>
      </c>
      <c r="F23" s="102">
        <f t="shared" si="4"/>
        <v>72.52</v>
      </c>
      <c r="G23" s="103">
        <f>IF(D23=D22,"",_xlfn.IFNA(VLOOKUP(D23,'인원 입력 기능(사과탐)'!$K$5:$N$59,4,FALSE),0))</f>
        <v>799</v>
      </c>
      <c r="H23" s="104">
        <f t="shared" si="1"/>
        <v>3.0928234110087483E-2</v>
      </c>
      <c r="I23" s="114">
        <f>SUM($G$7:G23)</f>
        <v>7499</v>
      </c>
      <c r="J23" s="106">
        <f t="shared" si="5"/>
        <v>0.29027637996438804</v>
      </c>
      <c r="K23" s="38"/>
      <c r="L23" s="20" t="str">
        <f t="shared" si="2"/>
        <v/>
      </c>
      <c r="N23" s="24"/>
    </row>
    <row r="24" spans="1:17" s="22" customFormat="1" ht="25" customHeight="1" x14ac:dyDescent="0.45">
      <c r="A24" s="20"/>
      <c r="B24" s="37"/>
      <c r="C24" s="127">
        <v>33</v>
      </c>
      <c r="D24" s="128">
        <f t="shared" si="3"/>
        <v>56</v>
      </c>
      <c r="E24" s="128">
        <f t="shared" si="0"/>
        <v>4</v>
      </c>
      <c r="F24" s="102">
        <f t="shared" si="4"/>
        <v>69.709999999999994</v>
      </c>
      <c r="G24" s="103">
        <f>IF(D24=D23,"",_xlfn.IFNA(VLOOKUP(D24,'인원 입력 기능(사과탐)'!$K$5:$N$59,4,FALSE),0))</f>
        <v>654</v>
      </c>
      <c r="H24" s="104">
        <f t="shared" si="1"/>
        <v>2.5315475729658591E-2</v>
      </c>
      <c r="I24" s="114">
        <f>SUM($G$7:G24)</f>
        <v>8153</v>
      </c>
      <c r="J24" s="106">
        <f t="shared" si="5"/>
        <v>0.31559185569404663</v>
      </c>
      <c r="K24" s="38"/>
      <c r="L24" s="20" t="str">
        <f t="shared" si="2"/>
        <v/>
      </c>
      <c r="N24" s="24"/>
    </row>
    <row r="25" spans="1:17" s="22" customFormat="1" ht="25" customHeight="1" x14ac:dyDescent="0.45">
      <c r="A25" s="20"/>
      <c r="B25" s="37"/>
      <c r="C25" s="169">
        <v>32</v>
      </c>
      <c r="D25" s="128">
        <f t="shared" si="3"/>
        <v>55</v>
      </c>
      <c r="E25" s="128">
        <f t="shared" si="0"/>
        <v>4</v>
      </c>
      <c r="F25" s="102">
        <f t="shared" si="4"/>
        <v>67.040000000000006</v>
      </c>
      <c r="G25" s="103">
        <f>IF(D25=D24,"",_xlfn.IFNA(VLOOKUP(D25,'인원 입력 기능(사과탐)'!$K$5:$N$59,4,FALSE),0))</f>
        <v>724</v>
      </c>
      <c r="H25" s="104">
        <f t="shared" si="1"/>
        <v>2.8025083223658744E-2</v>
      </c>
      <c r="I25" s="114">
        <f>SUM($G$7:G25)</f>
        <v>8877</v>
      </c>
      <c r="J25" s="106">
        <f t="shared" si="5"/>
        <v>0.34361693891770534</v>
      </c>
      <c r="K25" s="38"/>
      <c r="L25" s="20" t="str">
        <f t="shared" si="2"/>
        <v/>
      </c>
      <c r="N25" s="24"/>
    </row>
    <row r="26" spans="1:17" s="22" customFormat="1" ht="25" customHeight="1" x14ac:dyDescent="0.45">
      <c r="A26" s="20"/>
      <c r="B26" s="37"/>
      <c r="C26" s="127">
        <v>31</v>
      </c>
      <c r="D26" s="130">
        <f t="shared" si="3"/>
        <v>54</v>
      </c>
      <c r="E26" s="130">
        <f t="shared" si="0"/>
        <v>4</v>
      </c>
      <c r="F26" s="116">
        <f t="shared" si="4"/>
        <v>62.74</v>
      </c>
      <c r="G26" s="117">
        <f>IF(D26=D25,"",_xlfn.IFNA(VLOOKUP(D26,'인원 입력 기능(사과탐)'!$K$5:$N$59,4,FALSE),0))</f>
        <v>1496</v>
      </c>
      <c r="H26" s="118">
        <f t="shared" si="1"/>
        <v>5.7908183014631881E-2</v>
      </c>
      <c r="I26" s="119">
        <f>SUM($G$7:G26)</f>
        <v>10373</v>
      </c>
      <c r="J26" s="120">
        <f t="shared" si="5"/>
        <v>0.40152512193233725</v>
      </c>
      <c r="K26" s="38"/>
      <c r="L26" s="20" t="str">
        <f t="shared" si="2"/>
        <v/>
      </c>
      <c r="N26" s="24"/>
    </row>
    <row r="27" spans="1:17" s="22" customFormat="1" ht="25" customHeight="1" x14ac:dyDescent="0.45">
      <c r="A27" s="20"/>
      <c r="B27" s="37"/>
      <c r="C27" s="169">
        <v>30</v>
      </c>
      <c r="D27" s="132"/>
      <c r="E27" s="132"/>
      <c r="F27" s="122"/>
      <c r="G27" s="123"/>
      <c r="H27" s="124"/>
      <c r="I27" s="125"/>
      <c r="J27" s="126"/>
      <c r="K27" s="38"/>
      <c r="L27" s="20" t="str">
        <f t="shared" si="2"/>
        <v>경고</v>
      </c>
      <c r="N27" s="24"/>
    </row>
    <row r="28" spans="1:17" s="22" customFormat="1" ht="25" customHeight="1" x14ac:dyDescent="0.45">
      <c r="A28" s="20"/>
      <c r="B28" s="37"/>
      <c r="C28" s="127">
        <v>29</v>
      </c>
      <c r="D28" s="128">
        <f t="shared" si="3"/>
        <v>53</v>
      </c>
      <c r="E28" s="128">
        <f t="shared" si="0"/>
        <v>5</v>
      </c>
      <c r="F28" s="102">
        <f t="shared" si="4"/>
        <v>58.26</v>
      </c>
      <c r="G28" s="103">
        <f>IF(D28=D27,"",_xlfn.IFNA(VLOOKUP(D28,'인원 입력 기능(사과탐)'!$K$5:$N$59,4,FALSE),0))</f>
        <v>819</v>
      </c>
      <c r="H28" s="104">
        <f t="shared" si="1"/>
        <v>3.1702407679801814E-2</v>
      </c>
      <c r="I28" s="114">
        <f>SUM($G$7:G28)</f>
        <v>11192</v>
      </c>
      <c r="J28" s="106">
        <f t="shared" si="5"/>
        <v>0.43322752961213906</v>
      </c>
      <c r="K28" s="38"/>
      <c r="L28" s="20" t="str">
        <f t="shared" si="2"/>
        <v/>
      </c>
      <c r="N28" s="24"/>
    </row>
    <row r="29" spans="1:17" s="22" customFormat="1" ht="25" customHeight="1" x14ac:dyDescent="0.45">
      <c r="A29" s="20"/>
      <c r="B29" s="37"/>
      <c r="C29" s="169">
        <v>28</v>
      </c>
      <c r="D29" s="128">
        <f t="shared" si="3"/>
        <v>52</v>
      </c>
      <c r="E29" s="128">
        <f t="shared" si="0"/>
        <v>5</v>
      </c>
      <c r="F29" s="102">
        <f t="shared" si="4"/>
        <v>55.32</v>
      </c>
      <c r="G29" s="103">
        <f>IF(D29=D28,"",_xlfn.IFNA(VLOOKUP(D29,'인원 입력 기능(사과탐)'!$K$5:$N$59,4,FALSE),0))</f>
        <v>703</v>
      </c>
      <c r="H29" s="104">
        <f t="shared" si="1"/>
        <v>2.7212200975458699E-2</v>
      </c>
      <c r="I29" s="114">
        <f>SUM($G$7:G29)</f>
        <v>11895</v>
      </c>
      <c r="J29" s="106">
        <f t="shared" si="5"/>
        <v>0.46043973058759774</v>
      </c>
      <c r="K29" s="38"/>
      <c r="L29" s="20" t="str">
        <f t="shared" si="2"/>
        <v/>
      </c>
      <c r="N29" s="24"/>
    </row>
    <row r="30" spans="1:17" s="22" customFormat="1" ht="25" customHeight="1" x14ac:dyDescent="0.45">
      <c r="A30" s="20"/>
      <c r="B30" s="37"/>
      <c r="C30" s="127">
        <v>27</v>
      </c>
      <c r="D30" s="128">
        <f t="shared" si="3"/>
        <v>51</v>
      </c>
      <c r="E30" s="128">
        <f t="shared" si="0"/>
        <v>5</v>
      </c>
      <c r="F30" s="102">
        <f t="shared" si="4"/>
        <v>52.47</v>
      </c>
      <c r="G30" s="103">
        <f>IF(D30=D29,"",_xlfn.IFNA(VLOOKUP(D30,'인원 입력 기능(사과탐)'!$K$5:$N$59,4,FALSE),0))</f>
        <v>769</v>
      </c>
      <c r="H30" s="104">
        <f t="shared" si="1"/>
        <v>2.9766973755515985E-2</v>
      </c>
      <c r="I30" s="114">
        <f>SUM($G$7:G30)</f>
        <v>12664</v>
      </c>
      <c r="J30" s="106">
        <f t="shared" si="5"/>
        <v>0.49020670434311375</v>
      </c>
      <c r="K30" s="38"/>
      <c r="L30" s="20" t="str">
        <f t="shared" si="2"/>
        <v/>
      </c>
      <c r="N30" s="24"/>
    </row>
    <row r="31" spans="1:17" s="22" customFormat="1" ht="25" customHeight="1" x14ac:dyDescent="0.45">
      <c r="A31" s="20"/>
      <c r="B31" s="37"/>
      <c r="C31" s="169">
        <v>26</v>
      </c>
      <c r="D31" s="128">
        <f t="shared" si="3"/>
        <v>50</v>
      </c>
      <c r="E31" s="128">
        <f t="shared" si="0"/>
        <v>5</v>
      </c>
      <c r="F31" s="102">
        <f t="shared" si="4"/>
        <v>49.59</v>
      </c>
      <c r="G31" s="103">
        <f>IF(D31=D30,"",_xlfn.IFNA(VLOOKUP(D31,'인원 입력 기능(사과탐)'!$K$5:$N$59,4,FALSE),0))</f>
        <v>716</v>
      </c>
      <c r="H31" s="104">
        <f t="shared" si="1"/>
        <v>2.7715413795773011E-2</v>
      </c>
      <c r="I31" s="114">
        <f>SUM($G$7:G31)</f>
        <v>13380</v>
      </c>
      <c r="J31" s="106">
        <f t="shared" si="5"/>
        <v>0.51792211813888678</v>
      </c>
      <c r="K31" s="38"/>
      <c r="L31" s="20" t="str">
        <f t="shared" si="2"/>
        <v/>
      </c>
      <c r="N31" s="24"/>
    </row>
    <row r="32" spans="1:17" s="22" customFormat="1" ht="25" customHeight="1" x14ac:dyDescent="0.45">
      <c r="A32" s="20"/>
      <c r="B32" s="37"/>
      <c r="C32" s="127">
        <v>25</v>
      </c>
      <c r="D32" s="128">
        <f t="shared" si="3"/>
        <v>49</v>
      </c>
      <c r="E32" s="128">
        <f t="shared" si="0"/>
        <v>5</v>
      </c>
      <c r="F32" s="102">
        <f t="shared" si="4"/>
        <v>46.92</v>
      </c>
      <c r="G32" s="103">
        <f>IF(D32=D31,"",_xlfn.IFNA(VLOOKUP(D32,'인원 입력 기능(사과탐)'!$K$5:$N$59,4,FALSE),0))</f>
        <v>667</v>
      </c>
      <c r="H32" s="104">
        <f t="shared" si="1"/>
        <v>2.5818688549972903E-2</v>
      </c>
      <c r="I32" s="114">
        <f>SUM($G$7:G32)</f>
        <v>14047</v>
      </c>
      <c r="J32" s="106">
        <f t="shared" si="5"/>
        <v>0.5437408066888596</v>
      </c>
      <c r="K32" s="38"/>
      <c r="L32" s="20" t="str">
        <f t="shared" si="2"/>
        <v/>
      </c>
      <c r="N32" s="24"/>
    </row>
    <row r="33" spans="1:14" s="22" customFormat="1" ht="25" customHeight="1" x14ac:dyDescent="0.45">
      <c r="A33" s="20"/>
      <c r="B33" s="37"/>
      <c r="C33" s="169">
        <v>24</v>
      </c>
      <c r="D33" s="128">
        <f t="shared" si="3"/>
        <v>48</v>
      </c>
      <c r="E33" s="128">
        <f t="shared" si="0"/>
        <v>5</v>
      </c>
      <c r="F33" s="102">
        <f t="shared" si="4"/>
        <v>44.2</v>
      </c>
      <c r="G33" s="103">
        <f>IF(D33=D32,"",_xlfn.IFNA(VLOOKUP(D33,'인원 입력 기능(사과탐)'!$K$5:$N$59,4,FALSE),0))</f>
        <v>735</v>
      </c>
      <c r="H33" s="104">
        <f t="shared" si="1"/>
        <v>2.8450878687001625E-2</v>
      </c>
      <c r="I33" s="114">
        <f>SUM($G$7:G33)</f>
        <v>14782</v>
      </c>
      <c r="J33" s="106">
        <f t="shared" si="5"/>
        <v>0.57219168537586129</v>
      </c>
      <c r="K33" s="38"/>
      <c r="L33" s="20" t="str">
        <f t="shared" si="2"/>
        <v/>
      </c>
      <c r="N33" s="24"/>
    </row>
    <row r="34" spans="1:14" s="22" customFormat="1" ht="25" customHeight="1" x14ac:dyDescent="0.45">
      <c r="A34" s="20"/>
      <c r="B34" s="37"/>
      <c r="C34" s="127">
        <v>23</v>
      </c>
      <c r="D34" s="130">
        <f t="shared" si="3"/>
        <v>47</v>
      </c>
      <c r="E34" s="130">
        <f t="shared" si="0"/>
        <v>5</v>
      </c>
      <c r="F34" s="116">
        <f t="shared" si="4"/>
        <v>40.42</v>
      </c>
      <c r="G34" s="117">
        <f>IF(D34=D33,"",_xlfn.IFNA(VLOOKUP(D34,'인원 입력 기능(사과탐)'!$K$5:$N$59,4,FALSE),0))</f>
        <v>1219</v>
      </c>
      <c r="H34" s="118">
        <f t="shared" si="1"/>
        <v>4.7185879074088409E-2</v>
      </c>
      <c r="I34" s="119">
        <f>SUM($G$7:G34)</f>
        <v>16001</v>
      </c>
      <c r="J34" s="120">
        <f t="shared" si="5"/>
        <v>0.61937756444994962</v>
      </c>
      <c r="K34" s="38"/>
      <c r="L34" s="20" t="str">
        <f t="shared" si="2"/>
        <v/>
      </c>
      <c r="N34" s="24"/>
    </row>
    <row r="35" spans="1:14" s="22" customFormat="1" ht="25" customHeight="1" x14ac:dyDescent="0.45">
      <c r="A35" s="20"/>
      <c r="B35" s="37"/>
      <c r="C35" s="169">
        <v>22</v>
      </c>
      <c r="D35" s="132"/>
      <c r="E35" s="132"/>
      <c r="F35" s="122"/>
      <c r="G35" s="123"/>
      <c r="H35" s="124"/>
      <c r="I35" s="125"/>
      <c r="J35" s="126"/>
      <c r="K35" s="38"/>
      <c r="L35" s="20" t="str">
        <f t="shared" si="2"/>
        <v>경고</v>
      </c>
      <c r="N35" s="24"/>
    </row>
    <row r="36" spans="1:14" s="22" customFormat="1" ht="25" customHeight="1" x14ac:dyDescent="0.45">
      <c r="A36" s="20"/>
      <c r="B36" s="37"/>
      <c r="C36" s="127">
        <v>21</v>
      </c>
      <c r="D36" s="128">
        <f t="shared" si="3"/>
        <v>46</v>
      </c>
      <c r="E36" s="128">
        <f t="shared" si="0"/>
        <v>6</v>
      </c>
      <c r="F36" s="102">
        <f t="shared" si="4"/>
        <v>36.92</v>
      </c>
      <c r="G36" s="103">
        <f>IF(D36=D35,"",_xlfn.IFNA(VLOOKUP(D36,'인원 입력 기능(사과탐)'!$K$5:$N$59,4,FALSE),0))</f>
        <v>592</v>
      </c>
      <c r="H36" s="104">
        <f t="shared" si="1"/>
        <v>2.2915537663544167E-2</v>
      </c>
      <c r="I36" s="114">
        <f>SUM($G$7:G36)</f>
        <v>16593</v>
      </c>
      <c r="J36" s="106">
        <f t="shared" si="5"/>
        <v>0.64229310211349389</v>
      </c>
      <c r="K36" s="38"/>
      <c r="L36" s="20" t="str">
        <f t="shared" si="2"/>
        <v/>
      </c>
      <c r="N36" s="24"/>
    </row>
    <row r="37" spans="1:14" s="22" customFormat="1" ht="25" customHeight="1" x14ac:dyDescent="0.45">
      <c r="A37" s="20"/>
      <c r="B37" s="37"/>
      <c r="C37" s="169">
        <v>20</v>
      </c>
      <c r="D37" s="128">
        <f t="shared" si="3"/>
        <v>45</v>
      </c>
      <c r="E37" s="128">
        <f t="shared" si="0"/>
        <v>6</v>
      </c>
      <c r="F37" s="102">
        <f t="shared" si="4"/>
        <v>34.590000000000003</v>
      </c>
      <c r="G37" s="103">
        <f>IF(D37=D36,"",_xlfn.IFNA(VLOOKUP(D37,'인원 입력 기능(사과탐)'!$K$5:$N$59,4,FALSE),0))</f>
        <v>611</v>
      </c>
      <c r="H37" s="104">
        <f t="shared" si="1"/>
        <v>2.3651002554772781E-2</v>
      </c>
      <c r="I37" s="114">
        <f>SUM($G$7:G37)</f>
        <v>17204</v>
      </c>
      <c r="J37" s="106">
        <f t="shared" si="5"/>
        <v>0.66594410466826659</v>
      </c>
      <c r="K37" s="38"/>
      <c r="L37" s="20" t="str">
        <f t="shared" si="2"/>
        <v/>
      </c>
      <c r="N37" s="24"/>
    </row>
    <row r="38" spans="1:14" s="22" customFormat="1" ht="25" customHeight="1" x14ac:dyDescent="0.45">
      <c r="A38" s="20"/>
      <c r="B38" s="37"/>
      <c r="C38" s="127">
        <v>19</v>
      </c>
      <c r="D38" s="128">
        <f t="shared" si="3"/>
        <v>44</v>
      </c>
      <c r="E38" s="128">
        <f t="shared" si="0"/>
        <v>6</v>
      </c>
      <c r="F38" s="102">
        <f t="shared" si="4"/>
        <v>32.22</v>
      </c>
      <c r="G38" s="103">
        <f>IF(D38=D37,"",_xlfn.IFNA(VLOOKUP(D38,'인원 입력 기능(사과탐)'!$K$5:$N$59,4,FALSE),0))</f>
        <v>615</v>
      </c>
      <c r="H38" s="104">
        <f t="shared" si="1"/>
        <v>2.3805837268715647E-2</v>
      </c>
      <c r="I38" s="114">
        <f>SUM($G$7:G38)</f>
        <v>17819</v>
      </c>
      <c r="J38" s="106">
        <f t="shared" si="5"/>
        <v>0.68974994193698225</v>
      </c>
      <c r="K38" s="38"/>
      <c r="L38" s="20" t="str">
        <f t="shared" si="2"/>
        <v/>
      </c>
      <c r="N38" s="24"/>
    </row>
    <row r="39" spans="1:14" s="22" customFormat="1" ht="25" customHeight="1" x14ac:dyDescent="0.45">
      <c r="A39" s="20"/>
      <c r="B39" s="37"/>
      <c r="C39" s="169">
        <v>18</v>
      </c>
      <c r="D39" s="128">
        <f t="shared" si="3"/>
        <v>43</v>
      </c>
      <c r="E39" s="128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6</v>
      </c>
      <c r="F39" s="102">
        <f t="shared" si="4"/>
        <v>29.97</v>
      </c>
      <c r="G39" s="103">
        <f>IF(D39=D38,"",_xlfn.IFNA(VLOOKUP(D39,'인원 입력 기능(사과탐)'!$K$5:$N$59,4,FALSE),0))</f>
        <v>546</v>
      </c>
      <c r="H39" s="104">
        <f t="shared" si="1"/>
        <v>2.1134938453201208E-2</v>
      </c>
      <c r="I39" s="114">
        <f>SUM($G$7:G39)</f>
        <v>18365</v>
      </c>
      <c r="J39" s="106">
        <f t="shared" si="5"/>
        <v>0.71088488039018349</v>
      </c>
      <c r="K39" s="38"/>
      <c r="L39" s="20" t="str">
        <f t="shared" si="2"/>
        <v/>
      </c>
      <c r="N39" s="24"/>
    </row>
    <row r="40" spans="1:14" s="22" customFormat="1" ht="25" customHeight="1" x14ac:dyDescent="0.45">
      <c r="A40" s="20"/>
      <c r="B40" s="37"/>
      <c r="C40" s="127">
        <v>17</v>
      </c>
      <c r="D40" s="128">
        <f t="shared" si="3"/>
        <v>42</v>
      </c>
      <c r="E40" s="128">
        <f t="shared" si="6"/>
        <v>6</v>
      </c>
      <c r="F40" s="102">
        <f t="shared" si="4"/>
        <v>27.76</v>
      </c>
      <c r="G40" s="103">
        <f>IF(D40=D39,"",_xlfn.IFNA(VLOOKUP(D40,'인원 입력 기능(사과탐)'!$K$5:$N$59,4,FALSE),0))</f>
        <v>594</v>
      </c>
      <c r="H40" s="104">
        <f t="shared" si="1"/>
        <v>2.2992955020515599E-2</v>
      </c>
      <c r="I40" s="114">
        <f>SUM($G$7:G40)</f>
        <v>18959</v>
      </c>
      <c r="J40" s="106">
        <f t="shared" si="5"/>
        <v>0.73387783541069906</v>
      </c>
      <c r="K40" s="38"/>
      <c r="L40" s="20" t="str">
        <f t="shared" si="2"/>
        <v/>
      </c>
      <c r="N40" s="24"/>
    </row>
    <row r="41" spans="1:14" s="22" customFormat="1" ht="25" customHeight="1" x14ac:dyDescent="0.45">
      <c r="A41" s="20"/>
      <c r="B41" s="37"/>
      <c r="C41" s="169">
        <v>16</v>
      </c>
      <c r="D41" s="130">
        <f t="shared" si="3"/>
        <v>41</v>
      </c>
      <c r="E41" s="130">
        <f t="shared" si="6"/>
        <v>6</v>
      </c>
      <c r="F41" s="116">
        <f t="shared" si="4"/>
        <v>24.52</v>
      </c>
      <c r="G41" s="117">
        <f>IF(D41=D40,"",_xlfn.IFNA(VLOOKUP(D41,'인원 입력 기능(사과탐)'!$K$5:$N$59,4,FALSE),0))</f>
        <v>1082</v>
      </c>
      <c r="H41" s="118">
        <f t="shared" si="1"/>
        <v>4.1882790121545249E-2</v>
      </c>
      <c r="I41" s="119">
        <f>SUM($G$7:G41)</f>
        <v>20041</v>
      </c>
      <c r="J41" s="120">
        <f t="shared" si="5"/>
        <v>0.77576062553224434</v>
      </c>
      <c r="K41" s="38"/>
      <c r="L41" s="20" t="str">
        <f t="shared" si="2"/>
        <v/>
      </c>
      <c r="N41" s="24"/>
    </row>
    <row r="42" spans="1:14" s="22" customFormat="1" ht="25" customHeight="1" x14ac:dyDescent="0.45">
      <c r="A42" s="20"/>
      <c r="B42" s="37"/>
      <c r="C42" s="127">
        <v>15</v>
      </c>
      <c r="D42" s="132"/>
      <c r="E42" s="132"/>
      <c r="F42" s="122"/>
      <c r="G42" s="123"/>
      <c r="H42" s="124"/>
      <c r="I42" s="125"/>
      <c r="J42" s="126"/>
      <c r="K42" s="38"/>
      <c r="L42" s="20" t="str">
        <f t="shared" si="2"/>
        <v>경고</v>
      </c>
      <c r="N42" s="24"/>
    </row>
    <row r="43" spans="1:14" s="22" customFormat="1" ht="25" customHeight="1" x14ac:dyDescent="0.45">
      <c r="A43" s="20"/>
      <c r="B43" s="37"/>
      <c r="C43" s="169">
        <v>14</v>
      </c>
      <c r="D43" s="128">
        <f t="shared" si="3"/>
        <v>40</v>
      </c>
      <c r="E43" s="128">
        <f t="shared" si="6"/>
        <v>7</v>
      </c>
      <c r="F43" s="102">
        <f t="shared" si="4"/>
        <v>19.489999999999998</v>
      </c>
      <c r="G43" s="103">
        <f>IF(D43=D42,"",_xlfn.IFNA(VLOOKUP(D43,'인원 입력 기능(사과탐)'!$K$5:$N$59,4,FALSE),0))</f>
        <v>1516</v>
      </c>
      <c r="H43" s="104">
        <f t="shared" si="1"/>
        <v>5.8682356584346208E-2</v>
      </c>
      <c r="I43" s="114">
        <f>SUM($G$7:G43)</f>
        <v>21557</v>
      </c>
      <c r="J43" s="106">
        <f t="shared" si="5"/>
        <v>0.83444298211659051</v>
      </c>
      <c r="K43" s="38"/>
      <c r="L43" s="20" t="str">
        <f t="shared" si="2"/>
        <v/>
      </c>
      <c r="N43" s="24"/>
    </row>
    <row r="44" spans="1:14" s="22" customFormat="1" ht="25" customHeight="1" x14ac:dyDescent="0.45">
      <c r="A44" s="20"/>
      <c r="B44" s="37"/>
      <c r="C44" s="127">
        <v>13</v>
      </c>
      <c r="D44" s="128">
        <f t="shared" si="3"/>
        <v>39</v>
      </c>
      <c r="E44" s="128">
        <f t="shared" si="6"/>
        <v>7</v>
      </c>
      <c r="F44" s="102">
        <f t="shared" si="4"/>
        <v>15.64</v>
      </c>
      <c r="G44" s="103">
        <f>IF(D44=D43,"",_xlfn.IFNA(VLOOKUP(D44,'인원 입력 기능(사과탐)'!$K$5:$N$59,4,FALSE),0))</f>
        <v>471</v>
      </c>
      <c r="H44" s="104">
        <f t="shared" si="1"/>
        <v>1.8231787566772472E-2</v>
      </c>
      <c r="I44" s="114">
        <f>SUM($G$7:G44)</f>
        <v>22028</v>
      </c>
      <c r="J44" s="106">
        <f t="shared" si="5"/>
        <v>0.85267476968336298</v>
      </c>
      <c r="K44" s="38"/>
      <c r="L44" s="20" t="str">
        <f t="shared" si="2"/>
        <v/>
      </c>
      <c r="N44" s="24"/>
    </row>
    <row r="45" spans="1:14" s="22" customFormat="1" ht="25" customHeight="1" x14ac:dyDescent="0.45">
      <c r="A45" s="20"/>
      <c r="B45" s="37"/>
      <c r="C45" s="169">
        <v>12</v>
      </c>
      <c r="D45" s="128">
        <f t="shared" si="3"/>
        <v>38</v>
      </c>
      <c r="E45" s="128">
        <f t="shared" si="6"/>
        <v>7</v>
      </c>
      <c r="F45" s="102">
        <f t="shared" si="4"/>
        <v>13.85</v>
      </c>
      <c r="G45" s="103">
        <f>IF(D45=D44,"",_xlfn.IFNA(VLOOKUP(D45,'인원 입력 기능(사과탐)'!$K$5:$N$59,4,FALSE),0))</f>
        <v>458</v>
      </c>
      <c r="H45" s="104">
        <f t="shared" si="1"/>
        <v>1.7728574746458156E-2</v>
      </c>
      <c r="I45" s="114">
        <f>SUM($G$7:G45)</f>
        <v>22486</v>
      </c>
      <c r="J45" s="106">
        <f t="shared" si="5"/>
        <v>0.87040334442982115</v>
      </c>
      <c r="K45" s="38"/>
      <c r="L45" s="20" t="str">
        <f t="shared" si="2"/>
        <v/>
      </c>
      <c r="N45" s="24"/>
    </row>
    <row r="46" spans="1:14" s="22" customFormat="1" ht="25" customHeight="1" x14ac:dyDescent="0.45">
      <c r="A46" s="20"/>
      <c r="B46" s="37"/>
      <c r="C46" s="127">
        <v>11</v>
      </c>
      <c r="D46" s="128">
        <f t="shared" si="3"/>
        <v>37</v>
      </c>
      <c r="E46" s="128">
        <f t="shared" si="6"/>
        <v>7</v>
      </c>
      <c r="F46" s="102">
        <f t="shared" si="4"/>
        <v>11.09</v>
      </c>
      <c r="G46" s="103">
        <f>IF(D46=D45,"",_xlfn.IFNA(VLOOKUP(D46,'인원 입력 기능(사과탐)'!$K$5:$N$59,4,FALSE),0))</f>
        <v>968</v>
      </c>
      <c r="H46" s="104">
        <f t="shared" si="1"/>
        <v>3.7470000774173569E-2</v>
      </c>
      <c r="I46" s="114">
        <f>SUM($G$7:G46)</f>
        <v>23454</v>
      </c>
      <c r="J46" s="106">
        <f t="shared" si="5"/>
        <v>0.90787334520399476</v>
      </c>
      <c r="K46" s="38"/>
      <c r="L46" s="20" t="str">
        <f t="shared" si="2"/>
        <v/>
      </c>
      <c r="N46" s="24"/>
    </row>
    <row r="47" spans="1:14" s="22" customFormat="1" ht="25" customHeight="1" x14ac:dyDescent="0.45">
      <c r="A47" s="20"/>
      <c r="B47" s="37"/>
      <c r="C47" s="169">
        <v>10</v>
      </c>
      <c r="D47" s="128">
        <f t="shared" si="3"/>
        <v>36</v>
      </c>
      <c r="E47" s="128">
        <f t="shared" si="6"/>
        <v>8</v>
      </c>
      <c r="F47" s="102">
        <f t="shared" si="4"/>
        <v>7.92</v>
      </c>
      <c r="G47" s="103">
        <f>IF(D47=D46,"",_xlfn.IFNA(VLOOKUP(D47,'인원 입력 기능(사과탐)'!$K$5:$N$59,4,FALSE),0))</f>
        <v>667</v>
      </c>
      <c r="H47" s="104">
        <f t="shared" si="1"/>
        <v>2.5818688549972903E-2</v>
      </c>
      <c r="I47" s="114">
        <f>SUM($G$7:G47)</f>
        <v>24121</v>
      </c>
      <c r="J47" s="106">
        <f t="shared" si="5"/>
        <v>0.93369203375396759</v>
      </c>
      <c r="K47" s="38"/>
      <c r="L47" s="20" t="str">
        <f t="shared" si="2"/>
        <v/>
      </c>
      <c r="N47" s="24"/>
    </row>
    <row r="48" spans="1:14" s="22" customFormat="1" ht="25" customHeight="1" x14ac:dyDescent="0.45">
      <c r="A48" s="20"/>
      <c r="B48" s="37"/>
      <c r="C48" s="127">
        <v>9</v>
      </c>
      <c r="D48" s="128">
        <f t="shared" si="3"/>
        <v>35</v>
      </c>
      <c r="E48" s="128">
        <f t="shared" si="6"/>
        <v>8</v>
      </c>
      <c r="F48" s="102">
        <f t="shared" si="4"/>
        <v>5.98</v>
      </c>
      <c r="G48" s="103">
        <f>IF(D48=D47,"",_xlfn.IFNA(VLOOKUP(D48,'인원 입력 기능(사과탐)'!$K$5:$N$59,4,FALSE),0))</f>
        <v>335</v>
      </c>
      <c r="H48" s="104">
        <f t="shared" si="1"/>
        <v>1.2967407292715026E-2</v>
      </c>
      <c r="I48" s="114">
        <f>SUM($G$7:G48)</f>
        <v>24456</v>
      </c>
      <c r="J48" s="106">
        <f t="shared" si="5"/>
        <v>0.94665944104668265</v>
      </c>
      <c r="K48" s="38"/>
      <c r="L48" s="20" t="str">
        <f t="shared" si="2"/>
        <v/>
      </c>
      <c r="N48" s="24"/>
    </row>
    <row r="49" spans="1:14" s="22" customFormat="1" ht="25" customHeight="1" x14ac:dyDescent="0.45">
      <c r="A49" s="20"/>
      <c r="B49" s="37"/>
      <c r="C49" s="169">
        <v>8</v>
      </c>
      <c r="D49" s="130">
        <f t="shared" si="3"/>
        <v>34</v>
      </c>
      <c r="E49" s="130">
        <f t="shared" si="6"/>
        <v>8</v>
      </c>
      <c r="F49" s="116">
        <f t="shared" si="4"/>
        <v>3.73</v>
      </c>
      <c r="G49" s="117">
        <f>IF(D49=D48,"",_xlfn.IFNA(VLOOKUP(D49,'인원 입력 기능(사과탐)'!$K$5:$N$59,4,FALSE),0))</f>
        <v>830</v>
      </c>
      <c r="H49" s="118">
        <f t="shared" si="1"/>
        <v>3.2128203143144692E-2</v>
      </c>
      <c r="I49" s="119">
        <f>SUM($G$7:G49)</f>
        <v>25286</v>
      </c>
      <c r="J49" s="120">
        <f t="shared" si="5"/>
        <v>0.97878764418982733</v>
      </c>
      <c r="K49" s="38"/>
      <c r="L49" s="20" t="str">
        <f t="shared" si="2"/>
        <v/>
      </c>
      <c r="N49" s="24"/>
    </row>
    <row r="50" spans="1:14" s="22" customFormat="1" ht="25" customHeight="1" x14ac:dyDescent="0.45">
      <c r="A50" s="20"/>
      <c r="B50" s="37"/>
      <c r="C50" s="127">
        <v>7</v>
      </c>
      <c r="D50" s="132"/>
      <c r="E50" s="132"/>
      <c r="F50" s="122"/>
      <c r="G50" s="123"/>
      <c r="H50" s="124"/>
      <c r="I50" s="125"/>
      <c r="J50" s="126"/>
      <c r="K50" s="38"/>
      <c r="L50" s="20" t="str">
        <f t="shared" si="2"/>
        <v>경고</v>
      </c>
      <c r="N50" s="24"/>
    </row>
    <row r="51" spans="1:14" s="22" customFormat="1" ht="25" customHeight="1" x14ac:dyDescent="0.45">
      <c r="A51" s="20"/>
      <c r="B51" s="37"/>
      <c r="C51" s="169">
        <v>6</v>
      </c>
      <c r="D51" s="128">
        <f t="shared" si="3"/>
        <v>33</v>
      </c>
      <c r="E51" s="128">
        <f t="shared" si="6"/>
        <v>9</v>
      </c>
      <c r="F51" s="102">
        <f t="shared" si="4"/>
        <v>1.82</v>
      </c>
      <c r="G51" s="103">
        <f>IF(D51=D50,"",_xlfn.IFNA(VLOOKUP(D51,'인원 입력 기능(사과탐)'!$K$5:$N$59,4,FALSE),0))</f>
        <v>158</v>
      </c>
      <c r="H51" s="104">
        <f t="shared" si="1"/>
        <v>6.1159712007432063E-3</v>
      </c>
      <c r="I51" s="114">
        <f>SUM($G$7:G51)</f>
        <v>25444</v>
      </c>
      <c r="J51" s="106">
        <f t="shared" si="5"/>
        <v>0.98490361539057059</v>
      </c>
      <c r="K51" s="38"/>
      <c r="L51" s="20" t="str">
        <f t="shared" si="2"/>
        <v/>
      </c>
      <c r="N51" s="24"/>
    </row>
    <row r="52" spans="1:14" s="22" customFormat="1" ht="25" customHeight="1" x14ac:dyDescent="0.45">
      <c r="A52" s="20"/>
      <c r="B52" s="37"/>
      <c r="C52" s="127">
        <v>5</v>
      </c>
      <c r="D52" s="128">
        <f t="shared" si="3"/>
        <v>32</v>
      </c>
      <c r="E52" s="128">
        <f t="shared" si="6"/>
        <v>9</v>
      </c>
      <c r="F52" s="102">
        <f t="shared" si="4"/>
        <v>1.17</v>
      </c>
      <c r="G52" s="103">
        <f>IF(D52=D51,"",_xlfn.IFNA(VLOOKUP(D52,'인원 입력 기능(사과탐)'!$K$5:$N$59,4,FALSE),0))</f>
        <v>178</v>
      </c>
      <c r="H52" s="104">
        <f t="shared" si="1"/>
        <v>6.8901447704575363E-3</v>
      </c>
      <c r="I52" s="114">
        <f>SUM($G$7:G52)</f>
        <v>25622</v>
      </c>
      <c r="J52" s="106">
        <f t="shared" si="5"/>
        <v>0.99179376016102805</v>
      </c>
      <c r="K52" s="38"/>
      <c r="L52" s="20" t="str">
        <f t="shared" si="2"/>
        <v/>
      </c>
      <c r="N52" s="24"/>
    </row>
    <row r="53" spans="1:14" s="22" customFormat="1" ht="25" customHeight="1" x14ac:dyDescent="0.45">
      <c r="A53" s="20"/>
      <c r="B53" s="37"/>
      <c r="C53" s="100">
        <v>4</v>
      </c>
      <c r="D53" s="101">
        <f t="shared" si="3"/>
        <v>31</v>
      </c>
      <c r="E53" s="101">
        <f t="shared" si="6"/>
        <v>9</v>
      </c>
      <c r="F53" s="102">
        <f t="shared" si="4"/>
        <v>0.7</v>
      </c>
      <c r="G53" s="103">
        <f>IF(D53=D52,"",_xlfn.IFNA(VLOOKUP(D53,'인원 입력 기능(사과탐)'!$K$5:$N$59,4,FALSE),0))</f>
        <v>62</v>
      </c>
      <c r="H53" s="104">
        <f t="shared" si="1"/>
        <v>2.3999380661144229E-3</v>
      </c>
      <c r="I53" s="114">
        <f>SUM($G$7:G53)</f>
        <v>25684</v>
      </c>
      <c r="J53" s="106">
        <f t="shared" si="5"/>
        <v>0.99419369822714254</v>
      </c>
      <c r="K53" s="38"/>
      <c r="L53" s="20" t="str">
        <f t="shared" si="2"/>
        <v/>
      </c>
      <c r="N53" s="24"/>
    </row>
    <row r="54" spans="1:14" s="22" customFormat="1" ht="25" customHeight="1" x14ac:dyDescent="0.45">
      <c r="A54" s="20"/>
      <c r="B54" s="37"/>
      <c r="C54" s="107">
        <v>3</v>
      </c>
      <c r="D54" s="101">
        <f t="shared" si="3"/>
        <v>30</v>
      </c>
      <c r="E54" s="101">
        <f t="shared" si="6"/>
        <v>9</v>
      </c>
      <c r="F54" s="102">
        <f t="shared" si="4"/>
        <v>0.44</v>
      </c>
      <c r="G54" s="103">
        <f>IF(D54=D53,"",_xlfn.IFNA(VLOOKUP(D54,'인원 입력 기능(사과탐)'!$K$5:$N$59,4,FALSE),0))</f>
        <v>74</v>
      </c>
      <c r="H54" s="104">
        <f t="shared" si="1"/>
        <v>2.8644422079430209E-3</v>
      </c>
      <c r="I54" s="114">
        <f>SUM($G$7:G54)</f>
        <v>25758</v>
      </c>
      <c r="J54" s="106">
        <f t="shared" si="5"/>
        <v>0.99705814043508556</v>
      </c>
      <c r="K54" s="38"/>
      <c r="L54" s="20" t="str">
        <f t="shared" si="2"/>
        <v/>
      </c>
      <c r="N54" s="24"/>
    </row>
    <row r="55" spans="1:14" s="22" customFormat="1" ht="25" customHeight="1" x14ac:dyDescent="0.45">
      <c r="A55" s="20"/>
      <c r="B55" s="37"/>
      <c r="C55" s="100">
        <v>2</v>
      </c>
      <c r="D55" s="101">
        <f t="shared" si="3"/>
        <v>29</v>
      </c>
      <c r="E55" s="101">
        <f t="shared" si="6"/>
        <v>9</v>
      </c>
      <c r="F55" s="102">
        <f t="shared" si="4"/>
        <v>0.19</v>
      </c>
      <c r="G55" s="103">
        <f>IF(D55=D54,"",_xlfn.IFNA(VLOOKUP(D55,'인원 입력 기능(사과탐)'!$K$5:$N$59,4,FALSE),0))</f>
        <v>53</v>
      </c>
      <c r="H55" s="104">
        <f t="shared" si="1"/>
        <v>2.0515599597429744E-3</v>
      </c>
      <c r="I55" s="114">
        <f>SUM($G$7:G55)</f>
        <v>25811</v>
      </c>
      <c r="J55" s="106">
        <f t="shared" si="5"/>
        <v>0.99910970039482849</v>
      </c>
      <c r="K55" s="38"/>
      <c r="L55" s="20" t="str">
        <f t="shared" si="2"/>
        <v/>
      </c>
      <c r="N55" s="24"/>
    </row>
    <row r="56" spans="1:14" s="22" customFormat="1" ht="25" customHeight="1" x14ac:dyDescent="0.45">
      <c r="A56" s="20"/>
      <c r="B56" s="37"/>
      <c r="C56" s="107">
        <v>1</v>
      </c>
      <c r="D56" s="108" t="s">
        <v>54</v>
      </c>
      <c r="E56" s="108"/>
      <c r="F56" s="109"/>
      <c r="G56" s="170"/>
      <c r="H56" s="168"/>
      <c r="I56" s="134"/>
      <c r="J56" s="113"/>
      <c r="K56" s="38"/>
      <c r="L56" s="20"/>
      <c r="N56" s="24"/>
    </row>
    <row r="57" spans="1:14" s="22" customFormat="1" ht="25" customHeight="1" thickBot="1" x14ac:dyDescent="0.5">
      <c r="A57" s="20"/>
      <c r="B57" s="37"/>
      <c r="C57" s="171">
        <v>0</v>
      </c>
      <c r="D57" s="136">
        <f>ROUND(10*(C57-$H$3)/$H$4+50,0)</f>
        <v>27</v>
      </c>
      <c r="E57" s="172">
        <f t="shared" si="6"/>
        <v>9</v>
      </c>
      <c r="F57" s="137">
        <f>IF(I55=0,ROUND(100*(1-(I54+I57)/2/$J$3),2),ROUND(100*(1-(I55+I57)/2/$J$3),2))</f>
        <v>0.04</v>
      </c>
      <c r="G57" s="173">
        <f>_xlfn.IFNA(VLOOKUP(D57,'인원 입력 기능(사과탐)'!$K$5:$N$59,4,FALSE),0)</f>
        <v>23</v>
      </c>
      <c r="H57" s="139">
        <f>G57/$J$3</f>
        <v>8.9029960517147944E-4</v>
      </c>
      <c r="I57" s="140">
        <f>SUM($G$7:G57)</f>
        <v>25834</v>
      </c>
      <c r="J57" s="174">
        <f>I57/$J$3</f>
        <v>1</v>
      </c>
      <c r="K57" s="38"/>
      <c r="L57" s="20" t="str">
        <f t="shared" si="2"/>
        <v/>
      </c>
      <c r="N57" s="24"/>
    </row>
    <row r="58" spans="1:14" ht="6" customHeight="1" x14ac:dyDescent="0.45">
      <c r="A58" s="5"/>
      <c r="B58" s="34"/>
      <c r="C58" s="35"/>
      <c r="D58" s="35"/>
      <c r="E58" s="35"/>
      <c r="F58" s="35"/>
      <c r="G58" s="35"/>
      <c r="H58" s="35"/>
      <c r="I58" s="35"/>
      <c r="J58" s="35"/>
      <c r="K58" s="36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44">
    <mergeCell ref="I41:I42"/>
    <mergeCell ref="J41:J42"/>
    <mergeCell ref="D49:D50"/>
    <mergeCell ref="E49:E50"/>
    <mergeCell ref="F49:F50"/>
    <mergeCell ref="G49:G50"/>
    <mergeCell ref="H49:H50"/>
    <mergeCell ref="I49:I50"/>
    <mergeCell ref="J49:J50"/>
    <mergeCell ref="D41:D42"/>
    <mergeCell ref="E41:E42"/>
    <mergeCell ref="F41:F42"/>
    <mergeCell ref="G41:G42"/>
    <mergeCell ref="H41:H42"/>
    <mergeCell ref="I26:I27"/>
    <mergeCell ref="J26:J27"/>
    <mergeCell ref="D34:D35"/>
    <mergeCell ref="E34:E35"/>
    <mergeCell ref="F34:F35"/>
    <mergeCell ref="G34:G35"/>
    <mergeCell ref="H34:H35"/>
    <mergeCell ref="I34:I35"/>
    <mergeCell ref="J34:J35"/>
    <mergeCell ref="D26:D27"/>
    <mergeCell ref="E26:E27"/>
    <mergeCell ref="F26:F27"/>
    <mergeCell ref="G26:G27"/>
    <mergeCell ref="H26:H27"/>
    <mergeCell ref="G11:G12"/>
    <mergeCell ref="H11:H12"/>
    <mergeCell ref="I11:I12"/>
    <mergeCell ref="J11:J12"/>
    <mergeCell ref="D19:D20"/>
    <mergeCell ref="E19:E20"/>
    <mergeCell ref="F19:F20"/>
    <mergeCell ref="G19:G20"/>
    <mergeCell ref="H19:H20"/>
    <mergeCell ref="I19:I20"/>
    <mergeCell ref="J19:J20"/>
    <mergeCell ref="D3:F3"/>
    <mergeCell ref="D4:F4"/>
    <mergeCell ref="D11:D12"/>
    <mergeCell ref="E11:E12"/>
    <mergeCell ref="F11:F12"/>
  </mergeCells>
  <phoneticPr fontId="1" type="noConversion"/>
  <conditionalFormatting sqref="D7:G11 I7:J11 D13:G19 I13:J19 D21:G26 I21:J26 D28:G34 I28:J34 D36:G41 I36:J41 D43:G49 I43:J49 D51:G57 I51:J57">
    <cfRule type="expression" dxfId="43" priority="4">
      <formula>OR($D7=$Q$7:$Q$14)</formula>
    </cfRule>
  </conditionalFormatting>
  <conditionalFormatting sqref="C7:C57">
    <cfRule type="expression" dxfId="42" priority="3">
      <formula>OR(AND($D7=0,OR($D6=$Q$7:$Q$14)),AND($D8&gt;0,OR($D7=$Q$7:$Q$14)))</formula>
    </cfRule>
  </conditionalFormatting>
  <conditionalFormatting sqref="D7:D11 D13:D19 D21:D26 D28:D34 D36:D41 D43:D49 D51:D57">
    <cfRule type="expression" dxfId="41" priority="2">
      <formula>$D7=$D8</formula>
    </cfRule>
  </conditionalFormatting>
  <conditionalFormatting sqref="H7:H11 H13:H19 H21:H26 H28:H34 H36:H41 H43:H49 H51:H57">
    <cfRule type="expression" dxfId="40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2889C-B507-4A3B-8C3B-31827C1F3AD5}">
  <sheetPr codeName="Sheet13"/>
  <dimension ref="A1:Q105"/>
  <sheetViews>
    <sheetView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5" t="s">
        <v>6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37"/>
      <c r="C3" s="84" t="s">
        <v>122</v>
      </c>
      <c r="D3" s="85" t="s">
        <v>67</v>
      </c>
      <c r="E3" s="86"/>
      <c r="F3" s="87"/>
      <c r="G3" s="84" t="s">
        <v>123</v>
      </c>
      <c r="H3" s="88" t="str">
        <f>'통계 및 응시자 수 입력 기능'!D11</f>
        <v>21.00</v>
      </c>
      <c r="I3" s="21" t="s">
        <v>124</v>
      </c>
      <c r="J3" s="89">
        <f>'통계 및 응시자 수 입력 기능'!C11</f>
        <v>17569</v>
      </c>
      <c r="K3" s="38"/>
      <c r="L3" s="20"/>
    </row>
    <row r="4" spans="1:17" s="22" customFormat="1" ht="25" customHeight="1" thickBot="1" x14ac:dyDescent="0.5">
      <c r="A4" s="20"/>
      <c r="B4" s="37"/>
      <c r="C4" s="90" t="s">
        <v>125</v>
      </c>
      <c r="D4" s="91" t="s">
        <v>155</v>
      </c>
      <c r="E4" s="92"/>
      <c r="F4" s="93"/>
      <c r="G4" s="94" t="s">
        <v>127</v>
      </c>
      <c r="H4" s="95" t="str">
        <f>'통계 및 응시자 수 입력 기능'!E11</f>
        <v>10.29</v>
      </c>
      <c r="I4" s="39"/>
      <c r="J4" s="40"/>
      <c r="K4" s="38"/>
      <c r="L4" s="20"/>
    </row>
    <row r="5" spans="1:17" s="22" customFormat="1" ht="25" customHeight="1" thickBot="1" x14ac:dyDescent="0.5">
      <c r="A5" s="20"/>
      <c r="B5" s="37"/>
      <c r="C5" s="32"/>
      <c r="D5" s="32"/>
      <c r="E5" s="32"/>
      <c r="F5" s="32"/>
      <c r="G5" s="32"/>
      <c r="H5" s="33"/>
      <c r="I5" s="33"/>
      <c r="J5" s="33"/>
      <c r="K5" s="38"/>
      <c r="L5" s="20"/>
    </row>
    <row r="6" spans="1:17" s="22" customFormat="1" ht="25" customHeight="1" thickBot="1" x14ac:dyDescent="0.5">
      <c r="A6" s="20"/>
      <c r="B6" s="37"/>
      <c r="C6" s="96" t="s">
        <v>129</v>
      </c>
      <c r="D6" s="97" t="s">
        <v>130</v>
      </c>
      <c r="E6" s="97" t="s">
        <v>131</v>
      </c>
      <c r="F6" s="97" t="s">
        <v>132</v>
      </c>
      <c r="G6" s="97" t="s">
        <v>133</v>
      </c>
      <c r="H6" s="97" t="s">
        <v>134</v>
      </c>
      <c r="I6" s="98" t="s">
        <v>135</v>
      </c>
      <c r="J6" s="99" t="s">
        <v>136</v>
      </c>
      <c r="K6" s="38"/>
      <c r="L6" s="19" t="s">
        <v>62</v>
      </c>
      <c r="M6" s="19"/>
      <c r="N6" s="23"/>
    </row>
    <row r="7" spans="1:17" s="22" customFormat="1" ht="25" customHeight="1" x14ac:dyDescent="0.45">
      <c r="A7" s="20"/>
      <c r="B7" s="37"/>
      <c r="C7" s="100">
        <v>50</v>
      </c>
      <c r="D7" s="101">
        <f>ROUND(10*(C7-$H$3)/$H$4+50,0)</f>
        <v>78</v>
      </c>
      <c r="E7" s="101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102">
        <f>ROUND(100*(1-(0+I7)/2/$J$3),2)</f>
        <v>99.81</v>
      </c>
      <c r="G7" s="103">
        <f>_xlfn.IFNA(VLOOKUP(D7,'인원 입력 기능(사과탐)'!$P$5:$S$59,4,FALSE),0)</f>
        <v>68</v>
      </c>
      <c r="H7" s="104">
        <f>G7/$J$3</f>
        <v>3.8704536399339746E-3</v>
      </c>
      <c r="I7" s="105">
        <f>G7</f>
        <v>68</v>
      </c>
      <c r="J7" s="106">
        <f>I7/$J$3</f>
        <v>3.8704536399339746E-3</v>
      </c>
      <c r="K7" s="38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기능'!C67</f>
        <v>69</v>
      </c>
    </row>
    <row r="8" spans="1:17" s="22" customFormat="1" ht="25" customHeight="1" x14ac:dyDescent="0.45">
      <c r="A8" s="20"/>
      <c r="B8" s="37"/>
      <c r="C8" s="107">
        <v>49</v>
      </c>
      <c r="D8" s="108" t="s">
        <v>54</v>
      </c>
      <c r="E8" s="108"/>
      <c r="F8" s="109"/>
      <c r="G8" s="110"/>
      <c r="H8" s="168"/>
      <c r="I8" s="112"/>
      <c r="J8" s="113"/>
      <c r="K8" s="38"/>
      <c r="L8" s="20"/>
      <c r="N8" s="24"/>
      <c r="P8" s="24">
        <v>2</v>
      </c>
      <c r="Q8" s="24">
        <f>'표점등급&amp;절평인원 입력 기능'!C68</f>
        <v>64</v>
      </c>
    </row>
    <row r="9" spans="1:17" s="22" customFormat="1" ht="25" customHeight="1" x14ac:dyDescent="0.45">
      <c r="A9" s="20"/>
      <c r="B9" s="37"/>
      <c r="C9" s="100">
        <v>48</v>
      </c>
      <c r="D9" s="101">
        <f>ROUND(10*(C9-$H$3)/$H$4+50,0)</f>
        <v>76</v>
      </c>
      <c r="E9" s="101">
        <f t="shared" si="0"/>
        <v>1</v>
      </c>
      <c r="F9" s="102">
        <f>IF(I8=0,ROUND(100*(1-(I7+I9)/2/$J$3),2),ROUND(100*(1-(I8+I9)/2/$J$3),2))</f>
        <v>99.5</v>
      </c>
      <c r="G9" s="103">
        <f>_xlfn.IFNA(VLOOKUP(D9,'인원 입력 기능(사과탐)'!$P$5:$S$59,4,FALSE),0)</f>
        <v>38</v>
      </c>
      <c r="H9" s="104">
        <f t="shared" ref="H9:H55" si="1">G9/$J$3</f>
        <v>2.1629005634925154E-3</v>
      </c>
      <c r="I9" s="114">
        <f>SUM($G$7:G9)</f>
        <v>106</v>
      </c>
      <c r="J9" s="106">
        <f>I9/$J$3</f>
        <v>6.0333542034264895E-3</v>
      </c>
      <c r="K9" s="38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기능'!C69</f>
        <v>58</v>
      </c>
    </row>
    <row r="10" spans="1:17" s="22" customFormat="1" ht="25" customHeight="1" x14ac:dyDescent="0.45">
      <c r="A10" s="20"/>
      <c r="B10" s="37"/>
      <c r="C10" s="107">
        <v>47</v>
      </c>
      <c r="D10" s="101">
        <f t="shared" ref="D10:D55" si="3">ROUND(10*(C10-$H$3)/$H$4+50,0)</f>
        <v>75</v>
      </c>
      <c r="E10" s="101">
        <f t="shared" si="0"/>
        <v>1</v>
      </c>
      <c r="F10" s="102">
        <f t="shared" ref="F10:F55" si="4">IF(I9=0,ROUND(100*(1-(I8+I10)/2/$J$3),2),ROUND(100*(1-(I9+I10)/2/$J$3),2))</f>
        <v>99.16</v>
      </c>
      <c r="G10" s="103">
        <f>IF(D10=D9,"",_xlfn.IFNA(VLOOKUP(D10,'인원 입력 기능(사과탐)'!$P$5:$S$59,4,FALSE),0))</f>
        <v>82</v>
      </c>
      <c r="H10" s="104">
        <f t="shared" si="1"/>
        <v>4.6673117422733222E-3</v>
      </c>
      <c r="I10" s="114">
        <f>SUM($G$7:G10)</f>
        <v>188</v>
      </c>
      <c r="J10" s="106">
        <f t="shared" ref="J10:J55" si="5">I10/$J$3</f>
        <v>1.0700665945699812E-2</v>
      </c>
      <c r="K10" s="38"/>
      <c r="L10" s="20" t="str">
        <f t="shared" si="2"/>
        <v/>
      </c>
      <c r="N10" s="24"/>
      <c r="P10" s="24">
        <v>4</v>
      </c>
      <c r="Q10" s="24">
        <f>'표점등급&amp;절평인원 입력 기능'!C70</f>
        <v>52</v>
      </c>
    </row>
    <row r="11" spans="1:17" s="22" customFormat="1" ht="25" customHeight="1" x14ac:dyDescent="0.45">
      <c r="A11" s="20"/>
      <c r="B11" s="37"/>
      <c r="C11" s="100">
        <v>46</v>
      </c>
      <c r="D11" s="101">
        <f t="shared" si="3"/>
        <v>74</v>
      </c>
      <c r="E11" s="101">
        <f t="shared" si="0"/>
        <v>1</v>
      </c>
      <c r="F11" s="102">
        <f t="shared" si="4"/>
        <v>98.88</v>
      </c>
      <c r="G11" s="103">
        <f>IF(D11=D10,"",_xlfn.IFNA(VLOOKUP(D11,'인원 입력 기능(사과탐)'!$P$5:$S$59,4,FALSE),0))</f>
        <v>18</v>
      </c>
      <c r="H11" s="104">
        <f t="shared" si="1"/>
        <v>1.0245318458648757E-3</v>
      </c>
      <c r="I11" s="114">
        <f>SUM($G$7:G11)</f>
        <v>206</v>
      </c>
      <c r="J11" s="106">
        <f t="shared" si="5"/>
        <v>1.1725197791564688E-2</v>
      </c>
      <c r="K11" s="38"/>
      <c r="L11" s="20" t="str">
        <f t="shared" si="2"/>
        <v/>
      </c>
      <c r="N11" s="24"/>
      <c r="P11" s="24">
        <v>5</v>
      </c>
      <c r="Q11" s="24">
        <f>'표점등급&amp;절평인원 입력 기능'!C71</f>
        <v>46</v>
      </c>
    </row>
    <row r="12" spans="1:17" s="22" customFormat="1" ht="25" customHeight="1" x14ac:dyDescent="0.45">
      <c r="A12" s="20"/>
      <c r="B12" s="37"/>
      <c r="C12" s="107">
        <v>45</v>
      </c>
      <c r="D12" s="101">
        <f t="shared" si="3"/>
        <v>73</v>
      </c>
      <c r="E12" s="101">
        <f t="shared" si="0"/>
        <v>1</v>
      </c>
      <c r="F12" s="102">
        <f t="shared" si="4"/>
        <v>98.55</v>
      </c>
      <c r="G12" s="103">
        <f>IF(D12=D11,"",_xlfn.IFNA(VLOOKUP(D12,'인원 입력 기능(사과탐)'!$P$5:$S$59,4,FALSE),0))</f>
        <v>97</v>
      </c>
      <c r="H12" s="104">
        <f t="shared" si="1"/>
        <v>5.521088280494052E-3</v>
      </c>
      <c r="I12" s="114">
        <f>SUM($G$7:G12)</f>
        <v>303</v>
      </c>
      <c r="J12" s="106">
        <f t="shared" si="5"/>
        <v>1.724628607205874E-2</v>
      </c>
      <c r="K12" s="38"/>
      <c r="L12" s="20" t="str">
        <f t="shared" si="2"/>
        <v/>
      </c>
      <c r="N12" s="24"/>
      <c r="P12" s="24">
        <v>6</v>
      </c>
      <c r="Q12" s="24">
        <f>'표점등급&amp;절평인원 입력 기능'!C72</f>
        <v>41</v>
      </c>
    </row>
    <row r="13" spans="1:17" s="22" customFormat="1" ht="25" customHeight="1" x14ac:dyDescent="0.45">
      <c r="A13" s="20"/>
      <c r="B13" s="37"/>
      <c r="C13" s="100">
        <v>44</v>
      </c>
      <c r="D13" s="101">
        <f t="shared" si="3"/>
        <v>72</v>
      </c>
      <c r="E13" s="101">
        <f t="shared" si="0"/>
        <v>1</v>
      </c>
      <c r="F13" s="102">
        <f t="shared" si="4"/>
        <v>98.01</v>
      </c>
      <c r="G13" s="103">
        <f>IF(D13=D12,"",_xlfn.IFNA(VLOOKUP(D13,'인원 입력 기능(사과탐)'!$P$5:$S$59,4,FALSE),0))</f>
        <v>94</v>
      </c>
      <c r="H13" s="104">
        <f t="shared" si="1"/>
        <v>5.3503329728499058E-3</v>
      </c>
      <c r="I13" s="114">
        <f>SUM($G$7:G13)</f>
        <v>397</v>
      </c>
      <c r="J13" s="106">
        <f t="shared" si="5"/>
        <v>2.2596619044908645E-2</v>
      </c>
      <c r="K13" s="38"/>
      <c r="L13" s="20" t="str">
        <f t="shared" si="2"/>
        <v/>
      </c>
      <c r="N13" s="24"/>
      <c r="P13" s="24">
        <v>7</v>
      </c>
      <c r="Q13" s="24">
        <f>'표점등급&amp;절평인원 입력 기능'!C73</f>
        <v>37</v>
      </c>
    </row>
    <row r="14" spans="1:17" s="22" customFormat="1" ht="25" customHeight="1" x14ac:dyDescent="0.45">
      <c r="A14" s="20"/>
      <c r="B14" s="37"/>
      <c r="C14" s="107">
        <v>43</v>
      </c>
      <c r="D14" s="101">
        <f t="shared" si="3"/>
        <v>71</v>
      </c>
      <c r="E14" s="101">
        <f t="shared" si="0"/>
        <v>1</v>
      </c>
      <c r="F14" s="102">
        <f t="shared" si="4"/>
        <v>97.56</v>
      </c>
      <c r="G14" s="103">
        <f>IF(D14=D13,"",_xlfn.IFNA(VLOOKUP(D14,'인원 입력 기능(사과탐)'!$P$5:$S$59,4,FALSE),0))</f>
        <v>65</v>
      </c>
      <c r="H14" s="104">
        <f t="shared" si="1"/>
        <v>3.6996983322898289E-3</v>
      </c>
      <c r="I14" s="114">
        <f>SUM($G$7:G14)</f>
        <v>462</v>
      </c>
      <c r="J14" s="106">
        <f t="shared" si="5"/>
        <v>2.6296317377198473E-2</v>
      </c>
      <c r="K14" s="38"/>
      <c r="L14" s="20" t="str">
        <f t="shared" si="2"/>
        <v/>
      </c>
      <c r="N14" s="24"/>
      <c r="P14" s="24">
        <v>8</v>
      </c>
      <c r="Q14" s="24">
        <f>'표점등급&amp;절평인원 입력 기능'!C74</f>
        <v>35</v>
      </c>
    </row>
    <row r="15" spans="1:17" s="22" customFormat="1" ht="25" customHeight="1" x14ac:dyDescent="0.45">
      <c r="A15" s="20"/>
      <c r="B15" s="37"/>
      <c r="C15" s="100">
        <v>42</v>
      </c>
      <c r="D15" s="101">
        <f t="shared" si="3"/>
        <v>70</v>
      </c>
      <c r="E15" s="101">
        <f t="shared" si="0"/>
        <v>1</v>
      </c>
      <c r="F15" s="102">
        <f t="shared" si="4"/>
        <v>96.92</v>
      </c>
      <c r="G15" s="103">
        <f>IF(D15=D14,"",_xlfn.IFNA(VLOOKUP(D15,'인원 입력 기능(사과탐)'!$P$5:$S$59,4,FALSE),0))</f>
        <v>158</v>
      </c>
      <c r="H15" s="104">
        <f t="shared" si="1"/>
        <v>8.9931128692583521E-3</v>
      </c>
      <c r="I15" s="114">
        <f>SUM($G$7:G15)</f>
        <v>620</v>
      </c>
      <c r="J15" s="106">
        <f t="shared" si="5"/>
        <v>3.5289430246456831E-2</v>
      </c>
      <c r="K15" s="38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7"/>
      <c r="C16" s="107">
        <v>41</v>
      </c>
      <c r="D16" s="101">
        <f t="shared" si="3"/>
        <v>69</v>
      </c>
      <c r="E16" s="101">
        <f t="shared" si="0"/>
        <v>1</v>
      </c>
      <c r="F16" s="102">
        <f t="shared" si="4"/>
        <v>96.16</v>
      </c>
      <c r="G16" s="103">
        <f>IF(D16=D15,"",_xlfn.IFNA(VLOOKUP(D16,'인원 입력 기능(사과탐)'!$P$5:$S$59,4,FALSE),0))</f>
        <v>108</v>
      </c>
      <c r="H16" s="104">
        <f t="shared" si="1"/>
        <v>6.1471910751892539E-3</v>
      </c>
      <c r="I16" s="114">
        <f>SUM($G$7:G16)</f>
        <v>728</v>
      </c>
      <c r="J16" s="106">
        <f t="shared" si="5"/>
        <v>4.1436621321646078E-2</v>
      </c>
      <c r="K16" s="38"/>
      <c r="L16" s="20" t="str">
        <f t="shared" si="2"/>
        <v/>
      </c>
      <c r="N16" s="24"/>
    </row>
    <row r="17" spans="1:17" s="22" customFormat="1" ht="25" customHeight="1" x14ac:dyDescent="0.45">
      <c r="A17" s="20"/>
      <c r="B17" s="37"/>
      <c r="C17" s="100">
        <v>40</v>
      </c>
      <c r="D17" s="101">
        <f t="shared" si="3"/>
        <v>68</v>
      </c>
      <c r="E17" s="101">
        <f t="shared" si="0"/>
        <v>2</v>
      </c>
      <c r="F17" s="102">
        <f t="shared" si="4"/>
        <v>95.48</v>
      </c>
      <c r="G17" s="103">
        <f>IF(D17=D16,"",_xlfn.IFNA(VLOOKUP(D17,'인원 입력 기능(사과탐)'!$P$5:$S$59,4,FALSE),0))</f>
        <v>132</v>
      </c>
      <c r="H17" s="104">
        <f t="shared" si="1"/>
        <v>7.5132335363424212E-3</v>
      </c>
      <c r="I17" s="114">
        <f>SUM($G$7:G17)</f>
        <v>860</v>
      </c>
      <c r="J17" s="106">
        <f t="shared" si="5"/>
        <v>4.8949854857988501E-2</v>
      </c>
      <c r="K17" s="38"/>
      <c r="L17" s="20" t="str">
        <f t="shared" si="2"/>
        <v/>
      </c>
      <c r="N17" s="24"/>
      <c r="Q17" s="24">
        <f>Q7*H3*H4*J3*IFERROR(IF(J57=1, 1, 0), 0)</f>
        <v>261957479.48999998</v>
      </c>
    </row>
    <row r="18" spans="1:17" s="22" customFormat="1" ht="25" customHeight="1" x14ac:dyDescent="0.45">
      <c r="A18" s="20"/>
      <c r="B18" s="37"/>
      <c r="C18" s="107">
        <v>39</v>
      </c>
      <c r="D18" s="115">
        <f t="shared" si="3"/>
        <v>67</v>
      </c>
      <c r="E18" s="115">
        <f t="shared" si="0"/>
        <v>2</v>
      </c>
      <c r="F18" s="116">
        <f t="shared" si="4"/>
        <v>94.08</v>
      </c>
      <c r="G18" s="117">
        <f>IF(D18=D17,"",_xlfn.IFNA(VLOOKUP(D18,'인원 입력 기능(사과탐)'!$P$5:$S$59,4,FALSE),0))</f>
        <v>359</v>
      </c>
      <c r="H18" s="118">
        <f t="shared" si="1"/>
        <v>2.0433718481416129E-2</v>
      </c>
      <c r="I18" s="119">
        <f>SUM($G$7:G18)</f>
        <v>1219</v>
      </c>
      <c r="J18" s="120">
        <f t="shared" si="5"/>
        <v>6.9383573339404633E-2</v>
      </c>
      <c r="K18" s="38"/>
      <c r="L18" s="20" t="str">
        <f t="shared" si="2"/>
        <v>경고</v>
      </c>
      <c r="N18" s="24"/>
    </row>
    <row r="19" spans="1:17" s="22" customFormat="1" ht="25" customHeight="1" x14ac:dyDescent="0.45">
      <c r="A19" s="20"/>
      <c r="B19" s="37"/>
      <c r="C19" s="100">
        <v>38</v>
      </c>
      <c r="D19" s="121"/>
      <c r="E19" s="121"/>
      <c r="F19" s="122"/>
      <c r="G19" s="123"/>
      <c r="H19" s="124"/>
      <c r="I19" s="125"/>
      <c r="J19" s="126"/>
      <c r="K19" s="38"/>
      <c r="L19" s="20" t="str">
        <f t="shared" si="2"/>
        <v>경고</v>
      </c>
      <c r="N19" s="24"/>
    </row>
    <row r="20" spans="1:17" s="22" customFormat="1" ht="25" customHeight="1" x14ac:dyDescent="0.45">
      <c r="A20" s="20"/>
      <c r="B20" s="37"/>
      <c r="C20" s="107">
        <v>37</v>
      </c>
      <c r="D20" s="101">
        <f t="shared" si="3"/>
        <v>66</v>
      </c>
      <c r="E20" s="101">
        <f t="shared" si="0"/>
        <v>2</v>
      </c>
      <c r="F20" s="102">
        <f t="shared" si="4"/>
        <v>92.35</v>
      </c>
      <c r="G20" s="103">
        <f>IF(D20=D19,"",_xlfn.IFNA(VLOOKUP(D20,'인원 입력 기능(사과탐)'!$P$5:$S$59,4,FALSE),0))</f>
        <v>250</v>
      </c>
      <c r="H20" s="104">
        <f t="shared" si="1"/>
        <v>1.4229608970345494E-2</v>
      </c>
      <c r="I20" s="114">
        <f>SUM($G$7:G20)</f>
        <v>1469</v>
      </c>
      <c r="J20" s="106">
        <f t="shared" si="5"/>
        <v>8.3613182309750123E-2</v>
      </c>
      <c r="K20" s="38"/>
      <c r="L20" s="20" t="str">
        <f t="shared" si="2"/>
        <v/>
      </c>
      <c r="N20" s="24"/>
    </row>
    <row r="21" spans="1:17" s="22" customFormat="1" ht="25" customHeight="1" x14ac:dyDescent="0.45">
      <c r="A21" s="20"/>
      <c r="B21" s="37"/>
      <c r="C21" s="169">
        <v>36</v>
      </c>
      <c r="D21" s="128">
        <f t="shared" si="3"/>
        <v>65</v>
      </c>
      <c r="E21" s="128">
        <f t="shared" si="0"/>
        <v>2</v>
      </c>
      <c r="F21" s="102">
        <f t="shared" si="4"/>
        <v>90.96</v>
      </c>
      <c r="G21" s="103">
        <f>IF(D21=D20,"",_xlfn.IFNA(VLOOKUP(D21,'인원 입력 기능(사과탐)'!$P$5:$S$59,4,FALSE),0))</f>
        <v>238</v>
      </c>
      <c r="H21" s="104">
        <f t="shared" si="1"/>
        <v>1.3546587739768912E-2</v>
      </c>
      <c r="I21" s="114">
        <f>SUM($G$7:G21)</f>
        <v>1707</v>
      </c>
      <c r="J21" s="106">
        <f t="shared" si="5"/>
        <v>9.7159770049519034E-2</v>
      </c>
      <c r="K21" s="38"/>
      <c r="L21" s="20" t="str">
        <f t="shared" si="2"/>
        <v/>
      </c>
      <c r="N21" s="24"/>
    </row>
    <row r="22" spans="1:17" s="22" customFormat="1" ht="25" customHeight="1" x14ac:dyDescent="0.45">
      <c r="A22" s="20"/>
      <c r="B22" s="37"/>
      <c r="C22" s="127">
        <v>35</v>
      </c>
      <c r="D22" s="128">
        <f t="shared" si="3"/>
        <v>64</v>
      </c>
      <c r="E22" s="128">
        <f t="shared" si="0"/>
        <v>2</v>
      </c>
      <c r="F22" s="102">
        <f t="shared" si="4"/>
        <v>89.52</v>
      </c>
      <c r="G22" s="103">
        <f>IF(D22=D21,"",_xlfn.IFNA(VLOOKUP(D22,'인원 입력 기능(사과탐)'!$P$5:$S$59,4,FALSE),0))</f>
        <v>268</v>
      </c>
      <c r="H22" s="104">
        <f t="shared" si="1"/>
        <v>1.5254140816210371E-2</v>
      </c>
      <c r="I22" s="114">
        <f>SUM($G$7:G22)</f>
        <v>1975</v>
      </c>
      <c r="J22" s="106">
        <f t="shared" si="5"/>
        <v>0.11241391086572941</v>
      </c>
      <c r="K22" s="38"/>
      <c r="L22" s="20" t="str">
        <f t="shared" si="2"/>
        <v/>
      </c>
      <c r="N22" s="24"/>
    </row>
    <row r="23" spans="1:17" s="22" customFormat="1" ht="25" customHeight="1" x14ac:dyDescent="0.45">
      <c r="A23" s="20"/>
      <c r="B23" s="37"/>
      <c r="C23" s="169">
        <v>34</v>
      </c>
      <c r="D23" s="128">
        <f t="shared" si="3"/>
        <v>63</v>
      </c>
      <c r="E23" s="128">
        <f t="shared" si="0"/>
        <v>3</v>
      </c>
      <c r="F23" s="102">
        <f t="shared" si="4"/>
        <v>87.78</v>
      </c>
      <c r="G23" s="103">
        <f>IF(D23=D22,"",_xlfn.IFNA(VLOOKUP(D23,'인원 입력 기능(사과탐)'!$P$5:$S$59,4,FALSE),0))</f>
        <v>344</v>
      </c>
      <c r="H23" s="104">
        <f t="shared" si="1"/>
        <v>1.95799419431954E-2</v>
      </c>
      <c r="I23" s="114">
        <f>SUM($G$7:G23)</f>
        <v>2319</v>
      </c>
      <c r="J23" s="106">
        <f t="shared" si="5"/>
        <v>0.13199385280892481</v>
      </c>
      <c r="K23" s="38"/>
      <c r="L23" s="20" t="str">
        <f t="shared" si="2"/>
        <v/>
      </c>
      <c r="N23" s="24"/>
    </row>
    <row r="24" spans="1:17" s="22" customFormat="1" ht="25" customHeight="1" x14ac:dyDescent="0.45">
      <c r="A24" s="20"/>
      <c r="B24" s="37"/>
      <c r="C24" s="127">
        <v>33</v>
      </c>
      <c r="D24" s="128">
        <f t="shared" si="3"/>
        <v>62</v>
      </c>
      <c r="E24" s="128">
        <f t="shared" si="0"/>
        <v>3</v>
      </c>
      <c r="F24" s="102">
        <f t="shared" si="4"/>
        <v>85.95</v>
      </c>
      <c r="G24" s="103">
        <f>IF(D24=D23,"",_xlfn.IFNA(VLOOKUP(D24,'인원 입력 기능(사과탐)'!$P$5:$S$59,4,FALSE),0))</f>
        <v>300</v>
      </c>
      <c r="H24" s="104">
        <f t="shared" si="1"/>
        <v>1.7075530764414593E-2</v>
      </c>
      <c r="I24" s="114">
        <f>SUM($G$7:G24)</f>
        <v>2619</v>
      </c>
      <c r="J24" s="106">
        <f t="shared" si="5"/>
        <v>0.1490693835733394</v>
      </c>
      <c r="K24" s="38"/>
      <c r="L24" s="20" t="str">
        <f t="shared" si="2"/>
        <v/>
      </c>
      <c r="N24" s="24"/>
    </row>
    <row r="25" spans="1:17" s="22" customFormat="1" ht="25" customHeight="1" x14ac:dyDescent="0.45">
      <c r="A25" s="20"/>
      <c r="B25" s="37"/>
      <c r="C25" s="169">
        <v>32</v>
      </c>
      <c r="D25" s="128">
        <f t="shared" si="3"/>
        <v>61</v>
      </c>
      <c r="E25" s="128">
        <f t="shared" si="0"/>
        <v>3</v>
      </c>
      <c r="F25" s="102">
        <f t="shared" si="4"/>
        <v>83.98</v>
      </c>
      <c r="G25" s="103">
        <f>IF(D25=D24,"",_xlfn.IFNA(VLOOKUP(D25,'인원 입력 기능(사과탐)'!$P$5:$S$59,4,FALSE),0))</f>
        <v>390</v>
      </c>
      <c r="H25" s="104">
        <f t="shared" si="1"/>
        <v>2.2198189993738973E-2</v>
      </c>
      <c r="I25" s="114">
        <f>SUM($G$7:G25)</f>
        <v>3009</v>
      </c>
      <c r="J25" s="106">
        <f t="shared" si="5"/>
        <v>0.17126757356707839</v>
      </c>
      <c r="K25" s="38"/>
      <c r="L25" s="20" t="str">
        <f t="shared" si="2"/>
        <v/>
      </c>
      <c r="N25" s="24"/>
    </row>
    <row r="26" spans="1:17" s="22" customFormat="1" ht="25" customHeight="1" x14ac:dyDescent="0.45">
      <c r="A26" s="20"/>
      <c r="B26" s="37"/>
      <c r="C26" s="127">
        <v>31</v>
      </c>
      <c r="D26" s="128">
        <f t="shared" si="3"/>
        <v>60</v>
      </c>
      <c r="E26" s="128">
        <f t="shared" si="0"/>
        <v>3</v>
      </c>
      <c r="F26" s="102">
        <f t="shared" si="4"/>
        <v>81.75</v>
      </c>
      <c r="G26" s="103">
        <f>IF(D26=D25,"",_xlfn.IFNA(VLOOKUP(D26,'인원 입력 기능(사과탐)'!$P$5:$S$59,4,FALSE),0))</f>
        <v>393</v>
      </c>
      <c r="H26" s="104">
        <f t="shared" si="1"/>
        <v>2.2368945301383118E-2</v>
      </c>
      <c r="I26" s="114">
        <f>SUM($G$7:G26)</f>
        <v>3402</v>
      </c>
      <c r="J26" s="106">
        <f t="shared" si="5"/>
        <v>0.1936365188684615</v>
      </c>
      <c r="K26" s="38"/>
      <c r="L26" s="20" t="str">
        <f t="shared" si="2"/>
        <v/>
      </c>
      <c r="N26" s="24"/>
    </row>
    <row r="27" spans="1:17" s="22" customFormat="1" ht="25" customHeight="1" x14ac:dyDescent="0.45">
      <c r="A27" s="20"/>
      <c r="B27" s="37"/>
      <c r="C27" s="169">
        <v>30</v>
      </c>
      <c r="D27" s="128">
        <f t="shared" si="3"/>
        <v>59</v>
      </c>
      <c r="E27" s="128">
        <f t="shared" si="0"/>
        <v>3</v>
      </c>
      <c r="F27" s="102">
        <f t="shared" si="4"/>
        <v>79.540000000000006</v>
      </c>
      <c r="G27" s="103">
        <f>IF(D27=D26,"",_xlfn.IFNA(VLOOKUP(D27,'인원 입력 기능(사과탐)'!$P$5:$S$59,4,FALSE),0))</f>
        <v>384</v>
      </c>
      <c r="H27" s="104">
        <f t="shared" si="1"/>
        <v>2.1856679378450681E-2</v>
      </c>
      <c r="I27" s="114">
        <f>SUM($G$7:G27)</f>
        <v>3786</v>
      </c>
      <c r="J27" s="106">
        <f t="shared" si="5"/>
        <v>0.21549319824691218</v>
      </c>
      <c r="K27" s="38"/>
      <c r="L27" s="20" t="str">
        <f t="shared" si="2"/>
        <v/>
      </c>
      <c r="N27" s="24"/>
    </row>
    <row r="28" spans="1:17" s="22" customFormat="1" ht="25" customHeight="1" x14ac:dyDescent="0.45">
      <c r="A28" s="20"/>
      <c r="B28" s="37"/>
      <c r="C28" s="127">
        <v>29</v>
      </c>
      <c r="D28" s="128">
        <f t="shared" si="3"/>
        <v>58</v>
      </c>
      <c r="E28" s="128">
        <f t="shared" si="0"/>
        <v>3</v>
      </c>
      <c r="F28" s="102">
        <f t="shared" si="4"/>
        <v>77.12</v>
      </c>
      <c r="G28" s="103">
        <f>IF(D28=D27,"",_xlfn.IFNA(VLOOKUP(D28,'인원 입력 기능(사과탐)'!$P$5:$S$59,4,FALSE),0))</f>
        <v>467</v>
      </c>
      <c r="H28" s="104">
        <f t="shared" si="1"/>
        <v>2.6580909556605383E-2</v>
      </c>
      <c r="I28" s="114">
        <f>SUM($G$7:G28)</f>
        <v>4253</v>
      </c>
      <c r="J28" s="106">
        <f t="shared" si="5"/>
        <v>0.24207410780351757</v>
      </c>
      <c r="K28" s="38"/>
      <c r="L28" s="20" t="str">
        <f t="shared" si="2"/>
        <v/>
      </c>
      <c r="N28" s="24"/>
    </row>
    <row r="29" spans="1:17" s="22" customFormat="1" ht="25" customHeight="1" x14ac:dyDescent="0.45">
      <c r="A29" s="20"/>
      <c r="B29" s="37"/>
      <c r="C29" s="169">
        <v>28</v>
      </c>
      <c r="D29" s="128">
        <f t="shared" si="3"/>
        <v>57</v>
      </c>
      <c r="E29" s="128">
        <f t="shared" si="0"/>
        <v>4</v>
      </c>
      <c r="F29" s="102">
        <f t="shared" si="4"/>
        <v>74.489999999999995</v>
      </c>
      <c r="G29" s="103">
        <f>IF(D29=D28,"",_xlfn.IFNA(VLOOKUP(D29,'인원 입력 기능(사과탐)'!$P$5:$S$59,4,FALSE),0))</f>
        <v>456</v>
      </c>
      <c r="H29" s="104">
        <f t="shared" si="1"/>
        <v>2.5954806761910181E-2</v>
      </c>
      <c r="I29" s="114">
        <f>SUM($G$7:G29)</f>
        <v>4709</v>
      </c>
      <c r="J29" s="106">
        <f t="shared" si="5"/>
        <v>0.26802891456542777</v>
      </c>
      <c r="K29" s="38"/>
      <c r="L29" s="20" t="str">
        <f t="shared" si="2"/>
        <v/>
      </c>
      <c r="N29" s="24"/>
    </row>
    <row r="30" spans="1:17" s="22" customFormat="1" ht="25" customHeight="1" x14ac:dyDescent="0.45">
      <c r="A30" s="20"/>
      <c r="B30" s="37"/>
      <c r="C30" s="127">
        <v>27</v>
      </c>
      <c r="D30" s="128">
        <f t="shared" si="3"/>
        <v>56</v>
      </c>
      <c r="E30" s="128">
        <f t="shared" si="0"/>
        <v>4</v>
      </c>
      <c r="F30" s="102">
        <f t="shared" si="4"/>
        <v>71.83</v>
      </c>
      <c r="G30" s="103">
        <f>IF(D30=D29,"",_xlfn.IFNA(VLOOKUP(D30,'인원 입력 기능(사과탐)'!$P$5:$S$59,4,FALSE),0))</f>
        <v>482</v>
      </c>
      <c r="H30" s="104">
        <f t="shared" si="1"/>
        <v>2.7434686094826116E-2</v>
      </c>
      <c r="I30" s="114">
        <f>SUM($G$7:G30)</f>
        <v>5191</v>
      </c>
      <c r="J30" s="106">
        <f t="shared" si="5"/>
        <v>0.29546360066025384</v>
      </c>
      <c r="K30" s="38"/>
      <c r="L30" s="20" t="str">
        <f t="shared" si="2"/>
        <v/>
      </c>
      <c r="N30" s="24"/>
    </row>
    <row r="31" spans="1:17" s="22" customFormat="1" ht="25" customHeight="1" x14ac:dyDescent="0.45">
      <c r="A31" s="20"/>
      <c r="B31" s="37"/>
      <c r="C31" s="169">
        <v>26</v>
      </c>
      <c r="D31" s="128">
        <f t="shared" si="3"/>
        <v>55</v>
      </c>
      <c r="E31" s="128">
        <f t="shared" si="0"/>
        <v>4</v>
      </c>
      <c r="F31" s="102">
        <f t="shared" si="4"/>
        <v>68.91</v>
      </c>
      <c r="G31" s="103">
        <f>IF(D31=D30,"",_xlfn.IFNA(VLOOKUP(D31,'인원 입력 기능(사과탐)'!$P$5:$S$59,4,FALSE),0))</f>
        <v>542</v>
      </c>
      <c r="H31" s="104">
        <f t="shared" si="1"/>
        <v>3.0849792247709031E-2</v>
      </c>
      <c r="I31" s="114">
        <f>SUM($G$7:G31)</f>
        <v>5733</v>
      </c>
      <c r="J31" s="106">
        <f t="shared" si="5"/>
        <v>0.32631339290796291</v>
      </c>
      <c r="K31" s="38"/>
      <c r="L31" s="20" t="str">
        <f t="shared" si="2"/>
        <v/>
      </c>
      <c r="N31" s="24"/>
    </row>
    <row r="32" spans="1:17" s="22" customFormat="1" ht="25" customHeight="1" x14ac:dyDescent="0.45">
      <c r="A32" s="20"/>
      <c r="B32" s="37"/>
      <c r="C32" s="127">
        <v>25</v>
      </c>
      <c r="D32" s="128">
        <f t="shared" si="3"/>
        <v>54</v>
      </c>
      <c r="E32" s="128">
        <f t="shared" si="0"/>
        <v>4</v>
      </c>
      <c r="F32" s="102">
        <f t="shared" si="4"/>
        <v>65.930000000000007</v>
      </c>
      <c r="G32" s="103">
        <f>IF(D32=D31,"",_xlfn.IFNA(VLOOKUP(D32,'인원 입력 기능(사과탐)'!$P$5:$S$59,4,FALSE),0))</f>
        <v>507</v>
      </c>
      <c r="H32" s="104">
        <f t="shared" si="1"/>
        <v>2.8857646991860664E-2</v>
      </c>
      <c r="I32" s="114">
        <f>SUM($G$7:G32)</f>
        <v>6240</v>
      </c>
      <c r="J32" s="106">
        <f t="shared" si="5"/>
        <v>0.35517103989982357</v>
      </c>
      <c r="K32" s="38"/>
      <c r="L32" s="20" t="str">
        <f t="shared" si="2"/>
        <v/>
      </c>
      <c r="N32" s="24"/>
    </row>
    <row r="33" spans="1:14" s="22" customFormat="1" ht="25" customHeight="1" x14ac:dyDescent="0.45">
      <c r="A33" s="20"/>
      <c r="B33" s="37"/>
      <c r="C33" s="169">
        <v>24</v>
      </c>
      <c r="D33" s="128">
        <f t="shared" si="3"/>
        <v>53</v>
      </c>
      <c r="E33" s="128">
        <f t="shared" si="0"/>
        <v>4</v>
      </c>
      <c r="F33" s="102">
        <f t="shared" si="4"/>
        <v>62.76</v>
      </c>
      <c r="G33" s="103">
        <f>IF(D33=D32,"",_xlfn.IFNA(VLOOKUP(D33,'인원 입력 기능(사과탐)'!$P$5:$S$59,4,FALSE),0))</f>
        <v>604</v>
      </c>
      <c r="H33" s="104">
        <f t="shared" si="1"/>
        <v>3.4378735272354716E-2</v>
      </c>
      <c r="I33" s="114">
        <f>SUM($G$7:G33)</f>
        <v>6844</v>
      </c>
      <c r="J33" s="106">
        <f t="shared" si="5"/>
        <v>0.38954977517217826</v>
      </c>
      <c r="K33" s="38"/>
      <c r="L33" s="20" t="str">
        <f t="shared" si="2"/>
        <v/>
      </c>
      <c r="N33" s="24"/>
    </row>
    <row r="34" spans="1:14" s="22" customFormat="1" ht="25" customHeight="1" x14ac:dyDescent="0.45">
      <c r="A34" s="20"/>
      <c r="B34" s="37"/>
      <c r="C34" s="127">
        <v>23</v>
      </c>
      <c r="D34" s="128">
        <f t="shared" si="3"/>
        <v>52</v>
      </c>
      <c r="E34" s="128">
        <f t="shared" si="0"/>
        <v>4</v>
      </c>
      <c r="F34" s="102">
        <f t="shared" si="4"/>
        <v>59.49</v>
      </c>
      <c r="G34" s="103">
        <f>IF(D34=D33,"",_xlfn.IFNA(VLOOKUP(D34,'인원 입력 기능(사과탐)'!$P$5:$S$59,4,FALSE),0))</f>
        <v>547</v>
      </c>
      <c r="H34" s="104">
        <f t="shared" si="1"/>
        <v>3.1134384427115944E-2</v>
      </c>
      <c r="I34" s="114">
        <f>SUM($G$7:G34)</f>
        <v>7391</v>
      </c>
      <c r="J34" s="106">
        <f t="shared" si="5"/>
        <v>0.42068415959929423</v>
      </c>
      <c r="K34" s="38"/>
      <c r="L34" s="20" t="str">
        <f t="shared" si="2"/>
        <v/>
      </c>
      <c r="N34" s="24"/>
    </row>
    <row r="35" spans="1:14" s="22" customFormat="1" ht="25" customHeight="1" x14ac:dyDescent="0.45">
      <c r="A35" s="20"/>
      <c r="B35" s="37"/>
      <c r="C35" s="169">
        <v>22</v>
      </c>
      <c r="D35" s="128">
        <f t="shared" si="3"/>
        <v>51</v>
      </c>
      <c r="E35" s="128">
        <f t="shared" si="0"/>
        <v>5</v>
      </c>
      <c r="F35" s="102">
        <f t="shared" si="4"/>
        <v>56.29</v>
      </c>
      <c r="G35" s="103">
        <f>IF(D35=D34,"",_xlfn.IFNA(VLOOKUP(D35,'인원 입력 기능(사과탐)'!$P$5:$S$59,4,FALSE),0))</f>
        <v>577</v>
      </c>
      <c r="H35" s="104">
        <f t="shared" si="1"/>
        <v>3.2841937503557406E-2</v>
      </c>
      <c r="I35" s="114">
        <f>SUM($G$7:G35)</f>
        <v>7968</v>
      </c>
      <c r="J35" s="106">
        <f t="shared" si="5"/>
        <v>0.45352609710285163</v>
      </c>
      <c r="K35" s="38"/>
      <c r="L35" s="20" t="str">
        <f t="shared" si="2"/>
        <v/>
      </c>
      <c r="N35" s="24"/>
    </row>
    <row r="36" spans="1:14" s="22" customFormat="1" ht="25" customHeight="1" x14ac:dyDescent="0.45">
      <c r="A36" s="20"/>
      <c r="B36" s="37"/>
      <c r="C36" s="127">
        <v>21</v>
      </c>
      <c r="D36" s="128">
        <f t="shared" si="3"/>
        <v>50</v>
      </c>
      <c r="E36" s="128">
        <f t="shared" si="0"/>
        <v>5</v>
      </c>
      <c r="F36" s="102">
        <f t="shared" si="4"/>
        <v>52.91</v>
      </c>
      <c r="G36" s="103">
        <f>IF(D36=D35,"",_xlfn.IFNA(VLOOKUP(D36,'인원 입력 기능(사과탐)'!$P$5:$S$59,4,FALSE),0))</f>
        <v>611</v>
      </c>
      <c r="H36" s="104">
        <f t="shared" si="1"/>
        <v>3.4777164323524387E-2</v>
      </c>
      <c r="I36" s="114">
        <f>SUM($G$7:G36)</f>
        <v>8579</v>
      </c>
      <c r="J36" s="106">
        <f t="shared" si="5"/>
        <v>0.48830326142637598</v>
      </c>
      <c r="K36" s="38"/>
      <c r="L36" s="20" t="str">
        <f t="shared" si="2"/>
        <v/>
      </c>
      <c r="N36" s="24"/>
    </row>
    <row r="37" spans="1:14" s="22" customFormat="1" ht="25" customHeight="1" x14ac:dyDescent="0.45">
      <c r="A37" s="20"/>
      <c r="B37" s="37"/>
      <c r="C37" s="169">
        <v>20</v>
      </c>
      <c r="D37" s="128">
        <f t="shared" si="3"/>
        <v>49</v>
      </c>
      <c r="E37" s="128">
        <f t="shared" si="0"/>
        <v>5</v>
      </c>
      <c r="F37" s="102">
        <f t="shared" si="4"/>
        <v>49.58</v>
      </c>
      <c r="G37" s="103">
        <f>IF(D37=D36,"",_xlfn.IFNA(VLOOKUP(D37,'인원 입력 기능(사과탐)'!$P$5:$S$59,4,FALSE),0))</f>
        <v>559</v>
      </c>
      <c r="H37" s="104">
        <f t="shared" si="1"/>
        <v>3.1817405657692525E-2</v>
      </c>
      <c r="I37" s="114">
        <f>SUM($G$7:G37)</f>
        <v>9138</v>
      </c>
      <c r="J37" s="106">
        <f t="shared" si="5"/>
        <v>0.52012066708406857</v>
      </c>
      <c r="K37" s="38"/>
      <c r="L37" s="20" t="str">
        <f t="shared" si="2"/>
        <v/>
      </c>
      <c r="N37" s="24"/>
    </row>
    <row r="38" spans="1:14" s="22" customFormat="1" ht="25" customHeight="1" x14ac:dyDescent="0.45">
      <c r="A38" s="20"/>
      <c r="B38" s="37"/>
      <c r="C38" s="127">
        <v>19</v>
      </c>
      <c r="D38" s="128">
        <f t="shared" si="3"/>
        <v>48</v>
      </c>
      <c r="E38" s="128">
        <f t="shared" si="0"/>
        <v>5</v>
      </c>
      <c r="F38" s="102">
        <f t="shared" si="4"/>
        <v>46.19</v>
      </c>
      <c r="G38" s="103">
        <f>IF(D38=D37,"",_xlfn.IFNA(VLOOKUP(D38,'인원 입력 기능(사과탐)'!$P$5:$S$59,4,FALSE),0))</f>
        <v>632</v>
      </c>
      <c r="H38" s="104">
        <f t="shared" si="1"/>
        <v>3.5972451477033408E-2</v>
      </c>
      <c r="I38" s="114">
        <f>SUM($G$7:G38)</f>
        <v>9770</v>
      </c>
      <c r="J38" s="106">
        <f t="shared" si="5"/>
        <v>0.556093118561102</v>
      </c>
      <c r="K38" s="38"/>
      <c r="L38" s="20" t="str">
        <f t="shared" si="2"/>
        <v/>
      </c>
      <c r="N38" s="24"/>
    </row>
    <row r="39" spans="1:14" s="22" customFormat="1" ht="25" customHeight="1" x14ac:dyDescent="0.45">
      <c r="A39" s="20"/>
      <c r="B39" s="37"/>
      <c r="C39" s="169">
        <v>18</v>
      </c>
      <c r="D39" s="128">
        <f t="shared" si="3"/>
        <v>47</v>
      </c>
      <c r="E39" s="128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5</v>
      </c>
      <c r="F39" s="102">
        <f t="shared" si="4"/>
        <v>42.81</v>
      </c>
      <c r="G39" s="103">
        <f>IF(D39=D38,"",_xlfn.IFNA(VLOOKUP(D39,'인원 입력 기능(사과탐)'!$P$5:$S$59,4,FALSE),0))</f>
        <v>554</v>
      </c>
      <c r="H39" s="104">
        <f t="shared" si="1"/>
        <v>3.1532813478285619E-2</v>
      </c>
      <c r="I39" s="114">
        <f>SUM($G$7:G39)</f>
        <v>10324</v>
      </c>
      <c r="J39" s="106">
        <f t="shared" si="5"/>
        <v>0.58762593203938751</v>
      </c>
      <c r="K39" s="38"/>
      <c r="L39" s="20" t="str">
        <f t="shared" si="2"/>
        <v/>
      </c>
      <c r="N39" s="24"/>
    </row>
    <row r="40" spans="1:14" s="22" customFormat="1" ht="25" customHeight="1" x14ac:dyDescent="0.45">
      <c r="A40" s="20"/>
      <c r="B40" s="37"/>
      <c r="C40" s="127">
        <v>17</v>
      </c>
      <c r="D40" s="128">
        <f t="shared" si="3"/>
        <v>46</v>
      </c>
      <c r="E40" s="128">
        <f t="shared" si="6"/>
        <v>5</v>
      </c>
      <c r="F40" s="102">
        <f t="shared" si="4"/>
        <v>39.6</v>
      </c>
      <c r="G40" s="103">
        <f>IF(D40=D39,"",_xlfn.IFNA(VLOOKUP(D40,'인원 입력 기능(사과탐)'!$P$5:$S$59,4,FALSE),0))</f>
        <v>575</v>
      </c>
      <c r="H40" s="104">
        <f t="shared" si="1"/>
        <v>3.272810063179464E-2</v>
      </c>
      <c r="I40" s="114">
        <f>SUM($G$7:G40)</f>
        <v>10899</v>
      </c>
      <c r="J40" s="106">
        <f t="shared" si="5"/>
        <v>0.62035403267118217</v>
      </c>
      <c r="K40" s="38"/>
      <c r="L40" s="20" t="str">
        <f t="shared" si="2"/>
        <v/>
      </c>
      <c r="N40" s="24"/>
    </row>
    <row r="41" spans="1:14" s="22" customFormat="1" ht="25" customHeight="1" x14ac:dyDescent="0.45">
      <c r="A41" s="20"/>
      <c r="B41" s="37"/>
      <c r="C41" s="169">
        <v>16</v>
      </c>
      <c r="D41" s="128">
        <f t="shared" si="3"/>
        <v>45</v>
      </c>
      <c r="E41" s="128">
        <f t="shared" si="6"/>
        <v>6</v>
      </c>
      <c r="F41" s="102">
        <f t="shared" si="4"/>
        <v>36.340000000000003</v>
      </c>
      <c r="G41" s="103">
        <f>IF(D41=D40,"",_xlfn.IFNA(VLOOKUP(D41,'인원 입력 기능(사과탐)'!$P$5:$S$59,4,FALSE),0))</f>
        <v>572</v>
      </c>
      <c r="H41" s="104">
        <f t="shared" si="1"/>
        <v>3.2557345324150493E-2</v>
      </c>
      <c r="I41" s="114">
        <f>SUM($G$7:G41)</f>
        <v>11471</v>
      </c>
      <c r="J41" s="106">
        <f t="shared" si="5"/>
        <v>0.65291137799533272</v>
      </c>
      <c r="K41" s="38"/>
      <c r="L41" s="20" t="str">
        <f t="shared" si="2"/>
        <v/>
      </c>
      <c r="N41" s="24"/>
    </row>
    <row r="42" spans="1:14" s="22" customFormat="1" ht="25" customHeight="1" x14ac:dyDescent="0.45">
      <c r="A42" s="20"/>
      <c r="B42" s="37"/>
      <c r="C42" s="127">
        <v>15</v>
      </c>
      <c r="D42" s="128">
        <f t="shared" si="3"/>
        <v>44</v>
      </c>
      <c r="E42" s="128">
        <f t="shared" si="6"/>
        <v>6</v>
      </c>
      <c r="F42" s="102">
        <f t="shared" si="4"/>
        <v>33.21</v>
      </c>
      <c r="G42" s="103">
        <f>IF(D42=D41,"",_xlfn.IFNA(VLOOKUP(D42,'인원 입력 기능(사과탐)'!$P$5:$S$59,4,FALSE),0))</f>
        <v>525</v>
      </c>
      <c r="H42" s="104">
        <f t="shared" si="1"/>
        <v>2.9882178837725541E-2</v>
      </c>
      <c r="I42" s="114">
        <f>SUM($G$7:G42)</f>
        <v>11996</v>
      </c>
      <c r="J42" s="106">
        <f t="shared" si="5"/>
        <v>0.6827935568330582</v>
      </c>
      <c r="K42" s="38"/>
      <c r="L42" s="20" t="str">
        <f t="shared" si="2"/>
        <v/>
      </c>
      <c r="N42" s="24"/>
    </row>
    <row r="43" spans="1:14" s="22" customFormat="1" ht="25" customHeight="1" x14ac:dyDescent="0.45">
      <c r="A43" s="20"/>
      <c r="B43" s="37"/>
      <c r="C43" s="169">
        <v>14</v>
      </c>
      <c r="D43" s="128">
        <f t="shared" si="3"/>
        <v>43</v>
      </c>
      <c r="E43" s="128">
        <f t="shared" si="6"/>
        <v>6</v>
      </c>
      <c r="F43" s="102">
        <f t="shared" si="4"/>
        <v>30.17</v>
      </c>
      <c r="G43" s="103">
        <f>IF(D43=D42,"",_xlfn.IFNA(VLOOKUP(D43,'인원 입력 기능(사과탐)'!$P$5:$S$59,4,FALSE),0))</f>
        <v>544</v>
      </c>
      <c r="H43" s="104">
        <f t="shared" si="1"/>
        <v>3.0963629119471796E-2</v>
      </c>
      <c r="I43" s="114">
        <f>SUM($G$7:G43)</f>
        <v>12540</v>
      </c>
      <c r="J43" s="106">
        <f t="shared" si="5"/>
        <v>0.71375718595253002</v>
      </c>
      <c r="K43" s="38"/>
      <c r="L43" s="20" t="str">
        <f t="shared" si="2"/>
        <v/>
      </c>
      <c r="N43" s="24"/>
    </row>
    <row r="44" spans="1:14" s="22" customFormat="1" ht="25" customHeight="1" x14ac:dyDescent="0.45">
      <c r="A44" s="20"/>
      <c r="B44" s="37"/>
      <c r="C44" s="127">
        <v>13</v>
      </c>
      <c r="D44" s="128">
        <f t="shared" si="3"/>
        <v>42</v>
      </c>
      <c r="E44" s="128">
        <f t="shared" si="6"/>
        <v>6</v>
      </c>
      <c r="F44" s="102">
        <f t="shared" si="4"/>
        <v>27.08</v>
      </c>
      <c r="G44" s="103">
        <f>IF(D44=D43,"",_xlfn.IFNA(VLOOKUP(D44,'인원 입력 기능(사과탐)'!$P$5:$S$59,4,FALSE),0))</f>
        <v>541</v>
      </c>
      <c r="H44" s="104">
        <f t="shared" si="1"/>
        <v>3.0792873811827652E-2</v>
      </c>
      <c r="I44" s="114">
        <f>SUM($G$7:G44)</f>
        <v>13081</v>
      </c>
      <c r="J44" s="106">
        <f t="shared" si="5"/>
        <v>0.74455005976435773</v>
      </c>
      <c r="K44" s="38"/>
      <c r="L44" s="20" t="str">
        <f t="shared" si="2"/>
        <v/>
      </c>
      <c r="N44" s="24"/>
    </row>
    <row r="45" spans="1:14" s="22" customFormat="1" ht="25" customHeight="1" x14ac:dyDescent="0.45">
      <c r="A45" s="20"/>
      <c r="B45" s="37"/>
      <c r="C45" s="169">
        <v>12</v>
      </c>
      <c r="D45" s="128">
        <f t="shared" si="3"/>
        <v>41</v>
      </c>
      <c r="E45" s="128">
        <f t="shared" si="6"/>
        <v>6</v>
      </c>
      <c r="F45" s="102">
        <f t="shared" si="4"/>
        <v>23.68</v>
      </c>
      <c r="G45" s="103">
        <f>IF(D45=D44,"",_xlfn.IFNA(VLOOKUP(D45,'인원 입력 기능(사과탐)'!$P$5:$S$59,4,FALSE),0))</f>
        <v>656</v>
      </c>
      <c r="H45" s="104">
        <f t="shared" si="1"/>
        <v>3.7338493938186577E-2</v>
      </c>
      <c r="I45" s="114">
        <f>SUM($G$7:G45)</f>
        <v>13737</v>
      </c>
      <c r="J45" s="106">
        <f t="shared" si="5"/>
        <v>0.78188855370254429</v>
      </c>
      <c r="K45" s="38"/>
      <c r="L45" s="20" t="str">
        <f t="shared" si="2"/>
        <v/>
      </c>
      <c r="N45" s="24"/>
    </row>
    <row r="46" spans="1:14" s="22" customFormat="1" ht="25" customHeight="1" x14ac:dyDescent="0.45">
      <c r="A46" s="20"/>
      <c r="B46" s="37"/>
      <c r="C46" s="127">
        <v>11</v>
      </c>
      <c r="D46" s="128">
        <f t="shared" si="3"/>
        <v>40</v>
      </c>
      <c r="E46" s="128">
        <f t="shared" si="6"/>
        <v>7</v>
      </c>
      <c r="F46" s="102">
        <f t="shared" si="4"/>
        <v>20.64</v>
      </c>
      <c r="G46" s="103">
        <f>IF(D46=D45,"",_xlfn.IFNA(VLOOKUP(D46,'인원 입력 기능(사과탐)'!$P$5:$S$59,4,FALSE),0))</f>
        <v>412</v>
      </c>
      <c r="H46" s="104">
        <f t="shared" si="1"/>
        <v>2.3450395583129377E-2</v>
      </c>
      <c r="I46" s="114">
        <f>SUM($G$7:G46)</f>
        <v>14149</v>
      </c>
      <c r="J46" s="106">
        <f t="shared" si="5"/>
        <v>0.80533894928567362</v>
      </c>
      <c r="K46" s="38"/>
      <c r="L46" s="20" t="str">
        <f t="shared" si="2"/>
        <v/>
      </c>
      <c r="N46" s="24"/>
    </row>
    <row r="47" spans="1:14" s="22" customFormat="1" ht="25" customHeight="1" x14ac:dyDescent="0.45">
      <c r="A47" s="20"/>
      <c r="B47" s="37"/>
      <c r="C47" s="169">
        <v>10</v>
      </c>
      <c r="D47" s="128">
        <f t="shared" si="3"/>
        <v>39</v>
      </c>
      <c r="E47" s="128">
        <f t="shared" si="6"/>
        <v>7</v>
      </c>
      <c r="F47" s="102">
        <f t="shared" si="4"/>
        <v>16.55</v>
      </c>
      <c r="G47" s="103">
        <f>IF(D47=D46,"",_xlfn.IFNA(VLOOKUP(D47,'인원 입력 기능(사과탐)'!$P$5:$S$59,4,FALSE),0))</f>
        <v>1023</v>
      </c>
      <c r="H47" s="104">
        <f t="shared" si="1"/>
        <v>5.8227559906653764E-2</v>
      </c>
      <c r="I47" s="114">
        <f>SUM($G$7:G47)</f>
        <v>15172</v>
      </c>
      <c r="J47" s="106">
        <f t="shared" si="5"/>
        <v>0.86356650919232736</v>
      </c>
      <c r="K47" s="38"/>
      <c r="L47" s="20" t="str">
        <f t="shared" si="2"/>
        <v/>
      </c>
      <c r="N47" s="24"/>
    </row>
    <row r="48" spans="1:14" s="22" customFormat="1" ht="25" customHeight="1" x14ac:dyDescent="0.45">
      <c r="A48" s="20"/>
      <c r="B48" s="37"/>
      <c r="C48" s="127">
        <v>9</v>
      </c>
      <c r="D48" s="128">
        <f t="shared" si="3"/>
        <v>38</v>
      </c>
      <c r="E48" s="128">
        <f t="shared" si="6"/>
        <v>7</v>
      </c>
      <c r="F48" s="102">
        <f t="shared" si="4"/>
        <v>12.62</v>
      </c>
      <c r="G48" s="103">
        <f>IF(D48=D47,"",_xlfn.IFNA(VLOOKUP(D48,'인원 입력 기능(사과탐)'!$P$5:$S$59,4,FALSE),0))</f>
        <v>360</v>
      </c>
      <c r="H48" s="104">
        <f t="shared" si="1"/>
        <v>2.0490636917297512E-2</v>
      </c>
      <c r="I48" s="114">
        <f>SUM($G$7:G48)</f>
        <v>15532</v>
      </c>
      <c r="J48" s="106">
        <f t="shared" si="5"/>
        <v>0.88405714610962494</v>
      </c>
      <c r="K48" s="38"/>
      <c r="L48" s="20" t="str">
        <f t="shared" si="2"/>
        <v/>
      </c>
      <c r="N48" s="24"/>
    </row>
    <row r="49" spans="1:14" s="22" customFormat="1" ht="25" customHeight="1" x14ac:dyDescent="0.45">
      <c r="A49" s="20"/>
      <c r="B49" s="37"/>
      <c r="C49" s="169">
        <v>8</v>
      </c>
      <c r="D49" s="128">
        <f t="shared" si="3"/>
        <v>37</v>
      </c>
      <c r="E49" s="128">
        <f t="shared" si="6"/>
        <v>7</v>
      </c>
      <c r="F49" s="102">
        <f t="shared" si="4"/>
        <v>8.8000000000000007</v>
      </c>
      <c r="G49" s="103">
        <f>IF(D49=D48,"",_xlfn.IFNA(VLOOKUP(D49,'인원 입력 기능(사과탐)'!$P$5:$S$59,4,FALSE),0))</f>
        <v>983</v>
      </c>
      <c r="H49" s="104">
        <f t="shared" si="1"/>
        <v>5.5950822471398487E-2</v>
      </c>
      <c r="I49" s="114">
        <f>SUM($G$7:G49)</f>
        <v>16515</v>
      </c>
      <c r="J49" s="106">
        <f t="shared" si="5"/>
        <v>0.94000796858102342</v>
      </c>
      <c r="K49" s="38"/>
      <c r="L49" s="20" t="str">
        <f t="shared" si="2"/>
        <v/>
      </c>
      <c r="N49" s="24"/>
    </row>
    <row r="50" spans="1:14" s="22" customFormat="1" ht="25" customHeight="1" x14ac:dyDescent="0.45">
      <c r="A50" s="20"/>
      <c r="B50" s="37"/>
      <c r="C50" s="127">
        <v>7</v>
      </c>
      <c r="D50" s="128">
        <f t="shared" si="3"/>
        <v>36</v>
      </c>
      <c r="E50" s="128">
        <f t="shared" si="6"/>
        <v>8</v>
      </c>
      <c r="F50" s="102">
        <f t="shared" si="4"/>
        <v>5</v>
      </c>
      <c r="G50" s="103">
        <f>IF(D50=D49,"",_xlfn.IFNA(VLOOKUP(D50,'인원 입력 기능(사과탐)'!$P$5:$S$59,4,FALSE),0))</f>
        <v>351</v>
      </c>
      <c r="H50" s="104">
        <f t="shared" si="1"/>
        <v>1.9978370994365075E-2</v>
      </c>
      <c r="I50" s="114">
        <f>SUM($G$7:G50)</f>
        <v>16866</v>
      </c>
      <c r="J50" s="106">
        <f t="shared" si="5"/>
        <v>0.95998633957538848</v>
      </c>
      <c r="K50" s="38"/>
      <c r="L50" s="20" t="str">
        <f t="shared" si="2"/>
        <v/>
      </c>
      <c r="N50" s="24"/>
    </row>
    <row r="51" spans="1:14" s="22" customFormat="1" ht="25" customHeight="1" x14ac:dyDescent="0.45">
      <c r="A51" s="20"/>
      <c r="B51" s="37"/>
      <c r="C51" s="169">
        <v>6</v>
      </c>
      <c r="D51" s="128">
        <f t="shared" si="3"/>
        <v>35</v>
      </c>
      <c r="E51" s="128">
        <f t="shared" si="6"/>
        <v>8</v>
      </c>
      <c r="F51" s="102">
        <f t="shared" si="4"/>
        <v>3.48</v>
      </c>
      <c r="G51" s="103">
        <f>IF(D51=D50,"",_xlfn.IFNA(VLOOKUP(D51,'인원 입력 기능(사과탐)'!$P$5:$S$59,4,FALSE),0))</f>
        <v>182</v>
      </c>
      <c r="H51" s="104">
        <f t="shared" si="1"/>
        <v>1.0359155330411519E-2</v>
      </c>
      <c r="I51" s="114">
        <f>SUM($G$7:G51)</f>
        <v>17048</v>
      </c>
      <c r="J51" s="106">
        <f t="shared" si="5"/>
        <v>0.97034549490580002</v>
      </c>
      <c r="K51" s="38"/>
      <c r="L51" s="20" t="str">
        <f t="shared" si="2"/>
        <v/>
      </c>
      <c r="N51" s="24"/>
    </row>
    <row r="52" spans="1:14" s="22" customFormat="1" ht="25" customHeight="1" x14ac:dyDescent="0.45">
      <c r="A52" s="20"/>
      <c r="B52" s="37"/>
      <c r="C52" s="127">
        <v>5</v>
      </c>
      <c r="D52" s="128">
        <f t="shared" si="3"/>
        <v>34</v>
      </c>
      <c r="E52" s="128">
        <f t="shared" si="6"/>
        <v>9</v>
      </c>
      <c r="F52" s="102">
        <f t="shared" si="4"/>
        <v>2.29</v>
      </c>
      <c r="G52" s="103">
        <f>IF(D52=D51,"",_xlfn.IFNA(VLOOKUP(D52,'인원 입력 기능(사과탐)'!$P$5:$S$59,4,FALSE),0))</f>
        <v>238</v>
      </c>
      <c r="H52" s="104">
        <f t="shared" si="1"/>
        <v>1.3546587739768912E-2</v>
      </c>
      <c r="I52" s="114">
        <f>SUM($G$7:G52)</f>
        <v>17286</v>
      </c>
      <c r="J52" s="106">
        <f t="shared" si="5"/>
        <v>0.98389208264556893</v>
      </c>
      <c r="K52" s="38"/>
      <c r="L52" s="20" t="str">
        <f t="shared" si="2"/>
        <v/>
      </c>
      <c r="N52" s="24"/>
    </row>
    <row r="53" spans="1:14" s="22" customFormat="1" ht="25" customHeight="1" x14ac:dyDescent="0.45">
      <c r="A53" s="20"/>
      <c r="B53" s="37"/>
      <c r="C53" s="100">
        <v>4</v>
      </c>
      <c r="D53" s="115">
        <f t="shared" si="3"/>
        <v>33</v>
      </c>
      <c r="E53" s="115">
        <f t="shared" si="6"/>
        <v>9</v>
      </c>
      <c r="F53" s="116">
        <f t="shared" si="4"/>
        <v>1.1200000000000001</v>
      </c>
      <c r="G53" s="117">
        <f>IF(D53=D52,"",_xlfn.IFNA(VLOOKUP(D53,'인원 입력 기능(사과탐)'!$P$5:$S$59,4,FALSE),0))</f>
        <v>174</v>
      </c>
      <c r="H53" s="118">
        <f t="shared" si="1"/>
        <v>9.9038078433604636E-3</v>
      </c>
      <c r="I53" s="119">
        <f>SUM($G$7:G53)</f>
        <v>17460</v>
      </c>
      <c r="J53" s="120">
        <f t="shared" si="5"/>
        <v>0.99379589048892936</v>
      </c>
      <c r="K53" s="38"/>
      <c r="L53" s="20" t="str">
        <f t="shared" si="2"/>
        <v/>
      </c>
      <c r="N53" s="24"/>
    </row>
    <row r="54" spans="1:14" s="22" customFormat="1" ht="25" customHeight="1" x14ac:dyDescent="0.45">
      <c r="A54" s="20"/>
      <c r="B54" s="37"/>
      <c r="C54" s="107">
        <v>3</v>
      </c>
      <c r="D54" s="121"/>
      <c r="E54" s="121"/>
      <c r="F54" s="122"/>
      <c r="G54" s="123"/>
      <c r="H54" s="124"/>
      <c r="I54" s="125"/>
      <c r="J54" s="126"/>
      <c r="K54" s="38"/>
      <c r="L54" s="20" t="str">
        <f t="shared" si="2"/>
        <v>경고</v>
      </c>
      <c r="N54" s="24"/>
    </row>
    <row r="55" spans="1:14" s="22" customFormat="1" ht="25" customHeight="1" x14ac:dyDescent="0.45">
      <c r="A55" s="20"/>
      <c r="B55" s="37"/>
      <c r="C55" s="100">
        <v>2</v>
      </c>
      <c r="D55" s="101">
        <f t="shared" si="3"/>
        <v>32</v>
      </c>
      <c r="E55" s="101">
        <f t="shared" si="6"/>
        <v>9</v>
      </c>
      <c r="F55" s="102">
        <f t="shared" si="4"/>
        <v>0.4</v>
      </c>
      <c r="G55" s="103">
        <f>IF(D55=D54,"",_xlfn.IFNA(VLOOKUP(D55,'인원 입력 기능(사과탐)'!$P$5:$S$59,4,FALSE),0))</f>
        <v>77</v>
      </c>
      <c r="H55" s="104">
        <f t="shared" si="1"/>
        <v>4.3827195628664125E-3</v>
      </c>
      <c r="I55" s="114">
        <f>SUM($G$7:G55)</f>
        <v>17537</v>
      </c>
      <c r="J55" s="106">
        <f t="shared" si="5"/>
        <v>0.99817861005179576</v>
      </c>
      <c r="K55" s="38"/>
      <c r="L55" s="20" t="str">
        <f t="shared" si="2"/>
        <v/>
      </c>
      <c r="N55" s="24"/>
    </row>
    <row r="56" spans="1:14" s="22" customFormat="1" ht="25" customHeight="1" x14ac:dyDescent="0.45">
      <c r="A56" s="20"/>
      <c r="B56" s="37"/>
      <c r="C56" s="107">
        <v>1</v>
      </c>
      <c r="D56" s="108" t="s">
        <v>54</v>
      </c>
      <c r="E56" s="108"/>
      <c r="F56" s="109"/>
      <c r="G56" s="170"/>
      <c r="H56" s="168"/>
      <c r="I56" s="134"/>
      <c r="J56" s="113"/>
      <c r="K56" s="38"/>
      <c r="L56" s="20"/>
      <c r="N56" s="24"/>
    </row>
    <row r="57" spans="1:14" s="22" customFormat="1" ht="25" customHeight="1" thickBot="1" x14ac:dyDescent="0.5">
      <c r="A57" s="20"/>
      <c r="B57" s="37"/>
      <c r="C57" s="171">
        <v>0</v>
      </c>
      <c r="D57" s="136">
        <f>ROUND(10*(C57-$H$3)/$H$4+50,0)</f>
        <v>30</v>
      </c>
      <c r="E57" s="172">
        <f t="shared" si="6"/>
        <v>9</v>
      </c>
      <c r="F57" s="137">
        <f>IF(I55=0,ROUND(100*(1-(I54+I57)/2/$J$3),2),ROUND(100*(1-(I55+I57)/2/$J$3),2))</f>
        <v>0.09</v>
      </c>
      <c r="G57" s="173">
        <f>_xlfn.IFNA(VLOOKUP(D57,'인원 입력 기능(사과탐)'!$P$5:$S$59,4,FALSE),0)</f>
        <v>32</v>
      </c>
      <c r="H57" s="139">
        <f>G57/$J$3</f>
        <v>1.8213899482042233E-3</v>
      </c>
      <c r="I57" s="140">
        <f>SUM($G$7:G57)</f>
        <v>17569</v>
      </c>
      <c r="J57" s="174">
        <f>I57/$J$3</f>
        <v>1</v>
      </c>
      <c r="K57" s="38"/>
      <c r="L57" s="20" t="str">
        <f t="shared" si="2"/>
        <v/>
      </c>
      <c r="N57" s="24"/>
    </row>
    <row r="58" spans="1:14" ht="6" customHeight="1" x14ac:dyDescent="0.45">
      <c r="A58" s="5"/>
      <c r="B58" s="34"/>
      <c r="C58" s="35"/>
      <c r="D58" s="35"/>
      <c r="E58" s="35"/>
      <c r="F58" s="35"/>
      <c r="G58" s="35"/>
      <c r="H58" s="35"/>
      <c r="I58" s="35"/>
      <c r="J58" s="35"/>
      <c r="K58" s="36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16">
    <mergeCell ref="G18:G19"/>
    <mergeCell ref="H18:H19"/>
    <mergeCell ref="I18:I19"/>
    <mergeCell ref="J18:J19"/>
    <mergeCell ref="D53:D54"/>
    <mergeCell ref="E53:E54"/>
    <mergeCell ref="F53:F54"/>
    <mergeCell ref="G53:G54"/>
    <mergeCell ref="H53:H54"/>
    <mergeCell ref="I53:I54"/>
    <mergeCell ref="J53:J54"/>
    <mergeCell ref="D3:F3"/>
    <mergeCell ref="D4:F4"/>
    <mergeCell ref="D18:D19"/>
    <mergeCell ref="E18:E19"/>
    <mergeCell ref="F18:F19"/>
  </mergeCells>
  <phoneticPr fontId="1" type="noConversion"/>
  <conditionalFormatting sqref="D7:G18 I7:J18 D20:G53 I20:J53 D55:G57 I55:J57">
    <cfRule type="expression" dxfId="39" priority="4">
      <formula>OR($D7=$Q$7:$Q$14)</formula>
    </cfRule>
  </conditionalFormatting>
  <conditionalFormatting sqref="C7:C57">
    <cfRule type="expression" dxfId="38" priority="3">
      <formula>OR(AND($D7=0,OR($D6=$Q$7:$Q$14)),AND($D8&gt;0,OR($D7=$Q$7:$Q$14)))</formula>
    </cfRule>
  </conditionalFormatting>
  <conditionalFormatting sqref="D7:D18 D20:D53 D55:D57">
    <cfRule type="expression" dxfId="37" priority="2">
      <formula>$D7=$D8</formula>
    </cfRule>
  </conditionalFormatting>
  <conditionalFormatting sqref="H7:H18 H20:H53 H55:H57">
    <cfRule type="expression" dxfId="36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9ABD9-E74C-4687-9C80-5E784D6F62E9}">
  <sheetPr codeName="Sheet14"/>
  <dimension ref="A1:Q105"/>
  <sheetViews>
    <sheetView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5" t="s">
        <v>6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37"/>
      <c r="C3" s="84" t="s">
        <v>122</v>
      </c>
      <c r="D3" s="85" t="s">
        <v>67</v>
      </c>
      <c r="E3" s="86"/>
      <c r="F3" s="87"/>
      <c r="G3" s="84" t="s">
        <v>123</v>
      </c>
      <c r="H3" s="88" t="str">
        <f>'통계 및 응시자 수 입력 기능'!D12</f>
        <v>22.94</v>
      </c>
      <c r="I3" s="21" t="s">
        <v>124</v>
      </c>
      <c r="J3" s="89">
        <f>'통계 및 응시자 수 입력 기능'!C12</f>
        <v>9849</v>
      </c>
      <c r="K3" s="38"/>
      <c r="L3" s="20"/>
    </row>
    <row r="4" spans="1:17" s="22" customFormat="1" ht="25" customHeight="1" thickBot="1" x14ac:dyDescent="0.5">
      <c r="A4" s="20"/>
      <c r="B4" s="37"/>
      <c r="C4" s="90" t="s">
        <v>125</v>
      </c>
      <c r="D4" s="91" t="s">
        <v>154</v>
      </c>
      <c r="E4" s="92"/>
      <c r="F4" s="93"/>
      <c r="G4" s="94" t="s">
        <v>127</v>
      </c>
      <c r="H4" s="95" t="str">
        <f>'통계 및 응시자 수 입력 기능'!E12</f>
        <v>12.94</v>
      </c>
      <c r="I4" s="39"/>
      <c r="J4" s="40"/>
      <c r="K4" s="38"/>
      <c r="L4" s="20"/>
    </row>
    <row r="5" spans="1:17" s="22" customFormat="1" ht="25" customHeight="1" thickBot="1" x14ac:dyDescent="0.5">
      <c r="A5" s="20"/>
      <c r="B5" s="37"/>
      <c r="C5" s="32"/>
      <c r="D5" s="32"/>
      <c r="E5" s="32"/>
      <c r="F5" s="32"/>
      <c r="G5" s="32"/>
      <c r="H5" s="33"/>
      <c r="I5" s="33"/>
      <c r="J5" s="33"/>
      <c r="K5" s="38"/>
      <c r="L5" s="20"/>
    </row>
    <row r="6" spans="1:17" s="22" customFormat="1" ht="25" customHeight="1" thickBot="1" x14ac:dyDescent="0.5">
      <c r="A6" s="20"/>
      <c r="B6" s="37"/>
      <c r="C6" s="96" t="s">
        <v>129</v>
      </c>
      <c r="D6" s="97" t="s">
        <v>130</v>
      </c>
      <c r="E6" s="97" t="s">
        <v>131</v>
      </c>
      <c r="F6" s="97" t="s">
        <v>132</v>
      </c>
      <c r="G6" s="97" t="s">
        <v>133</v>
      </c>
      <c r="H6" s="97" t="s">
        <v>134</v>
      </c>
      <c r="I6" s="98" t="s">
        <v>135</v>
      </c>
      <c r="J6" s="99" t="s">
        <v>136</v>
      </c>
      <c r="K6" s="38"/>
      <c r="L6" s="19" t="s">
        <v>62</v>
      </c>
      <c r="M6" s="19"/>
      <c r="N6" s="23"/>
    </row>
    <row r="7" spans="1:17" s="22" customFormat="1" ht="25" customHeight="1" x14ac:dyDescent="0.45">
      <c r="A7" s="20"/>
      <c r="B7" s="37"/>
      <c r="C7" s="100">
        <v>50</v>
      </c>
      <c r="D7" s="101">
        <f>ROUND(10*(C7-$H$3)/$H$4+50,0)</f>
        <v>71</v>
      </c>
      <c r="E7" s="101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102">
        <f>ROUND(100*(1-(0+I7)/2/$J$3),2)</f>
        <v>98.72</v>
      </c>
      <c r="G7" s="103">
        <f>_xlfn.IFNA(VLOOKUP(D7,'인원 입력 기능(사과탐)'!$A$64:$D$116,4,FALSE),0)</f>
        <v>252</v>
      </c>
      <c r="H7" s="104">
        <f>G7/$J$3</f>
        <v>2.5586353944562899E-2</v>
      </c>
      <c r="I7" s="105">
        <f>G7</f>
        <v>252</v>
      </c>
      <c r="J7" s="106">
        <f>I7/$J$3</f>
        <v>2.5586353944562899E-2</v>
      </c>
      <c r="K7" s="38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기능'!C76</f>
        <v>69</v>
      </c>
    </row>
    <row r="8" spans="1:17" s="22" customFormat="1" ht="25" customHeight="1" x14ac:dyDescent="0.45">
      <c r="A8" s="20"/>
      <c r="B8" s="37"/>
      <c r="C8" s="107">
        <v>49</v>
      </c>
      <c r="D8" s="108" t="s">
        <v>54</v>
      </c>
      <c r="E8" s="108"/>
      <c r="F8" s="109"/>
      <c r="G8" s="110"/>
      <c r="H8" s="168"/>
      <c r="I8" s="112"/>
      <c r="J8" s="113"/>
      <c r="K8" s="38"/>
      <c r="L8" s="20"/>
      <c r="N8" s="24"/>
      <c r="P8" s="24">
        <v>2</v>
      </c>
      <c r="Q8" s="24">
        <f>'표점등급&amp;절평인원 입력 기능'!C77</f>
        <v>65</v>
      </c>
    </row>
    <row r="9" spans="1:17" s="22" customFormat="1" ht="25" customHeight="1" x14ac:dyDescent="0.45">
      <c r="A9" s="20"/>
      <c r="B9" s="37"/>
      <c r="C9" s="100">
        <v>48</v>
      </c>
      <c r="D9" s="115">
        <f>ROUND(10*(C9-$H$3)/$H$4+50,0)</f>
        <v>69</v>
      </c>
      <c r="E9" s="115">
        <f t="shared" si="0"/>
        <v>1</v>
      </c>
      <c r="F9" s="116">
        <f>IF(I8=0,ROUND(100*(1-(I7+I9)/2/$J$3),2),ROUND(100*(1-(I8+I9)/2/$J$3),2))</f>
        <v>95.94</v>
      </c>
      <c r="G9" s="117">
        <f>_xlfn.IFNA(VLOOKUP(D9,'인원 입력 기능(사과탐)'!$A$64:$D$116,4,FALSE),0)</f>
        <v>295</v>
      </c>
      <c r="H9" s="118">
        <f t="shared" ref="H9:H55" si="1">G9/$J$3</f>
        <v>2.9952279419230378E-2</v>
      </c>
      <c r="I9" s="119">
        <f>SUM($G$7:G9)</f>
        <v>547</v>
      </c>
      <c r="J9" s="120">
        <f>I9/$J$3</f>
        <v>5.5538633363793277E-2</v>
      </c>
      <c r="K9" s="38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기능'!C78</f>
        <v>59</v>
      </c>
    </row>
    <row r="10" spans="1:17" s="22" customFormat="1" ht="25" customHeight="1" x14ac:dyDescent="0.45">
      <c r="A10" s="20"/>
      <c r="B10" s="37"/>
      <c r="C10" s="107">
        <v>47</v>
      </c>
      <c r="D10" s="121"/>
      <c r="E10" s="121"/>
      <c r="F10" s="122"/>
      <c r="G10" s="123"/>
      <c r="H10" s="124"/>
      <c r="I10" s="125"/>
      <c r="J10" s="126"/>
      <c r="K10" s="38"/>
      <c r="L10" s="20" t="str">
        <f t="shared" si="2"/>
        <v>경고</v>
      </c>
      <c r="N10" s="24"/>
      <c r="P10" s="24">
        <v>4</v>
      </c>
      <c r="Q10" s="24">
        <f>'표점등급&amp;절평인원 입력 기능'!C79</f>
        <v>52</v>
      </c>
    </row>
    <row r="11" spans="1:17" s="22" customFormat="1" ht="25" customHeight="1" x14ac:dyDescent="0.45">
      <c r="A11" s="20"/>
      <c r="B11" s="37"/>
      <c r="C11" s="100">
        <v>46</v>
      </c>
      <c r="D11" s="101">
        <f t="shared" ref="D11:D55" si="3">ROUND(10*(C11-$H$3)/$H$4+50,0)</f>
        <v>68</v>
      </c>
      <c r="E11" s="101">
        <f t="shared" si="0"/>
        <v>2</v>
      </c>
      <c r="F11" s="102">
        <f t="shared" ref="F11:F55" si="4">IF(I10=0,ROUND(100*(1-(I9+I11)/2/$J$3),2),ROUND(100*(1-(I10+I11)/2/$J$3),2))</f>
        <v>94.31</v>
      </c>
      <c r="G11" s="103">
        <f>IF(D11=D10,"",_xlfn.IFNA(VLOOKUP(D11,'인원 입력 기능(사과탐)'!$A$64:$D$116,4,FALSE),0))</f>
        <v>26</v>
      </c>
      <c r="H11" s="104">
        <f t="shared" si="1"/>
        <v>2.6398619149152198E-3</v>
      </c>
      <c r="I11" s="114">
        <f>SUM($G$7:G11)</f>
        <v>573</v>
      </c>
      <c r="J11" s="106">
        <f t="shared" ref="J11:J55" si="5">I11/$J$3</f>
        <v>5.8178495278708497E-2</v>
      </c>
      <c r="K11" s="38"/>
      <c r="L11" s="20" t="str">
        <f t="shared" si="2"/>
        <v/>
      </c>
      <c r="N11" s="24"/>
      <c r="P11" s="24">
        <v>5</v>
      </c>
      <c r="Q11" s="24">
        <f>'표점등급&amp;절평인원 입력 기능'!C80</f>
        <v>45</v>
      </c>
    </row>
    <row r="12" spans="1:17" s="22" customFormat="1" ht="25" customHeight="1" x14ac:dyDescent="0.45">
      <c r="A12" s="20"/>
      <c r="B12" s="37"/>
      <c r="C12" s="107">
        <v>45</v>
      </c>
      <c r="D12" s="101">
        <f t="shared" si="3"/>
        <v>67</v>
      </c>
      <c r="E12" s="101">
        <f t="shared" si="0"/>
        <v>2</v>
      </c>
      <c r="F12" s="102">
        <f t="shared" si="4"/>
        <v>93.34</v>
      </c>
      <c r="G12" s="103">
        <f>IF(D12=D11,"",_xlfn.IFNA(VLOOKUP(D12,'인원 입력 기능(사과탐)'!$A$64:$D$116,4,FALSE),0))</f>
        <v>165</v>
      </c>
      <c r="H12" s="104">
        <f t="shared" si="1"/>
        <v>1.675296984465428E-2</v>
      </c>
      <c r="I12" s="114">
        <f>SUM($G$7:G12)</f>
        <v>738</v>
      </c>
      <c r="J12" s="106">
        <f t="shared" si="5"/>
        <v>7.4931465123362781E-2</v>
      </c>
      <c r="K12" s="38"/>
      <c r="L12" s="20" t="str">
        <f t="shared" si="2"/>
        <v/>
      </c>
      <c r="N12" s="24"/>
      <c r="P12" s="24">
        <v>6</v>
      </c>
      <c r="Q12" s="24">
        <f>'표점등급&amp;절평인원 입력 기능'!C81</f>
        <v>42</v>
      </c>
    </row>
    <row r="13" spans="1:17" s="22" customFormat="1" ht="25" customHeight="1" x14ac:dyDescent="0.45">
      <c r="A13" s="20"/>
      <c r="B13" s="37"/>
      <c r="C13" s="100">
        <v>44</v>
      </c>
      <c r="D13" s="115">
        <f t="shared" si="3"/>
        <v>66</v>
      </c>
      <c r="E13" s="115">
        <f t="shared" si="0"/>
        <v>2</v>
      </c>
      <c r="F13" s="116">
        <f t="shared" si="4"/>
        <v>91.28</v>
      </c>
      <c r="G13" s="117">
        <f>IF(D13=D12,"",_xlfn.IFNA(VLOOKUP(D13,'인원 입력 기능(사과탐)'!$A$64:$D$116,4,FALSE),0))</f>
        <v>242</v>
      </c>
      <c r="H13" s="118">
        <f t="shared" si="1"/>
        <v>2.4571022438826275E-2</v>
      </c>
      <c r="I13" s="119">
        <f>SUM($G$7:G13)</f>
        <v>980</v>
      </c>
      <c r="J13" s="120">
        <f t="shared" si="5"/>
        <v>9.950248756218906E-2</v>
      </c>
      <c r="K13" s="38"/>
      <c r="L13" s="20" t="str">
        <f t="shared" si="2"/>
        <v/>
      </c>
      <c r="N13" s="24"/>
      <c r="P13" s="24">
        <v>7</v>
      </c>
      <c r="Q13" s="24">
        <f>'표점등급&amp;절평인원 입력 기능'!C82</f>
        <v>38</v>
      </c>
    </row>
    <row r="14" spans="1:17" s="22" customFormat="1" ht="25" customHeight="1" x14ac:dyDescent="0.45">
      <c r="A14" s="20"/>
      <c r="B14" s="37"/>
      <c r="C14" s="107">
        <v>43</v>
      </c>
      <c r="D14" s="121"/>
      <c r="E14" s="121"/>
      <c r="F14" s="122"/>
      <c r="G14" s="123"/>
      <c r="H14" s="124"/>
      <c r="I14" s="125"/>
      <c r="J14" s="126"/>
      <c r="K14" s="38"/>
      <c r="L14" s="20" t="str">
        <f t="shared" si="2"/>
        <v>경고</v>
      </c>
      <c r="N14" s="24"/>
      <c r="P14" s="24">
        <v>8</v>
      </c>
      <c r="Q14" s="24">
        <f>'표점등급&amp;절평인원 입력 기능'!C83</f>
        <v>37</v>
      </c>
    </row>
    <row r="15" spans="1:17" s="22" customFormat="1" ht="25" customHeight="1" x14ac:dyDescent="0.45">
      <c r="A15" s="20"/>
      <c r="B15" s="37"/>
      <c r="C15" s="100">
        <v>42</v>
      </c>
      <c r="D15" s="101">
        <f t="shared" si="3"/>
        <v>65</v>
      </c>
      <c r="E15" s="101">
        <f t="shared" si="0"/>
        <v>2</v>
      </c>
      <c r="F15" s="102">
        <f t="shared" si="4"/>
        <v>88.99</v>
      </c>
      <c r="G15" s="103">
        <f>IF(D15=D14,"",_xlfn.IFNA(VLOOKUP(D15,'인원 입력 기능(사과탐)'!$A$64:$D$116,4,FALSE),0))</f>
        <v>208</v>
      </c>
      <c r="H15" s="104">
        <f t="shared" si="1"/>
        <v>2.1118895319321759E-2</v>
      </c>
      <c r="I15" s="114">
        <f>SUM($G$7:G15)</f>
        <v>1188</v>
      </c>
      <c r="J15" s="106">
        <f t="shared" si="5"/>
        <v>0.12062138288151081</v>
      </c>
      <c r="K15" s="38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7"/>
      <c r="C16" s="107">
        <v>41</v>
      </c>
      <c r="D16" s="101">
        <f t="shared" si="3"/>
        <v>64</v>
      </c>
      <c r="E16" s="101">
        <f t="shared" si="0"/>
        <v>3</v>
      </c>
      <c r="F16" s="102">
        <f t="shared" si="4"/>
        <v>87.17</v>
      </c>
      <c r="G16" s="103">
        <f>IF(D16=D15,"",_xlfn.IFNA(VLOOKUP(D16,'인원 입력 기능(사과탐)'!$A$64:$D$116,4,FALSE),0))</f>
        <v>151</v>
      </c>
      <c r="H16" s="104">
        <f t="shared" si="1"/>
        <v>1.5331505736623008E-2</v>
      </c>
      <c r="I16" s="114">
        <f>SUM($G$7:G16)</f>
        <v>1339</v>
      </c>
      <c r="J16" s="106">
        <f t="shared" si="5"/>
        <v>0.13595288861813382</v>
      </c>
      <c r="K16" s="38"/>
      <c r="L16" s="20" t="str">
        <f t="shared" si="2"/>
        <v/>
      </c>
      <c r="N16" s="24"/>
    </row>
    <row r="17" spans="1:17" s="22" customFormat="1" ht="25" customHeight="1" x14ac:dyDescent="0.45">
      <c r="A17" s="20"/>
      <c r="B17" s="37"/>
      <c r="C17" s="100">
        <v>40</v>
      </c>
      <c r="D17" s="101">
        <f t="shared" si="3"/>
        <v>63</v>
      </c>
      <c r="E17" s="101">
        <f t="shared" si="0"/>
        <v>3</v>
      </c>
      <c r="F17" s="102">
        <f t="shared" si="4"/>
        <v>85.81</v>
      </c>
      <c r="G17" s="103">
        <f>IF(D17=D16,"",_xlfn.IFNA(VLOOKUP(D17,'인원 입력 기능(사과탐)'!$A$64:$D$116,4,FALSE),0))</f>
        <v>118</v>
      </c>
      <c r="H17" s="104">
        <f t="shared" si="1"/>
        <v>1.1980911767692152E-2</v>
      </c>
      <c r="I17" s="114">
        <f>SUM($G$7:G17)</f>
        <v>1457</v>
      </c>
      <c r="J17" s="106">
        <f t="shared" si="5"/>
        <v>0.14793380038582596</v>
      </c>
      <c r="K17" s="38"/>
      <c r="L17" s="20" t="str">
        <f t="shared" si="2"/>
        <v/>
      </c>
      <c r="N17" s="24"/>
      <c r="Q17" s="24">
        <f>Q7*H3*H4*J3*IFERROR(IF(J57=1, 1, 0), 0)</f>
        <v>201729270.5316</v>
      </c>
    </row>
    <row r="18" spans="1:17" s="22" customFormat="1" ht="25" customHeight="1" x14ac:dyDescent="0.45">
      <c r="A18" s="20"/>
      <c r="B18" s="37"/>
      <c r="C18" s="107">
        <v>39</v>
      </c>
      <c r="D18" s="115">
        <f t="shared" si="3"/>
        <v>62</v>
      </c>
      <c r="E18" s="115">
        <f t="shared" si="0"/>
        <v>3</v>
      </c>
      <c r="F18" s="116">
        <f t="shared" si="4"/>
        <v>83.55</v>
      </c>
      <c r="G18" s="117">
        <f>IF(D18=D17,"",_xlfn.IFNA(VLOOKUP(D18,'인원 입력 기능(사과탐)'!$A$64:$D$116,4,FALSE),0))</f>
        <v>327</v>
      </c>
      <c r="H18" s="118">
        <f t="shared" si="1"/>
        <v>3.320134023758757E-2</v>
      </c>
      <c r="I18" s="119">
        <f>SUM($G$7:G18)</f>
        <v>1784</v>
      </c>
      <c r="J18" s="120">
        <f t="shared" si="5"/>
        <v>0.18113514062341354</v>
      </c>
      <c r="K18" s="38"/>
      <c r="L18" s="20" t="str">
        <f t="shared" si="2"/>
        <v/>
      </c>
      <c r="N18" s="24"/>
    </row>
    <row r="19" spans="1:17" s="22" customFormat="1" ht="25" customHeight="1" x14ac:dyDescent="0.45">
      <c r="A19" s="20"/>
      <c r="B19" s="37"/>
      <c r="C19" s="100">
        <v>38</v>
      </c>
      <c r="D19" s="121"/>
      <c r="E19" s="121"/>
      <c r="F19" s="122"/>
      <c r="G19" s="123"/>
      <c r="H19" s="124"/>
      <c r="I19" s="125"/>
      <c r="J19" s="126"/>
      <c r="K19" s="38"/>
      <c r="L19" s="20" t="str">
        <f t="shared" si="2"/>
        <v>경고</v>
      </c>
      <c r="N19" s="24"/>
    </row>
    <row r="20" spans="1:17" s="22" customFormat="1" ht="25" customHeight="1" x14ac:dyDescent="0.45">
      <c r="A20" s="20"/>
      <c r="B20" s="37"/>
      <c r="C20" s="107">
        <v>37</v>
      </c>
      <c r="D20" s="101">
        <f t="shared" si="3"/>
        <v>61</v>
      </c>
      <c r="E20" s="101">
        <f t="shared" si="0"/>
        <v>3</v>
      </c>
      <c r="F20" s="102">
        <f t="shared" si="4"/>
        <v>81.14</v>
      </c>
      <c r="G20" s="103">
        <f>IF(D20=D19,"",_xlfn.IFNA(VLOOKUP(D20,'인원 입력 기능(사과탐)'!$A$64:$D$116,4,FALSE),0))</f>
        <v>147</v>
      </c>
      <c r="H20" s="104">
        <f t="shared" si="1"/>
        <v>1.4925373134328358E-2</v>
      </c>
      <c r="I20" s="114">
        <f>SUM($G$7:G20)</f>
        <v>1931</v>
      </c>
      <c r="J20" s="106">
        <f t="shared" si="5"/>
        <v>0.19606051375774192</v>
      </c>
      <c r="K20" s="38"/>
      <c r="L20" s="20" t="str">
        <f t="shared" si="2"/>
        <v/>
      </c>
      <c r="N20" s="24"/>
    </row>
    <row r="21" spans="1:17" s="22" customFormat="1" ht="25" customHeight="1" x14ac:dyDescent="0.45">
      <c r="A21" s="20"/>
      <c r="B21" s="37"/>
      <c r="C21" s="169">
        <v>36</v>
      </c>
      <c r="D21" s="128">
        <f t="shared" si="3"/>
        <v>60</v>
      </c>
      <c r="E21" s="128">
        <f t="shared" si="0"/>
        <v>3</v>
      </c>
      <c r="F21" s="102">
        <f t="shared" si="4"/>
        <v>79.63</v>
      </c>
      <c r="G21" s="103">
        <f>IF(D21=D20,"",_xlfn.IFNA(VLOOKUP(D21,'인원 입력 기능(사과탐)'!$A$64:$D$116,4,FALSE),0))</f>
        <v>151</v>
      </c>
      <c r="H21" s="104">
        <f t="shared" si="1"/>
        <v>1.5331505736623008E-2</v>
      </c>
      <c r="I21" s="114">
        <f>SUM($G$7:G21)</f>
        <v>2082</v>
      </c>
      <c r="J21" s="106">
        <f t="shared" si="5"/>
        <v>0.2113920194943649</v>
      </c>
      <c r="K21" s="38"/>
      <c r="L21" s="20" t="str">
        <f t="shared" si="2"/>
        <v/>
      </c>
      <c r="N21" s="24"/>
    </row>
    <row r="22" spans="1:17" s="22" customFormat="1" ht="25" customHeight="1" x14ac:dyDescent="0.45">
      <c r="A22" s="20"/>
      <c r="B22" s="37"/>
      <c r="C22" s="127">
        <v>35</v>
      </c>
      <c r="D22" s="130">
        <f t="shared" si="3"/>
        <v>59</v>
      </c>
      <c r="E22" s="130">
        <f t="shared" si="0"/>
        <v>3</v>
      </c>
      <c r="F22" s="116">
        <f t="shared" si="4"/>
        <v>77.33</v>
      </c>
      <c r="G22" s="117">
        <f>IF(D22=D21,"",_xlfn.IFNA(VLOOKUP(D22,'인원 입력 기능(사과탐)'!$A$64:$D$116,4,FALSE),0))</f>
        <v>302</v>
      </c>
      <c r="H22" s="118">
        <f t="shared" si="1"/>
        <v>3.0663011473246016E-2</v>
      </c>
      <c r="I22" s="119">
        <f>SUM($G$7:G22)</f>
        <v>2384</v>
      </c>
      <c r="J22" s="120">
        <f t="shared" si="5"/>
        <v>0.24205503096761091</v>
      </c>
      <c r="K22" s="38"/>
      <c r="L22" s="20" t="str">
        <f t="shared" si="2"/>
        <v/>
      </c>
      <c r="N22" s="24"/>
    </row>
    <row r="23" spans="1:17" s="22" customFormat="1" ht="25" customHeight="1" x14ac:dyDescent="0.45">
      <c r="A23" s="20"/>
      <c r="B23" s="37"/>
      <c r="C23" s="169">
        <v>34</v>
      </c>
      <c r="D23" s="132"/>
      <c r="E23" s="132"/>
      <c r="F23" s="122"/>
      <c r="G23" s="123"/>
      <c r="H23" s="124"/>
      <c r="I23" s="125"/>
      <c r="J23" s="126"/>
      <c r="K23" s="38"/>
      <c r="L23" s="20" t="str">
        <f t="shared" si="2"/>
        <v>경고</v>
      </c>
      <c r="N23" s="24"/>
    </row>
    <row r="24" spans="1:17" s="22" customFormat="1" ht="25" customHeight="1" x14ac:dyDescent="0.45">
      <c r="A24" s="20"/>
      <c r="B24" s="37"/>
      <c r="C24" s="127">
        <v>33</v>
      </c>
      <c r="D24" s="128">
        <f t="shared" si="3"/>
        <v>58</v>
      </c>
      <c r="E24" s="128">
        <f t="shared" si="0"/>
        <v>4</v>
      </c>
      <c r="F24" s="102">
        <f t="shared" si="4"/>
        <v>74.930000000000007</v>
      </c>
      <c r="G24" s="103">
        <f>IF(D24=D23,"",_xlfn.IFNA(VLOOKUP(D24,'인원 입력 기능(사과탐)'!$A$64:$D$116,4,FALSE),0))</f>
        <v>170</v>
      </c>
      <c r="H24" s="104">
        <f t="shared" si="1"/>
        <v>1.726063559752259E-2</v>
      </c>
      <c r="I24" s="114">
        <f>SUM($G$7:G24)</f>
        <v>2554</v>
      </c>
      <c r="J24" s="106">
        <f t="shared" si="5"/>
        <v>0.2593156665651335</v>
      </c>
      <c r="K24" s="38"/>
      <c r="L24" s="20" t="str">
        <f t="shared" si="2"/>
        <v/>
      </c>
      <c r="N24" s="24"/>
    </row>
    <row r="25" spans="1:17" s="22" customFormat="1" ht="25" customHeight="1" x14ac:dyDescent="0.45">
      <c r="A25" s="20"/>
      <c r="B25" s="37"/>
      <c r="C25" s="169">
        <v>32</v>
      </c>
      <c r="D25" s="128">
        <f t="shared" si="3"/>
        <v>57</v>
      </c>
      <c r="E25" s="128">
        <f t="shared" si="0"/>
        <v>4</v>
      </c>
      <c r="F25" s="102">
        <f t="shared" si="4"/>
        <v>73.31</v>
      </c>
      <c r="G25" s="103">
        <f>IF(D25=D24,"",_xlfn.IFNA(VLOOKUP(D25,'인원 입력 기능(사과탐)'!$A$64:$D$116,4,FALSE),0))</f>
        <v>150</v>
      </c>
      <c r="H25" s="104">
        <f t="shared" si="1"/>
        <v>1.5229972586049346E-2</v>
      </c>
      <c r="I25" s="114">
        <f>SUM($G$7:G25)</f>
        <v>2704</v>
      </c>
      <c r="J25" s="106">
        <f t="shared" si="5"/>
        <v>0.27454563915118285</v>
      </c>
      <c r="K25" s="38"/>
      <c r="L25" s="20" t="str">
        <f t="shared" si="2"/>
        <v/>
      </c>
      <c r="N25" s="24"/>
    </row>
    <row r="26" spans="1:17" s="22" customFormat="1" ht="25" customHeight="1" x14ac:dyDescent="0.45">
      <c r="A26" s="20"/>
      <c r="B26" s="37"/>
      <c r="C26" s="127">
        <v>31</v>
      </c>
      <c r="D26" s="128">
        <f t="shared" si="3"/>
        <v>56</v>
      </c>
      <c r="E26" s="128">
        <f t="shared" si="0"/>
        <v>4</v>
      </c>
      <c r="F26" s="102">
        <f t="shared" si="4"/>
        <v>71.61</v>
      </c>
      <c r="G26" s="103">
        <f>IF(D26=D25,"",_xlfn.IFNA(VLOOKUP(D26,'인원 입력 기능(사과탐)'!$A$64:$D$116,4,FALSE),0))</f>
        <v>184</v>
      </c>
      <c r="H26" s="104">
        <f t="shared" si="1"/>
        <v>1.8682099705553862E-2</v>
      </c>
      <c r="I26" s="114">
        <f>SUM($G$7:G26)</f>
        <v>2888</v>
      </c>
      <c r="J26" s="106">
        <f t="shared" si="5"/>
        <v>0.2932277388567367</v>
      </c>
      <c r="K26" s="38"/>
      <c r="L26" s="20" t="str">
        <f t="shared" si="2"/>
        <v/>
      </c>
      <c r="N26" s="24"/>
    </row>
    <row r="27" spans="1:17" s="22" customFormat="1" ht="25" customHeight="1" x14ac:dyDescent="0.45">
      <c r="A27" s="20"/>
      <c r="B27" s="37"/>
      <c r="C27" s="169">
        <v>30</v>
      </c>
      <c r="D27" s="130">
        <f t="shared" si="3"/>
        <v>55</v>
      </c>
      <c r="E27" s="130">
        <f t="shared" si="0"/>
        <v>4</v>
      </c>
      <c r="F27" s="116">
        <f t="shared" si="4"/>
        <v>68.91</v>
      </c>
      <c r="G27" s="117">
        <f>IF(D27=D26,"",_xlfn.IFNA(VLOOKUP(D27,'인원 입력 기능(사과탐)'!$A$64:$D$116,4,FALSE),0))</f>
        <v>348</v>
      </c>
      <c r="H27" s="118">
        <f t="shared" si="1"/>
        <v>3.5333536399634484E-2</v>
      </c>
      <c r="I27" s="119">
        <f>SUM($G$7:G27)</f>
        <v>3236</v>
      </c>
      <c r="J27" s="120">
        <f t="shared" si="5"/>
        <v>0.32856127525637119</v>
      </c>
      <c r="K27" s="38"/>
      <c r="L27" s="20" t="str">
        <f t="shared" si="2"/>
        <v/>
      </c>
      <c r="N27" s="24"/>
    </row>
    <row r="28" spans="1:17" s="22" customFormat="1" ht="25" customHeight="1" x14ac:dyDescent="0.45">
      <c r="A28" s="20"/>
      <c r="B28" s="37"/>
      <c r="C28" s="127">
        <v>29</v>
      </c>
      <c r="D28" s="132"/>
      <c r="E28" s="132"/>
      <c r="F28" s="122"/>
      <c r="G28" s="123"/>
      <c r="H28" s="124"/>
      <c r="I28" s="125"/>
      <c r="J28" s="126"/>
      <c r="K28" s="38"/>
      <c r="L28" s="20" t="str">
        <f t="shared" si="2"/>
        <v>경고</v>
      </c>
      <c r="N28" s="24"/>
    </row>
    <row r="29" spans="1:17" s="22" customFormat="1" ht="25" customHeight="1" x14ac:dyDescent="0.45">
      <c r="A29" s="20"/>
      <c r="B29" s="37"/>
      <c r="C29" s="169">
        <v>28</v>
      </c>
      <c r="D29" s="128">
        <f t="shared" si="3"/>
        <v>54</v>
      </c>
      <c r="E29" s="128">
        <f t="shared" si="0"/>
        <v>4</v>
      </c>
      <c r="F29" s="102">
        <f t="shared" si="4"/>
        <v>66.17</v>
      </c>
      <c r="G29" s="103">
        <f>IF(D29=D28,"",_xlfn.IFNA(VLOOKUP(D29,'인원 입력 기능(사과탐)'!$A$64:$D$116,4,FALSE),0))</f>
        <v>191</v>
      </c>
      <c r="H29" s="104">
        <f t="shared" si="1"/>
        <v>1.93928317595695E-2</v>
      </c>
      <c r="I29" s="114">
        <f>SUM($G$7:G29)</f>
        <v>3427</v>
      </c>
      <c r="J29" s="106">
        <f t="shared" si="5"/>
        <v>0.34795410701594071</v>
      </c>
      <c r="K29" s="38"/>
      <c r="L29" s="20" t="str">
        <f t="shared" si="2"/>
        <v/>
      </c>
      <c r="N29" s="24"/>
    </row>
    <row r="30" spans="1:17" s="22" customFormat="1" ht="25" customHeight="1" x14ac:dyDescent="0.45">
      <c r="A30" s="20"/>
      <c r="B30" s="37"/>
      <c r="C30" s="127">
        <v>27</v>
      </c>
      <c r="D30" s="128">
        <f t="shared" si="3"/>
        <v>53</v>
      </c>
      <c r="E30" s="128">
        <f t="shared" si="0"/>
        <v>4</v>
      </c>
      <c r="F30" s="102">
        <f t="shared" si="4"/>
        <v>64.13</v>
      </c>
      <c r="G30" s="103">
        <f>IF(D30=D29,"",_xlfn.IFNA(VLOOKUP(D30,'인원 입력 기능(사과탐)'!$A$64:$D$116,4,FALSE),0))</f>
        <v>211</v>
      </c>
      <c r="H30" s="104">
        <f t="shared" si="1"/>
        <v>2.1423494771042745E-2</v>
      </c>
      <c r="I30" s="114">
        <f>SUM($G$7:G30)</f>
        <v>3638</v>
      </c>
      <c r="J30" s="106">
        <f t="shared" si="5"/>
        <v>0.36937760178698342</v>
      </c>
      <c r="K30" s="38"/>
      <c r="L30" s="20" t="str">
        <f t="shared" si="2"/>
        <v/>
      </c>
      <c r="N30" s="24"/>
    </row>
    <row r="31" spans="1:17" s="22" customFormat="1" ht="25" customHeight="1" x14ac:dyDescent="0.45">
      <c r="A31" s="20"/>
      <c r="B31" s="37"/>
      <c r="C31" s="169">
        <v>26</v>
      </c>
      <c r="D31" s="130">
        <f t="shared" si="3"/>
        <v>52</v>
      </c>
      <c r="E31" s="130">
        <f t="shared" si="0"/>
        <v>4</v>
      </c>
      <c r="F31" s="116">
        <f t="shared" si="4"/>
        <v>61.03</v>
      </c>
      <c r="G31" s="117">
        <f>IF(D31=D30,"",_xlfn.IFNA(VLOOKUP(D31,'인원 입력 기능(사과탐)'!$A$64:$D$116,4,FALSE),0))</f>
        <v>401</v>
      </c>
      <c r="H31" s="118">
        <f t="shared" si="1"/>
        <v>4.0714793380038583E-2</v>
      </c>
      <c r="I31" s="119">
        <f>SUM($G$7:G31)</f>
        <v>4039</v>
      </c>
      <c r="J31" s="120">
        <f t="shared" si="5"/>
        <v>0.41009239516702201</v>
      </c>
      <c r="K31" s="38"/>
      <c r="L31" s="20" t="str">
        <f t="shared" si="2"/>
        <v/>
      </c>
      <c r="N31" s="24"/>
    </row>
    <row r="32" spans="1:17" s="22" customFormat="1" ht="25" customHeight="1" x14ac:dyDescent="0.45">
      <c r="A32" s="20"/>
      <c r="B32" s="37"/>
      <c r="C32" s="127">
        <v>25</v>
      </c>
      <c r="D32" s="132"/>
      <c r="E32" s="132"/>
      <c r="F32" s="122"/>
      <c r="G32" s="123"/>
      <c r="H32" s="124"/>
      <c r="I32" s="125"/>
      <c r="J32" s="126"/>
      <c r="K32" s="38"/>
      <c r="L32" s="20" t="str">
        <f t="shared" si="2"/>
        <v>경고</v>
      </c>
      <c r="N32" s="24"/>
    </row>
    <row r="33" spans="1:14" s="22" customFormat="1" ht="25" customHeight="1" x14ac:dyDescent="0.45">
      <c r="A33" s="20"/>
      <c r="B33" s="37"/>
      <c r="C33" s="169">
        <v>24</v>
      </c>
      <c r="D33" s="128">
        <f t="shared" si="3"/>
        <v>51</v>
      </c>
      <c r="E33" s="128">
        <f t="shared" si="0"/>
        <v>5</v>
      </c>
      <c r="F33" s="102">
        <f t="shared" si="4"/>
        <v>58.05</v>
      </c>
      <c r="G33" s="103">
        <f>IF(D33=D32,"",_xlfn.IFNA(VLOOKUP(D33,'인원 입력 기능(사과탐)'!$A$64:$D$116,4,FALSE),0))</f>
        <v>186</v>
      </c>
      <c r="H33" s="104">
        <f t="shared" si="1"/>
        <v>1.8885166006701187E-2</v>
      </c>
      <c r="I33" s="114">
        <f>SUM($G$7:G33)</f>
        <v>4225</v>
      </c>
      <c r="J33" s="106">
        <f t="shared" si="5"/>
        <v>0.42897756117372321</v>
      </c>
      <c r="K33" s="38"/>
      <c r="L33" s="20" t="str">
        <f t="shared" si="2"/>
        <v/>
      </c>
      <c r="N33" s="24"/>
    </row>
    <row r="34" spans="1:14" s="22" customFormat="1" ht="25" customHeight="1" x14ac:dyDescent="0.45">
      <c r="A34" s="20"/>
      <c r="B34" s="37"/>
      <c r="C34" s="127">
        <v>23</v>
      </c>
      <c r="D34" s="128">
        <f t="shared" si="3"/>
        <v>50</v>
      </c>
      <c r="E34" s="128">
        <f t="shared" si="0"/>
        <v>5</v>
      </c>
      <c r="F34" s="102">
        <f t="shared" si="4"/>
        <v>56.08</v>
      </c>
      <c r="G34" s="103">
        <f>IF(D34=D33,"",_xlfn.IFNA(VLOOKUP(D34,'인원 입력 기능(사과탐)'!$A$64:$D$116,4,FALSE),0))</f>
        <v>201</v>
      </c>
      <c r="H34" s="104">
        <f t="shared" si="1"/>
        <v>2.0408163265306121E-2</v>
      </c>
      <c r="I34" s="114">
        <f>SUM($G$7:G34)</f>
        <v>4426</v>
      </c>
      <c r="J34" s="106">
        <f t="shared" si="5"/>
        <v>0.44938572443902935</v>
      </c>
      <c r="K34" s="38"/>
      <c r="L34" s="20" t="str">
        <f t="shared" si="2"/>
        <v/>
      </c>
      <c r="N34" s="24"/>
    </row>
    <row r="35" spans="1:14" s="22" customFormat="1" ht="25" customHeight="1" x14ac:dyDescent="0.45">
      <c r="A35" s="20"/>
      <c r="B35" s="37"/>
      <c r="C35" s="169">
        <v>22</v>
      </c>
      <c r="D35" s="128">
        <f t="shared" ref="D35" si="6">ROUND(10*(C35-$H$3)/$H$4+50,0)</f>
        <v>49</v>
      </c>
      <c r="E35" s="128">
        <f t="shared" ref="E35:E36" si="7">IF(ROUND(D35,0)&gt;=$Q$7,1,IF(ROUND(D35,0)&gt;=$Q$8,2,IF(ROUND(D35,0)&gt;=$Q$9,3,IF(ROUND(D35,0)&gt;=$Q$10,4,IF(ROUND(D35,0)&gt;=$Q$11,5,IF(ROUND(D35,0)&gt;=$Q$12,6,IF(ROUND(D35,0)&gt;=$Q$13,7,IF(ROUND(D35,0)&gt;=$Q$14,8,9))))))))</f>
        <v>5</v>
      </c>
      <c r="F35" s="102">
        <f t="shared" ref="F35:F36" si="8">IF(I34=0,ROUND(100*(1-(I33+I35)/2/$J$3),2),ROUND(100*(1-(I34+I35)/2/$J$3),2))</f>
        <v>53.93</v>
      </c>
      <c r="G35" s="103">
        <f>IF(D35=D34,"",_xlfn.IFNA(VLOOKUP(D35,'인원 입력 기능(사과탐)'!$A$64:$D$116,4,FALSE),0))</f>
        <v>222</v>
      </c>
      <c r="H35" s="104">
        <f t="shared" ref="H35:H36" si="9">G35/$J$3</f>
        <v>2.2540359427353031E-2</v>
      </c>
      <c r="I35" s="114">
        <f>SUM($G$7:G35)</f>
        <v>4648</v>
      </c>
      <c r="J35" s="106">
        <f t="shared" ref="J35:J36" si="10">I35/$J$3</f>
        <v>0.47192608386638235</v>
      </c>
      <c r="K35" s="38"/>
      <c r="L35" s="20" t="str">
        <f t="shared" si="2"/>
        <v/>
      </c>
      <c r="N35" s="24"/>
    </row>
    <row r="36" spans="1:14" s="22" customFormat="1" ht="25" customHeight="1" x14ac:dyDescent="0.45">
      <c r="A36" s="20"/>
      <c r="B36" s="37"/>
      <c r="C36" s="127">
        <v>21</v>
      </c>
      <c r="D36" s="130">
        <v>48</v>
      </c>
      <c r="E36" s="130">
        <f t="shared" si="7"/>
        <v>5</v>
      </c>
      <c r="F36" s="116">
        <f t="shared" si="8"/>
        <v>50.28</v>
      </c>
      <c r="G36" s="117">
        <f>IF(D36=D35,"",_xlfn.IFNA(VLOOKUP(D36,'인원 입력 기능(사과탐)'!$A$64:$D$116,4,FALSE),0))</f>
        <v>497</v>
      </c>
      <c r="H36" s="118">
        <f t="shared" si="9"/>
        <v>5.0461975835110161E-2</v>
      </c>
      <c r="I36" s="119">
        <f>SUM($G$7:G36)</f>
        <v>5145</v>
      </c>
      <c r="J36" s="120">
        <f t="shared" si="10"/>
        <v>0.52238805970149249</v>
      </c>
      <c r="K36" s="38"/>
      <c r="L36" s="20" t="str">
        <f t="shared" si="2"/>
        <v>경고</v>
      </c>
      <c r="N36" s="24"/>
    </row>
    <row r="37" spans="1:14" s="22" customFormat="1" ht="25" customHeight="1" x14ac:dyDescent="0.45">
      <c r="A37" s="20"/>
      <c r="B37" s="37"/>
      <c r="C37" s="169">
        <v>20</v>
      </c>
      <c r="D37" s="132"/>
      <c r="E37" s="132"/>
      <c r="F37" s="122"/>
      <c r="G37" s="123"/>
      <c r="H37" s="124"/>
      <c r="I37" s="125"/>
      <c r="J37" s="126"/>
      <c r="K37" s="38"/>
      <c r="L37" s="20" t="str">
        <f t="shared" si="2"/>
        <v>경고</v>
      </c>
      <c r="N37" s="24"/>
    </row>
    <row r="38" spans="1:14" s="22" customFormat="1" ht="25" customHeight="1" x14ac:dyDescent="0.45">
      <c r="A38" s="20"/>
      <c r="B38" s="37"/>
      <c r="C38" s="127">
        <v>19</v>
      </c>
      <c r="D38" s="128">
        <f t="shared" si="3"/>
        <v>47</v>
      </c>
      <c r="E38" s="128">
        <f t="shared" si="0"/>
        <v>5</v>
      </c>
      <c r="F38" s="102">
        <f t="shared" si="4"/>
        <v>46.65</v>
      </c>
      <c r="G38" s="103">
        <f>IF(D38=D37,"",_xlfn.IFNA(VLOOKUP(D38,'인원 입력 기능(사과탐)'!$A$64:$D$116,4,FALSE),0))</f>
        <v>219</v>
      </c>
      <c r="H38" s="104">
        <f t="shared" si="1"/>
        <v>2.2235759975632045E-2</v>
      </c>
      <c r="I38" s="114">
        <f>SUM($G$7:G38)</f>
        <v>5364</v>
      </c>
      <c r="J38" s="106">
        <f t="shared" si="5"/>
        <v>0.54462381967712459</v>
      </c>
      <c r="K38" s="38"/>
      <c r="L38" s="20" t="str">
        <f t="shared" si="2"/>
        <v/>
      </c>
      <c r="N38" s="24"/>
    </row>
    <row r="39" spans="1:14" s="22" customFormat="1" ht="25" customHeight="1" x14ac:dyDescent="0.45">
      <c r="A39" s="20"/>
      <c r="B39" s="37"/>
      <c r="C39" s="169">
        <v>18</v>
      </c>
      <c r="D39" s="128">
        <f t="shared" si="3"/>
        <v>46</v>
      </c>
      <c r="E39" s="128">
        <f t="shared" ref="E39:E57" si="11">IF(ROUND(D39,0)&gt;=$Q$7,1,IF(ROUND(D39,0)&gt;=$Q$8,2,IF(ROUND(D39,0)&gt;=$Q$9,3,IF(ROUND(D39,0)&gt;=$Q$10,4,IF(ROUND(D39,0)&gt;=$Q$11,5,IF(ROUND(D39,0)&gt;=$Q$12,6,IF(ROUND(D39,0)&gt;=$Q$13,7,IF(ROUND(D39,0)&gt;=$Q$14,8,9))))))))</f>
        <v>5</v>
      </c>
      <c r="F39" s="102">
        <f t="shared" si="4"/>
        <v>44.18</v>
      </c>
      <c r="G39" s="103">
        <f>IF(D39=D38,"",_xlfn.IFNA(VLOOKUP(D39,'인원 입력 기능(사과탐)'!$A$64:$D$116,4,FALSE),0))</f>
        <v>267</v>
      </c>
      <c r="H39" s="104">
        <f t="shared" si="1"/>
        <v>2.7109351203167834E-2</v>
      </c>
      <c r="I39" s="114">
        <f>SUM($G$7:G39)</f>
        <v>5631</v>
      </c>
      <c r="J39" s="106">
        <f t="shared" si="5"/>
        <v>0.57173317088029241</v>
      </c>
      <c r="K39" s="38"/>
      <c r="L39" s="20" t="str">
        <f t="shared" si="2"/>
        <v/>
      </c>
      <c r="N39" s="24"/>
    </row>
    <row r="40" spans="1:14" s="22" customFormat="1" ht="25" customHeight="1" x14ac:dyDescent="0.45">
      <c r="A40" s="20"/>
      <c r="B40" s="37"/>
      <c r="C40" s="127">
        <v>17</v>
      </c>
      <c r="D40" s="130">
        <f t="shared" si="3"/>
        <v>45</v>
      </c>
      <c r="E40" s="130">
        <f t="shared" si="11"/>
        <v>5</v>
      </c>
      <c r="F40" s="116">
        <f t="shared" si="4"/>
        <v>39.99</v>
      </c>
      <c r="G40" s="117">
        <f>IF(D40=D39,"",_xlfn.IFNA(VLOOKUP(D40,'인원 입력 기능(사과탐)'!$A$64:$D$116,4,FALSE),0))</f>
        <v>558</v>
      </c>
      <c r="H40" s="118">
        <f t="shared" si="1"/>
        <v>5.6655498020103563E-2</v>
      </c>
      <c r="I40" s="119">
        <f>SUM($G$7:G40)</f>
        <v>6189</v>
      </c>
      <c r="J40" s="120">
        <f t="shared" si="5"/>
        <v>0.62838866890039602</v>
      </c>
      <c r="K40" s="38"/>
      <c r="L40" s="20" t="str">
        <f t="shared" si="2"/>
        <v/>
      </c>
      <c r="N40" s="24"/>
    </row>
    <row r="41" spans="1:14" s="22" customFormat="1" ht="25" customHeight="1" x14ac:dyDescent="0.45">
      <c r="A41" s="20"/>
      <c r="B41" s="37"/>
      <c r="C41" s="169">
        <v>16</v>
      </c>
      <c r="D41" s="132"/>
      <c r="E41" s="132"/>
      <c r="F41" s="122"/>
      <c r="G41" s="123"/>
      <c r="H41" s="124"/>
      <c r="I41" s="125"/>
      <c r="J41" s="126"/>
      <c r="K41" s="38"/>
      <c r="L41" s="20" t="str">
        <f t="shared" si="2"/>
        <v>경고</v>
      </c>
      <c r="N41" s="24"/>
    </row>
    <row r="42" spans="1:14" s="22" customFormat="1" ht="25" customHeight="1" x14ac:dyDescent="0.45">
      <c r="A42" s="20"/>
      <c r="B42" s="37"/>
      <c r="C42" s="127">
        <v>15</v>
      </c>
      <c r="D42" s="128">
        <f t="shared" si="3"/>
        <v>44</v>
      </c>
      <c r="E42" s="128">
        <f t="shared" si="11"/>
        <v>6</v>
      </c>
      <c r="F42" s="102">
        <f t="shared" si="4"/>
        <v>35.590000000000003</v>
      </c>
      <c r="G42" s="103">
        <f>IF(D42=D41,"",_xlfn.IFNA(VLOOKUP(D42,'인원 입력 기능(사과탐)'!$A$64:$D$116,4,FALSE),0))</f>
        <v>310</v>
      </c>
      <c r="H42" s="104">
        <f t="shared" si="1"/>
        <v>3.1475276677835312E-2</v>
      </c>
      <c r="I42" s="114">
        <f>SUM($G$7:G42)</f>
        <v>6499</v>
      </c>
      <c r="J42" s="106">
        <f t="shared" si="5"/>
        <v>0.65986394557823125</v>
      </c>
      <c r="K42" s="38"/>
      <c r="L42" s="20" t="str">
        <f t="shared" si="2"/>
        <v/>
      </c>
      <c r="N42" s="24"/>
    </row>
    <row r="43" spans="1:14" s="22" customFormat="1" ht="25" customHeight="1" x14ac:dyDescent="0.45">
      <c r="A43" s="20"/>
      <c r="B43" s="37"/>
      <c r="C43" s="169">
        <v>14</v>
      </c>
      <c r="D43" s="128">
        <f t="shared" si="3"/>
        <v>43</v>
      </c>
      <c r="E43" s="128">
        <f t="shared" si="11"/>
        <v>6</v>
      </c>
      <c r="F43" s="102">
        <f t="shared" si="4"/>
        <v>32.39</v>
      </c>
      <c r="G43" s="103">
        <f>IF(D43=D42,"",_xlfn.IFNA(VLOOKUP(D43,'인원 입력 기능(사과탐)'!$A$64:$D$116,4,FALSE),0))</f>
        <v>319</v>
      </c>
      <c r="H43" s="104">
        <f t="shared" si="1"/>
        <v>3.2389075032998274E-2</v>
      </c>
      <c r="I43" s="114">
        <f>SUM($G$7:G43)</f>
        <v>6818</v>
      </c>
      <c r="J43" s="106">
        <f t="shared" si="5"/>
        <v>0.69225302061122962</v>
      </c>
      <c r="K43" s="38"/>
      <c r="L43" s="20" t="str">
        <f t="shared" si="2"/>
        <v/>
      </c>
      <c r="N43" s="24"/>
    </row>
    <row r="44" spans="1:14" s="22" customFormat="1" ht="25" customHeight="1" x14ac:dyDescent="0.45">
      <c r="A44" s="20"/>
      <c r="B44" s="37"/>
      <c r="C44" s="127">
        <v>13</v>
      </c>
      <c r="D44" s="130">
        <f t="shared" si="3"/>
        <v>42</v>
      </c>
      <c r="E44" s="130">
        <f t="shared" si="11"/>
        <v>6</v>
      </c>
      <c r="F44" s="116">
        <f t="shared" si="4"/>
        <v>26.69</v>
      </c>
      <c r="G44" s="117">
        <f>IF(D44=D43,"",_xlfn.IFNA(VLOOKUP(D44,'인원 입력 기능(사과탐)'!$A$64:$D$116,4,FALSE),0))</f>
        <v>804</v>
      </c>
      <c r="H44" s="118">
        <f t="shared" si="1"/>
        <v>8.1632653061224483E-2</v>
      </c>
      <c r="I44" s="119">
        <f>SUM($G$7:G44)</f>
        <v>7622</v>
      </c>
      <c r="J44" s="120">
        <f t="shared" si="5"/>
        <v>0.77388567367245409</v>
      </c>
      <c r="K44" s="38"/>
      <c r="L44" s="20" t="str">
        <f t="shared" si="2"/>
        <v/>
      </c>
      <c r="N44" s="24"/>
    </row>
    <row r="45" spans="1:14" s="22" customFormat="1" ht="25" customHeight="1" x14ac:dyDescent="0.45">
      <c r="A45" s="20"/>
      <c r="B45" s="37"/>
      <c r="C45" s="169">
        <v>12</v>
      </c>
      <c r="D45" s="132"/>
      <c r="E45" s="132"/>
      <c r="F45" s="122"/>
      <c r="G45" s="123"/>
      <c r="H45" s="124"/>
      <c r="I45" s="125"/>
      <c r="J45" s="126"/>
      <c r="K45" s="38"/>
      <c r="L45" s="20" t="str">
        <f t="shared" si="2"/>
        <v>경고</v>
      </c>
      <c r="N45" s="24"/>
    </row>
    <row r="46" spans="1:14" s="22" customFormat="1" ht="25" customHeight="1" x14ac:dyDescent="0.45">
      <c r="A46" s="20"/>
      <c r="B46" s="37"/>
      <c r="C46" s="127">
        <v>11</v>
      </c>
      <c r="D46" s="128">
        <f t="shared" si="3"/>
        <v>41</v>
      </c>
      <c r="E46" s="128">
        <f t="shared" si="11"/>
        <v>7</v>
      </c>
      <c r="F46" s="102">
        <f t="shared" si="4"/>
        <v>20.73</v>
      </c>
      <c r="G46" s="103">
        <f>IF(D46=D45,"",_xlfn.IFNA(VLOOKUP(D46,'인원 입력 기능(사과탐)'!$A$64:$D$116,4,FALSE),0))</f>
        <v>371</v>
      </c>
      <c r="H46" s="104">
        <f t="shared" si="1"/>
        <v>3.7668798862828715E-2</v>
      </c>
      <c r="I46" s="114">
        <f>SUM($G$7:G46)</f>
        <v>7993</v>
      </c>
      <c r="J46" s="106">
        <f t="shared" si="5"/>
        <v>0.81155447253528279</v>
      </c>
      <c r="K46" s="38"/>
      <c r="L46" s="20" t="str">
        <f t="shared" si="2"/>
        <v/>
      </c>
      <c r="N46" s="24"/>
    </row>
    <row r="47" spans="1:14" s="22" customFormat="1" ht="25" customHeight="1" x14ac:dyDescent="0.45">
      <c r="A47" s="20"/>
      <c r="B47" s="37"/>
      <c r="C47" s="169">
        <v>10</v>
      </c>
      <c r="D47" s="128">
        <f t="shared" si="3"/>
        <v>40</v>
      </c>
      <c r="E47" s="128">
        <f t="shared" si="11"/>
        <v>7</v>
      </c>
      <c r="F47" s="102">
        <f t="shared" si="4"/>
        <v>17.5</v>
      </c>
      <c r="G47" s="103">
        <f>IF(D47=D46,"",_xlfn.IFNA(VLOOKUP(D47,'인원 입력 기능(사과탐)'!$A$64:$D$116,4,FALSE),0))</f>
        <v>265</v>
      </c>
      <c r="H47" s="104">
        <f t="shared" si="1"/>
        <v>2.6906284902020509E-2</v>
      </c>
      <c r="I47" s="114">
        <f>SUM($G$7:G47)</f>
        <v>8258</v>
      </c>
      <c r="J47" s="106">
        <f t="shared" si="5"/>
        <v>0.83846075743730331</v>
      </c>
      <c r="K47" s="38"/>
      <c r="L47" s="20" t="str">
        <f t="shared" si="2"/>
        <v/>
      </c>
      <c r="N47" s="24"/>
    </row>
    <row r="48" spans="1:14" s="22" customFormat="1" ht="25" customHeight="1" x14ac:dyDescent="0.45">
      <c r="A48" s="20"/>
      <c r="B48" s="37"/>
      <c r="C48" s="127">
        <v>9</v>
      </c>
      <c r="D48" s="128">
        <f t="shared" si="3"/>
        <v>39</v>
      </c>
      <c r="E48" s="128">
        <f t="shared" si="11"/>
        <v>7</v>
      </c>
      <c r="F48" s="102">
        <f t="shared" si="4"/>
        <v>14.63</v>
      </c>
      <c r="G48" s="103">
        <f>IF(D48=D47,"",_xlfn.IFNA(VLOOKUP(D48,'인원 입력 기능(사과탐)'!$A$64:$D$116,4,FALSE),0))</f>
        <v>300</v>
      </c>
      <c r="H48" s="104">
        <f t="shared" si="1"/>
        <v>3.0459945172098692E-2</v>
      </c>
      <c r="I48" s="114">
        <f>SUM($G$7:G48)</f>
        <v>8558</v>
      </c>
      <c r="J48" s="106">
        <f t="shared" si="5"/>
        <v>0.86892070260940202</v>
      </c>
      <c r="K48" s="38"/>
      <c r="L48" s="20" t="str">
        <f t="shared" si="2"/>
        <v/>
      </c>
      <c r="N48" s="24"/>
    </row>
    <row r="49" spans="1:14" s="22" customFormat="1" ht="25" customHeight="1" x14ac:dyDescent="0.45">
      <c r="A49" s="20"/>
      <c r="B49" s="37"/>
      <c r="C49" s="169">
        <v>8</v>
      </c>
      <c r="D49" s="130">
        <f t="shared" si="3"/>
        <v>38</v>
      </c>
      <c r="E49" s="130">
        <f t="shared" si="11"/>
        <v>7</v>
      </c>
      <c r="F49" s="116">
        <f t="shared" si="4"/>
        <v>8.7100000000000009</v>
      </c>
      <c r="G49" s="117">
        <f>IF(D49=D48,"",_xlfn.IFNA(VLOOKUP(D49,'인원 입력 기능(사과탐)'!$A$64:$D$116,4,FALSE),0))</f>
        <v>867</v>
      </c>
      <c r="H49" s="118">
        <f t="shared" si="1"/>
        <v>8.8029241547365217E-2</v>
      </c>
      <c r="I49" s="119">
        <f>SUM($G$7:G49)</f>
        <v>9425</v>
      </c>
      <c r="J49" s="120">
        <f t="shared" si="5"/>
        <v>0.95694994415676715</v>
      </c>
      <c r="K49" s="38"/>
      <c r="L49" s="20" t="str">
        <f t="shared" si="2"/>
        <v/>
      </c>
      <c r="N49" s="24"/>
    </row>
    <row r="50" spans="1:14" s="22" customFormat="1" ht="25" customHeight="1" x14ac:dyDescent="0.45">
      <c r="A50" s="20"/>
      <c r="B50" s="37"/>
      <c r="C50" s="127">
        <v>7</v>
      </c>
      <c r="D50" s="132"/>
      <c r="E50" s="132"/>
      <c r="F50" s="122"/>
      <c r="G50" s="123"/>
      <c r="H50" s="124"/>
      <c r="I50" s="125"/>
      <c r="J50" s="126"/>
      <c r="K50" s="38"/>
      <c r="L50" s="20" t="str">
        <f t="shared" si="2"/>
        <v>경고</v>
      </c>
      <c r="N50" s="24"/>
    </row>
    <row r="51" spans="1:14" s="22" customFormat="1" ht="25" customHeight="1" x14ac:dyDescent="0.45">
      <c r="A51" s="20"/>
      <c r="B51" s="37"/>
      <c r="C51" s="169">
        <v>6</v>
      </c>
      <c r="D51" s="128">
        <f t="shared" si="3"/>
        <v>37</v>
      </c>
      <c r="E51" s="128">
        <f t="shared" si="11"/>
        <v>8</v>
      </c>
      <c r="F51" s="102">
        <f t="shared" si="4"/>
        <v>3.77</v>
      </c>
      <c r="G51" s="103">
        <f>IF(D51=D50,"",_xlfn.IFNA(VLOOKUP(D51,'인원 입력 기능(사과탐)'!$A$64:$D$116,4,FALSE),0))</f>
        <v>106</v>
      </c>
      <c r="H51" s="104">
        <f t="shared" si="1"/>
        <v>1.0762513960808203E-2</v>
      </c>
      <c r="I51" s="114">
        <f>SUM($G$7:G51)</f>
        <v>9531</v>
      </c>
      <c r="J51" s="106">
        <f t="shared" si="5"/>
        <v>0.96771245811757534</v>
      </c>
      <c r="K51" s="38"/>
      <c r="L51" s="20" t="str">
        <f t="shared" si="2"/>
        <v/>
      </c>
      <c r="N51" s="24"/>
    </row>
    <row r="52" spans="1:14" s="22" customFormat="1" ht="25" customHeight="1" x14ac:dyDescent="0.45">
      <c r="A52" s="20"/>
      <c r="B52" s="37"/>
      <c r="C52" s="127">
        <v>5</v>
      </c>
      <c r="D52" s="128">
        <f t="shared" si="3"/>
        <v>36</v>
      </c>
      <c r="E52" s="128">
        <f t="shared" si="11"/>
        <v>9</v>
      </c>
      <c r="F52" s="102">
        <f t="shared" si="4"/>
        <v>2.5499999999999998</v>
      </c>
      <c r="G52" s="103">
        <f>IF(D52=D51,"",_xlfn.IFNA(VLOOKUP(D52,'인원 입력 기능(사과탐)'!$A$64:$D$116,4,FALSE),0))</f>
        <v>133</v>
      </c>
      <c r="H52" s="104">
        <f t="shared" si="1"/>
        <v>1.3503909026297086E-2</v>
      </c>
      <c r="I52" s="114">
        <f>SUM($G$7:G52)</f>
        <v>9664</v>
      </c>
      <c r="J52" s="106">
        <f t="shared" si="5"/>
        <v>0.9812163671438725</v>
      </c>
      <c r="K52" s="38"/>
      <c r="L52" s="20" t="str">
        <f t="shared" si="2"/>
        <v/>
      </c>
      <c r="N52" s="24"/>
    </row>
    <row r="53" spans="1:14" s="22" customFormat="1" ht="25" customHeight="1" x14ac:dyDescent="0.45">
      <c r="A53" s="20"/>
      <c r="B53" s="37"/>
      <c r="C53" s="100">
        <v>4</v>
      </c>
      <c r="D53" s="115">
        <f t="shared" si="3"/>
        <v>35</v>
      </c>
      <c r="E53" s="115">
        <f t="shared" si="11"/>
        <v>9</v>
      </c>
      <c r="F53" s="116">
        <f t="shared" si="4"/>
        <v>1.33</v>
      </c>
      <c r="G53" s="117">
        <f>IF(D53=D52,"",_xlfn.IFNA(VLOOKUP(D53,'인원 입력 기능(사과탐)'!$A$64:$D$116,4,FALSE),0))</f>
        <v>108</v>
      </c>
      <c r="H53" s="118">
        <f t="shared" si="1"/>
        <v>1.0965580261955529E-2</v>
      </c>
      <c r="I53" s="119">
        <f>SUM($G$7:G53)</f>
        <v>9772</v>
      </c>
      <c r="J53" s="120">
        <f t="shared" si="5"/>
        <v>0.99218194740582799</v>
      </c>
      <c r="K53" s="38"/>
      <c r="L53" s="20" t="str">
        <f t="shared" si="2"/>
        <v/>
      </c>
      <c r="N53" s="24"/>
    </row>
    <row r="54" spans="1:14" s="22" customFormat="1" ht="25" customHeight="1" x14ac:dyDescent="0.45">
      <c r="A54" s="20"/>
      <c r="B54" s="37"/>
      <c r="C54" s="107">
        <v>3</v>
      </c>
      <c r="D54" s="121"/>
      <c r="E54" s="121"/>
      <c r="F54" s="122"/>
      <c r="G54" s="123"/>
      <c r="H54" s="124"/>
      <c r="I54" s="125"/>
      <c r="J54" s="126"/>
      <c r="K54" s="38"/>
      <c r="L54" s="20" t="str">
        <f t="shared" si="2"/>
        <v>경고</v>
      </c>
      <c r="N54" s="24"/>
    </row>
    <row r="55" spans="1:14" s="22" customFormat="1" ht="25" customHeight="1" x14ac:dyDescent="0.45">
      <c r="A55" s="20"/>
      <c r="B55" s="37"/>
      <c r="C55" s="100">
        <v>2</v>
      </c>
      <c r="D55" s="101">
        <f t="shared" si="3"/>
        <v>34</v>
      </c>
      <c r="E55" s="101">
        <f t="shared" si="11"/>
        <v>9</v>
      </c>
      <c r="F55" s="102">
        <f t="shared" si="4"/>
        <v>0.48</v>
      </c>
      <c r="G55" s="103">
        <f>IF(D55=D54,"",_xlfn.IFNA(VLOOKUP(D55,'인원 입력 기능(사과탐)'!$A$64:$D$116,4,FALSE),0))</f>
        <v>59</v>
      </c>
      <c r="H55" s="104">
        <f t="shared" si="1"/>
        <v>5.9904558838460758E-3</v>
      </c>
      <c r="I55" s="114">
        <f>SUM($G$7:G55)</f>
        <v>9831</v>
      </c>
      <c r="J55" s="106">
        <f t="shared" si="5"/>
        <v>0.99817240328967405</v>
      </c>
      <c r="K55" s="38"/>
      <c r="L55" s="20" t="str">
        <f t="shared" si="2"/>
        <v/>
      </c>
      <c r="N55" s="24"/>
    </row>
    <row r="56" spans="1:14" s="22" customFormat="1" ht="25" customHeight="1" x14ac:dyDescent="0.45">
      <c r="A56" s="20"/>
      <c r="B56" s="37"/>
      <c r="C56" s="107">
        <v>1</v>
      </c>
      <c r="D56" s="108" t="s">
        <v>54</v>
      </c>
      <c r="E56" s="108"/>
      <c r="F56" s="109"/>
      <c r="G56" s="170"/>
      <c r="H56" s="168"/>
      <c r="I56" s="134"/>
      <c r="J56" s="113"/>
      <c r="K56" s="38"/>
      <c r="L56" s="20"/>
      <c r="N56" s="24"/>
    </row>
    <row r="57" spans="1:14" s="22" customFormat="1" ht="25" customHeight="1" thickBot="1" x14ac:dyDescent="0.5">
      <c r="A57" s="20"/>
      <c r="B57" s="37"/>
      <c r="C57" s="171">
        <v>0</v>
      </c>
      <c r="D57" s="136">
        <f>ROUND(10*(C57-$H$3)/$H$4+50,0)</f>
        <v>32</v>
      </c>
      <c r="E57" s="172">
        <f t="shared" si="11"/>
        <v>9</v>
      </c>
      <c r="F57" s="137">
        <f>IF(I55=0,ROUND(100*(1-(I54+I57)/2/$J$3),2),ROUND(100*(1-(I55+I57)/2/$J$3),2))</f>
        <v>0.09</v>
      </c>
      <c r="G57" s="173">
        <f>_xlfn.IFNA(VLOOKUP(D57,'인원 입력 기능(사과탐)'!$A$64:$D$116,4,FALSE),0)</f>
        <v>18</v>
      </c>
      <c r="H57" s="139">
        <f>G57/$J$3</f>
        <v>1.8275967103259215E-3</v>
      </c>
      <c r="I57" s="140">
        <f>SUM($G$7:G57)</f>
        <v>9849</v>
      </c>
      <c r="J57" s="174">
        <f>I57/$J$3</f>
        <v>1</v>
      </c>
      <c r="K57" s="38"/>
      <c r="L57" s="20" t="str">
        <f t="shared" si="2"/>
        <v/>
      </c>
      <c r="N57" s="24"/>
    </row>
    <row r="58" spans="1:14" ht="6" customHeight="1" x14ac:dyDescent="0.45">
      <c r="A58" s="5"/>
      <c r="B58" s="34"/>
      <c r="C58" s="35"/>
      <c r="D58" s="35"/>
      <c r="E58" s="35"/>
      <c r="F58" s="35"/>
      <c r="G58" s="35"/>
      <c r="H58" s="35"/>
      <c r="I58" s="35"/>
      <c r="J58" s="35"/>
      <c r="K58" s="36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79">
    <mergeCell ref="I53:I54"/>
    <mergeCell ref="J53:J54"/>
    <mergeCell ref="D53:D54"/>
    <mergeCell ref="E53:E54"/>
    <mergeCell ref="F53:F54"/>
    <mergeCell ref="G53:G54"/>
    <mergeCell ref="H53:H54"/>
    <mergeCell ref="I49:I50"/>
    <mergeCell ref="J49:J50"/>
    <mergeCell ref="D44:D45"/>
    <mergeCell ref="E44:E45"/>
    <mergeCell ref="F44:F45"/>
    <mergeCell ref="G44:G45"/>
    <mergeCell ref="H44:H45"/>
    <mergeCell ref="D49:D50"/>
    <mergeCell ref="E49:E50"/>
    <mergeCell ref="F49:F50"/>
    <mergeCell ref="G49:G50"/>
    <mergeCell ref="H49:H50"/>
    <mergeCell ref="I40:I41"/>
    <mergeCell ref="J40:J41"/>
    <mergeCell ref="D36:D37"/>
    <mergeCell ref="E36:E37"/>
    <mergeCell ref="I44:I45"/>
    <mergeCell ref="J44:J45"/>
    <mergeCell ref="D40:D41"/>
    <mergeCell ref="E40:E41"/>
    <mergeCell ref="F40:F41"/>
    <mergeCell ref="G40:G41"/>
    <mergeCell ref="H40:H41"/>
    <mergeCell ref="I27:I28"/>
    <mergeCell ref="J27:J28"/>
    <mergeCell ref="D31:D32"/>
    <mergeCell ref="E31:E32"/>
    <mergeCell ref="F31:F32"/>
    <mergeCell ref="G31:G32"/>
    <mergeCell ref="H31:H32"/>
    <mergeCell ref="I31:I32"/>
    <mergeCell ref="J31:J32"/>
    <mergeCell ref="D27:D28"/>
    <mergeCell ref="E27:E28"/>
    <mergeCell ref="F27:F28"/>
    <mergeCell ref="G27:G28"/>
    <mergeCell ref="H27:H28"/>
    <mergeCell ref="I18:I19"/>
    <mergeCell ref="J18:J19"/>
    <mergeCell ref="D22:D23"/>
    <mergeCell ref="E22:E23"/>
    <mergeCell ref="F22:F23"/>
    <mergeCell ref="G22:G23"/>
    <mergeCell ref="H22:H23"/>
    <mergeCell ref="I22:I23"/>
    <mergeCell ref="J22:J23"/>
    <mergeCell ref="D18:D19"/>
    <mergeCell ref="E18:E19"/>
    <mergeCell ref="F18:F19"/>
    <mergeCell ref="G18:G19"/>
    <mergeCell ref="H18:H19"/>
    <mergeCell ref="G9:G10"/>
    <mergeCell ref="H9:H10"/>
    <mergeCell ref="I9:I10"/>
    <mergeCell ref="J9:J10"/>
    <mergeCell ref="D13:D14"/>
    <mergeCell ref="E13:E14"/>
    <mergeCell ref="F13:F14"/>
    <mergeCell ref="G13:G14"/>
    <mergeCell ref="H13:H14"/>
    <mergeCell ref="I13:I14"/>
    <mergeCell ref="J13:J14"/>
    <mergeCell ref="D3:F3"/>
    <mergeCell ref="D4:F4"/>
    <mergeCell ref="D9:D10"/>
    <mergeCell ref="E9:E10"/>
    <mergeCell ref="F9:F10"/>
    <mergeCell ref="F36:F37"/>
    <mergeCell ref="G36:G37"/>
    <mergeCell ref="H36:H37"/>
    <mergeCell ref="I36:I37"/>
    <mergeCell ref="J36:J37"/>
  </mergeCells>
  <phoneticPr fontId="1" type="noConversion"/>
  <conditionalFormatting sqref="D7:G9 I7:J9 D11:G13 I11:J13 D15:G18 I15:J18 D20:G22 I20:J22 D24:G27 I24:J27 D29:G31 I29:J31 D42:G44 I42:J44 D46:G49 I46:J49 D51:G53 I51:J53 D55:G57 I55:J57 D33:G36 I33:J36 D38:G40 I38:J40">
    <cfRule type="expression" dxfId="35" priority="4">
      <formula>OR($D7=$Q$7:$Q$14)</formula>
    </cfRule>
  </conditionalFormatting>
  <conditionalFormatting sqref="C7:C57">
    <cfRule type="expression" dxfId="34" priority="3">
      <formula>OR(AND($D7=0,OR($D6=$Q$7:$Q$14)),AND($D8&gt;0,OR($D7=$Q$7:$Q$14)))</formula>
    </cfRule>
  </conditionalFormatting>
  <conditionalFormatting sqref="D7:D9 D11:D13 D15:D18 D20:D22 D24:D27 D29:D31 D42:D44 D46:D49 D51:D53 D55:D57 D33:D36 D38:D40">
    <cfRule type="expression" dxfId="33" priority="2">
      <formula>$D7=$D8</formula>
    </cfRule>
  </conditionalFormatting>
  <conditionalFormatting sqref="H7:H9 H11:H13 H15:H18 H20:H22 H24:H27 H29:H31 H42:H44 H46:H49 H51:H53 H55:H57 H33:H36 H38:H40">
    <cfRule type="expression" dxfId="32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EDF1D-98F8-4FEC-A704-989E46CB810A}">
  <sheetPr codeName="Sheet15"/>
  <dimension ref="A1:Q105"/>
  <sheetViews>
    <sheetView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5" t="s">
        <v>6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37"/>
      <c r="C3" s="84" t="s">
        <v>122</v>
      </c>
      <c r="D3" s="85" t="s">
        <v>67</v>
      </c>
      <c r="E3" s="86"/>
      <c r="F3" s="87"/>
      <c r="G3" s="84" t="s">
        <v>123</v>
      </c>
      <c r="H3" s="88" t="str">
        <f>'통계 및 응시자 수 입력 기능'!D13</f>
        <v>21.18</v>
      </c>
      <c r="I3" s="21" t="s">
        <v>124</v>
      </c>
      <c r="J3" s="89">
        <f>'통계 및 응시자 수 입력 기능'!C13</f>
        <v>17574</v>
      </c>
      <c r="K3" s="38"/>
      <c r="L3" s="20"/>
    </row>
    <row r="4" spans="1:17" s="22" customFormat="1" ht="25" customHeight="1" thickBot="1" x14ac:dyDescent="0.5">
      <c r="A4" s="20"/>
      <c r="B4" s="37"/>
      <c r="C4" s="90" t="s">
        <v>125</v>
      </c>
      <c r="D4" s="91" t="s">
        <v>153</v>
      </c>
      <c r="E4" s="92"/>
      <c r="F4" s="93"/>
      <c r="G4" s="94" t="s">
        <v>127</v>
      </c>
      <c r="H4" s="95" t="str">
        <f>'통계 및 응시자 수 입력 기능'!E13</f>
        <v>12.31</v>
      </c>
      <c r="I4" s="39"/>
      <c r="J4" s="40"/>
      <c r="K4" s="38"/>
      <c r="L4" s="20"/>
    </row>
    <row r="5" spans="1:17" s="22" customFormat="1" ht="25" customHeight="1" thickBot="1" x14ac:dyDescent="0.5">
      <c r="A5" s="20"/>
      <c r="B5" s="37"/>
      <c r="C5" s="32"/>
      <c r="D5" s="32"/>
      <c r="E5" s="32"/>
      <c r="F5" s="32"/>
      <c r="G5" s="32"/>
      <c r="H5" s="33"/>
      <c r="I5" s="33"/>
      <c r="J5" s="33"/>
      <c r="K5" s="38"/>
      <c r="L5" s="20"/>
    </row>
    <row r="6" spans="1:17" s="22" customFormat="1" ht="25" customHeight="1" thickBot="1" x14ac:dyDescent="0.5">
      <c r="A6" s="20"/>
      <c r="B6" s="37"/>
      <c r="C6" s="96" t="s">
        <v>129</v>
      </c>
      <c r="D6" s="97" t="s">
        <v>130</v>
      </c>
      <c r="E6" s="97" t="s">
        <v>131</v>
      </c>
      <c r="F6" s="97" t="s">
        <v>132</v>
      </c>
      <c r="G6" s="97" t="s">
        <v>133</v>
      </c>
      <c r="H6" s="97" t="s">
        <v>134</v>
      </c>
      <c r="I6" s="98" t="s">
        <v>135</v>
      </c>
      <c r="J6" s="99" t="s">
        <v>136</v>
      </c>
      <c r="K6" s="38"/>
      <c r="L6" s="19" t="s">
        <v>62</v>
      </c>
      <c r="M6" s="19"/>
      <c r="N6" s="23"/>
    </row>
    <row r="7" spans="1:17" s="22" customFormat="1" ht="25" customHeight="1" x14ac:dyDescent="0.45">
      <c r="A7" s="20"/>
      <c r="B7" s="37"/>
      <c r="C7" s="100">
        <v>50</v>
      </c>
      <c r="D7" s="101">
        <f>ROUND(10*(C7-$H$3)/$H$4+50,0)</f>
        <v>73</v>
      </c>
      <c r="E7" s="101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102">
        <f>ROUND(100*(1-(0+I7)/2/$J$3),2)</f>
        <v>98.92</v>
      </c>
      <c r="G7" s="103">
        <f>_xlfn.IFNA(VLOOKUP(D7,'인원 입력 기능(사과탐)'!$F$64:$I$116,4,FALSE),0)</f>
        <v>380</v>
      </c>
      <c r="H7" s="104">
        <f>G7/$J$3</f>
        <v>2.162285194036645E-2</v>
      </c>
      <c r="I7" s="105">
        <f>G7</f>
        <v>380</v>
      </c>
      <c r="J7" s="106">
        <f>I7/$J$3</f>
        <v>2.162285194036645E-2</v>
      </c>
      <c r="K7" s="38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기능'!C85</f>
        <v>71</v>
      </c>
    </row>
    <row r="8" spans="1:17" s="22" customFormat="1" ht="25" customHeight="1" x14ac:dyDescent="0.45">
      <c r="A8" s="20"/>
      <c r="B8" s="37"/>
      <c r="C8" s="107">
        <v>49</v>
      </c>
      <c r="D8" s="108" t="s">
        <v>54</v>
      </c>
      <c r="E8" s="108"/>
      <c r="F8" s="109"/>
      <c r="G8" s="110"/>
      <c r="H8" s="168"/>
      <c r="I8" s="112"/>
      <c r="J8" s="113"/>
      <c r="K8" s="38"/>
      <c r="L8" s="20"/>
      <c r="N8" s="24"/>
      <c r="P8" s="24">
        <v>2</v>
      </c>
      <c r="Q8" s="24">
        <f>'표점등급&amp;절평인원 입력 기능'!C86</f>
        <v>65</v>
      </c>
    </row>
    <row r="9" spans="1:17" s="22" customFormat="1" ht="25" customHeight="1" x14ac:dyDescent="0.45">
      <c r="A9" s="20"/>
      <c r="B9" s="37"/>
      <c r="C9" s="100">
        <v>48</v>
      </c>
      <c r="D9" s="101">
        <f>ROUND(10*(C9-$H$3)/$H$4+50,0)</f>
        <v>72</v>
      </c>
      <c r="E9" s="101">
        <f t="shared" si="0"/>
        <v>1</v>
      </c>
      <c r="F9" s="102">
        <f>IF(I8=0,ROUND(100*(1-(I7+I9)/2/$J$3),2),ROUND(100*(1-(I8+I9)/2/$J$3),2))</f>
        <v>97.04</v>
      </c>
      <c r="G9" s="103">
        <f>_xlfn.IFNA(VLOOKUP(D9,'인원 입력 기능(사과탐)'!$F$64:$I$116,4,FALSE),0)</f>
        <v>280</v>
      </c>
      <c r="H9" s="104">
        <f t="shared" ref="H9:H55" si="1">G9/$J$3</f>
        <v>1.5932627745533175E-2</v>
      </c>
      <c r="I9" s="114">
        <f>SUM($G$7:G9)</f>
        <v>660</v>
      </c>
      <c r="J9" s="106">
        <f>I9/$J$3</f>
        <v>3.7555479685899625E-2</v>
      </c>
      <c r="K9" s="38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기능'!C87</f>
        <v>58</v>
      </c>
    </row>
    <row r="10" spans="1:17" s="22" customFormat="1" ht="25" customHeight="1" x14ac:dyDescent="0.45">
      <c r="A10" s="20"/>
      <c r="B10" s="37"/>
      <c r="C10" s="107">
        <v>47</v>
      </c>
      <c r="D10" s="101">
        <f t="shared" ref="D10:D55" si="3">ROUND(10*(C10-$H$3)/$H$4+50,0)</f>
        <v>71</v>
      </c>
      <c r="E10" s="101">
        <f t="shared" si="0"/>
        <v>1</v>
      </c>
      <c r="F10" s="102">
        <f t="shared" ref="F10:F55" si="4">IF(I9=0,ROUND(100*(1-(I8+I10)/2/$J$3),2),ROUND(100*(1-(I9+I10)/2/$J$3),2))</f>
        <v>95.79</v>
      </c>
      <c r="G10" s="103">
        <f>IF(D10=D9,"",_xlfn.IFNA(VLOOKUP(D10,'인원 입력 기능(사과탐)'!$F$64:$I$116,4,FALSE),0))</f>
        <v>160</v>
      </c>
      <c r="H10" s="104">
        <f t="shared" si="1"/>
        <v>9.1043587117332417E-3</v>
      </c>
      <c r="I10" s="114">
        <f>SUM($G$7:G10)</f>
        <v>820</v>
      </c>
      <c r="J10" s="106">
        <f t="shared" ref="J10:J55" si="5">I10/$J$3</f>
        <v>4.6659838397632866E-2</v>
      </c>
      <c r="K10" s="38"/>
      <c r="L10" s="20" t="str">
        <f t="shared" si="2"/>
        <v/>
      </c>
      <c r="N10" s="24"/>
      <c r="P10" s="24">
        <v>4</v>
      </c>
      <c r="Q10" s="24">
        <f>'표점등급&amp;절평인원 입력 기능'!C88</f>
        <v>50</v>
      </c>
    </row>
    <row r="11" spans="1:17" s="22" customFormat="1" ht="25" customHeight="1" x14ac:dyDescent="0.45">
      <c r="A11" s="20"/>
      <c r="B11" s="37"/>
      <c r="C11" s="100">
        <v>46</v>
      </c>
      <c r="D11" s="101">
        <f t="shared" si="3"/>
        <v>70</v>
      </c>
      <c r="E11" s="101">
        <f t="shared" si="0"/>
        <v>2</v>
      </c>
      <c r="F11" s="102">
        <f t="shared" si="4"/>
        <v>94.91</v>
      </c>
      <c r="G11" s="103">
        <f>IF(D11=D10,"",_xlfn.IFNA(VLOOKUP(D11,'인원 입력 기능(사과탐)'!$F$64:$I$116,4,FALSE),0))</f>
        <v>150</v>
      </c>
      <c r="H11" s="104">
        <f t="shared" si="1"/>
        <v>8.5353362922499145E-3</v>
      </c>
      <c r="I11" s="114">
        <f>SUM($G$7:G11)</f>
        <v>970</v>
      </c>
      <c r="J11" s="106">
        <f t="shared" si="5"/>
        <v>5.5195174689882782E-2</v>
      </c>
      <c r="K11" s="38"/>
      <c r="L11" s="20" t="str">
        <f t="shared" si="2"/>
        <v/>
      </c>
      <c r="N11" s="24"/>
      <c r="P11" s="24">
        <v>5</v>
      </c>
      <c r="Q11" s="24">
        <f>'표점등급&amp;절평인원 입력 기능'!C89</f>
        <v>45</v>
      </c>
    </row>
    <row r="12" spans="1:17" s="22" customFormat="1" ht="25" customHeight="1" x14ac:dyDescent="0.45">
      <c r="A12" s="20"/>
      <c r="B12" s="37"/>
      <c r="C12" s="107">
        <v>45</v>
      </c>
      <c r="D12" s="115">
        <f t="shared" si="3"/>
        <v>69</v>
      </c>
      <c r="E12" s="115">
        <f t="shared" si="0"/>
        <v>2</v>
      </c>
      <c r="F12" s="116">
        <f t="shared" si="4"/>
        <v>93.54</v>
      </c>
      <c r="G12" s="117">
        <f>IF(D12=D11,"",_xlfn.IFNA(VLOOKUP(D12,'인원 입력 기능(사과탐)'!$F$64:$I$116,4,FALSE),0))</f>
        <v>332</v>
      </c>
      <c r="H12" s="118">
        <f t="shared" si="1"/>
        <v>1.8891544326846477E-2</v>
      </c>
      <c r="I12" s="119">
        <f>SUM($G$7:G12)</f>
        <v>1302</v>
      </c>
      <c r="J12" s="120">
        <f t="shared" si="5"/>
        <v>7.4086719016729252E-2</v>
      </c>
      <c r="K12" s="38"/>
      <c r="L12" s="20" t="str">
        <f t="shared" si="2"/>
        <v/>
      </c>
      <c r="N12" s="24"/>
      <c r="P12" s="24">
        <v>6</v>
      </c>
      <c r="Q12" s="24">
        <f>'표점등급&amp;절평인원 입력 기능'!C90</f>
        <v>42</v>
      </c>
    </row>
    <row r="13" spans="1:17" s="22" customFormat="1" ht="25" customHeight="1" x14ac:dyDescent="0.45">
      <c r="A13" s="20"/>
      <c r="B13" s="37"/>
      <c r="C13" s="100">
        <v>44</v>
      </c>
      <c r="D13" s="121"/>
      <c r="E13" s="121"/>
      <c r="F13" s="122"/>
      <c r="G13" s="123"/>
      <c r="H13" s="124"/>
      <c r="I13" s="125"/>
      <c r="J13" s="126"/>
      <c r="K13" s="38"/>
      <c r="L13" s="20" t="str">
        <f t="shared" si="2"/>
        <v>경고</v>
      </c>
      <c r="N13" s="24"/>
      <c r="P13" s="24">
        <v>7</v>
      </c>
      <c r="Q13" s="24">
        <f>'표점등급&amp;절평인원 입력 기능'!C91</f>
        <v>39</v>
      </c>
    </row>
    <row r="14" spans="1:17" s="22" customFormat="1" ht="25" customHeight="1" x14ac:dyDescent="0.45">
      <c r="A14" s="20"/>
      <c r="B14" s="37"/>
      <c r="C14" s="107">
        <v>43</v>
      </c>
      <c r="D14" s="101">
        <f t="shared" si="3"/>
        <v>68</v>
      </c>
      <c r="E14" s="101">
        <f t="shared" si="0"/>
        <v>2</v>
      </c>
      <c r="F14" s="102">
        <f t="shared" si="4"/>
        <v>91.95</v>
      </c>
      <c r="G14" s="103">
        <f>IF(D14=D13,"",_xlfn.IFNA(VLOOKUP(D14,'인원 입력 기능(사과탐)'!$F$64:$I$116,4,FALSE),0))</f>
        <v>224</v>
      </c>
      <c r="H14" s="104">
        <f t="shared" si="1"/>
        <v>1.2746102196426539E-2</v>
      </c>
      <c r="I14" s="114">
        <f>SUM($G$7:G14)</f>
        <v>1526</v>
      </c>
      <c r="J14" s="106">
        <f t="shared" si="5"/>
        <v>8.6832821213155803E-2</v>
      </c>
      <c r="K14" s="38"/>
      <c r="L14" s="20" t="str">
        <f t="shared" si="2"/>
        <v/>
      </c>
      <c r="N14" s="24"/>
      <c r="P14" s="24">
        <v>8</v>
      </c>
      <c r="Q14" s="24">
        <f>'표점등급&amp;절평인원 입력 기능'!C92</f>
        <v>38</v>
      </c>
    </row>
    <row r="15" spans="1:17" s="22" customFormat="1" ht="25" customHeight="1" x14ac:dyDescent="0.45">
      <c r="A15" s="20"/>
      <c r="B15" s="37"/>
      <c r="C15" s="100">
        <v>42</v>
      </c>
      <c r="D15" s="101">
        <f t="shared" si="3"/>
        <v>67</v>
      </c>
      <c r="E15" s="101">
        <f t="shared" si="0"/>
        <v>2</v>
      </c>
      <c r="F15" s="102">
        <f t="shared" si="4"/>
        <v>90.86</v>
      </c>
      <c r="G15" s="103">
        <f>IF(D15=D14,"",_xlfn.IFNA(VLOOKUP(D15,'인원 입력 기능(사과탐)'!$F$64:$I$116,4,FALSE),0))</f>
        <v>159</v>
      </c>
      <c r="H15" s="104">
        <f t="shared" si="1"/>
        <v>9.0474564697849095E-3</v>
      </c>
      <c r="I15" s="114">
        <f>SUM($G$7:G15)</f>
        <v>1685</v>
      </c>
      <c r="J15" s="106">
        <f t="shared" si="5"/>
        <v>9.5880277682940704E-2</v>
      </c>
      <c r="K15" s="38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7"/>
      <c r="C16" s="107">
        <v>41</v>
      </c>
      <c r="D16" s="101">
        <f t="shared" si="3"/>
        <v>66</v>
      </c>
      <c r="E16" s="101">
        <f t="shared" si="0"/>
        <v>2</v>
      </c>
      <c r="F16" s="102">
        <f t="shared" si="4"/>
        <v>89.89</v>
      </c>
      <c r="G16" s="103">
        <f>IF(D16=D15,"",_xlfn.IFNA(VLOOKUP(D16,'인원 입력 기능(사과탐)'!$F$64:$I$116,4,FALSE),0))</f>
        <v>183</v>
      </c>
      <c r="H16" s="104">
        <f t="shared" si="1"/>
        <v>1.0413110276544896E-2</v>
      </c>
      <c r="I16" s="114">
        <f>SUM($G$7:G16)</f>
        <v>1868</v>
      </c>
      <c r="J16" s="106">
        <f t="shared" si="5"/>
        <v>0.10629338795948561</v>
      </c>
      <c r="K16" s="38"/>
      <c r="L16" s="20" t="str">
        <f t="shared" si="2"/>
        <v/>
      </c>
      <c r="N16" s="24"/>
    </row>
    <row r="17" spans="1:17" s="22" customFormat="1" ht="25" customHeight="1" x14ac:dyDescent="0.45">
      <c r="A17" s="20"/>
      <c r="B17" s="37"/>
      <c r="C17" s="100">
        <v>40</v>
      </c>
      <c r="D17" s="101">
        <f t="shared" si="3"/>
        <v>65</v>
      </c>
      <c r="E17" s="101">
        <f t="shared" si="0"/>
        <v>2</v>
      </c>
      <c r="F17" s="102">
        <f t="shared" si="4"/>
        <v>88.76</v>
      </c>
      <c r="G17" s="103">
        <f>IF(D17=D16,"",_xlfn.IFNA(VLOOKUP(D17,'인원 입력 기능(사과탐)'!$F$64:$I$116,4,FALSE),0))</f>
        <v>214</v>
      </c>
      <c r="H17" s="104">
        <f t="shared" si="1"/>
        <v>1.2177079776943212E-2</v>
      </c>
      <c r="I17" s="114">
        <f>SUM($G$7:G17)</f>
        <v>2082</v>
      </c>
      <c r="J17" s="106">
        <f t="shared" si="5"/>
        <v>0.11847046773642882</v>
      </c>
      <c r="K17" s="38"/>
      <c r="L17" s="20" t="str">
        <f t="shared" si="2"/>
        <v/>
      </c>
      <c r="N17" s="24"/>
      <c r="Q17" s="24">
        <f>Q7*H3*H4*J3*IFERROR(IF(J57=1, 1, 0), 0)</f>
        <v>325321659.85320002</v>
      </c>
    </row>
    <row r="18" spans="1:17" s="22" customFormat="1" ht="25" customHeight="1" x14ac:dyDescent="0.45">
      <c r="A18" s="20"/>
      <c r="B18" s="37"/>
      <c r="C18" s="107">
        <v>39</v>
      </c>
      <c r="D18" s="115">
        <f t="shared" si="3"/>
        <v>64</v>
      </c>
      <c r="E18" s="115">
        <f t="shared" si="0"/>
        <v>3</v>
      </c>
      <c r="F18" s="116">
        <f t="shared" si="4"/>
        <v>86.99</v>
      </c>
      <c r="G18" s="117">
        <f>IF(D18=D17,"",_xlfn.IFNA(VLOOKUP(D18,'인원 입력 기능(사과탐)'!$F$64:$I$116,4,FALSE),0))</f>
        <v>409</v>
      </c>
      <c r="H18" s="118">
        <f t="shared" si="1"/>
        <v>2.3273016956868099E-2</v>
      </c>
      <c r="I18" s="119">
        <f>SUM($G$7:G18)</f>
        <v>2491</v>
      </c>
      <c r="J18" s="120">
        <f t="shared" si="5"/>
        <v>0.14174348469329692</v>
      </c>
      <c r="K18" s="38"/>
      <c r="L18" s="20" t="str">
        <f t="shared" si="2"/>
        <v/>
      </c>
      <c r="N18" s="24"/>
    </row>
    <row r="19" spans="1:17" s="22" customFormat="1" ht="25" customHeight="1" x14ac:dyDescent="0.45">
      <c r="A19" s="20"/>
      <c r="B19" s="37"/>
      <c r="C19" s="100">
        <v>38</v>
      </c>
      <c r="D19" s="121"/>
      <c r="E19" s="121"/>
      <c r="F19" s="122"/>
      <c r="G19" s="123"/>
      <c r="H19" s="124"/>
      <c r="I19" s="125"/>
      <c r="J19" s="126"/>
      <c r="K19" s="38"/>
      <c r="L19" s="20" t="str">
        <f t="shared" si="2"/>
        <v>경고</v>
      </c>
      <c r="N19" s="24"/>
    </row>
    <row r="20" spans="1:17" s="22" customFormat="1" ht="25" customHeight="1" x14ac:dyDescent="0.45">
      <c r="A20" s="20"/>
      <c r="B20" s="37"/>
      <c r="C20" s="107">
        <v>37</v>
      </c>
      <c r="D20" s="101">
        <f t="shared" si="3"/>
        <v>63</v>
      </c>
      <c r="E20" s="101">
        <f t="shared" si="0"/>
        <v>3</v>
      </c>
      <c r="F20" s="102">
        <f t="shared" si="4"/>
        <v>85.3</v>
      </c>
      <c r="G20" s="103">
        <f>IF(D20=D19,"",_xlfn.IFNA(VLOOKUP(D20,'인원 입력 기능(사과탐)'!$F$64:$I$116,4,FALSE),0))</f>
        <v>185</v>
      </c>
      <c r="H20" s="104">
        <f t="shared" si="1"/>
        <v>1.0526914760441562E-2</v>
      </c>
      <c r="I20" s="114">
        <f>SUM($G$7:G20)</f>
        <v>2676</v>
      </c>
      <c r="J20" s="106">
        <f t="shared" si="5"/>
        <v>0.15227039945373846</v>
      </c>
      <c r="K20" s="38"/>
      <c r="L20" s="20" t="str">
        <f t="shared" si="2"/>
        <v/>
      </c>
      <c r="N20" s="24"/>
    </row>
    <row r="21" spans="1:17" s="22" customFormat="1" ht="25" customHeight="1" x14ac:dyDescent="0.45">
      <c r="A21" s="20"/>
      <c r="B21" s="37"/>
      <c r="C21" s="169">
        <v>36</v>
      </c>
      <c r="D21" s="128">
        <f t="shared" si="3"/>
        <v>62</v>
      </c>
      <c r="E21" s="128">
        <f t="shared" si="0"/>
        <v>3</v>
      </c>
      <c r="F21" s="102">
        <f t="shared" si="4"/>
        <v>84.19</v>
      </c>
      <c r="G21" s="103">
        <f>IF(D21=D20,"",_xlfn.IFNA(VLOOKUP(D21,'인원 입력 기능(사과탐)'!$F$64:$I$116,4,FALSE),0))</f>
        <v>205</v>
      </c>
      <c r="H21" s="104">
        <f t="shared" si="1"/>
        <v>1.1664959599408217E-2</v>
      </c>
      <c r="I21" s="114">
        <f>SUM($G$7:G21)</f>
        <v>2881</v>
      </c>
      <c r="J21" s="106">
        <f t="shared" si="5"/>
        <v>0.16393535905314668</v>
      </c>
      <c r="K21" s="38"/>
      <c r="L21" s="20" t="str">
        <f t="shared" si="2"/>
        <v/>
      </c>
      <c r="N21" s="24"/>
    </row>
    <row r="22" spans="1:17" s="22" customFormat="1" ht="25" customHeight="1" x14ac:dyDescent="0.45">
      <c r="A22" s="20"/>
      <c r="B22" s="37"/>
      <c r="C22" s="127">
        <v>35</v>
      </c>
      <c r="D22" s="128">
        <f t="shared" si="3"/>
        <v>61</v>
      </c>
      <c r="E22" s="128">
        <f t="shared" si="0"/>
        <v>3</v>
      </c>
      <c r="F22" s="102">
        <f t="shared" si="4"/>
        <v>82.96</v>
      </c>
      <c r="G22" s="103">
        <f>IF(D22=D21,"",_xlfn.IFNA(VLOOKUP(D22,'인원 입력 기능(사과탐)'!$F$64:$I$116,4,FALSE),0))</f>
        <v>228</v>
      </c>
      <c r="H22" s="104">
        <f t="shared" si="1"/>
        <v>1.2973711164219871E-2</v>
      </c>
      <c r="I22" s="114">
        <f>SUM($G$7:G22)</f>
        <v>3109</v>
      </c>
      <c r="J22" s="106">
        <f t="shared" si="5"/>
        <v>0.17690907021736657</v>
      </c>
      <c r="K22" s="38"/>
      <c r="L22" s="20" t="str">
        <f t="shared" si="2"/>
        <v/>
      </c>
      <c r="N22" s="24"/>
    </row>
    <row r="23" spans="1:17" s="22" customFormat="1" ht="25" customHeight="1" x14ac:dyDescent="0.45">
      <c r="A23" s="20"/>
      <c r="B23" s="37"/>
      <c r="C23" s="169">
        <v>34</v>
      </c>
      <c r="D23" s="130">
        <f t="shared" si="3"/>
        <v>60</v>
      </c>
      <c r="E23" s="130">
        <f t="shared" si="0"/>
        <v>3</v>
      </c>
      <c r="F23" s="116">
        <f t="shared" si="4"/>
        <v>80.94</v>
      </c>
      <c r="G23" s="117">
        <f>IF(D23=D22,"",_xlfn.IFNA(VLOOKUP(D23,'인원 입력 기능(사과탐)'!$F$64:$I$116,4,FALSE),0))</f>
        <v>480</v>
      </c>
      <c r="H23" s="118">
        <f t="shared" si="1"/>
        <v>2.7313076135199729E-2</v>
      </c>
      <c r="I23" s="119">
        <f>SUM($G$7:G23)</f>
        <v>3589</v>
      </c>
      <c r="J23" s="120">
        <f t="shared" si="5"/>
        <v>0.2042221463525663</v>
      </c>
      <c r="K23" s="38"/>
      <c r="L23" s="20" t="str">
        <f t="shared" si="2"/>
        <v/>
      </c>
      <c r="N23" s="24"/>
    </row>
    <row r="24" spans="1:17" s="22" customFormat="1" ht="25" customHeight="1" x14ac:dyDescent="0.45">
      <c r="A24" s="20"/>
      <c r="B24" s="37"/>
      <c r="C24" s="127">
        <v>33</v>
      </c>
      <c r="D24" s="132"/>
      <c r="E24" s="132"/>
      <c r="F24" s="122"/>
      <c r="G24" s="123"/>
      <c r="H24" s="124"/>
      <c r="I24" s="125"/>
      <c r="J24" s="126"/>
      <c r="K24" s="38"/>
      <c r="L24" s="20" t="str">
        <f t="shared" si="2"/>
        <v>경고</v>
      </c>
      <c r="N24" s="24"/>
    </row>
    <row r="25" spans="1:17" s="22" customFormat="1" ht="25" customHeight="1" x14ac:dyDescent="0.45">
      <c r="A25" s="20"/>
      <c r="B25" s="37"/>
      <c r="C25" s="169">
        <v>32</v>
      </c>
      <c r="D25" s="128">
        <f t="shared" si="3"/>
        <v>59</v>
      </c>
      <c r="E25" s="128">
        <f t="shared" si="0"/>
        <v>3</v>
      </c>
      <c r="F25" s="102">
        <f t="shared" si="4"/>
        <v>78.930000000000007</v>
      </c>
      <c r="G25" s="103">
        <f>IF(D25=D24,"",_xlfn.IFNA(VLOOKUP(D25,'인원 입력 기능(사과탐)'!$F$64:$I$116,4,FALSE),0))</f>
        <v>226</v>
      </c>
      <c r="H25" s="104">
        <f t="shared" si="1"/>
        <v>1.2859906680323205E-2</v>
      </c>
      <c r="I25" s="114">
        <f>SUM($G$7:G25)</f>
        <v>3815</v>
      </c>
      <c r="J25" s="106">
        <f t="shared" si="5"/>
        <v>0.21708205303288949</v>
      </c>
      <c r="K25" s="38"/>
      <c r="L25" s="20" t="str">
        <f t="shared" si="2"/>
        <v/>
      </c>
      <c r="N25" s="24"/>
    </row>
    <row r="26" spans="1:17" s="22" customFormat="1" ht="25" customHeight="1" x14ac:dyDescent="0.45">
      <c r="A26" s="20"/>
      <c r="B26" s="37"/>
      <c r="C26" s="127">
        <v>31</v>
      </c>
      <c r="D26" s="128">
        <f t="shared" si="3"/>
        <v>58</v>
      </c>
      <c r="E26" s="128">
        <f t="shared" si="0"/>
        <v>3</v>
      </c>
      <c r="F26" s="102">
        <f t="shared" si="4"/>
        <v>77.56</v>
      </c>
      <c r="G26" s="103">
        <f>IF(D26=D25,"",_xlfn.IFNA(VLOOKUP(D26,'인원 입력 기능(사과탐)'!$F$64:$I$116,4,FALSE),0))</f>
        <v>258</v>
      </c>
      <c r="H26" s="104">
        <f t="shared" si="1"/>
        <v>1.4680778422669852E-2</v>
      </c>
      <c r="I26" s="114">
        <f>SUM($G$7:G26)</f>
        <v>4073</v>
      </c>
      <c r="J26" s="106">
        <f t="shared" si="5"/>
        <v>0.23176283145555934</v>
      </c>
      <c r="K26" s="38"/>
      <c r="L26" s="20" t="str">
        <f t="shared" si="2"/>
        <v/>
      </c>
      <c r="N26" s="24"/>
    </row>
    <row r="27" spans="1:17" s="22" customFormat="1" ht="25" customHeight="1" x14ac:dyDescent="0.45">
      <c r="A27" s="20"/>
      <c r="B27" s="37"/>
      <c r="C27" s="169">
        <v>30</v>
      </c>
      <c r="D27" s="128">
        <f t="shared" si="3"/>
        <v>57</v>
      </c>
      <c r="E27" s="128">
        <f t="shared" si="0"/>
        <v>4</v>
      </c>
      <c r="F27" s="102">
        <f t="shared" si="4"/>
        <v>76.14</v>
      </c>
      <c r="G27" s="103">
        <f>IF(D27=D26,"",_xlfn.IFNA(VLOOKUP(D27,'인원 입력 기능(사과탐)'!$F$64:$I$116,4,FALSE),0))</f>
        <v>242</v>
      </c>
      <c r="H27" s="104">
        <f t="shared" si="1"/>
        <v>1.3770342551496529E-2</v>
      </c>
      <c r="I27" s="114">
        <f>SUM($G$7:G27)</f>
        <v>4315</v>
      </c>
      <c r="J27" s="106">
        <f t="shared" si="5"/>
        <v>0.24553317400705588</v>
      </c>
      <c r="K27" s="38"/>
      <c r="L27" s="20" t="str">
        <f t="shared" si="2"/>
        <v/>
      </c>
      <c r="N27" s="24"/>
    </row>
    <row r="28" spans="1:17" s="22" customFormat="1" ht="25" customHeight="1" x14ac:dyDescent="0.45">
      <c r="A28" s="20"/>
      <c r="B28" s="37"/>
      <c r="C28" s="127">
        <v>29</v>
      </c>
      <c r="D28" s="130">
        <f t="shared" si="3"/>
        <v>56</v>
      </c>
      <c r="E28" s="130">
        <f t="shared" si="0"/>
        <v>4</v>
      </c>
      <c r="F28" s="116">
        <f t="shared" si="4"/>
        <v>73.849999999999994</v>
      </c>
      <c r="G28" s="117">
        <f>IF(D28=D27,"",_xlfn.IFNA(VLOOKUP(D28,'인원 입력 기능(사과탐)'!$F$64:$I$116,4,FALSE),0))</f>
        <v>562</v>
      </c>
      <c r="H28" s="118">
        <f t="shared" si="1"/>
        <v>3.197905997496301E-2</v>
      </c>
      <c r="I28" s="119">
        <f>SUM($G$7:G28)</f>
        <v>4877</v>
      </c>
      <c r="J28" s="120">
        <f t="shared" si="5"/>
        <v>0.27751223398201891</v>
      </c>
      <c r="K28" s="38"/>
      <c r="L28" s="20" t="str">
        <f t="shared" si="2"/>
        <v/>
      </c>
      <c r="N28" s="24"/>
    </row>
    <row r="29" spans="1:17" s="22" customFormat="1" ht="25" customHeight="1" x14ac:dyDescent="0.45">
      <c r="A29" s="20"/>
      <c r="B29" s="37"/>
      <c r="C29" s="169">
        <v>28</v>
      </c>
      <c r="D29" s="132"/>
      <c r="E29" s="132"/>
      <c r="F29" s="122"/>
      <c r="G29" s="123"/>
      <c r="H29" s="124"/>
      <c r="I29" s="125"/>
      <c r="J29" s="126"/>
      <c r="K29" s="38"/>
      <c r="L29" s="20" t="str">
        <f t="shared" si="2"/>
        <v>경고</v>
      </c>
      <c r="N29" s="24"/>
    </row>
    <row r="30" spans="1:17" s="22" customFormat="1" ht="25" customHeight="1" x14ac:dyDescent="0.45">
      <c r="A30" s="20"/>
      <c r="B30" s="37"/>
      <c r="C30" s="127">
        <v>27</v>
      </c>
      <c r="D30" s="128">
        <f t="shared" si="3"/>
        <v>55</v>
      </c>
      <c r="E30" s="128">
        <f t="shared" si="0"/>
        <v>4</v>
      </c>
      <c r="F30" s="102">
        <f t="shared" si="4"/>
        <v>71.41</v>
      </c>
      <c r="G30" s="103">
        <f>IF(D30=D29,"",_xlfn.IFNA(VLOOKUP(D30,'인원 입력 기능(사과탐)'!$F$64:$I$116,4,FALSE),0))</f>
        <v>294</v>
      </c>
      <c r="H30" s="104">
        <f t="shared" si="1"/>
        <v>1.6729259132809832E-2</v>
      </c>
      <c r="I30" s="114">
        <f>SUM($G$7:G30)</f>
        <v>5171</v>
      </c>
      <c r="J30" s="106">
        <f t="shared" si="5"/>
        <v>0.29424149311482872</v>
      </c>
      <c r="K30" s="38"/>
      <c r="L30" s="20" t="str">
        <f t="shared" si="2"/>
        <v/>
      </c>
      <c r="N30" s="24"/>
    </row>
    <row r="31" spans="1:17" s="22" customFormat="1" ht="25" customHeight="1" x14ac:dyDescent="0.45">
      <c r="A31" s="20"/>
      <c r="B31" s="37"/>
      <c r="C31" s="169">
        <v>26</v>
      </c>
      <c r="D31" s="128">
        <f t="shared" si="3"/>
        <v>54</v>
      </c>
      <c r="E31" s="128">
        <f t="shared" si="0"/>
        <v>4</v>
      </c>
      <c r="F31" s="102">
        <f t="shared" si="4"/>
        <v>69.7</v>
      </c>
      <c r="G31" s="103">
        <f>IF(D31=D30,"",_xlfn.IFNA(VLOOKUP(D31,'인원 입력 기능(사과탐)'!$F$64:$I$116,4,FALSE),0))</f>
        <v>309</v>
      </c>
      <c r="H31" s="104">
        <f t="shared" si="1"/>
        <v>1.7582792762034824E-2</v>
      </c>
      <c r="I31" s="114">
        <f>SUM($G$7:G31)</f>
        <v>5480</v>
      </c>
      <c r="J31" s="106">
        <f t="shared" si="5"/>
        <v>0.31182428587686356</v>
      </c>
      <c r="K31" s="38"/>
      <c r="L31" s="20" t="str">
        <f t="shared" si="2"/>
        <v/>
      </c>
      <c r="N31" s="24"/>
    </row>
    <row r="32" spans="1:17" s="22" customFormat="1" ht="25" customHeight="1" x14ac:dyDescent="0.45">
      <c r="A32" s="20"/>
      <c r="B32" s="37"/>
      <c r="C32" s="127">
        <v>25</v>
      </c>
      <c r="D32" s="128">
        <f t="shared" si="3"/>
        <v>53</v>
      </c>
      <c r="E32" s="128">
        <f t="shared" si="0"/>
        <v>4</v>
      </c>
      <c r="F32" s="102">
        <f t="shared" si="4"/>
        <v>67.78</v>
      </c>
      <c r="G32" s="103">
        <f>IF(D32=D31,"",_xlfn.IFNA(VLOOKUP(D32,'인원 입력 기능(사과탐)'!$F$64:$I$116,4,FALSE),0))</f>
        <v>365</v>
      </c>
      <c r="H32" s="104">
        <f t="shared" si="1"/>
        <v>2.0769318311141458E-2</v>
      </c>
      <c r="I32" s="114">
        <f>SUM($G$7:G32)</f>
        <v>5845</v>
      </c>
      <c r="J32" s="106">
        <f t="shared" si="5"/>
        <v>0.33259360418800499</v>
      </c>
      <c r="K32" s="38"/>
      <c r="L32" s="20" t="str">
        <f t="shared" si="2"/>
        <v/>
      </c>
      <c r="N32" s="24"/>
    </row>
    <row r="33" spans="1:14" s="22" customFormat="1" ht="25" customHeight="1" x14ac:dyDescent="0.45">
      <c r="A33" s="20"/>
      <c r="B33" s="37"/>
      <c r="C33" s="169">
        <v>24</v>
      </c>
      <c r="D33" s="128">
        <f t="shared" si="3"/>
        <v>52</v>
      </c>
      <c r="E33" s="128">
        <f t="shared" si="0"/>
        <v>4</v>
      </c>
      <c r="F33" s="102">
        <f t="shared" si="4"/>
        <v>65.72</v>
      </c>
      <c r="G33" s="103">
        <f>IF(D33=D32,"",_xlfn.IFNA(VLOOKUP(D33,'인원 입력 기능(사과탐)'!$F$64:$I$116,4,FALSE),0))</f>
        <v>357</v>
      </c>
      <c r="H33" s="104">
        <f t="shared" si="1"/>
        <v>2.0314100375554797E-2</v>
      </c>
      <c r="I33" s="114">
        <f>SUM($G$7:G33)</f>
        <v>6202</v>
      </c>
      <c r="J33" s="106">
        <f t="shared" si="5"/>
        <v>0.3529077045635598</v>
      </c>
      <c r="K33" s="38"/>
      <c r="L33" s="20" t="str">
        <f t="shared" si="2"/>
        <v/>
      </c>
      <c r="N33" s="24"/>
    </row>
    <row r="34" spans="1:14" s="22" customFormat="1" ht="25" customHeight="1" x14ac:dyDescent="0.45">
      <c r="A34" s="20"/>
      <c r="B34" s="37"/>
      <c r="C34" s="127">
        <v>23</v>
      </c>
      <c r="D34" s="130">
        <f t="shared" si="3"/>
        <v>51</v>
      </c>
      <c r="E34" s="130">
        <f t="shared" si="0"/>
        <v>4</v>
      </c>
      <c r="F34" s="116">
        <f t="shared" si="4"/>
        <v>62.51</v>
      </c>
      <c r="G34" s="117">
        <f>IF(D34=D33,"",_xlfn.IFNA(VLOOKUP(D34,'인원 입력 기능(사과탐)'!$F$64:$I$116,4,FALSE),0))</f>
        <v>772</v>
      </c>
      <c r="H34" s="118">
        <f t="shared" si="1"/>
        <v>4.3928530784112893E-2</v>
      </c>
      <c r="I34" s="119">
        <f>SUM($G$7:G34)</f>
        <v>6974</v>
      </c>
      <c r="J34" s="120">
        <f t="shared" si="5"/>
        <v>0.39683623534767271</v>
      </c>
      <c r="K34" s="38"/>
      <c r="L34" s="20" t="str">
        <f t="shared" si="2"/>
        <v/>
      </c>
      <c r="N34" s="24"/>
    </row>
    <row r="35" spans="1:14" s="22" customFormat="1" ht="25" customHeight="1" x14ac:dyDescent="0.45">
      <c r="A35" s="20"/>
      <c r="B35" s="37"/>
      <c r="C35" s="169">
        <v>22</v>
      </c>
      <c r="D35" s="132"/>
      <c r="E35" s="132"/>
      <c r="F35" s="122"/>
      <c r="G35" s="123"/>
      <c r="H35" s="124"/>
      <c r="I35" s="125"/>
      <c r="J35" s="126"/>
      <c r="K35" s="38"/>
      <c r="L35" s="20" t="str">
        <f t="shared" si="2"/>
        <v>경고</v>
      </c>
      <c r="N35" s="24"/>
    </row>
    <row r="36" spans="1:14" s="22" customFormat="1" ht="25" customHeight="1" x14ac:dyDescent="0.45">
      <c r="A36" s="20"/>
      <c r="B36" s="37"/>
      <c r="C36" s="127">
        <v>21</v>
      </c>
      <c r="D36" s="128">
        <f t="shared" si="3"/>
        <v>50</v>
      </c>
      <c r="E36" s="128">
        <f t="shared" si="0"/>
        <v>4</v>
      </c>
      <c r="F36" s="102">
        <f t="shared" si="4"/>
        <v>59.08</v>
      </c>
      <c r="G36" s="103">
        <f>IF(D36=D35,"",_xlfn.IFNA(VLOOKUP(D36,'인원 입력 기능(사과탐)'!$F$64:$I$116,4,FALSE),0))</f>
        <v>436</v>
      </c>
      <c r="H36" s="104">
        <f t="shared" si="1"/>
        <v>2.4809377489473084E-2</v>
      </c>
      <c r="I36" s="114">
        <f>SUM($G$7:G36)</f>
        <v>7410</v>
      </c>
      <c r="J36" s="106">
        <f t="shared" si="5"/>
        <v>0.4216456128371458</v>
      </c>
      <c r="K36" s="38"/>
      <c r="L36" s="20" t="str">
        <f t="shared" si="2"/>
        <v/>
      </c>
      <c r="N36" s="24"/>
    </row>
    <row r="37" spans="1:14" s="22" customFormat="1" ht="25" customHeight="1" x14ac:dyDescent="0.45">
      <c r="A37" s="20"/>
      <c r="B37" s="37"/>
      <c r="C37" s="169">
        <v>20</v>
      </c>
      <c r="D37" s="128">
        <f t="shared" si="3"/>
        <v>49</v>
      </c>
      <c r="E37" s="128">
        <f t="shared" si="0"/>
        <v>5</v>
      </c>
      <c r="F37" s="102">
        <f t="shared" si="4"/>
        <v>56.48</v>
      </c>
      <c r="G37" s="103">
        <f>IF(D37=D36,"",_xlfn.IFNA(VLOOKUP(D37,'인원 입력 기능(사과탐)'!$F$64:$I$116,4,FALSE),0))</f>
        <v>476</v>
      </c>
      <c r="H37" s="104">
        <f t="shared" si="1"/>
        <v>2.7085467167406396E-2</v>
      </c>
      <c r="I37" s="114">
        <f>SUM($G$7:G37)</f>
        <v>7886</v>
      </c>
      <c r="J37" s="106">
        <f t="shared" si="5"/>
        <v>0.4487310800045522</v>
      </c>
      <c r="K37" s="38"/>
      <c r="L37" s="20" t="str">
        <f t="shared" si="2"/>
        <v/>
      </c>
      <c r="N37" s="24"/>
    </row>
    <row r="38" spans="1:14" s="22" customFormat="1" ht="25" customHeight="1" x14ac:dyDescent="0.45">
      <c r="A38" s="20"/>
      <c r="B38" s="37"/>
      <c r="C38" s="127">
        <v>19</v>
      </c>
      <c r="D38" s="128">
        <f t="shared" si="3"/>
        <v>48</v>
      </c>
      <c r="E38" s="128">
        <f t="shared" si="0"/>
        <v>5</v>
      </c>
      <c r="F38" s="102">
        <f t="shared" si="4"/>
        <v>53.74</v>
      </c>
      <c r="G38" s="103">
        <f>IF(D38=D37,"",_xlfn.IFNA(VLOOKUP(D38,'인원 입력 기능(사과탐)'!$F$64:$I$116,4,FALSE),0))</f>
        <v>487</v>
      </c>
      <c r="H38" s="104">
        <f t="shared" si="1"/>
        <v>2.7711391828838056E-2</v>
      </c>
      <c r="I38" s="114">
        <f>SUM($G$7:G38)</f>
        <v>8373</v>
      </c>
      <c r="J38" s="106">
        <f t="shared" si="5"/>
        <v>0.47644247183339022</v>
      </c>
      <c r="K38" s="38"/>
      <c r="L38" s="20" t="str">
        <f t="shared" si="2"/>
        <v/>
      </c>
      <c r="N38" s="24"/>
    </row>
    <row r="39" spans="1:14" s="22" customFormat="1" ht="25" customHeight="1" x14ac:dyDescent="0.45">
      <c r="A39" s="20"/>
      <c r="B39" s="37"/>
      <c r="C39" s="169">
        <v>18</v>
      </c>
      <c r="D39" s="130">
        <f t="shared" si="3"/>
        <v>47</v>
      </c>
      <c r="E39" s="130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5</v>
      </c>
      <c r="F39" s="116">
        <f t="shared" si="4"/>
        <v>49.21</v>
      </c>
      <c r="G39" s="117">
        <f>IF(D39=D38,"",_xlfn.IFNA(VLOOKUP(D39,'인원 입력 기능(사과탐)'!$F$64:$I$116,4,FALSE),0))</f>
        <v>1106</v>
      </c>
      <c r="H39" s="118">
        <f t="shared" si="1"/>
        <v>6.2933879594856038E-2</v>
      </c>
      <c r="I39" s="119">
        <f>SUM($G$7:G39)</f>
        <v>9479</v>
      </c>
      <c r="J39" s="120">
        <f t="shared" si="5"/>
        <v>0.53937635142824625</v>
      </c>
      <c r="K39" s="38"/>
      <c r="L39" s="20" t="str">
        <f t="shared" si="2"/>
        <v/>
      </c>
      <c r="N39" s="24"/>
    </row>
    <row r="40" spans="1:14" s="22" customFormat="1" ht="25" customHeight="1" x14ac:dyDescent="0.45">
      <c r="A40" s="20"/>
      <c r="B40" s="37"/>
      <c r="C40" s="127">
        <v>17</v>
      </c>
      <c r="D40" s="132"/>
      <c r="E40" s="132"/>
      <c r="F40" s="122"/>
      <c r="G40" s="123"/>
      <c r="H40" s="124"/>
      <c r="I40" s="125"/>
      <c r="J40" s="126"/>
      <c r="K40" s="38"/>
      <c r="L40" s="20" t="str">
        <f t="shared" si="2"/>
        <v>경고</v>
      </c>
      <c r="N40" s="24"/>
    </row>
    <row r="41" spans="1:14" s="22" customFormat="1" ht="25" customHeight="1" x14ac:dyDescent="0.45">
      <c r="A41" s="20"/>
      <c r="B41" s="37"/>
      <c r="C41" s="169">
        <v>16</v>
      </c>
      <c r="D41" s="128">
        <f t="shared" si="3"/>
        <v>46</v>
      </c>
      <c r="E41" s="128">
        <f t="shared" si="6"/>
        <v>5</v>
      </c>
      <c r="F41" s="102">
        <f t="shared" si="4"/>
        <v>44.44</v>
      </c>
      <c r="G41" s="103">
        <f>IF(D41=D40,"",_xlfn.IFNA(VLOOKUP(D41,'인원 입력 기능(사과탐)'!$F$64:$I$116,4,FALSE),0))</f>
        <v>569</v>
      </c>
      <c r="H41" s="104">
        <f t="shared" si="1"/>
        <v>3.2377375668601341E-2</v>
      </c>
      <c r="I41" s="114">
        <f>SUM($G$7:G41)</f>
        <v>10048</v>
      </c>
      <c r="J41" s="106">
        <f t="shared" si="5"/>
        <v>0.57175372709684757</v>
      </c>
      <c r="K41" s="38"/>
      <c r="L41" s="20" t="str">
        <f t="shared" si="2"/>
        <v/>
      </c>
      <c r="N41" s="24"/>
    </row>
    <row r="42" spans="1:14" s="22" customFormat="1" ht="25" customHeight="1" x14ac:dyDescent="0.45">
      <c r="A42" s="20"/>
      <c r="B42" s="37"/>
      <c r="C42" s="127">
        <v>15</v>
      </c>
      <c r="D42" s="128">
        <f t="shared" si="3"/>
        <v>45</v>
      </c>
      <c r="E42" s="128">
        <f t="shared" si="6"/>
        <v>5</v>
      </c>
      <c r="F42" s="102">
        <f t="shared" si="4"/>
        <v>40.89</v>
      </c>
      <c r="G42" s="103">
        <f>IF(D42=D41,"",_xlfn.IFNA(VLOOKUP(D42,'인원 입력 기능(사과탐)'!$F$64:$I$116,4,FALSE),0))</f>
        <v>679</v>
      </c>
      <c r="H42" s="104">
        <f t="shared" si="1"/>
        <v>3.8636622282917948E-2</v>
      </c>
      <c r="I42" s="114">
        <f>SUM($G$7:G42)</f>
        <v>10727</v>
      </c>
      <c r="J42" s="106">
        <f t="shared" si="5"/>
        <v>0.61039034937976555</v>
      </c>
      <c r="K42" s="38"/>
      <c r="L42" s="20" t="str">
        <f t="shared" si="2"/>
        <v/>
      </c>
      <c r="N42" s="24"/>
    </row>
    <row r="43" spans="1:14" s="22" customFormat="1" ht="25" customHeight="1" x14ac:dyDescent="0.45">
      <c r="A43" s="20"/>
      <c r="B43" s="37"/>
      <c r="C43" s="169">
        <v>14</v>
      </c>
      <c r="D43" s="128">
        <f t="shared" si="3"/>
        <v>44</v>
      </c>
      <c r="E43" s="128">
        <f t="shared" si="6"/>
        <v>6</v>
      </c>
      <c r="F43" s="102">
        <f t="shared" si="4"/>
        <v>36.86</v>
      </c>
      <c r="G43" s="103">
        <f>IF(D43=D42,"",_xlfn.IFNA(VLOOKUP(D43,'인원 입력 기능(사과탐)'!$F$64:$I$116,4,FALSE),0))</f>
        <v>738</v>
      </c>
      <c r="H43" s="104">
        <f t="shared" si="1"/>
        <v>4.1993854557869581E-2</v>
      </c>
      <c r="I43" s="114">
        <f>SUM($G$7:G43)</f>
        <v>11465</v>
      </c>
      <c r="J43" s="106">
        <f t="shared" si="5"/>
        <v>0.65238420393763519</v>
      </c>
      <c r="K43" s="38"/>
      <c r="L43" s="20" t="str">
        <f t="shared" si="2"/>
        <v/>
      </c>
      <c r="N43" s="24"/>
    </row>
    <row r="44" spans="1:14" s="22" customFormat="1" ht="25" customHeight="1" x14ac:dyDescent="0.45">
      <c r="A44" s="20"/>
      <c r="B44" s="37"/>
      <c r="C44" s="127">
        <v>13</v>
      </c>
      <c r="D44" s="130">
        <f t="shared" si="3"/>
        <v>43</v>
      </c>
      <c r="E44" s="130">
        <f t="shared" si="6"/>
        <v>6</v>
      </c>
      <c r="F44" s="116">
        <f t="shared" si="4"/>
        <v>28.94</v>
      </c>
      <c r="G44" s="117">
        <f>IF(D44=D43,"",_xlfn.IFNA(VLOOKUP(D44,'인원 입력 기능(사과탐)'!$F$64:$I$116,4,FALSE),0))</f>
        <v>2045</v>
      </c>
      <c r="H44" s="118">
        <f t="shared" si="1"/>
        <v>0.1163650847843405</v>
      </c>
      <c r="I44" s="119">
        <f>SUM($G$7:G44)</f>
        <v>13510</v>
      </c>
      <c r="J44" s="120">
        <f t="shared" si="5"/>
        <v>0.76874928872197568</v>
      </c>
      <c r="K44" s="38"/>
      <c r="L44" s="20" t="str">
        <f t="shared" si="2"/>
        <v/>
      </c>
      <c r="N44" s="24"/>
    </row>
    <row r="45" spans="1:14" s="22" customFormat="1" ht="25" customHeight="1" x14ac:dyDescent="0.45">
      <c r="A45" s="20"/>
      <c r="B45" s="37"/>
      <c r="C45" s="169">
        <v>12</v>
      </c>
      <c r="D45" s="132"/>
      <c r="E45" s="132"/>
      <c r="F45" s="122"/>
      <c r="G45" s="123"/>
      <c r="H45" s="124"/>
      <c r="I45" s="125"/>
      <c r="J45" s="126"/>
      <c r="K45" s="38"/>
      <c r="L45" s="20" t="str">
        <f t="shared" si="2"/>
        <v>경고</v>
      </c>
      <c r="N45" s="24"/>
    </row>
    <row r="46" spans="1:14" s="22" customFormat="1" ht="25" customHeight="1" x14ac:dyDescent="0.45">
      <c r="A46" s="20"/>
      <c r="B46" s="37"/>
      <c r="C46" s="127">
        <v>11</v>
      </c>
      <c r="D46" s="128">
        <f t="shared" si="3"/>
        <v>42</v>
      </c>
      <c r="E46" s="128">
        <f t="shared" si="6"/>
        <v>6</v>
      </c>
      <c r="F46" s="102">
        <f t="shared" si="4"/>
        <v>21.31</v>
      </c>
      <c r="G46" s="103">
        <f>IF(D46=D45,"",_xlfn.IFNA(VLOOKUP(D46,'인원 입력 기능(사과탐)'!$F$64:$I$116,4,FALSE),0))</f>
        <v>637</v>
      </c>
      <c r="H46" s="104">
        <f t="shared" si="1"/>
        <v>3.6246728121087972E-2</v>
      </c>
      <c r="I46" s="114">
        <f>SUM($G$7:G46)</f>
        <v>14147</v>
      </c>
      <c r="J46" s="106">
        <f t="shared" si="5"/>
        <v>0.80499601684306366</v>
      </c>
      <c r="K46" s="38"/>
      <c r="L46" s="20" t="str">
        <f t="shared" si="2"/>
        <v/>
      </c>
      <c r="N46" s="24"/>
    </row>
    <row r="47" spans="1:14" s="22" customFormat="1" ht="25" customHeight="1" x14ac:dyDescent="0.45">
      <c r="A47" s="20"/>
      <c r="B47" s="37"/>
      <c r="C47" s="169">
        <v>10</v>
      </c>
      <c r="D47" s="128">
        <f t="shared" si="3"/>
        <v>41</v>
      </c>
      <c r="E47" s="128">
        <f t="shared" si="6"/>
        <v>7</v>
      </c>
      <c r="F47" s="102">
        <f t="shared" si="4"/>
        <v>17.77</v>
      </c>
      <c r="G47" s="103">
        <f>IF(D47=D46,"",_xlfn.IFNA(VLOOKUP(D47,'인원 입력 기능(사과탐)'!$F$64:$I$116,4,FALSE),0))</f>
        <v>607</v>
      </c>
      <c r="H47" s="104">
        <f t="shared" si="1"/>
        <v>3.4539660862637989E-2</v>
      </c>
      <c r="I47" s="114">
        <f>SUM($G$7:G47)</f>
        <v>14754</v>
      </c>
      <c r="J47" s="106">
        <f t="shared" si="5"/>
        <v>0.83953567770570159</v>
      </c>
      <c r="K47" s="38"/>
      <c r="L47" s="20" t="str">
        <f t="shared" si="2"/>
        <v/>
      </c>
      <c r="N47" s="24"/>
    </row>
    <row r="48" spans="1:14" s="22" customFormat="1" ht="25" customHeight="1" x14ac:dyDescent="0.45">
      <c r="A48" s="20"/>
      <c r="B48" s="37"/>
      <c r="C48" s="127">
        <v>9</v>
      </c>
      <c r="D48" s="128">
        <f t="shared" si="3"/>
        <v>40</v>
      </c>
      <c r="E48" s="128">
        <f t="shared" si="6"/>
        <v>7</v>
      </c>
      <c r="F48" s="102">
        <f t="shared" si="4"/>
        <v>14.44</v>
      </c>
      <c r="G48" s="103">
        <f>IF(D48=D47,"",_xlfn.IFNA(VLOOKUP(D48,'인원 입력 기능(사과탐)'!$F$64:$I$116,4,FALSE),0))</f>
        <v>565</v>
      </c>
      <c r="H48" s="104">
        <f t="shared" si="1"/>
        <v>3.2149766700808012E-2</v>
      </c>
      <c r="I48" s="114">
        <f>SUM($G$7:G48)</f>
        <v>15319</v>
      </c>
      <c r="J48" s="106">
        <f t="shared" si="5"/>
        <v>0.87168544440650964</v>
      </c>
      <c r="K48" s="38"/>
      <c r="L48" s="20" t="str">
        <f t="shared" si="2"/>
        <v/>
      </c>
      <c r="N48" s="24"/>
    </row>
    <row r="49" spans="1:14" s="22" customFormat="1" ht="25" customHeight="1" x14ac:dyDescent="0.45">
      <c r="A49" s="20"/>
      <c r="B49" s="37"/>
      <c r="C49" s="169">
        <v>8</v>
      </c>
      <c r="D49" s="128">
        <f t="shared" si="3"/>
        <v>39</v>
      </c>
      <c r="E49" s="128">
        <f t="shared" si="6"/>
        <v>7</v>
      </c>
      <c r="F49" s="102">
        <f t="shared" si="4"/>
        <v>10.23</v>
      </c>
      <c r="G49" s="103">
        <f>IF(D49=D48,"",_xlfn.IFNA(VLOOKUP(D49,'인원 입력 기능(사과탐)'!$F$64:$I$116,4,FALSE),0))</f>
        <v>916</v>
      </c>
      <c r="H49" s="104">
        <f t="shared" si="1"/>
        <v>5.2122453624672813E-2</v>
      </c>
      <c r="I49" s="114">
        <f>SUM($G$7:G49)</f>
        <v>16235</v>
      </c>
      <c r="J49" s="106">
        <f t="shared" si="5"/>
        <v>0.92380789803118246</v>
      </c>
      <c r="K49" s="38"/>
      <c r="L49" s="20" t="str">
        <f t="shared" si="2"/>
        <v/>
      </c>
      <c r="N49" s="24"/>
    </row>
    <row r="50" spans="1:14" s="22" customFormat="1" ht="25" customHeight="1" x14ac:dyDescent="0.45">
      <c r="A50" s="20"/>
      <c r="B50" s="37"/>
      <c r="C50" s="127">
        <v>7</v>
      </c>
      <c r="D50" s="130">
        <f t="shared" si="3"/>
        <v>38</v>
      </c>
      <c r="E50" s="130">
        <f t="shared" si="6"/>
        <v>8</v>
      </c>
      <c r="F50" s="116">
        <f t="shared" si="4"/>
        <v>5.64</v>
      </c>
      <c r="G50" s="117">
        <f>IF(D50=D49,"",_xlfn.IFNA(VLOOKUP(D50,'인원 입력 기능(사과탐)'!$F$64:$I$116,4,FALSE),0))</f>
        <v>694</v>
      </c>
      <c r="H50" s="118">
        <f t="shared" si="1"/>
        <v>3.9490155912142937E-2</v>
      </c>
      <c r="I50" s="119">
        <f>SUM($G$7:G50)</f>
        <v>16929</v>
      </c>
      <c r="J50" s="120">
        <f t="shared" si="5"/>
        <v>0.96329805394332535</v>
      </c>
      <c r="K50" s="38"/>
      <c r="L50" s="20" t="str">
        <f t="shared" si="2"/>
        <v/>
      </c>
      <c r="N50" s="24"/>
    </row>
    <row r="51" spans="1:14" s="22" customFormat="1" ht="25" customHeight="1" x14ac:dyDescent="0.45">
      <c r="A51" s="20"/>
      <c r="B51" s="37"/>
      <c r="C51" s="169">
        <v>6</v>
      </c>
      <c r="D51" s="132"/>
      <c r="E51" s="132"/>
      <c r="F51" s="122"/>
      <c r="G51" s="123"/>
      <c r="H51" s="124"/>
      <c r="I51" s="125"/>
      <c r="J51" s="126"/>
      <c r="K51" s="38"/>
      <c r="L51" s="20" t="str">
        <f t="shared" si="2"/>
        <v>경고</v>
      </c>
      <c r="N51" s="24"/>
    </row>
    <row r="52" spans="1:14" s="22" customFormat="1" ht="25" customHeight="1" x14ac:dyDescent="0.45">
      <c r="A52" s="20"/>
      <c r="B52" s="37"/>
      <c r="C52" s="127">
        <v>5</v>
      </c>
      <c r="D52" s="128">
        <f t="shared" si="3"/>
        <v>37</v>
      </c>
      <c r="E52" s="128">
        <f t="shared" si="6"/>
        <v>9</v>
      </c>
      <c r="F52" s="102">
        <f t="shared" si="4"/>
        <v>2.8</v>
      </c>
      <c r="G52" s="103">
        <f>IF(D52=D51,"",_xlfn.IFNA(VLOOKUP(D52,'인원 입력 기능(사과탐)'!$F$64:$I$116,4,FALSE),0))</f>
        <v>307</v>
      </c>
      <c r="H52" s="104">
        <f t="shared" si="1"/>
        <v>1.746898827813816E-2</v>
      </c>
      <c r="I52" s="114">
        <f>SUM($G$7:G52)</f>
        <v>17236</v>
      </c>
      <c r="J52" s="106">
        <f t="shared" si="5"/>
        <v>0.98076704222146349</v>
      </c>
      <c r="K52" s="38"/>
      <c r="L52" s="20" t="str">
        <f t="shared" si="2"/>
        <v/>
      </c>
      <c r="N52" s="24"/>
    </row>
    <row r="53" spans="1:14" s="22" customFormat="1" ht="25" customHeight="1" x14ac:dyDescent="0.45">
      <c r="A53" s="20"/>
      <c r="B53" s="37"/>
      <c r="C53" s="100">
        <v>4</v>
      </c>
      <c r="D53" s="101">
        <f t="shared" si="3"/>
        <v>36</v>
      </c>
      <c r="E53" s="101">
        <f t="shared" si="6"/>
        <v>9</v>
      </c>
      <c r="F53" s="102">
        <f t="shared" si="4"/>
        <v>1.63</v>
      </c>
      <c r="G53" s="103">
        <f>IF(D53=D52,"",_xlfn.IFNA(VLOOKUP(D53,'인원 입력 기능(사과탐)'!$F$64:$I$116,4,FALSE),0))</f>
        <v>104</v>
      </c>
      <c r="H53" s="104">
        <f t="shared" si="1"/>
        <v>5.9178331626266074E-3</v>
      </c>
      <c r="I53" s="114">
        <f>SUM($G$7:G53)</f>
        <v>17340</v>
      </c>
      <c r="J53" s="106">
        <f t="shared" si="5"/>
        <v>0.98668487538409011</v>
      </c>
      <c r="K53" s="38"/>
      <c r="L53" s="20" t="str">
        <f t="shared" si="2"/>
        <v/>
      </c>
      <c r="N53" s="24"/>
    </row>
    <row r="54" spans="1:14" s="22" customFormat="1" ht="25" customHeight="1" x14ac:dyDescent="0.45">
      <c r="A54" s="20"/>
      <c r="B54" s="37"/>
      <c r="C54" s="107">
        <v>3</v>
      </c>
      <c r="D54" s="101">
        <f t="shared" si="3"/>
        <v>35</v>
      </c>
      <c r="E54" s="101">
        <f t="shared" si="6"/>
        <v>9</v>
      </c>
      <c r="F54" s="102">
        <f t="shared" si="4"/>
        <v>1.04</v>
      </c>
      <c r="G54" s="103">
        <f>IF(D54=D53,"",_xlfn.IFNA(VLOOKUP(D54,'인원 입력 기능(사과탐)'!$F$64:$I$116,4,FALSE),0))</f>
        <v>101</v>
      </c>
      <c r="H54" s="104">
        <f t="shared" si="1"/>
        <v>5.7471264367816091E-3</v>
      </c>
      <c r="I54" s="114">
        <f>SUM($G$7:G54)</f>
        <v>17441</v>
      </c>
      <c r="J54" s="106">
        <f t="shared" si="5"/>
        <v>0.99243200182087177</v>
      </c>
      <c r="K54" s="38"/>
      <c r="L54" s="20" t="str">
        <f t="shared" si="2"/>
        <v/>
      </c>
      <c r="N54" s="24"/>
    </row>
    <row r="55" spans="1:14" s="22" customFormat="1" ht="25" customHeight="1" x14ac:dyDescent="0.45">
      <c r="A55" s="20"/>
      <c r="B55" s="37"/>
      <c r="C55" s="100">
        <v>2</v>
      </c>
      <c r="D55" s="101">
        <f t="shared" si="3"/>
        <v>34</v>
      </c>
      <c r="E55" s="101">
        <f t="shared" si="6"/>
        <v>9</v>
      </c>
      <c r="F55" s="102">
        <f t="shared" si="4"/>
        <v>0.51</v>
      </c>
      <c r="G55" s="103">
        <f>IF(D55=D54,"",_xlfn.IFNA(VLOOKUP(D55,'인원 입력 기능(사과탐)'!$F$64:$I$116,4,FALSE),0))</f>
        <v>87</v>
      </c>
      <c r="H55" s="104">
        <f t="shared" si="1"/>
        <v>4.9504950495049506E-3</v>
      </c>
      <c r="I55" s="114">
        <f>SUM($G$7:G55)</f>
        <v>17528</v>
      </c>
      <c r="J55" s="106">
        <f t="shared" si="5"/>
        <v>0.99738249687037672</v>
      </c>
      <c r="K55" s="38"/>
      <c r="L55" s="20" t="str">
        <f t="shared" si="2"/>
        <v/>
      </c>
      <c r="N55" s="24"/>
    </row>
    <row r="56" spans="1:14" s="22" customFormat="1" ht="25" customHeight="1" x14ac:dyDescent="0.45">
      <c r="A56" s="20"/>
      <c r="B56" s="37"/>
      <c r="C56" s="107">
        <v>1</v>
      </c>
      <c r="D56" s="108" t="s">
        <v>54</v>
      </c>
      <c r="E56" s="108"/>
      <c r="F56" s="109"/>
      <c r="G56" s="170"/>
      <c r="H56" s="168"/>
      <c r="I56" s="134"/>
      <c r="J56" s="113"/>
      <c r="K56" s="38"/>
      <c r="L56" s="20"/>
      <c r="N56" s="24"/>
    </row>
    <row r="57" spans="1:14" s="22" customFormat="1" ht="25" customHeight="1" thickBot="1" x14ac:dyDescent="0.5">
      <c r="A57" s="20"/>
      <c r="B57" s="37"/>
      <c r="C57" s="171">
        <v>0</v>
      </c>
      <c r="D57" s="136">
        <f>ROUND(10*(C57-$H$3)/$H$4+50,0)</f>
        <v>33</v>
      </c>
      <c r="E57" s="172">
        <f t="shared" si="6"/>
        <v>9</v>
      </c>
      <c r="F57" s="137">
        <f>IF(I55=0,ROUND(100*(1-(I54+I57)/2/$J$3),2),ROUND(100*(1-(I55+I57)/2/$J$3),2))</f>
        <v>0.13</v>
      </c>
      <c r="G57" s="173">
        <f>_xlfn.IFNA(VLOOKUP(D57,'인원 입력 기능(사과탐)'!$F$64:$I$116,4,FALSE),0)</f>
        <v>46</v>
      </c>
      <c r="H57" s="139">
        <f>G57/$J$3</f>
        <v>2.6175031296233071E-3</v>
      </c>
      <c r="I57" s="140">
        <f>SUM($G$7:G57)</f>
        <v>17574</v>
      </c>
      <c r="J57" s="174">
        <f>I57/$J$3</f>
        <v>1</v>
      </c>
      <c r="K57" s="38"/>
      <c r="L57" s="20" t="str">
        <f t="shared" si="2"/>
        <v/>
      </c>
      <c r="N57" s="24"/>
    </row>
    <row r="58" spans="1:14" ht="6" customHeight="1" x14ac:dyDescent="0.45">
      <c r="A58" s="5"/>
      <c r="B58" s="34"/>
      <c r="C58" s="35"/>
      <c r="D58" s="35"/>
      <c r="E58" s="35"/>
      <c r="F58" s="35"/>
      <c r="G58" s="35"/>
      <c r="H58" s="35"/>
      <c r="I58" s="35"/>
      <c r="J58" s="35"/>
      <c r="K58" s="36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58">
    <mergeCell ref="I44:I45"/>
    <mergeCell ref="J44:J45"/>
    <mergeCell ref="D50:D51"/>
    <mergeCell ref="E50:E51"/>
    <mergeCell ref="F50:F51"/>
    <mergeCell ref="G50:G51"/>
    <mergeCell ref="H50:H51"/>
    <mergeCell ref="I50:I51"/>
    <mergeCell ref="J50:J51"/>
    <mergeCell ref="D44:D45"/>
    <mergeCell ref="E44:E45"/>
    <mergeCell ref="F44:F45"/>
    <mergeCell ref="G44:G45"/>
    <mergeCell ref="H44:H45"/>
    <mergeCell ref="I34:I35"/>
    <mergeCell ref="J34:J35"/>
    <mergeCell ref="D39:D40"/>
    <mergeCell ref="E39:E40"/>
    <mergeCell ref="F39:F40"/>
    <mergeCell ref="G39:G40"/>
    <mergeCell ref="H39:H40"/>
    <mergeCell ref="I39:I40"/>
    <mergeCell ref="J39:J40"/>
    <mergeCell ref="D34:D35"/>
    <mergeCell ref="E34:E35"/>
    <mergeCell ref="F34:F35"/>
    <mergeCell ref="G34:G35"/>
    <mergeCell ref="H34:H35"/>
    <mergeCell ref="I23:I24"/>
    <mergeCell ref="J23:J24"/>
    <mergeCell ref="D28:D29"/>
    <mergeCell ref="E28:E29"/>
    <mergeCell ref="F28:F29"/>
    <mergeCell ref="G28:G29"/>
    <mergeCell ref="H28:H29"/>
    <mergeCell ref="I28:I29"/>
    <mergeCell ref="J28:J29"/>
    <mergeCell ref="D23:D24"/>
    <mergeCell ref="E23:E24"/>
    <mergeCell ref="F23:F24"/>
    <mergeCell ref="G23:G24"/>
    <mergeCell ref="H23:H24"/>
    <mergeCell ref="G12:G13"/>
    <mergeCell ref="H12:H13"/>
    <mergeCell ref="I12:I13"/>
    <mergeCell ref="J12:J13"/>
    <mergeCell ref="D18:D19"/>
    <mergeCell ref="E18:E19"/>
    <mergeCell ref="F18:F19"/>
    <mergeCell ref="G18:G19"/>
    <mergeCell ref="H18:H19"/>
    <mergeCell ref="I18:I19"/>
    <mergeCell ref="J18:J19"/>
    <mergeCell ref="D3:F3"/>
    <mergeCell ref="D4:F4"/>
    <mergeCell ref="D12:D13"/>
    <mergeCell ref="E12:E13"/>
    <mergeCell ref="F12:F13"/>
  </mergeCells>
  <phoneticPr fontId="1" type="noConversion"/>
  <conditionalFormatting sqref="D7:G12 I7:J12 D14:G18 I14:J18 D20:G23 I20:J23 D25:G28 I25:J28 D30:G34 I30:J34 D36:G39 I36:J39 D41:G44 I41:J44 D46:G50 I46:J50 D52:G57 I52:J57">
    <cfRule type="expression" dxfId="31" priority="4">
      <formula>OR($D7=$Q$7:$Q$14)</formula>
    </cfRule>
  </conditionalFormatting>
  <conditionalFormatting sqref="C7:C57">
    <cfRule type="expression" dxfId="30" priority="3">
      <formula>OR(AND($D7=0,OR($D6=$Q$7:$Q$14)),AND($D8&gt;0,OR($D7=$Q$7:$Q$14)))</formula>
    </cfRule>
  </conditionalFormatting>
  <conditionalFormatting sqref="D7:D12 D14:D18 D20:D23 D25:D28 D30:D34 D36:D39 D41:D44 D46:D50 D52:D57">
    <cfRule type="expression" dxfId="29" priority="2">
      <formula>$D7=$D8</formula>
    </cfRule>
  </conditionalFormatting>
  <conditionalFormatting sqref="H7:H12 H14:H18 H20:H23 H25:H28 H30:H34 H36:H39 H41:H44 H46:H50 H52:H57">
    <cfRule type="expression" dxfId="28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40D9E-C049-4545-ADCA-5E5EBB94A528}">
  <sheetPr codeName="Sheet16"/>
  <dimension ref="A1:Q105"/>
  <sheetViews>
    <sheetView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5" t="s">
        <v>6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37"/>
      <c r="C3" s="84" t="s">
        <v>122</v>
      </c>
      <c r="D3" s="85" t="s">
        <v>67</v>
      </c>
      <c r="E3" s="86"/>
      <c r="F3" s="87"/>
      <c r="G3" s="84" t="s">
        <v>123</v>
      </c>
      <c r="H3" s="88" t="str">
        <f>'통계 및 응시자 수 입력 기능'!D14</f>
        <v>23.73</v>
      </c>
      <c r="I3" s="21" t="s">
        <v>124</v>
      </c>
      <c r="J3" s="89">
        <f>'통계 및 응시자 수 입력 기능'!C14</f>
        <v>12377</v>
      </c>
      <c r="K3" s="38"/>
      <c r="L3" s="20"/>
    </row>
    <row r="4" spans="1:17" s="22" customFormat="1" ht="25" customHeight="1" thickBot="1" x14ac:dyDescent="0.5">
      <c r="A4" s="20"/>
      <c r="B4" s="37"/>
      <c r="C4" s="90" t="s">
        <v>125</v>
      </c>
      <c r="D4" s="91" t="s">
        <v>152</v>
      </c>
      <c r="E4" s="92"/>
      <c r="F4" s="93"/>
      <c r="G4" s="94" t="s">
        <v>127</v>
      </c>
      <c r="H4" s="95" t="str">
        <f>'통계 및 응시자 수 입력 기능'!E14</f>
        <v>12.38</v>
      </c>
      <c r="I4" s="39"/>
      <c r="J4" s="40"/>
      <c r="K4" s="38"/>
      <c r="L4" s="20"/>
    </row>
    <row r="5" spans="1:17" s="22" customFormat="1" ht="25" customHeight="1" thickBot="1" x14ac:dyDescent="0.5">
      <c r="A5" s="20"/>
      <c r="B5" s="37"/>
      <c r="C5" s="32"/>
      <c r="D5" s="32"/>
      <c r="E5" s="32"/>
      <c r="F5" s="32"/>
      <c r="G5" s="32"/>
      <c r="H5" s="33"/>
      <c r="I5" s="33"/>
      <c r="J5" s="33"/>
      <c r="K5" s="38"/>
      <c r="L5" s="20"/>
    </row>
    <row r="6" spans="1:17" s="22" customFormat="1" ht="25" customHeight="1" thickBot="1" x14ac:dyDescent="0.5">
      <c r="A6" s="20"/>
      <c r="B6" s="37"/>
      <c r="C6" s="96" t="s">
        <v>129</v>
      </c>
      <c r="D6" s="97" t="s">
        <v>130</v>
      </c>
      <c r="E6" s="97" t="s">
        <v>131</v>
      </c>
      <c r="F6" s="97" t="s">
        <v>132</v>
      </c>
      <c r="G6" s="97" t="s">
        <v>133</v>
      </c>
      <c r="H6" s="97" t="s">
        <v>134</v>
      </c>
      <c r="I6" s="98" t="s">
        <v>135</v>
      </c>
      <c r="J6" s="99" t="s">
        <v>136</v>
      </c>
      <c r="K6" s="38"/>
      <c r="L6" s="19" t="s">
        <v>62</v>
      </c>
      <c r="M6" s="19"/>
      <c r="N6" s="23"/>
    </row>
    <row r="7" spans="1:17" s="22" customFormat="1" ht="25" customHeight="1" x14ac:dyDescent="0.45">
      <c r="A7" s="20"/>
      <c r="B7" s="37"/>
      <c r="C7" s="100">
        <v>50</v>
      </c>
      <c r="D7" s="101">
        <f>ROUND(10*(C7-$H$3)/$H$4+50,0)</f>
        <v>71</v>
      </c>
      <c r="E7" s="101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102">
        <f>ROUND(100*(1-(0+I7)/2/$J$3),2)</f>
        <v>99.18</v>
      </c>
      <c r="G7" s="103">
        <f>_xlfn.IFNA(VLOOKUP(D7,'인원 입력 기능(사과탐)'!$K$64:$N$116,4,FALSE),0)</f>
        <v>204</v>
      </c>
      <c r="H7" s="104">
        <f>G7/$J$3</f>
        <v>1.6482184697422637E-2</v>
      </c>
      <c r="I7" s="105">
        <f>G7</f>
        <v>204</v>
      </c>
      <c r="J7" s="106">
        <f>I7/$J$3</f>
        <v>1.6482184697422637E-2</v>
      </c>
      <c r="K7" s="38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기능'!C94</f>
        <v>69</v>
      </c>
    </row>
    <row r="8" spans="1:17" s="22" customFormat="1" ht="25" customHeight="1" x14ac:dyDescent="0.45">
      <c r="A8" s="20"/>
      <c r="B8" s="37"/>
      <c r="C8" s="107">
        <v>49</v>
      </c>
      <c r="D8" s="108" t="s">
        <v>54</v>
      </c>
      <c r="E8" s="108"/>
      <c r="F8" s="109"/>
      <c r="G8" s="110"/>
      <c r="H8" s="168"/>
      <c r="I8" s="112"/>
      <c r="J8" s="113"/>
      <c r="K8" s="38"/>
      <c r="L8" s="20"/>
      <c r="N8" s="24"/>
      <c r="P8" s="24">
        <v>2</v>
      </c>
      <c r="Q8" s="24">
        <f>'표점등급&amp;절평인원 입력 기능'!C95</f>
        <v>64</v>
      </c>
    </row>
    <row r="9" spans="1:17" s="22" customFormat="1" ht="25" customHeight="1" x14ac:dyDescent="0.45">
      <c r="A9" s="20"/>
      <c r="B9" s="37"/>
      <c r="C9" s="100">
        <v>48</v>
      </c>
      <c r="D9" s="101">
        <f>ROUND(10*(C9-$H$3)/$H$4+50,0)</f>
        <v>70</v>
      </c>
      <c r="E9" s="101">
        <f t="shared" si="0"/>
        <v>1</v>
      </c>
      <c r="F9" s="102">
        <f>IF(I8=0,ROUND(100*(1-(I7+I9)/2/$J$3),2),ROUND(100*(1-(I8+I9)/2/$J$3),2))</f>
        <v>97.8</v>
      </c>
      <c r="G9" s="103">
        <f>_xlfn.IFNA(VLOOKUP(D9,'인원 입력 기능(사과탐)'!$K$64:$N$116,4,FALSE),0)</f>
        <v>136</v>
      </c>
      <c r="H9" s="104">
        <f t="shared" ref="H9:H55" si="1">G9/$J$3</f>
        <v>1.0988123131615093E-2</v>
      </c>
      <c r="I9" s="114">
        <f>SUM($G$7:G9)</f>
        <v>340</v>
      </c>
      <c r="J9" s="106">
        <f>I9/$J$3</f>
        <v>2.747030782903773E-2</v>
      </c>
      <c r="K9" s="38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기능'!C96</f>
        <v>58</v>
      </c>
    </row>
    <row r="10" spans="1:17" s="22" customFormat="1" ht="25" customHeight="1" x14ac:dyDescent="0.45">
      <c r="A10" s="20"/>
      <c r="B10" s="37"/>
      <c r="C10" s="107">
        <v>47</v>
      </c>
      <c r="D10" s="101">
        <f t="shared" ref="D10:D55" si="3">ROUND(10*(C10-$H$3)/$H$4+50,0)</f>
        <v>69</v>
      </c>
      <c r="E10" s="101">
        <f t="shared" si="0"/>
        <v>1</v>
      </c>
      <c r="F10" s="102">
        <f t="shared" ref="F10:F55" si="4">IF(I9=0,ROUND(100*(1-(I8+I10)/2/$J$3),2),ROUND(100*(1-(I9+I10)/2/$J$3),2))</f>
        <v>96.61</v>
      </c>
      <c r="G10" s="103">
        <f>IF(D10=D9,"",_xlfn.IFNA(VLOOKUP(D10,'인원 입력 기능(사과탐)'!$K$64:$N$116,4,FALSE),0))</f>
        <v>158</v>
      </c>
      <c r="H10" s="104">
        <f t="shared" si="1"/>
        <v>1.2765613638199887E-2</v>
      </c>
      <c r="I10" s="114">
        <f>SUM($G$7:G10)</f>
        <v>498</v>
      </c>
      <c r="J10" s="106">
        <f t="shared" ref="J10:J55" si="5">I10/$J$3</f>
        <v>4.0235921467237618E-2</v>
      </c>
      <c r="K10" s="38"/>
      <c r="L10" s="20" t="str">
        <f t="shared" si="2"/>
        <v/>
      </c>
      <c r="N10" s="24"/>
      <c r="P10" s="24">
        <v>4</v>
      </c>
      <c r="Q10" s="24">
        <f>'표점등급&amp;절평인원 입력 기능'!C97</f>
        <v>53</v>
      </c>
    </row>
    <row r="11" spans="1:17" s="22" customFormat="1" ht="25" customHeight="1" x14ac:dyDescent="0.45">
      <c r="A11" s="20"/>
      <c r="B11" s="37"/>
      <c r="C11" s="100">
        <v>46</v>
      </c>
      <c r="D11" s="101">
        <f t="shared" si="3"/>
        <v>68</v>
      </c>
      <c r="E11" s="101">
        <f t="shared" si="0"/>
        <v>2</v>
      </c>
      <c r="F11" s="102">
        <f t="shared" si="4"/>
        <v>95.68</v>
      </c>
      <c r="G11" s="103">
        <f>IF(D11=D10,"",_xlfn.IFNA(VLOOKUP(D11,'인원 입력 기능(사과탐)'!$K$64:$N$116,4,FALSE),0))</f>
        <v>74</v>
      </c>
      <c r="H11" s="104">
        <f t="shared" si="1"/>
        <v>5.9788317039670353E-3</v>
      </c>
      <c r="I11" s="114">
        <f>SUM($G$7:G11)</f>
        <v>572</v>
      </c>
      <c r="J11" s="106">
        <f t="shared" si="5"/>
        <v>4.6214753171204652E-2</v>
      </c>
      <c r="K11" s="38"/>
      <c r="L11" s="20" t="str">
        <f t="shared" si="2"/>
        <v/>
      </c>
      <c r="N11" s="24"/>
      <c r="P11" s="24">
        <v>5</v>
      </c>
      <c r="Q11" s="24">
        <f>'표점등급&amp;절평인원 입력 기능'!C98</f>
        <v>46</v>
      </c>
    </row>
    <row r="12" spans="1:17" s="22" customFormat="1" ht="25" customHeight="1" x14ac:dyDescent="0.45">
      <c r="A12" s="20"/>
      <c r="B12" s="37"/>
      <c r="C12" s="107">
        <v>45</v>
      </c>
      <c r="D12" s="101">
        <f t="shared" si="3"/>
        <v>67</v>
      </c>
      <c r="E12" s="101">
        <f t="shared" si="0"/>
        <v>2</v>
      </c>
      <c r="F12" s="102">
        <f t="shared" si="4"/>
        <v>94.59</v>
      </c>
      <c r="G12" s="103">
        <f>IF(D12=D11,"",_xlfn.IFNA(VLOOKUP(D12,'인원 입력 기능(사과탐)'!$K$64:$N$116,4,FALSE),0))</f>
        <v>196</v>
      </c>
      <c r="H12" s="104">
        <f t="shared" si="1"/>
        <v>1.5835824513209987E-2</v>
      </c>
      <c r="I12" s="114">
        <f>SUM($G$7:G12)</f>
        <v>768</v>
      </c>
      <c r="J12" s="106">
        <f t="shared" si="5"/>
        <v>6.2050577684414639E-2</v>
      </c>
      <c r="K12" s="38"/>
      <c r="L12" s="20" t="str">
        <f t="shared" si="2"/>
        <v/>
      </c>
      <c r="N12" s="24"/>
      <c r="P12" s="24">
        <v>6</v>
      </c>
      <c r="Q12" s="24">
        <f>'표점등급&amp;절평인원 입력 기능'!C99</f>
        <v>41</v>
      </c>
    </row>
    <row r="13" spans="1:17" s="22" customFormat="1" ht="25" customHeight="1" x14ac:dyDescent="0.45">
      <c r="A13" s="20"/>
      <c r="B13" s="37"/>
      <c r="C13" s="100">
        <v>44</v>
      </c>
      <c r="D13" s="115">
        <f t="shared" si="3"/>
        <v>66</v>
      </c>
      <c r="E13" s="115">
        <f t="shared" si="0"/>
        <v>2</v>
      </c>
      <c r="F13" s="116">
        <f t="shared" si="4"/>
        <v>92.68</v>
      </c>
      <c r="G13" s="117">
        <f>IF(D13=D12,"",_xlfn.IFNA(VLOOKUP(D13,'인원 입력 기능(사과탐)'!$K$64:$N$116,4,FALSE),0))</f>
        <v>277</v>
      </c>
      <c r="H13" s="118">
        <f t="shared" si="1"/>
        <v>2.2380221378363093E-2</v>
      </c>
      <c r="I13" s="119">
        <f>SUM($G$7:G13)</f>
        <v>1045</v>
      </c>
      <c r="J13" s="120">
        <f t="shared" si="5"/>
        <v>8.4430799062777728E-2</v>
      </c>
      <c r="K13" s="38"/>
      <c r="L13" s="20" t="str">
        <f t="shared" si="2"/>
        <v/>
      </c>
      <c r="N13" s="24"/>
      <c r="P13" s="24">
        <v>7</v>
      </c>
      <c r="Q13" s="24">
        <f>'표점등급&amp;절평인원 입력 기능'!C100</f>
        <v>37</v>
      </c>
    </row>
    <row r="14" spans="1:17" s="22" customFormat="1" ht="25" customHeight="1" x14ac:dyDescent="0.45">
      <c r="A14" s="20"/>
      <c r="B14" s="37"/>
      <c r="C14" s="107">
        <v>43</v>
      </c>
      <c r="D14" s="121"/>
      <c r="E14" s="121"/>
      <c r="F14" s="122"/>
      <c r="G14" s="123"/>
      <c r="H14" s="124"/>
      <c r="I14" s="125"/>
      <c r="J14" s="126"/>
      <c r="K14" s="38"/>
      <c r="L14" s="20" t="str">
        <f t="shared" si="2"/>
        <v>경고</v>
      </c>
      <c r="N14" s="24"/>
      <c r="P14" s="24">
        <v>8</v>
      </c>
      <c r="Q14" s="24">
        <f>'표점등급&amp;절평인원 입력 기능'!C101</f>
        <v>35</v>
      </c>
    </row>
    <row r="15" spans="1:17" s="22" customFormat="1" ht="25" customHeight="1" x14ac:dyDescent="0.45">
      <c r="A15" s="20"/>
      <c r="B15" s="37"/>
      <c r="C15" s="100">
        <v>42</v>
      </c>
      <c r="D15" s="101">
        <f t="shared" si="3"/>
        <v>65</v>
      </c>
      <c r="E15" s="101">
        <f t="shared" si="0"/>
        <v>2</v>
      </c>
      <c r="F15" s="102">
        <f t="shared" si="4"/>
        <v>90.81</v>
      </c>
      <c r="G15" s="103">
        <f>IF(D15=D14,"",_xlfn.IFNA(VLOOKUP(D15,'인원 입력 기능(사과탐)'!$K$64:$N$116,4,FALSE),0))</f>
        <v>186</v>
      </c>
      <c r="H15" s="104">
        <f t="shared" si="1"/>
        <v>1.502787428294417E-2</v>
      </c>
      <c r="I15" s="114">
        <f>SUM($G$7:G15)</f>
        <v>1231</v>
      </c>
      <c r="J15" s="106">
        <f t="shared" si="5"/>
        <v>9.9458673345721907E-2</v>
      </c>
      <c r="K15" s="38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7"/>
      <c r="C16" s="107">
        <v>41</v>
      </c>
      <c r="D16" s="101">
        <f t="shared" si="3"/>
        <v>64</v>
      </c>
      <c r="E16" s="101">
        <f t="shared" si="0"/>
        <v>2</v>
      </c>
      <c r="F16" s="102">
        <f t="shared" si="4"/>
        <v>89.31</v>
      </c>
      <c r="G16" s="103">
        <f>IF(D16=D15,"",_xlfn.IFNA(VLOOKUP(D16,'인원 입력 기능(사과탐)'!$K$64:$N$116,4,FALSE),0))</f>
        <v>184</v>
      </c>
      <c r="H16" s="104">
        <f t="shared" si="1"/>
        <v>1.4866284236891007E-2</v>
      </c>
      <c r="I16" s="114">
        <f>SUM($G$7:G16)</f>
        <v>1415</v>
      </c>
      <c r="J16" s="106">
        <f t="shared" si="5"/>
        <v>0.11432495758261291</v>
      </c>
      <c r="K16" s="38"/>
      <c r="L16" s="20" t="str">
        <f t="shared" si="2"/>
        <v/>
      </c>
      <c r="N16" s="24"/>
    </row>
    <row r="17" spans="1:17" s="22" customFormat="1" ht="25" customHeight="1" x14ac:dyDescent="0.45">
      <c r="A17" s="20"/>
      <c r="B17" s="37"/>
      <c r="C17" s="100">
        <v>40</v>
      </c>
      <c r="D17" s="101">
        <f t="shared" si="3"/>
        <v>63</v>
      </c>
      <c r="E17" s="101">
        <f t="shared" si="0"/>
        <v>3</v>
      </c>
      <c r="F17" s="102">
        <f t="shared" si="4"/>
        <v>87.73</v>
      </c>
      <c r="G17" s="103">
        <f>IF(D17=D16,"",_xlfn.IFNA(VLOOKUP(D17,'인원 입력 기능(사과탐)'!$K$64:$N$116,4,FALSE),0))</f>
        <v>208</v>
      </c>
      <c r="H17" s="104">
        <f t="shared" si="1"/>
        <v>1.6805364789528966E-2</v>
      </c>
      <c r="I17" s="114">
        <f>SUM($G$7:G17)</f>
        <v>1623</v>
      </c>
      <c r="J17" s="106">
        <f t="shared" si="5"/>
        <v>0.13113032237214187</v>
      </c>
      <c r="K17" s="38"/>
      <c r="L17" s="20" t="str">
        <f t="shared" si="2"/>
        <v/>
      </c>
      <c r="N17" s="24"/>
      <c r="Q17" s="24">
        <f>Q7*H3*H4*J3*IFERROR(IF(J57=1, 1, 0), 0)</f>
        <v>250889718.70620003</v>
      </c>
    </row>
    <row r="18" spans="1:17" s="22" customFormat="1" ht="25" customHeight="1" x14ac:dyDescent="0.45">
      <c r="A18" s="20"/>
      <c r="B18" s="37"/>
      <c r="C18" s="107">
        <v>39</v>
      </c>
      <c r="D18" s="115">
        <f t="shared" si="3"/>
        <v>62</v>
      </c>
      <c r="E18" s="115">
        <f t="shared" si="0"/>
        <v>3</v>
      </c>
      <c r="F18" s="116">
        <f t="shared" si="4"/>
        <v>85.21</v>
      </c>
      <c r="G18" s="117">
        <f>IF(D18=D17,"",_xlfn.IFNA(VLOOKUP(D18,'인원 입력 기능(사과탐)'!$K$64:$N$116,4,FALSE),0))</f>
        <v>415</v>
      </c>
      <c r="H18" s="118">
        <f t="shared" si="1"/>
        <v>3.352993455603135E-2</v>
      </c>
      <c r="I18" s="119">
        <f>SUM($G$7:G18)</f>
        <v>2038</v>
      </c>
      <c r="J18" s="120">
        <f t="shared" si="5"/>
        <v>0.16466025692817324</v>
      </c>
      <c r="K18" s="38"/>
      <c r="L18" s="20" t="str">
        <f t="shared" si="2"/>
        <v/>
      </c>
      <c r="N18" s="24"/>
    </row>
    <row r="19" spans="1:17" s="22" customFormat="1" ht="25" customHeight="1" x14ac:dyDescent="0.45">
      <c r="A19" s="20"/>
      <c r="B19" s="37"/>
      <c r="C19" s="100">
        <v>38</v>
      </c>
      <c r="D19" s="121"/>
      <c r="E19" s="121"/>
      <c r="F19" s="122"/>
      <c r="G19" s="123"/>
      <c r="H19" s="124"/>
      <c r="I19" s="125"/>
      <c r="J19" s="126"/>
      <c r="K19" s="38"/>
      <c r="L19" s="20" t="str">
        <f t="shared" si="2"/>
        <v>경고</v>
      </c>
      <c r="N19" s="24"/>
    </row>
    <row r="20" spans="1:17" s="22" customFormat="1" ht="25" customHeight="1" x14ac:dyDescent="0.45">
      <c r="A20" s="20"/>
      <c r="B20" s="37"/>
      <c r="C20" s="107">
        <v>37</v>
      </c>
      <c r="D20" s="101">
        <f t="shared" si="3"/>
        <v>61</v>
      </c>
      <c r="E20" s="101">
        <f t="shared" si="0"/>
        <v>3</v>
      </c>
      <c r="F20" s="102">
        <f t="shared" si="4"/>
        <v>82.66</v>
      </c>
      <c r="G20" s="103">
        <f>IF(D20=D19,"",_xlfn.IFNA(VLOOKUP(D20,'인원 입력 기능(사과탐)'!$K$64:$N$116,4,FALSE),0))</f>
        <v>216</v>
      </c>
      <c r="H20" s="104">
        <f t="shared" si="1"/>
        <v>1.7451724973741617E-2</v>
      </c>
      <c r="I20" s="114">
        <f>SUM($G$7:G20)</f>
        <v>2254</v>
      </c>
      <c r="J20" s="106">
        <f t="shared" si="5"/>
        <v>0.18211198190191485</v>
      </c>
      <c r="K20" s="38"/>
      <c r="L20" s="20" t="str">
        <f t="shared" si="2"/>
        <v/>
      </c>
      <c r="N20" s="24"/>
    </row>
    <row r="21" spans="1:17" s="22" customFormat="1" ht="25" customHeight="1" x14ac:dyDescent="0.45">
      <c r="A21" s="20"/>
      <c r="B21" s="37"/>
      <c r="C21" s="169">
        <v>36</v>
      </c>
      <c r="D21" s="128">
        <f t="shared" si="3"/>
        <v>60</v>
      </c>
      <c r="E21" s="128">
        <f t="shared" si="0"/>
        <v>3</v>
      </c>
      <c r="F21" s="102">
        <f t="shared" si="4"/>
        <v>80.989999999999995</v>
      </c>
      <c r="G21" s="103">
        <f>IF(D21=D20,"",_xlfn.IFNA(VLOOKUP(D21,'인원 입력 기능(사과탐)'!$K$64:$N$116,4,FALSE),0))</f>
        <v>197</v>
      </c>
      <c r="H21" s="104">
        <f t="shared" si="1"/>
        <v>1.5916619536236569E-2</v>
      </c>
      <c r="I21" s="114">
        <f>SUM($G$7:G21)</f>
        <v>2451</v>
      </c>
      <c r="J21" s="106">
        <f t="shared" si="5"/>
        <v>0.1980286014381514</v>
      </c>
      <c r="K21" s="38"/>
      <c r="L21" s="20" t="str">
        <f t="shared" si="2"/>
        <v/>
      </c>
      <c r="N21" s="24"/>
    </row>
    <row r="22" spans="1:17" s="22" customFormat="1" ht="25" customHeight="1" x14ac:dyDescent="0.45">
      <c r="A22" s="20"/>
      <c r="B22" s="37"/>
      <c r="C22" s="127">
        <v>35</v>
      </c>
      <c r="D22" s="128">
        <f t="shared" si="3"/>
        <v>59</v>
      </c>
      <c r="E22" s="128">
        <f t="shared" si="0"/>
        <v>3</v>
      </c>
      <c r="F22" s="102">
        <f t="shared" si="4"/>
        <v>79.239999999999995</v>
      </c>
      <c r="G22" s="103">
        <f>IF(D22=D21,"",_xlfn.IFNA(VLOOKUP(D22,'인원 입력 기능(사과탐)'!$K$64:$N$116,4,FALSE),0))</f>
        <v>236</v>
      </c>
      <c r="H22" s="104">
        <f t="shared" si="1"/>
        <v>1.9067625434273247E-2</v>
      </c>
      <c r="I22" s="114">
        <f>SUM($G$7:G22)</f>
        <v>2687</v>
      </c>
      <c r="J22" s="106">
        <f t="shared" si="5"/>
        <v>0.21709622687242466</v>
      </c>
      <c r="K22" s="38"/>
      <c r="L22" s="20" t="str">
        <f t="shared" si="2"/>
        <v/>
      </c>
      <c r="N22" s="24"/>
    </row>
    <row r="23" spans="1:17" s="22" customFormat="1" ht="25" customHeight="1" x14ac:dyDescent="0.45">
      <c r="A23" s="20"/>
      <c r="B23" s="37"/>
      <c r="C23" s="169">
        <v>34</v>
      </c>
      <c r="D23" s="128">
        <f t="shared" si="3"/>
        <v>58</v>
      </c>
      <c r="E23" s="128">
        <f t="shared" si="0"/>
        <v>3</v>
      </c>
      <c r="F23" s="102">
        <f t="shared" si="4"/>
        <v>77.239999999999995</v>
      </c>
      <c r="G23" s="103">
        <f>IF(D23=D22,"",_xlfn.IFNA(VLOOKUP(D23,'인원 입력 기능(사과탐)'!$K$64:$N$116,4,FALSE),0))</f>
        <v>259</v>
      </c>
      <c r="H23" s="104">
        <f t="shared" si="1"/>
        <v>2.0925910963884624E-2</v>
      </c>
      <c r="I23" s="114">
        <f>SUM($G$7:G23)</f>
        <v>2946</v>
      </c>
      <c r="J23" s="106">
        <f t="shared" si="5"/>
        <v>0.23802213783630929</v>
      </c>
      <c r="K23" s="38"/>
      <c r="L23" s="20" t="str">
        <f t="shared" si="2"/>
        <v/>
      </c>
      <c r="N23" s="24"/>
    </row>
    <row r="24" spans="1:17" s="22" customFormat="1" ht="25" customHeight="1" x14ac:dyDescent="0.45">
      <c r="A24" s="20"/>
      <c r="B24" s="37"/>
      <c r="C24" s="127">
        <v>33</v>
      </c>
      <c r="D24" s="130">
        <f t="shared" si="3"/>
        <v>57</v>
      </c>
      <c r="E24" s="130">
        <f t="shared" si="0"/>
        <v>4</v>
      </c>
      <c r="F24" s="116">
        <f t="shared" si="4"/>
        <v>73.89</v>
      </c>
      <c r="G24" s="117">
        <f>IF(D24=D23,"",_xlfn.IFNA(VLOOKUP(D24,'인원 입력 기능(사과탐)'!$K$64:$N$116,4,FALSE),0))</f>
        <v>572</v>
      </c>
      <c r="H24" s="118">
        <f t="shared" si="1"/>
        <v>4.6214753171204652E-2</v>
      </c>
      <c r="I24" s="119">
        <f>SUM($G$7:G24)</f>
        <v>3518</v>
      </c>
      <c r="J24" s="120">
        <f t="shared" si="5"/>
        <v>0.28423689100751393</v>
      </c>
      <c r="K24" s="38"/>
      <c r="L24" s="20" t="str">
        <f t="shared" si="2"/>
        <v/>
      </c>
      <c r="N24" s="24"/>
    </row>
    <row r="25" spans="1:17" s="22" customFormat="1" ht="25" customHeight="1" x14ac:dyDescent="0.45">
      <c r="A25" s="20"/>
      <c r="B25" s="37"/>
      <c r="C25" s="169">
        <v>32</v>
      </c>
      <c r="D25" s="132"/>
      <c r="E25" s="132"/>
      <c r="F25" s="122"/>
      <c r="G25" s="123"/>
      <c r="H25" s="124"/>
      <c r="I25" s="125"/>
      <c r="J25" s="126"/>
      <c r="K25" s="38"/>
      <c r="L25" s="20" t="str">
        <f t="shared" si="2"/>
        <v>경고</v>
      </c>
      <c r="N25" s="24"/>
    </row>
    <row r="26" spans="1:17" s="22" customFormat="1" ht="25" customHeight="1" x14ac:dyDescent="0.45">
      <c r="A26" s="20"/>
      <c r="B26" s="37"/>
      <c r="C26" s="127">
        <v>31</v>
      </c>
      <c r="D26" s="128">
        <f t="shared" si="3"/>
        <v>56</v>
      </c>
      <c r="E26" s="128">
        <f t="shared" si="0"/>
        <v>4</v>
      </c>
      <c r="F26" s="102">
        <f t="shared" si="4"/>
        <v>70.38</v>
      </c>
      <c r="G26" s="103">
        <f>IF(D26=D25,"",_xlfn.IFNA(VLOOKUP(D26,'인원 입력 기능(사과탐)'!$K$64:$N$116,4,FALSE),0))</f>
        <v>297</v>
      </c>
      <c r="H26" s="104">
        <f t="shared" si="1"/>
        <v>2.3996121838894723E-2</v>
      </c>
      <c r="I26" s="114">
        <f>SUM($G$7:G26)</f>
        <v>3815</v>
      </c>
      <c r="J26" s="106">
        <f t="shared" si="5"/>
        <v>0.30823301284640864</v>
      </c>
      <c r="K26" s="38"/>
      <c r="L26" s="20" t="str">
        <f t="shared" si="2"/>
        <v/>
      </c>
      <c r="N26" s="24"/>
    </row>
    <row r="27" spans="1:17" s="22" customFormat="1" ht="25" customHeight="1" x14ac:dyDescent="0.45">
      <c r="A27" s="20"/>
      <c r="B27" s="37"/>
      <c r="C27" s="169">
        <v>30</v>
      </c>
      <c r="D27" s="128">
        <f t="shared" si="3"/>
        <v>55</v>
      </c>
      <c r="E27" s="128">
        <f t="shared" si="0"/>
        <v>4</v>
      </c>
      <c r="F27" s="102">
        <f t="shared" si="4"/>
        <v>67.989999999999995</v>
      </c>
      <c r="G27" s="103">
        <f>IF(D27=D26,"",_xlfn.IFNA(VLOOKUP(D27,'인원 입력 기능(사과탐)'!$K$64:$N$116,4,FALSE),0))</f>
        <v>294</v>
      </c>
      <c r="H27" s="104">
        <f t="shared" si="1"/>
        <v>2.375373676981498E-2</v>
      </c>
      <c r="I27" s="114">
        <f>SUM($G$7:G27)</f>
        <v>4109</v>
      </c>
      <c r="J27" s="106">
        <f t="shared" si="5"/>
        <v>0.33198674961622365</v>
      </c>
      <c r="K27" s="38"/>
      <c r="L27" s="20" t="str">
        <f t="shared" si="2"/>
        <v/>
      </c>
      <c r="N27" s="24"/>
    </row>
    <row r="28" spans="1:17" s="22" customFormat="1" ht="25" customHeight="1" x14ac:dyDescent="0.45">
      <c r="A28" s="20"/>
      <c r="B28" s="37"/>
      <c r="C28" s="127">
        <v>29</v>
      </c>
      <c r="D28" s="128">
        <f t="shared" si="3"/>
        <v>54</v>
      </c>
      <c r="E28" s="128">
        <f t="shared" si="0"/>
        <v>4</v>
      </c>
      <c r="F28" s="102">
        <f t="shared" si="4"/>
        <v>65.53</v>
      </c>
      <c r="G28" s="103">
        <f>IF(D28=D27,"",_xlfn.IFNA(VLOOKUP(D28,'인원 입력 기능(사과탐)'!$K$64:$N$116,4,FALSE),0))</f>
        <v>314</v>
      </c>
      <c r="H28" s="104">
        <f t="shared" si="1"/>
        <v>2.536963723034661E-2</v>
      </c>
      <c r="I28" s="114">
        <f>SUM($G$7:G28)</f>
        <v>4423</v>
      </c>
      <c r="J28" s="106">
        <f t="shared" si="5"/>
        <v>0.35735638684657023</v>
      </c>
      <c r="K28" s="38"/>
      <c r="L28" s="20" t="str">
        <f t="shared" si="2"/>
        <v/>
      </c>
      <c r="N28" s="24"/>
    </row>
    <row r="29" spans="1:17" s="22" customFormat="1" ht="25" customHeight="1" x14ac:dyDescent="0.45">
      <c r="A29" s="20"/>
      <c r="B29" s="37"/>
      <c r="C29" s="169">
        <v>28</v>
      </c>
      <c r="D29" s="130">
        <f t="shared" si="3"/>
        <v>53</v>
      </c>
      <c r="E29" s="130">
        <f t="shared" si="0"/>
        <v>4</v>
      </c>
      <c r="F29" s="116">
        <f t="shared" si="4"/>
        <v>61.62</v>
      </c>
      <c r="G29" s="117">
        <f>IF(D29=D28,"",_xlfn.IFNA(VLOOKUP(D29,'인원 입력 기능(사과탐)'!$K$64:$N$116,4,FALSE),0))</f>
        <v>654</v>
      </c>
      <c r="H29" s="118">
        <f t="shared" si="1"/>
        <v>5.2839945059384344E-2</v>
      </c>
      <c r="I29" s="119">
        <f>SUM($G$7:G29)</f>
        <v>5077</v>
      </c>
      <c r="J29" s="120">
        <f t="shared" si="5"/>
        <v>0.41019633190595461</v>
      </c>
      <c r="K29" s="38"/>
      <c r="L29" s="20" t="str">
        <f t="shared" si="2"/>
        <v/>
      </c>
      <c r="N29" s="24"/>
    </row>
    <row r="30" spans="1:17" s="22" customFormat="1" ht="25" customHeight="1" x14ac:dyDescent="0.45">
      <c r="A30" s="20"/>
      <c r="B30" s="37"/>
      <c r="C30" s="127">
        <v>27</v>
      </c>
      <c r="D30" s="132"/>
      <c r="E30" s="132"/>
      <c r="F30" s="122"/>
      <c r="G30" s="123"/>
      <c r="H30" s="124"/>
      <c r="I30" s="125"/>
      <c r="J30" s="126"/>
      <c r="K30" s="38"/>
      <c r="L30" s="20" t="str">
        <f t="shared" si="2"/>
        <v>경고</v>
      </c>
      <c r="N30" s="24"/>
    </row>
    <row r="31" spans="1:17" s="22" customFormat="1" ht="25" customHeight="1" x14ac:dyDescent="0.45">
      <c r="A31" s="20"/>
      <c r="B31" s="37"/>
      <c r="C31" s="169">
        <v>26</v>
      </c>
      <c r="D31" s="128">
        <f t="shared" si="3"/>
        <v>52</v>
      </c>
      <c r="E31" s="128">
        <f t="shared" si="0"/>
        <v>5</v>
      </c>
      <c r="F31" s="102">
        <f t="shared" si="4"/>
        <v>57.7</v>
      </c>
      <c r="G31" s="103">
        <f>IF(D31=D30,"",_xlfn.IFNA(VLOOKUP(D31,'인원 입력 기능(사과탐)'!$K$64:$N$116,4,FALSE),0))</f>
        <v>318</v>
      </c>
      <c r="H31" s="104">
        <f t="shared" si="1"/>
        <v>2.5692817322452936E-2</v>
      </c>
      <c r="I31" s="114">
        <f>SUM($G$7:G31)</f>
        <v>5395</v>
      </c>
      <c r="J31" s="106">
        <f t="shared" si="5"/>
        <v>0.43588914922840755</v>
      </c>
      <c r="K31" s="38"/>
      <c r="L31" s="20" t="str">
        <f t="shared" si="2"/>
        <v/>
      </c>
      <c r="N31" s="24"/>
    </row>
    <row r="32" spans="1:17" s="22" customFormat="1" ht="25" customHeight="1" x14ac:dyDescent="0.45">
      <c r="A32" s="20"/>
      <c r="B32" s="37"/>
      <c r="C32" s="127">
        <v>25</v>
      </c>
      <c r="D32" s="128">
        <f t="shared" si="3"/>
        <v>51</v>
      </c>
      <c r="E32" s="128">
        <f t="shared" si="0"/>
        <v>5</v>
      </c>
      <c r="F32" s="102">
        <f t="shared" si="4"/>
        <v>55.1</v>
      </c>
      <c r="G32" s="103">
        <f>IF(D32=D31,"",_xlfn.IFNA(VLOOKUP(D32,'인원 입력 기능(사과탐)'!$K$64:$N$116,4,FALSE),0))</f>
        <v>324</v>
      </c>
      <c r="H32" s="104">
        <f t="shared" si="1"/>
        <v>2.6177587460612425E-2</v>
      </c>
      <c r="I32" s="114">
        <f>SUM($G$7:G32)</f>
        <v>5719</v>
      </c>
      <c r="J32" s="106">
        <f t="shared" si="5"/>
        <v>0.46206673668901993</v>
      </c>
      <c r="K32" s="38"/>
      <c r="L32" s="20" t="str">
        <f t="shared" si="2"/>
        <v/>
      </c>
      <c r="N32" s="24"/>
    </row>
    <row r="33" spans="1:14" s="22" customFormat="1" ht="25" customHeight="1" x14ac:dyDescent="0.45">
      <c r="A33" s="20"/>
      <c r="B33" s="37"/>
      <c r="C33" s="169">
        <v>24</v>
      </c>
      <c r="D33" s="128">
        <f t="shared" si="3"/>
        <v>50</v>
      </c>
      <c r="E33" s="128">
        <f t="shared" si="0"/>
        <v>5</v>
      </c>
      <c r="F33" s="102">
        <f t="shared" si="4"/>
        <v>52.47</v>
      </c>
      <c r="G33" s="103">
        <f>IF(D33=D32,"",_xlfn.IFNA(VLOOKUP(D33,'인원 입력 기능(사과탐)'!$K$64:$N$116,4,FALSE),0))</f>
        <v>328</v>
      </c>
      <c r="H33" s="104">
        <f t="shared" si="1"/>
        <v>2.6500767552718754E-2</v>
      </c>
      <c r="I33" s="114">
        <f>SUM($G$7:G33)</f>
        <v>6047</v>
      </c>
      <c r="J33" s="106">
        <f t="shared" si="5"/>
        <v>0.48856750424173873</v>
      </c>
      <c r="K33" s="38"/>
      <c r="L33" s="20" t="str">
        <f t="shared" si="2"/>
        <v/>
      </c>
      <c r="N33" s="24"/>
    </row>
    <row r="34" spans="1:14" s="22" customFormat="1" ht="25" customHeight="1" x14ac:dyDescent="0.45">
      <c r="A34" s="20"/>
      <c r="B34" s="37"/>
      <c r="C34" s="127">
        <v>23</v>
      </c>
      <c r="D34" s="130">
        <f t="shared" si="3"/>
        <v>49</v>
      </c>
      <c r="E34" s="130">
        <f t="shared" si="0"/>
        <v>5</v>
      </c>
      <c r="F34" s="116">
        <f t="shared" si="4"/>
        <v>48.61</v>
      </c>
      <c r="G34" s="117">
        <f>IF(D34=D33,"",_xlfn.IFNA(VLOOKUP(D34,'인원 입력 기능(사과탐)'!$K$64:$N$116,4,FALSE),0))</f>
        <v>626</v>
      </c>
      <c r="H34" s="118">
        <f t="shared" si="1"/>
        <v>5.0577684414640056E-2</v>
      </c>
      <c r="I34" s="119">
        <f>SUM($G$7:G34)</f>
        <v>6673</v>
      </c>
      <c r="J34" s="120">
        <f t="shared" si="5"/>
        <v>0.53914518865637873</v>
      </c>
      <c r="K34" s="38"/>
      <c r="L34" s="20" t="str">
        <f t="shared" si="2"/>
        <v/>
      </c>
      <c r="N34" s="24"/>
    </row>
    <row r="35" spans="1:14" s="22" customFormat="1" ht="25" customHeight="1" x14ac:dyDescent="0.45">
      <c r="A35" s="20"/>
      <c r="B35" s="37"/>
      <c r="C35" s="169">
        <v>22</v>
      </c>
      <c r="D35" s="132"/>
      <c r="E35" s="132"/>
      <c r="F35" s="122"/>
      <c r="G35" s="123"/>
      <c r="H35" s="124"/>
      <c r="I35" s="125"/>
      <c r="J35" s="126"/>
      <c r="K35" s="38"/>
      <c r="L35" s="20" t="str">
        <f t="shared" si="2"/>
        <v>경고</v>
      </c>
      <c r="N35" s="24"/>
    </row>
    <row r="36" spans="1:14" s="22" customFormat="1" ht="25" customHeight="1" x14ac:dyDescent="0.45">
      <c r="A36" s="20"/>
      <c r="B36" s="37"/>
      <c r="C36" s="127">
        <v>21</v>
      </c>
      <c r="D36" s="128">
        <f t="shared" si="3"/>
        <v>48</v>
      </c>
      <c r="E36" s="128">
        <f t="shared" si="0"/>
        <v>5</v>
      </c>
      <c r="F36" s="102">
        <f t="shared" si="4"/>
        <v>44.62</v>
      </c>
      <c r="G36" s="103">
        <f>IF(D36=D35,"",_xlfn.IFNA(VLOOKUP(D36,'인원 입력 기능(사과탐)'!$K$64:$N$116,4,FALSE),0))</f>
        <v>364</v>
      </c>
      <c r="H36" s="104">
        <f t="shared" si="1"/>
        <v>2.9409388381675689E-2</v>
      </c>
      <c r="I36" s="114">
        <f>SUM($G$7:G36)</f>
        <v>7037</v>
      </c>
      <c r="J36" s="106">
        <f t="shared" si="5"/>
        <v>0.56855457703805445</v>
      </c>
      <c r="K36" s="38"/>
      <c r="L36" s="20" t="str">
        <f t="shared" si="2"/>
        <v/>
      </c>
      <c r="N36" s="24"/>
    </row>
    <row r="37" spans="1:14" s="22" customFormat="1" ht="25" customHeight="1" x14ac:dyDescent="0.45">
      <c r="A37" s="20"/>
      <c r="B37" s="37"/>
      <c r="C37" s="169">
        <v>20</v>
      </c>
      <c r="D37" s="128">
        <f t="shared" si="3"/>
        <v>47</v>
      </c>
      <c r="E37" s="128">
        <f t="shared" si="0"/>
        <v>5</v>
      </c>
      <c r="F37" s="102">
        <f t="shared" si="4"/>
        <v>41.98</v>
      </c>
      <c r="G37" s="103">
        <f>IF(D37=D36,"",_xlfn.IFNA(VLOOKUP(D37,'인원 입력 기능(사과탐)'!$K$64:$N$116,4,FALSE),0))</f>
        <v>289</v>
      </c>
      <c r="H37" s="104">
        <f t="shared" si="1"/>
        <v>2.3349761654682073E-2</v>
      </c>
      <c r="I37" s="114">
        <f>SUM($G$7:G37)</f>
        <v>7326</v>
      </c>
      <c r="J37" s="106">
        <f t="shared" si="5"/>
        <v>0.59190433869273651</v>
      </c>
      <c r="K37" s="38"/>
      <c r="L37" s="20" t="str">
        <f t="shared" si="2"/>
        <v/>
      </c>
      <c r="N37" s="24"/>
    </row>
    <row r="38" spans="1:14" s="22" customFormat="1" ht="25" customHeight="1" x14ac:dyDescent="0.45">
      <c r="A38" s="20"/>
      <c r="B38" s="37"/>
      <c r="C38" s="127">
        <v>19</v>
      </c>
      <c r="D38" s="128">
        <f t="shared" si="3"/>
        <v>46</v>
      </c>
      <c r="E38" s="128">
        <f t="shared" si="0"/>
        <v>5</v>
      </c>
      <c r="F38" s="102">
        <f t="shared" si="4"/>
        <v>39.57</v>
      </c>
      <c r="G38" s="103">
        <f>IF(D38=D37,"",_xlfn.IFNA(VLOOKUP(D38,'인원 입력 기능(사과탐)'!$K$64:$N$116,4,FALSE),0))</f>
        <v>306</v>
      </c>
      <c r="H38" s="104">
        <f t="shared" si="1"/>
        <v>2.472327704613396E-2</v>
      </c>
      <c r="I38" s="114">
        <f>SUM($G$7:G38)</f>
        <v>7632</v>
      </c>
      <c r="J38" s="106">
        <f t="shared" si="5"/>
        <v>0.61662761573887048</v>
      </c>
      <c r="K38" s="38"/>
      <c r="L38" s="20" t="str">
        <f t="shared" si="2"/>
        <v/>
      </c>
      <c r="N38" s="24"/>
    </row>
    <row r="39" spans="1:14" s="22" customFormat="1" ht="25" customHeight="1" x14ac:dyDescent="0.45">
      <c r="A39" s="20"/>
      <c r="B39" s="37"/>
      <c r="C39" s="169">
        <v>18</v>
      </c>
      <c r="D39" s="130">
        <f t="shared" si="3"/>
        <v>45</v>
      </c>
      <c r="E39" s="130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6</v>
      </c>
      <c r="F39" s="116">
        <f t="shared" si="4"/>
        <v>35.33</v>
      </c>
      <c r="G39" s="117">
        <f>IF(D39=D38,"",_xlfn.IFNA(VLOOKUP(D39,'인원 입력 기능(사과탐)'!$K$64:$N$116,4,FALSE),0))</f>
        <v>745</v>
      </c>
      <c r="H39" s="118">
        <f t="shared" si="1"/>
        <v>6.0192292154803262E-2</v>
      </c>
      <c r="I39" s="119">
        <f>SUM($G$7:G39)</f>
        <v>8377</v>
      </c>
      <c r="J39" s="120">
        <f t="shared" si="5"/>
        <v>0.67681990789367374</v>
      </c>
      <c r="K39" s="38"/>
      <c r="L39" s="20" t="str">
        <f t="shared" si="2"/>
        <v/>
      </c>
      <c r="N39" s="24"/>
    </row>
    <row r="40" spans="1:14" s="22" customFormat="1" ht="25" customHeight="1" x14ac:dyDescent="0.45">
      <c r="A40" s="20"/>
      <c r="B40" s="37"/>
      <c r="C40" s="127">
        <v>17</v>
      </c>
      <c r="D40" s="132"/>
      <c r="E40" s="132"/>
      <c r="F40" s="122"/>
      <c r="G40" s="123"/>
      <c r="H40" s="124"/>
      <c r="I40" s="125"/>
      <c r="J40" s="126"/>
      <c r="K40" s="38"/>
      <c r="L40" s="20" t="str">
        <f t="shared" si="2"/>
        <v>경고</v>
      </c>
      <c r="N40" s="24"/>
    </row>
    <row r="41" spans="1:14" s="22" customFormat="1" ht="25" customHeight="1" x14ac:dyDescent="0.45">
      <c r="A41" s="20"/>
      <c r="B41" s="37"/>
      <c r="C41" s="169">
        <v>16</v>
      </c>
      <c r="D41" s="128">
        <f t="shared" si="3"/>
        <v>44</v>
      </c>
      <c r="E41" s="128">
        <f t="shared" si="6"/>
        <v>6</v>
      </c>
      <c r="F41" s="102">
        <f t="shared" si="4"/>
        <v>31.14</v>
      </c>
      <c r="G41" s="103">
        <f>IF(D41=D40,"",_xlfn.IFNA(VLOOKUP(D41,'인원 입력 기능(사과탐)'!$K$64:$N$116,4,FALSE),0))</f>
        <v>292</v>
      </c>
      <c r="H41" s="104">
        <f t="shared" si="1"/>
        <v>2.3592146723761816E-2</v>
      </c>
      <c r="I41" s="114">
        <f>SUM($G$7:G41)</f>
        <v>8669</v>
      </c>
      <c r="J41" s="106">
        <f t="shared" si="5"/>
        <v>0.70041205461743561</v>
      </c>
      <c r="K41" s="38"/>
      <c r="L41" s="20" t="str">
        <f t="shared" si="2"/>
        <v/>
      </c>
      <c r="N41" s="24"/>
    </row>
    <row r="42" spans="1:14" s="22" customFormat="1" ht="25" customHeight="1" x14ac:dyDescent="0.45">
      <c r="A42" s="20"/>
      <c r="B42" s="37"/>
      <c r="C42" s="127">
        <v>15</v>
      </c>
      <c r="D42" s="128">
        <f t="shared" si="3"/>
        <v>43</v>
      </c>
      <c r="E42" s="128">
        <f t="shared" si="6"/>
        <v>6</v>
      </c>
      <c r="F42" s="102">
        <f t="shared" si="4"/>
        <v>28.77</v>
      </c>
      <c r="G42" s="103">
        <f>IF(D42=D41,"",_xlfn.IFNA(VLOOKUP(D42,'인원 입력 기능(사과탐)'!$K$64:$N$116,4,FALSE),0))</f>
        <v>294</v>
      </c>
      <c r="H42" s="104">
        <f t="shared" si="1"/>
        <v>2.375373676981498E-2</v>
      </c>
      <c r="I42" s="114">
        <f>SUM($G$7:G42)</f>
        <v>8963</v>
      </c>
      <c r="J42" s="106">
        <f t="shared" si="5"/>
        <v>0.72416579138725057</v>
      </c>
      <c r="K42" s="38"/>
      <c r="L42" s="20" t="str">
        <f t="shared" si="2"/>
        <v/>
      </c>
      <c r="N42" s="24"/>
    </row>
    <row r="43" spans="1:14" s="22" customFormat="1" ht="25" customHeight="1" x14ac:dyDescent="0.45">
      <c r="A43" s="20"/>
      <c r="B43" s="37"/>
      <c r="C43" s="169">
        <v>14</v>
      </c>
      <c r="D43" s="128">
        <f t="shared" si="3"/>
        <v>42</v>
      </c>
      <c r="E43" s="128">
        <f t="shared" si="6"/>
        <v>6</v>
      </c>
      <c r="F43" s="102">
        <f t="shared" si="4"/>
        <v>26.66</v>
      </c>
      <c r="G43" s="103">
        <f>IF(D43=D42,"",_xlfn.IFNA(VLOOKUP(D43,'인원 입력 기능(사과탐)'!$K$64:$N$116,4,FALSE),0))</f>
        <v>228</v>
      </c>
      <c r="H43" s="104">
        <f t="shared" si="1"/>
        <v>1.8421265250060596E-2</v>
      </c>
      <c r="I43" s="114">
        <f>SUM($G$7:G43)</f>
        <v>9191</v>
      </c>
      <c r="J43" s="106">
        <f t="shared" si="5"/>
        <v>0.74258705663731117</v>
      </c>
      <c r="K43" s="38"/>
      <c r="L43" s="20" t="str">
        <f t="shared" si="2"/>
        <v/>
      </c>
      <c r="N43" s="24"/>
    </row>
    <row r="44" spans="1:14" s="22" customFormat="1" ht="25" customHeight="1" x14ac:dyDescent="0.45">
      <c r="A44" s="20"/>
      <c r="B44" s="37"/>
      <c r="C44" s="127">
        <v>13</v>
      </c>
      <c r="D44" s="130">
        <f t="shared" si="3"/>
        <v>41</v>
      </c>
      <c r="E44" s="130">
        <f t="shared" si="6"/>
        <v>6</v>
      </c>
      <c r="F44" s="116">
        <f t="shared" si="4"/>
        <v>23.01</v>
      </c>
      <c r="G44" s="117">
        <f>IF(D44=D43,"",_xlfn.IFNA(VLOOKUP(D44,'인원 입력 기능(사과탐)'!$K$64:$N$116,4,FALSE),0))</f>
        <v>677</v>
      </c>
      <c r="H44" s="118">
        <f t="shared" si="1"/>
        <v>5.4698230588995721E-2</v>
      </c>
      <c r="I44" s="119">
        <f>SUM($G$7:G44)</f>
        <v>9868</v>
      </c>
      <c r="J44" s="120">
        <f t="shared" si="5"/>
        <v>0.79728528722630687</v>
      </c>
      <c r="K44" s="38"/>
      <c r="L44" s="20" t="str">
        <f t="shared" si="2"/>
        <v/>
      </c>
      <c r="N44" s="24"/>
    </row>
    <row r="45" spans="1:14" s="22" customFormat="1" ht="25" customHeight="1" x14ac:dyDescent="0.45">
      <c r="A45" s="20"/>
      <c r="B45" s="37"/>
      <c r="C45" s="169">
        <v>12</v>
      </c>
      <c r="D45" s="132"/>
      <c r="E45" s="132"/>
      <c r="F45" s="122"/>
      <c r="G45" s="123"/>
      <c r="H45" s="124"/>
      <c r="I45" s="125"/>
      <c r="J45" s="126"/>
      <c r="K45" s="38"/>
      <c r="L45" s="20" t="str">
        <f t="shared" si="2"/>
        <v>경고</v>
      </c>
      <c r="N45" s="24"/>
    </row>
    <row r="46" spans="1:14" s="22" customFormat="1" ht="25" customHeight="1" x14ac:dyDescent="0.45">
      <c r="A46" s="20"/>
      <c r="B46" s="37"/>
      <c r="C46" s="127">
        <v>11</v>
      </c>
      <c r="D46" s="128">
        <f t="shared" si="3"/>
        <v>40</v>
      </c>
      <c r="E46" s="128">
        <f t="shared" si="6"/>
        <v>7</v>
      </c>
      <c r="F46" s="102">
        <f t="shared" si="4"/>
        <v>19.37</v>
      </c>
      <c r="G46" s="103">
        <f>IF(D46=D45,"",_xlfn.IFNA(VLOOKUP(D46,'인원 입력 기능(사과탐)'!$K$64:$N$116,4,FALSE),0))</f>
        <v>222</v>
      </c>
      <c r="H46" s="104">
        <f t="shared" si="1"/>
        <v>1.7936495111901107E-2</v>
      </c>
      <c r="I46" s="114">
        <f>SUM($G$7:G46)</f>
        <v>10090</v>
      </c>
      <c r="J46" s="106">
        <f t="shared" si="5"/>
        <v>0.81522178233820797</v>
      </c>
      <c r="K46" s="38"/>
      <c r="L46" s="20" t="str">
        <f t="shared" si="2"/>
        <v/>
      </c>
      <c r="N46" s="24"/>
    </row>
    <row r="47" spans="1:14" s="22" customFormat="1" ht="25" customHeight="1" x14ac:dyDescent="0.45">
      <c r="A47" s="20"/>
      <c r="B47" s="37"/>
      <c r="C47" s="169">
        <v>10</v>
      </c>
      <c r="D47" s="128">
        <f t="shared" si="3"/>
        <v>39</v>
      </c>
      <c r="E47" s="128">
        <f t="shared" si="6"/>
        <v>7</v>
      </c>
      <c r="F47" s="102">
        <f t="shared" si="4"/>
        <v>16.75</v>
      </c>
      <c r="G47" s="103">
        <f>IF(D47=D46,"",_xlfn.IFNA(VLOOKUP(D47,'인원 입력 기능(사과탐)'!$K$64:$N$116,4,FALSE),0))</f>
        <v>427</v>
      </c>
      <c r="H47" s="104">
        <f t="shared" si="1"/>
        <v>3.449947483235033E-2</v>
      </c>
      <c r="I47" s="114">
        <f>SUM($G$7:G47)</f>
        <v>10517</v>
      </c>
      <c r="J47" s="106">
        <f t="shared" si="5"/>
        <v>0.84972125717055824</v>
      </c>
      <c r="K47" s="38"/>
      <c r="L47" s="20" t="str">
        <f t="shared" si="2"/>
        <v/>
      </c>
      <c r="N47" s="24"/>
    </row>
    <row r="48" spans="1:14" s="22" customFormat="1" ht="25" customHeight="1" x14ac:dyDescent="0.45">
      <c r="A48" s="20"/>
      <c r="B48" s="37"/>
      <c r="C48" s="127">
        <v>9</v>
      </c>
      <c r="D48" s="128">
        <f t="shared" si="3"/>
        <v>38</v>
      </c>
      <c r="E48" s="128">
        <f t="shared" si="6"/>
        <v>7</v>
      </c>
      <c r="F48" s="102">
        <f t="shared" si="4"/>
        <v>14.48</v>
      </c>
      <c r="G48" s="103">
        <f>IF(D48=D47,"",_xlfn.IFNA(VLOOKUP(D48,'인원 입력 기능(사과탐)'!$K$64:$N$116,4,FALSE),0))</f>
        <v>136</v>
      </c>
      <c r="H48" s="104">
        <f t="shared" si="1"/>
        <v>1.0988123131615093E-2</v>
      </c>
      <c r="I48" s="114">
        <f>SUM($G$7:G48)</f>
        <v>10653</v>
      </c>
      <c r="J48" s="106">
        <f t="shared" si="5"/>
        <v>0.86070938030217337</v>
      </c>
      <c r="K48" s="38"/>
      <c r="L48" s="20" t="str">
        <f t="shared" si="2"/>
        <v/>
      </c>
      <c r="N48" s="24"/>
    </row>
    <row r="49" spans="1:14" s="22" customFormat="1" ht="25" customHeight="1" x14ac:dyDescent="0.45">
      <c r="A49" s="20"/>
      <c r="B49" s="37"/>
      <c r="C49" s="169">
        <v>8</v>
      </c>
      <c r="D49" s="128">
        <f t="shared" si="3"/>
        <v>37</v>
      </c>
      <c r="E49" s="128">
        <f t="shared" si="6"/>
        <v>7</v>
      </c>
      <c r="F49" s="102">
        <f t="shared" si="4"/>
        <v>10.77</v>
      </c>
      <c r="G49" s="103">
        <f>IF(D49=D48,"",_xlfn.IFNA(VLOOKUP(D49,'인원 입력 기능(사과탐)'!$K$64:$N$116,4,FALSE),0))</f>
        <v>782</v>
      </c>
      <c r="H49" s="104">
        <f t="shared" si="1"/>
        <v>6.3181708006786783E-2</v>
      </c>
      <c r="I49" s="114">
        <f>SUM($G$7:G49)</f>
        <v>11435</v>
      </c>
      <c r="J49" s="106">
        <f t="shared" si="5"/>
        <v>0.92389108830896016</v>
      </c>
      <c r="K49" s="38"/>
      <c r="L49" s="20" t="str">
        <f t="shared" si="2"/>
        <v/>
      </c>
      <c r="N49" s="24"/>
    </row>
    <row r="50" spans="1:14" s="22" customFormat="1" ht="25" customHeight="1" x14ac:dyDescent="0.45">
      <c r="A50" s="20"/>
      <c r="B50" s="37"/>
      <c r="C50" s="127">
        <v>7</v>
      </c>
      <c r="D50" s="130">
        <f t="shared" si="3"/>
        <v>36</v>
      </c>
      <c r="E50" s="130">
        <f t="shared" si="6"/>
        <v>8</v>
      </c>
      <c r="F50" s="116">
        <f t="shared" si="4"/>
        <v>6.35</v>
      </c>
      <c r="G50" s="117">
        <f>IF(D50=D49,"",_xlfn.IFNA(VLOOKUP(D50,'인원 입력 기능(사과탐)'!$K$64:$N$116,4,FALSE),0))</f>
        <v>313</v>
      </c>
      <c r="H50" s="118">
        <f t="shared" si="1"/>
        <v>2.5288842207320028E-2</v>
      </c>
      <c r="I50" s="119">
        <f>SUM($G$7:G50)</f>
        <v>11748</v>
      </c>
      <c r="J50" s="120">
        <f t="shared" si="5"/>
        <v>0.94917993051628025</v>
      </c>
      <c r="K50" s="38"/>
      <c r="L50" s="20" t="str">
        <f t="shared" si="2"/>
        <v/>
      </c>
      <c r="N50" s="24"/>
    </row>
    <row r="51" spans="1:14" s="22" customFormat="1" ht="25" customHeight="1" x14ac:dyDescent="0.45">
      <c r="A51" s="20"/>
      <c r="B51" s="37"/>
      <c r="C51" s="169">
        <v>6</v>
      </c>
      <c r="D51" s="132"/>
      <c r="E51" s="132"/>
      <c r="F51" s="122"/>
      <c r="G51" s="123"/>
      <c r="H51" s="124"/>
      <c r="I51" s="125"/>
      <c r="J51" s="126"/>
      <c r="K51" s="38"/>
      <c r="L51" s="20" t="str">
        <f t="shared" si="2"/>
        <v>경고</v>
      </c>
      <c r="N51" s="24"/>
    </row>
    <row r="52" spans="1:14" s="22" customFormat="1" ht="25" customHeight="1" x14ac:dyDescent="0.45">
      <c r="A52" s="20"/>
      <c r="B52" s="37"/>
      <c r="C52" s="127">
        <v>5</v>
      </c>
      <c r="D52" s="128">
        <f t="shared" si="3"/>
        <v>35</v>
      </c>
      <c r="E52" s="128">
        <f t="shared" si="6"/>
        <v>8</v>
      </c>
      <c r="F52" s="102">
        <f t="shared" si="4"/>
        <v>4.29</v>
      </c>
      <c r="G52" s="103">
        <f>IF(D52=D51,"",_xlfn.IFNA(VLOOKUP(D52,'인원 입력 기능(사과탐)'!$K$64:$N$116,4,FALSE),0))</f>
        <v>195</v>
      </c>
      <c r="H52" s="104">
        <f t="shared" si="1"/>
        <v>1.5755029490183405E-2</v>
      </c>
      <c r="I52" s="114">
        <f>SUM($G$7:G52)</f>
        <v>11943</v>
      </c>
      <c r="J52" s="106">
        <f t="shared" si="5"/>
        <v>0.96493496000646362</v>
      </c>
      <c r="K52" s="38"/>
      <c r="L52" s="20" t="str">
        <f t="shared" si="2"/>
        <v/>
      </c>
      <c r="N52" s="24"/>
    </row>
    <row r="53" spans="1:14" s="22" customFormat="1" ht="25" customHeight="1" x14ac:dyDescent="0.45">
      <c r="A53" s="20"/>
      <c r="B53" s="37"/>
      <c r="C53" s="100">
        <v>4</v>
      </c>
      <c r="D53" s="101">
        <f t="shared" si="3"/>
        <v>34</v>
      </c>
      <c r="E53" s="101">
        <f t="shared" si="6"/>
        <v>9</v>
      </c>
      <c r="F53" s="102">
        <f t="shared" si="4"/>
        <v>3.31</v>
      </c>
      <c r="G53" s="103">
        <f>IF(D53=D52,"",_xlfn.IFNA(VLOOKUP(D53,'인원 입력 기능(사과탐)'!$K$64:$N$116,4,FALSE),0))</f>
        <v>49</v>
      </c>
      <c r="H53" s="104">
        <f t="shared" si="1"/>
        <v>3.9589561283024967E-3</v>
      </c>
      <c r="I53" s="114">
        <f>SUM($G$7:G53)</f>
        <v>11992</v>
      </c>
      <c r="J53" s="106">
        <f t="shared" si="5"/>
        <v>0.96889391613476605</v>
      </c>
      <c r="K53" s="38"/>
      <c r="L53" s="20" t="str">
        <f t="shared" si="2"/>
        <v/>
      </c>
      <c r="N53" s="24"/>
    </row>
    <row r="54" spans="1:14" s="22" customFormat="1" ht="25" customHeight="1" x14ac:dyDescent="0.45">
      <c r="A54" s="20"/>
      <c r="B54" s="37"/>
      <c r="C54" s="107">
        <v>3</v>
      </c>
      <c r="D54" s="101">
        <f t="shared" si="3"/>
        <v>33</v>
      </c>
      <c r="E54" s="101">
        <f t="shared" si="6"/>
        <v>9</v>
      </c>
      <c r="F54" s="102">
        <f t="shared" si="4"/>
        <v>1.81</v>
      </c>
      <c r="G54" s="103">
        <f>IF(D54=D53,"",_xlfn.IFNA(VLOOKUP(D54,'인원 입력 기능(사과탐)'!$K$64:$N$116,4,FALSE),0))</f>
        <v>322</v>
      </c>
      <c r="H54" s="104">
        <f t="shared" si="1"/>
        <v>2.6015997414559264E-2</v>
      </c>
      <c r="I54" s="114">
        <f>SUM($G$7:G54)</f>
        <v>12314</v>
      </c>
      <c r="J54" s="106">
        <f t="shared" si="5"/>
        <v>0.99490991354932534</v>
      </c>
      <c r="K54" s="38"/>
      <c r="L54" s="20" t="str">
        <f t="shared" si="2"/>
        <v/>
      </c>
      <c r="N54" s="24"/>
    </row>
    <row r="55" spans="1:14" s="22" customFormat="1" ht="25" customHeight="1" x14ac:dyDescent="0.45">
      <c r="A55" s="20"/>
      <c r="B55" s="37"/>
      <c r="C55" s="100">
        <v>2</v>
      </c>
      <c r="D55" s="101">
        <f t="shared" si="3"/>
        <v>32</v>
      </c>
      <c r="E55" s="101">
        <f t="shared" si="6"/>
        <v>9</v>
      </c>
      <c r="F55" s="102">
        <f t="shared" si="4"/>
        <v>0.33</v>
      </c>
      <c r="G55" s="103">
        <f>IF(D55=D54,"",_xlfn.IFNA(VLOOKUP(D55,'인원 입력 기능(사과탐)'!$K$64:$N$116,4,FALSE),0))</f>
        <v>45</v>
      </c>
      <c r="H55" s="104">
        <f t="shared" si="1"/>
        <v>3.6357760361961705E-3</v>
      </c>
      <c r="I55" s="114">
        <f>SUM($G$7:G55)</f>
        <v>12359</v>
      </c>
      <c r="J55" s="106">
        <f t="shared" si="5"/>
        <v>0.99854568958552148</v>
      </c>
      <c r="K55" s="38"/>
      <c r="L55" s="20" t="str">
        <f t="shared" si="2"/>
        <v/>
      </c>
      <c r="N55" s="24"/>
    </row>
    <row r="56" spans="1:14" s="22" customFormat="1" ht="25" customHeight="1" x14ac:dyDescent="0.45">
      <c r="A56" s="20"/>
      <c r="B56" s="37"/>
      <c r="C56" s="107">
        <v>1</v>
      </c>
      <c r="D56" s="108" t="s">
        <v>54</v>
      </c>
      <c r="E56" s="108"/>
      <c r="F56" s="109"/>
      <c r="G56" s="170"/>
      <c r="H56" s="168"/>
      <c r="I56" s="134"/>
      <c r="J56" s="113"/>
      <c r="K56" s="38"/>
      <c r="L56" s="20"/>
      <c r="N56" s="24"/>
    </row>
    <row r="57" spans="1:14" s="22" customFormat="1" ht="25" customHeight="1" thickBot="1" x14ac:dyDescent="0.5">
      <c r="A57" s="20"/>
      <c r="B57" s="37"/>
      <c r="C57" s="171">
        <v>0</v>
      </c>
      <c r="D57" s="136">
        <f>ROUND(10*(C57-$H$3)/$H$4+50,0)</f>
        <v>31</v>
      </c>
      <c r="E57" s="172">
        <f t="shared" si="6"/>
        <v>9</v>
      </c>
      <c r="F57" s="137">
        <f>IF(I55=0,ROUND(100*(1-(I54+I57)/2/$J$3),2),ROUND(100*(1-(I55+I57)/2/$J$3),2))</f>
        <v>7.0000000000000007E-2</v>
      </c>
      <c r="G57" s="173">
        <f>_xlfn.IFNA(VLOOKUP(D57,'인원 입력 기능(사과탐)'!$K$64:$N$116,4,FALSE),0)</f>
        <v>18</v>
      </c>
      <c r="H57" s="139">
        <f>G57/$J$3</f>
        <v>1.4543104144784681E-3</v>
      </c>
      <c r="I57" s="140">
        <f>SUM($G$7:G57)</f>
        <v>12377</v>
      </c>
      <c r="J57" s="174">
        <f>I57/$J$3</f>
        <v>1</v>
      </c>
      <c r="K57" s="38"/>
      <c r="L57" s="20" t="str">
        <f t="shared" si="2"/>
        <v/>
      </c>
      <c r="N57" s="24"/>
    </row>
    <row r="58" spans="1:14" ht="6" customHeight="1" x14ac:dyDescent="0.45">
      <c r="A58" s="5"/>
      <c r="B58" s="34"/>
      <c r="C58" s="35"/>
      <c r="D58" s="35"/>
      <c r="E58" s="35"/>
      <c r="F58" s="35"/>
      <c r="G58" s="35"/>
      <c r="H58" s="35"/>
      <c r="I58" s="35"/>
      <c r="J58" s="35"/>
      <c r="K58" s="36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58">
    <mergeCell ref="I44:I45"/>
    <mergeCell ref="J44:J45"/>
    <mergeCell ref="D50:D51"/>
    <mergeCell ref="E50:E51"/>
    <mergeCell ref="F50:F51"/>
    <mergeCell ref="G50:G51"/>
    <mergeCell ref="H50:H51"/>
    <mergeCell ref="I50:I51"/>
    <mergeCell ref="J50:J51"/>
    <mergeCell ref="D44:D45"/>
    <mergeCell ref="E44:E45"/>
    <mergeCell ref="F44:F45"/>
    <mergeCell ref="G44:G45"/>
    <mergeCell ref="H44:H45"/>
    <mergeCell ref="I34:I35"/>
    <mergeCell ref="J34:J35"/>
    <mergeCell ref="D39:D40"/>
    <mergeCell ref="E39:E40"/>
    <mergeCell ref="F39:F40"/>
    <mergeCell ref="G39:G40"/>
    <mergeCell ref="H39:H40"/>
    <mergeCell ref="I39:I40"/>
    <mergeCell ref="J39:J40"/>
    <mergeCell ref="D34:D35"/>
    <mergeCell ref="E34:E35"/>
    <mergeCell ref="F34:F35"/>
    <mergeCell ref="G34:G35"/>
    <mergeCell ref="H34:H35"/>
    <mergeCell ref="I24:I25"/>
    <mergeCell ref="J24:J25"/>
    <mergeCell ref="D29:D30"/>
    <mergeCell ref="E29:E30"/>
    <mergeCell ref="F29:F30"/>
    <mergeCell ref="G29:G30"/>
    <mergeCell ref="H29:H30"/>
    <mergeCell ref="I29:I30"/>
    <mergeCell ref="J29:J30"/>
    <mergeCell ref="D24:D25"/>
    <mergeCell ref="E24:E25"/>
    <mergeCell ref="F24:F25"/>
    <mergeCell ref="G24:G25"/>
    <mergeCell ref="H24:H25"/>
    <mergeCell ref="G13:G14"/>
    <mergeCell ref="H13:H14"/>
    <mergeCell ref="I13:I14"/>
    <mergeCell ref="J13:J14"/>
    <mergeCell ref="D18:D19"/>
    <mergeCell ref="E18:E19"/>
    <mergeCell ref="F18:F19"/>
    <mergeCell ref="G18:G19"/>
    <mergeCell ref="H18:H19"/>
    <mergeCell ref="I18:I19"/>
    <mergeCell ref="J18:J19"/>
    <mergeCell ref="D3:F3"/>
    <mergeCell ref="D4:F4"/>
    <mergeCell ref="D13:D14"/>
    <mergeCell ref="E13:E14"/>
    <mergeCell ref="F13:F14"/>
  </mergeCells>
  <phoneticPr fontId="1" type="noConversion"/>
  <conditionalFormatting sqref="D7:G13 I7:J13 D15:G18 I15:J18 D20:G24 I20:J24 D26:G29 I26:J29 D31:G34 I31:J34 D36:G39 I36:J39 D41:G44 I41:J44 D46:G50 I46:J50 D52:G57 I52:J57">
    <cfRule type="expression" dxfId="27" priority="4">
      <formula>OR($D7=$Q$7:$Q$14)</formula>
    </cfRule>
  </conditionalFormatting>
  <conditionalFormatting sqref="C7:C57">
    <cfRule type="expression" dxfId="26" priority="3">
      <formula>OR(AND($D7=0,OR($D6=$Q$7:$Q$14)),AND($D8&gt;0,OR($D7=$Q$7:$Q$14)))</formula>
    </cfRule>
  </conditionalFormatting>
  <conditionalFormatting sqref="D7:D13 D15:D18 D20:D24 D26:D29 D31:D34 D36:D39 D41:D44 D46:D50 D52:D57">
    <cfRule type="expression" dxfId="25" priority="2">
      <formula>$D7=$D8</formula>
    </cfRule>
  </conditionalFormatting>
  <conditionalFormatting sqref="H7:H13 H15:H18 H20:H24 H26:H29 H31:H34 H36:H39 H41:H44 H46:H50 H52:H57">
    <cfRule type="expression" dxfId="24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C704-F3B3-4F9F-B31F-7545B24CEF85}">
  <sheetPr codeName="Sheet17"/>
  <dimension ref="A1:Q105"/>
  <sheetViews>
    <sheetView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5" t="s">
        <v>6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37"/>
      <c r="C3" s="84" t="s">
        <v>122</v>
      </c>
      <c r="D3" s="85" t="s">
        <v>67</v>
      </c>
      <c r="E3" s="86"/>
      <c r="F3" s="87"/>
      <c r="G3" s="84" t="s">
        <v>123</v>
      </c>
      <c r="H3" s="88" t="str">
        <f>'통계 및 응시자 수 입력 기능'!D15</f>
        <v>23.24</v>
      </c>
      <c r="I3" s="21" t="s">
        <v>124</v>
      </c>
      <c r="J3" s="89">
        <f>'통계 및 응시자 수 입력 기능'!C15</f>
        <v>33912</v>
      </c>
      <c r="K3" s="38"/>
      <c r="L3" s="20"/>
    </row>
    <row r="4" spans="1:17" s="22" customFormat="1" ht="25" customHeight="1" thickBot="1" x14ac:dyDescent="0.5">
      <c r="A4" s="20"/>
      <c r="B4" s="37"/>
      <c r="C4" s="90" t="s">
        <v>125</v>
      </c>
      <c r="D4" s="91" t="s">
        <v>151</v>
      </c>
      <c r="E4" s="92"/>
      <c r="F4" s="93"/>
      <c r="G4" s="94" t="s">
        <v>127</v>
      </c>
      <c r="H4" s="95" t="str">
        <f>'통계 및 응시자 수 입력 기능'!E15</f>
        <v>10.48</v>
      </c>
      <c r="I4" s="39"/>
      <c r="J4" s="40"/>
      <c r="K4" s="38"/>
      <c r="L4" s="20"/>
    </row>
    <row r="5" spans="1:17" s="22" customFormat="1" ht="25" customHeight="1" thickBot="1" x14ac:dyDescent="0.5">
      <c r="A5" s="20"/>
      <c r="B5" s="37"/>
      <c r="C5" s="32"/>
      <c r="D5" s="32"/>
      <c r="E5" s="32"/>
      <c r="F5" s="32"/>
      <c r="G5" s="32"/>
      <c r="H5" s="33"/>
      <c r="I5" s="33"/>
      <c r="J5" s="33"/>
      <c r="K5" s="38"/>
      <c r="L5" s="20"/>
    </row>
    <row r="6" spans="1:17" s="22" customFormat="1" ht="25" customHeight="1" thickBot="1" x14ac:dyDescent="0.5">
      <c r="A6" s="20"/>
      <c r="B6" s="37"/>
      <c r="C6" s="96" t="s">
        <v>129</v>
      </c>
      <c r="D6" s="97" t="s">
        <v>130</v>
      </c>
      <c r="E6" s="97" t="s">
        <v>131</v>
      </c>
      <c r="F6" s="97" t="s">
        <v>132</v>
      </c>
      <c r="G6" s="97" t="s">
        <v>133</v>
      </c>
      <c r="H6" s="97" t="s">
        <v>134</v>
      </c>
      <c r="I6" s="98" t="s">
        <v>135</v>
      </c>
      <c r="J6" s="99" t="s">
        <v>136</v>
      </c>
      <c r="K6" s="38"/>
      <c r="L6" s="19" t="s">
        <v>62</v>
      </c>
      <c r="M6" s="19"/>
      <c r="N6" s="23"/>
    </row>
    <row r="7" spans="1:17" s="22" customFormat="1" ht="25" customHeight="1" x14ac:dyDescent="0.45">
      <c r="A7" s="20"/>
      <c r="B7" s="37"/>
      <c r="C7" s="100">
        <v>50</v>
      </c>
      <c r="D7" s="101">
        <f>ROUND(10*(C7-$H$3)/$H$4+50,0)</f>
        <v>76</v>
      </c>
      <c r="E7" s="101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102">
        <f>ROUND(100*(1-(0+I7)/2/$J$3),2)</f>
        <v>99.65</v>
      </c>
      <c r="G7" s="103">
        <f>_xlfn.IFNA(VLOOKUP(D7,'인원 입력 기능(사과탐)'!$P$64:$S$116,4,FALSE),0)</f>
        <v>237</v>
      </c>
      <c r="H7" s="104">
        <f>G7/$J$3</f>
        <v>6.9886765746638357E-3</v>
      </c>
      <c r="I7" s="105">
        <f>G7</f>
        <v>237</v>
      </c>
      <c r="J7" s="106">
        <f>I7/$J$3</f>
        <v>6.9886765746638357E-3</v>
      </c>
      <c r="K7" s="38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기능'!C103</f>
        <v>70</v>
      </c>
    </row>
    <row r="8" spans="1:17" s="22" customFormat="1" ht="25" customHeight="1" x14ac:dyDescent="0.45">
      <c r="A8" s="20"/>
      <c r="B8" s="37"/>
      <c r="C8" s="107">
        <v>49</v>
      </c>
      <c r="D8" s="108" t="s">
        <v>54</v>
      </c>
      <c r="E8" s="108"/>
      <c r="F8" s="109"/>
      <c r="G8" s="110"/>
      <c r="H8" s="168"/>
      <c r="I8" s="112"/>
      <c r="J8" s="113"/>
      <c r="K8" s="38"/>
      <c r="L8" s="20"/>
      <c r="N8" s="24"/>
      <c r="P8" s="24">
        <v>2</v>
      </c>
      <c r="Q8" s="24">
        <f>'표점등급&amp;절평인원 입력 기능'!C104</f>
        <v>64</v>
      </c>
    </row>
    <row r="9" spans="1:17" s="22" customFormat="1" ht="25" customHeight="1" x14ac:dyDescent="0.45">
      <c r="A9" s="20"/>
      <c r="B9" s="37"/>
      <c r="C9" s="100">
        <v>48</v>
      </c>
      <c r="D9" s="101">
        <f>ROUND(10*(C9-$H$3)/$H$4+50,0)</f>
        <v>74</v>
      </c>
      <c r="E9" s="101">
        <f t="shared" si="0"/>
        <v>1</v>
      </c>
      <c r="F9" s="102">
        <f>IF(I8=0,ROUND(100*(1-(I7+I9)/2/$J$3),2),ROUND(100*(1-(I8+I9)/2/$J$3),2))</f>
        <v>99.17</v>
      </c>
      <c r="G9" s="103">
        <f>_xlfn.IFNA(VLOOKUP(D9,'인원 입력 기능(사과탐)'!$P$64:$S$116,4,FALSE),0)</f>
        <v>90</v>
      </c>
      <c r="H9" s="104">
        <f t="shared" ref="H9:H55" si="1">G9/$J$3</f>
        <v>2.6539278131634818E-3</v>
      </c>
      <c r="I9" s="114">
        <f>SUM($G$7:G9)</f>
        <v>327</v>
      </c>
      <c r="J9" s="106">
        <f>I9/$J$3</f>
        <v>9.6426043878273179E-3</v>
      </c>
      <c r="K9" s="38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기능'!C105</f>
        <v>57</v>
      </c>
    </row>
    <row r="10" spans="1:17" s="22" customFormat="1" ht="25" customHeight="1" x14ac:dyDescent="0.45">
      <c r="A10" s="20"/>
      <c r="B10" s="37"/>
      <c r="C10" s="107">
        <v>47</v>
      </c>
      <c r="D10" s="101">
        <f t="shared" ref="D10:D55" si="3">ROUND(10*(C10-$H$3)/$H$4+50,0)</f>
        <v>73</v>
      </c>
      <c r="E10" s="101">
        <f t="shared" si="0"/>
        <v>1</v>
      </c>
      <c r="F10" s="102">
        <f t="shared" ref="F10:F55" si="4">IF(I9=0,ROUND(100*(1-(I8+I10)/2/$J$3),2),ROUND(100*(1-(I9+I10)/2/$J$3),2))</f>
        <v>98.41</v>
      </c>
      <c r="G10" s="103">
        <f>IF(D10=D9,"",_xlfn.IFNA(VLOOKUP(D10,'인원 입력 기능(사과탐)'!$P$64:$S$116,4,FALSE),0))</f>
        <v>424</v>
      </c>
      <c r="H10" s="104">
        <f t="shared" si="1"/>
        <v>1.2502948808681292E-2</v>
      </c>
      <c r="I10" s="114">
        <f>SUM($G$7:G10)</f>
        <v>751</v>
      </c>
      <c r="J10" s="106">
        <f t="shared" ref="J10:J55" si="5">I10/$J$3</f>
        <v>2.214555319650861E-2</v>
      </c>
      <c r="K10" s="38"/>
      <c r="L10" s="20" t="str">
        <f t="shared" si="2"/>
        <v/>
      </c>
      <c r="N10" s="24"/>
      <c r="P10" s="24">
        <v>4</v>
      </c>
      <c r="Q10" s="24">
        <f>'표점등급&amp;절평인원 입력 기능'!C106</f>
        <v>52</v>
      </c>
    </row>
    <row r="11" spans="1:17" s="22" customFormat="1" ht="25" customHeight="1" x14ac:dyDescent="0.45">
      <c r="A11" s="20"/>
      <c r="B11" s="37"/>
      <c r="C11" s="100">
        <v>46</v>
      </c>
      <c r="D11" s="101">
        <f t="shared" si="3"/>
        <v>72</v>
      </c>
      <c r="E11" s="101">
        <f t="shared" si="0"/>
        <v>1</v>
      </c>
      <c r="F11" s="102">
        <f t="shared" si="4"/>
        <v>97.75</v>
      </c>
      <c r="G11" s="103">
        <f>IF(D11=D10,"",_xlfn.IFNA(VLOOKUP(D11,'인원 입력 기능(사과탐)'!$P$64:$S$116,4,FALSE),0))</f>
        <v>24</v>
      </c>
      <c r="H11" s="104">
        <f t="shared" si="1"/>
        <v>7.0771408351026188E-4</v>
      </c>
      <c r="I11" s="114">
        <f>SUM($G$7:G11)</f>
        <v>775</v>
      </c>
      <c r="J11" s="106">
        <f t="shared" si="5"/>
        <v>2.2853267280018873E-2</v>
      </c>
      <c r="K11" s="38"/>
      <c r="L11" s="20" t="str">
        <f t="shared" si="2"/>
        <v/>
      </c>
      <c r="N11" s="24"/>
      <c r="P11" s="24">
        <v>5</v>
      </c>
      <c r="Q11" s="24">
        <f>'표점등급&amp;절평인원 입력 기능'!C107</f>
        <v>46</v>
      </c>
    </row>
    <row r="12" spans="1:17" s="22" customFormat="1" ht="25" customHeight="1" x14ac:dyDescent="0.45">
      <c r="A12" s="20"/>
      <c r="B12" s="37"/>
      <c r="C12" s="107">
        <v>45</v>
      </c>
      <c r="D12" s="101">
        <f t="shared" si="3"/>
        <v>71</v>
      </c>
      <c r="E12" s="101">
        <f t="shared" si="0"/>
        <v>1</v>
      </c>
      <c r="F12" s="102">
        <f t="shared" si="4"/>
        <v>97.41</v>
      </c>
      <c r="G12" s="103">
        <f>IF(D12=D11,"",_xlfn.IFNA(VLOOKUP(D12,'인원 입력 기능(사과탐)'!$P$64:$S$116,4,FALSE),0))</f>
        <v>206</v>
      </c>
      <c r="H12" s="104">
        <f t="shared" si="1"/>
        <v>6.0745458834630811E-3</v>
      </c>
      <c r="I12" s="114">
        <f>SUM($G$7:G12)</f>
        <v>981</v>
      </c>
      <c r="J12" s="106">
        <f t="shared" si="5"/>
        <v>2.8927813163481954E-2</v>
      </c>
      <c r="K12" s="38"/>
      <c r="L12" s="20" t="str">
        <f t="shared" si="2"/>
        <v/>
      </c>
      <c r="N12" s="24"/>
      <c r="P12" s="24">
        <v>6</v>
      </c>
      <c r="Q12" s="24">
        <f>'표점등급&amp;절평인원 입력 기능'!C108</f>
        <v>41</v>
      </c>
    </row>
    <row r="13" spans="1:17" s="22" customFormat="1" ht="25" customHeight="1" x14ac:dyDescent="0.45">
      <c r="A13" s="20"/>
      <c r="B13" s="37"/>
      <c r="C13" s="100">
        <v>44</v>
      </c>
      <c r="D13" s="101">
        <f t="shared" si="3"/>
        <v>70</v>
      </c>
      <c r="E13" s="101">
        <f t="shared" si="0"/>
        <v>1</v>
      </c>
      <c r="F13" s="102">
        <f t="shared" si="4"/>
        <v>96.44</v>
      </c>
      <c r="G13" s="103">
        <f>IF(D13=D12,"",_xlfn.IFNA(VLOOKUP(D13,'인원 입력 기능(사과탐)'!$P$64:$S$116,4,FALSE),0))</f>
        <v>452</v>
      </c>
      <c r="H13" s="104">
        <f t="shared" si="1"/>
        <v>1.3328615239443264E-2</v>
      </c>
      <c r="I13" s="114">
        <f>SUM($G$7:G13)</f>
        <v>1433</v>
      </c>
      <c r="J13" s="106">
        <f t="shared" si="5"/>
        <v>4.225642840292522E-2</v>
      </c>
      <c r="K13" s="38"/>
      <c r="L13" s="20" t="str">
        <f t="shared" si="2"/>
        <v/>
      </c>
      <c r="N13" s="24"/>
      <c r="P13" s="24">
        <v>7</v>
      </c>
      <c r="Q13" s="24">
        <f>'표점등급&amp;절평인원 입력 기능'!C109</f>
        <v>37</v>
      </c>
    </row>
    <row r="14" spans="1:17" s="22" customFormat="1" ht="25" customHeight="1" x14ac:dyDescent="0.45">
      <c r="A14" s="20"/>
      <c r="B14" s="37"/>
      <c r="C14" s="107">
        <v>43</v>
      </c>
      <c r="D14" s="101">
        <f t="shared" si="3"/>
        <v>69</v>
      </c>
      <c r="E14" s="101">
        <f t="shared" si="0"/>
        <v>2</v>
      </c>
      <c r="F14" s="102">
        <f t="shared" si="4"/>
        <v>95.63</v>
      </c>
      <c r="G14" s="103">
        <f>IF(D14=D13,"",_xlfn.IFNA(VLOOKUP(D14,'인원 입력 기능(사과탐)'!$P$64:$S$116,4,FALSE),0))</f>
        <v>98</v>
      </c>
      <c r="H14" s="104">
        <f t="shared" si="1"/>
        <v>2.8898325076669026E-3</v>
      </c>
      <c r="I14" s="114">
        <f>SUM($G$7:G14)</f>
        <v>1531</v>
      </c>
      <c r="J14" s="106">
        <f t="shared" si="5"/>
        <v>4.5146260910592123E-2</v>
      </c>
      <c r="K14" s="38"/>
      <c r="L14" s="20" t="str">
        <f t="shared" si="2"/>
        <v/>
      </c>
      <c r="N14" s="24"/>
      <c r="P14" s="24">
        <v>8</v>
      </c>
      <c r="Q14" s="24">
        <f>'표점등급&amp;절평인원 입력 기능'!C110</f>
        <v>35</v>
      </c>
    </row>
    <row r="15" spans="1:17" s="22" customFormat="1" ht="25" customHeight="1" x14ac:dyDescent="0.45">
      <c r="A15" s="20"/>
      <c r="B15" s="37"/>
      <c r="C15" s="100">
        <v>42</v>
      </c>
      <c r="D15" s="101">
        <f t="shared" si="3"/>
        <v>68</v>
      </c>
      <c r="E15" s="101">
        <f t="shared" si="0"/>
        <v>2</v>
      </c>
      <c r="F15" s="102">
        <f t="shared" si="4"/>
        <v>94.88</v>
      </c>
      <c r="G15" s="103">
        <f>IF(D15=D14,"",_xlfn.IFNA(VLOOKUP(D15,'인원 입력 기능(사과탐)'!$P$64:$S$116,4,FALSE),0))</f>
        <v>411</v>
      </c>
      <c r="H15" s="104">
        <f t="shared" si="1"/>
        <v>1.2119603680113234E-2</v>
      </c>
      <c r="I15" s="114">
        <f>SUM($G$7:G15)</f>
        <v>1942</v>
      </c>
      <c r="J15" s="106">
        <f t="shared" si="5"/>
        <v>5.7265864590705352E-2</v>
      </c>
      <c r="K15" s="38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7"/>
      <c r="C16" s="107">
        <v>41</v>
      </c>
      <c r="D16" s="101">
        <f t="shared" si="3"/>
        <v>67</v>
      </c>
      <c r="E16" s="101">
        <f t="shared" si="0"/>
        <v>2</v>
      </c>
      <c r="F16" s="102">
        <f t="shared" si="4"/>
        <v>93.58</v>
      </c>
      <c r="G16" s="103">
        <f>IF(D16=D15,"",_xlfn.IFNA(VLOOKUP(D16,'인원 입력 기능(사과탐)'!$P$64:$S$116,4,FALSE),0))</f>
        <v>473</v>
      </c>
      <c r="H16" s="104">
        <f t="shared" si="1"/>
        <v>1.3947865062514744E-2</v>
      </c>
      <c r="I16" s="114">
        <f>SUM($G$7:G16)</f>
        <v>2415</v>
      </c>
      <c r="J16" s="106">
        <f t="shared" si="5"/>
        <v>7.1213729653220093E-2</v>
      </c>
      <c r="K16" s="38"/>
      <c r="L16" s="20" t="str">
        <f t="shared" si="2"/>
        <v/>
      </c>
      <c r="N16" s="24"/>
    </row>
    <row r="17" spans="1:17" s="22" customFormat="1" ht="25" customHeight="1" x14ac:dyDescent="0.45">
      <c r="A17" s="20"/>
      <c r="B17" s="37"/>
      <c r="C17" s="100">
        <v>40</v>
      </c>
      <c r="D17" s="101">
        <f t="shared" si="3"/>
        <v>66</v>
      </c>
      <c r="E17" s="101">
        <f t="shared" si="0"/>
        <v>2</v>
      </c>
      <c r="F17" s="102">
        <f t="shared" si="4"/>
        <v>92.54</v>
      </c>
      <c r="G17" s="103">
        <f>IF(D17=D16,"",_xlfn.IFNA(VLOOKUP(D17,'인원 입력 기능(사과탐)'!$P$64:$S$116,4,FALSE),0))</f>
        <v>227</v>
      </c>
      <c r="H17" s="104">
        <f t="shared" si="1"/>
        <v>6.6937957065345598E-3</v>
      </c>
      <c r="I17" s="114">
        <f>SUM($G$7:G17)</f>
        <v>2642</v>
      </c>
      <c r="J17" s="106">
        <f t="shared" si="5"/>
        <v>7.7907525359754662E-2</v>
      </c>
      <c r="K17" s="38"/>
      <c r="L17" s="20" t="str">
        <f t="shared" si="2"/>
        <v/>
      </c>
      <c r="N17" s="24"/>
      <c r="Q17" s="24">
        <f>Q7*H3*H4*J3*IFERROR(IF(J57=1, 1, 0), 0)</f>
        <v>578161075.96800005</v>
      </c>
    </row>
    <row r="18" spans="1:17" s="22" customFormat="1" ht="25" customHeight="1" x14ac:dyDescent="0.45">
      <c r="A18" s="20"/>
      <c r="B18" s="37"/>
      <c r="C18" s="107">
        <v>39</v>
      </c>
      <c r="D18" s="101">
        <f t="shared" si="3"/>
        <v>65</v>
      </c>
      <c r="E18" s="101">
        <f t="shared" si="0"/>
        <v>2</v>
      </c>
      <c r="F18" s="102">
        <f t="shared" si="4"/>
        <v>91.34</v>
      </c>
      <c r="G18" s="103">
        <f>IF(D18=D17,"",_xlfn.IFNA(VLOOKUP(D18,'인원 입력 기능(사과탐)'!$P$64:$S$116,4,FALSE),0))</f>
        <v>592</v>
      </c>
      <c r="H18" s="104">
        <f t="shared" si="1"/>
        <v>1.7456947393253125E-2</v>
      </c>
      <c r="I18" s="114">
        <f>SUM($G$7:G18)</f>
        <v>3234</v>
      </c>
      <c r="J18" s="106">
        <f t="shared" si="5"/>
        <v>9.5364472753007787E-2</v>
      </c>
      <c r="K18" s="38"/>
      <c r="L18" s="20" t="str">
        <f t="shared" si="2"/>
        <v/>
      </c>
      <c r="N18" s="24"/>
    </row>
    <row r="19" spans="1:17" s="22" customFormat="1" ht="25" customHeight="1" x14ac:dyDescent="0.45">
      <c r="A19" s="20"/>
      <c r="B19" s="37"/>
      <c r="C19" s="100">
        <v>38</v>
      </c>
      <c r="D19" s="101">
        <f t="shared" si="3"/>
        <v>64</v>
      </c>
      <c r="E19" s="101">
        <f t="shared" si="0"/>
        <v>2</v>
      </c>
      <c r="F19" s="102">
        <f t="shared" si="4"/>
        <v>89.7</v>
      </c>
      <c r="G19" s="103">
        <f>IF(D19=D18,"",_xlfn.IFNA(VLOOKUP(D19,'인원 입력 기능(사과탐)'!$P$64:$S$116,4,FALSE),0))</f>
        <v>515</v>
      </c>
      <c r="H19" s="104">
        <f t="shared" si="1"/>
        <v>1.5186364708657703E-2</v>
      </c>
      <c r="I19" s="114">
        <f>SUM($G$7:G19)</f>
        <v>3749</v>
      </c>
      <c r="J19" s="106">
        <f t="shared" si="5"/>
        <v>0.11055083746166548</v>
      </c>
      <c r="K19" s="38"/>
      <c r="L19" s="20" t="str">
        <f t="shared" si="2"/>
        <v/>
      </c>
      <c r="N19" s="24"/>
    </row>
    <row r="20" spans="1:17" s="22" customFormat="1" ht="25" customHeight="1" x14ac:dyDescent="0.45">
      <c r="A20" s="20"/>
      <c r="B20" s="37"/>
      <c r="C20" s="107">
        <v>37</v>
      </c>
      <c r="D20" s="101">
        <f t="shared" si="3"/>
        <v>63</v>
      </c>
      <c r="E20" s="101">
        <f t="shared" si="0"/>
        <v>3</v>
      </c>
      <c r="F20" s="102">
        <f t="shared" si="4"/>
        <v>88.27</v>
      </c>
      <c r="G20" s="103">
        <f>IF(D20=D19,"",_xlfn.IFNA(VLOOKUP(D20,'인원 입력 기능(사과탐)'!$P$64:$S$116,4,FALSE),0))</f>
        <v>456</v>
      </c>
      <c r="H20" s="104">
        <f t="shared" si="1"/>
        <v>1.3446567586694975E-2</v>
      </c>
      <c r="I20" s="114">
        <f>SUM($G$7:G20)</f>
        <v>4205</v>
      </c>
      <c r="J20" s="106">
        <f t="shared" si="5"/>
        <v>0.12399740504836046</v>
      </c>
      <c r="K20" s="38"/>
      <c r="L20" s="20" t="str">
        <f t="shared" si="2"/>
        <v/>
      </c>
      <c r="N20" s="24"/>
    </row>
    <row r="21" spans="1:17" s="22" customFormat="1" ht="25" customHeight="1" x14ac:dyDescent="0.45">
      <c r="A21" s="20"/>
      <c r="B21" s="37"/>
      <c r="C21" s="169">
        <v>36</v>
      </c>
      <c r="D21" s="128">
        <f t="shared" si="3"/>
        <v>62</v>
      </c>
      <c r="E21" s="128">
        <f t="shared" si="0"/>
        <v>3</v>
      </c>
      <c r="F21" s="102">
        <f t="shared" si="4"/>
        <v>86.56</v>
      </c>
      <c r="G21" s="103">
        <f>IF(D21=D20,"",_xlfn.IFNA(VLOOKUP(D21,'인원 입력 기능(사과탐)'!$P$64:$S$116,4,FALSE),0))</f>
        <v>708</v>
      </c>
      <c r="H21" s="104">
        <f t="shared" si="1"/>
        <v>2.0877565463552725E-2</v>
      </c>
      <c r="I21" s="114">
        <f>SUM($G$7:G21)</f>
        <v>4913</v>
      </c>
      <c r="J21" s="106">
        <f t="shared" si="5"/>
        <v>0.1448749705119132</v>
      </c>
      <c r="K21" s="38"/>
      <c r="L21" s="20" t="str">
        <f t="shared" si="2"/>
        <v/>
      </c>
      <c r="N21" s="24"/>
    </row>
    <row r="22" spans="1:17" s="22" customFormat="1" ht="25" customHeight="1" x14ac:dyDescent="0.45">
      <c r="A22" s="20"/>
      <c r="B22" s="37"/>
      <c r="C22" s="127">
        <v>35</v>
      </c>
      <c r="D22" s="128">
        <f t="shared" si="3"/>
        <v>61</v>
      </c>
      <c r="E22" s="128">
        <f t="shared" si="0"/>
        <v>3</v>
      </c>
      <c r="F22" s="102">
        <f t="shared" si="4"/>
        <v>84.68</v>
      </c>
      <c r="G22" s="103">
        <f>IF(D22=D21,"",_xlfn.IFNA(VLOOKUP(D22,'인원 입력 기능(사과탐)'!$P$64:$S$116,4,FALSE),0))</f>
        <v>562</v>
      </c>
      <c r="H22" s="104">
        <f t="shared" si="1"/>
        <v>1.6572304788865299E-2</v>
      </c>
      <c r="I22" s="114">
        <f>SUM($G$7:G22)</f>
        <v>5475</v>
      </c>
      <c r="J22" s="106">
        <f t="shared" si="5"/>
        <v>0.16144727530077849</v>
      </c>
      <c r="K22" s="38"/>
      <c r="L22" s="20" t="str">
        <f t="shared" si="2"/>
        <v/>
      </c>
      <c r="N22" s="24"/>
    </row>
    <row r="23" spans="1:17" s="22" customFormat="1" ht="25" customHeight="1" x14ac:dyDescent="0.45">
      <c r="A23" s="20"/>
      <c r="B23" s="37"/>
      <c r="C23" s="169">
        <v>34</v>
      </c>
      <c r="D23" s="128">
        <f t="shared" si="3"/>
        <v>60</v>
      </c>
      <c r="E23" s="128">
        <f t="shared" si="0"/>
        <v>3</v>
      </c>
      <c r="F23" s="102">
        <f t="shared" si="4"/>
        <v>82.88</v>
      </c>
      <c r="G23" s="103">
        <f>IF(D23=D22,"",_xlfn.IFNA(VLOOKUP(D23,'인원 입력 기능(사과탐)'!$P$64:$S$116,4,FALSE),0))</f>
        <v>663</v>
      </c>
      <c r="H23" s="104">
        <f t="shared" si="1"/>
        <v>1.9550601556970984E-2</v>
      </c>
      <c r="I23" s="114">
        <f>SUM($G$7:G23)</f>
        <v>6138</v>
      </c>
      <c r="J23" s="106">
        <f t="shared" si="5"/>
        <v>0.18099787685774946</v>
      </c>
      <c r="K23" s="38"/>
      <c r="L23" s="20" t="str">
        <f t="shared" si="2"/>
        <v/>
      </c>
      <c r="N23" s="24"/>
    </row>
    <row r="24" spans="1:17" s="22" customFormat="1" ht="25" customHeight="1" x14ac:dyDescent="0.45">
      <c r="A24" s="20"/>
      <c r="B24" s="37"/>
      <c r="C24" s="127">
        <v>33</v>
      </c>
      <c r="D24" s="128">
        <f t="shared" si="3"/>
        <v>59</v>
      </c>
      <c r="E24" s="128">
        <f t="shared" si="0"/>
        <v>3</v>
      </c>
      <c r="F24" s="102">
        <f t="shared" si="4"/>
        <v>80.760000000000005</v>
      </c>
      <c r="G24" s="103">
        <f>IF(D24=D23,"",_xlfn.IFNA(VLOOKUP(D24,'인원 입력 기능(사과탐)'!$P$64:$S$116,4,FALSE),0))</f>
        <v>776</v>
      </c>
      <c r="H24" s="104">
        <f t="shared" si="1"/>
        <v>2.2882755366831799E-2</v>
      </c>
      <c r="I24" s="114">
        <f>SUM($G$7:G24)</f>
        <v>6914</v>
      </c>
      <c r="J24" s="106">
        <f t="shared" si="5"/>
        <v>0.20388063222458128</v>
      </c>
      <c r="K24" s="38"/>
      <c r="L24" s="20" t="str">
        <f t="shared" si="2"/>
        <v/>
      </c>
      <c r="N24" s="24"/>
    </row>
    <row r="25" spans="1:17" s="22" customFormat="1" ht="25" customHeight="1" x14ac:dyDescent="0.45">
      <c r="A25" s="20"/>
      <c r="B25" s="37"/>
      <c r="C25" s="169">
        <v>32</v>
      </c>
      <c r="D25" s="128">
        <f t="shared" si="3"/>
        <v>58</v>
      </c>
      <c r="E25" s="128">
        <f t="shared" si="0"/>
        <v>3</v>
      </c>
      <c r="F25" s="102">
        <f t="shared" si="4"/>
        <v>78.599999999999994</v>
      </c>
      <c r="G25" s="103">
        <f>IF(D25=D24,"",_xlfn.IFNA(VLOOKUP(D25,'인원 입력 기능(사과탐)'!$P$64:$S$116,4,FALSE),0))</f>
        <v>685</v>
      </c>
      <c r="H25" s="104">
        <f t="shared" si="1"/>
        <v>2.0199339466855391E-2</v>
      </c>
      <c r="I25" s="114">
        <f>SUM($G$7:G25)</f>
        <v>7599</v>
      </c>
      <c r="J25" s="106">
        <f t="shared" si="5"/>
        <v>0.22407997169143665</v>
      </c>
      <c r="K25" s="38"/>
      <c r="L25" s="20" t="str">
        <f t="shared" si="2"/>
        <v/>
      </c>
      <c r="N25" s="24"/>
    </row>
    <row r="26" spans="1:17" s="22" customFormat="1" ht="25" customHeight="1" x14ac:dyDescent="0.45">
      <c r="A26" s="20"/>
      <c r="B26" s="37"/>
      <c r="C26" s="127">
        <v>31</v>
      </c>
      <c r="D26" s="128">
        <f t="shared" si="3"/>
        <v>57</v>
      </c>
      <c r="E26" s="128">
        <f t="shared" si="0"/>
        <v>3</v>
      </c>
      <c r="F26" s="102">
        <f t="shared" si="4"/>
        <v>76.17</v>
      </c>
      <c r="G26" s="103">
        <f>IF(D26=D25,"",_xlfn.IFNA(VLOOKUP(D26,'인원 입력 기능(사과탐)'!$P$64:$S$116,4,FALSE),0))</f>
        <v>964</v>
      </c>
      <c r="H26" s="104">
        <f t="shared" si="1"/>
        <v>2.8426515687662184E-2</v>
      </c>
      <c r="I26" s="114">
        <f>SUM($G$7:G26)</f>
        <v>8563</v>
      </c>
      <c r="J26" s="106">
        <f t="shared" si="5"/>
        <v>0.25250648737909887</v>
      </c>
      <c r="K26" s="38"/>
      <c r="L26" s="20" t="str">
        <f t="shared" si="2"/>
        <v/>
      </c>
      <c r="N26" s="24"/>
    </row>
    <row r="27" spans="1:17" s="22" customFormat="1" ht="25" customHeight="1" x14ac:dyDescent="0.45">
      <c r="A27" s="20"/>
      <c r="B27" s="37"/>
      <c r="C27" s="169">
        <v>30</v>
      </c>
      <c r="D27" s="128">
        <f t="shared" si="3"/>
        <v>56</v>
      </c>
      <c r="E27" s="128">
        <f t="shared" si="0"/>
        <v>4</v>
      </c>
      <c r="F27" s="102">
        <f t="shared" si="4"/>
        <v>73.5</v>
      </c>
      <c r="G27" s="103">
        <f>IF(D27=D26,"",_xlfn.IFNA(VLOOKUP(D27,'인원 입력 기능(사과탐)'!$P$64:$S$116,4,FALSE),0))</f>
        <v>849</v>
      </c>
      <c r="H27" s="104">
        <f t="shared" si="1"/>
        <v>2.5035385704175513E-2</v>
      </c>
      <c r="I27" s="114">
        <f>SUM($G$7:G27)</f>
        <v>9412</v>
      </c>
      <c r="J27" s="106">
        <f t="shared" si="5"/>
        <v>0.27754187308327438</v>
      </c>
      <c r="K27" s="38"/>
      <c r="L27" s="20" t="str">
        <f t="shared" si="2"/>
        <v/>
      </c>
      <c r="N27" s="24"/>
    </row>
    <row r="28" spans="1:17" s="22" customFormat="1" ht="25" customHeight="1" x14ac:dyDescent="0.45">
      <c r="A28" s="20"/>
      <c r="B28" s="37"/>
      <c r="C28" s="127">
        <v>29</v>
      </c>
      <c r="D28" s="130">
        <f t="shared" si="3"/>
        <v>55</v>
      </c>
      <c r="E28" s="130">
        <f t="shared" si="0"/>
        <v>4</v>
      </c>
      <c r="F28" s="116">
        <f t="shared" si="4"/>
        <v>69.44</v>
      </c>
      <c r="G28" s="117">
        <f>IF(D28=D27,"",_xlfn.IFNA(VLOOKUP(D28,'인원 입력 기능(사과탐)'!$P$64:$S$116,4,FALSE),0))</f>
        <v>1901</v>
      </c>
      <c r="H28" s="118">
        <f t="shared" si="1"/>
        <v>5.6056853031375323E-2</v>
      </c>
      <c r="I28" s="119">
        <f>SUM($G$7:G28)</f>
        <v>11313</v>
      </c>
      <c r="J28" s="120">
        <f t="shared" si="5"/>
        <v>0.33359872611464969</v>
      </c>
      <c r="K28" s="38"/>
      <c r="L28" s="20" t="str">
        <f t="shared" si="2"/>
        <v>경고</v>
      </c>
      <c r="N28" s="24"/>
    </row>
    <row r="29" spans="1:17" s="22" customFormat="1" ht="25" customHeight="1" x14ac:dyDescent="0.45">
      <c r="A29" s="20"/>
      <c r="B29" s="37"/>
      <c r="C29" s="169">
        <v>28</v>
      </c>
      <c r="D29" s="132"/>
      <c r="E29" s="132"/>
      <c r="F29" s="122"/>
      <c r="G29" s="123"/>
      <c r="H29" s="124"/>
      <c r="I29" s="125"/>
      <c r="J29" s="126"/>
      <c r="K29" s="38"/>
      <c r="L29" s="20" t="str">
        <f t="shared" si="2"/>
        <v>경고</v>
      </c>
      <c r="N29" s="24"/>
    </row>
    <row r="30" spans="1:17" s="22" customFormat="1" ht="25" customHeight="1" x14ac:dyDescent="0.45">
      <c r="A30" s="20"/>
      <c r="B30" s="37"/>
      <c r="C30" s="127">
        <v>27</v>
      </c>
      <c r="D30" s="128">
        <f t="shared" si="3"/>
        <v>54</v>
      </c>
      <c r="E30" s="128">
        <f t="shared" si="0"/>
        <v>4</v>
      </c>
      <c r="F30" s="102">
        <f t="shared" si="4"/>
        <v>65.319999999999993</v>
      </c>
      <c r="G30" s="103">
        <f>IF(D30=D29,"",_xlfn.IFNA(VLOOKUP(D30,'인원 입력 기능(사과탐)'!$P$64:$S$116,4,FALSE),0))</f>
        <v>892</v>
      </c>
      <c r="H30" s="104">
        <f t="shared" si="1"/>
        <v>2.6303373437131398E-2</v>
      </c>
      <c r="I30" s="114">
        <f>SUM($G$7:G30)</f>
        <v>12205</v>
      </c>
      <c r="J30" s="106">
        <f t="shared" si="5"/>
        <v>0.3599020995517811</v>
      </c>
      <c r="K30" s="38"/>
      <c r="L30" s="20" t="str">
        <f t="shared" si="2"/>
        <v/>
      </c>
      <c r="N30" s="24"/>
    </row>
    <row r="31" spans="1:17" s="22" customFormat="1" ht="25" customHeight="1" x14ac:dyDescent="0.45">
      <c r="A31" s="20"/>
      <c r="B31" s="37"/>
      <c r="C31" s="169">
        <v>26</v>
      </c>
      <c r="D31" s="128">
        <f t="shared" si="3"/>
        <v>53</v>
      </c>
      <c r="E31" s="128">
        <f t="shared" si="0"/>
        <v>4</v>
      </c>
      <c r="F31" s="102">
        <f t="shared" si="4"/>
        <v>62.3</v>
      </c>
      <c r="G31" s="103">
        <f>IF(D31=D30,"",_xlfn.IFNA(VLOOKUP(D31,'인원 입력 기능(사과탐)'!$P$64:$S$116,4,FALSE),0))</f>
        <v>1160</v>
      </c>
      <c r="H31" s="104">
        <f t="shared" si="1"/>
        <v>3.4206180702995991E-2</v>
      </c>
      <c r="I31" s="114">
        <f>SUM($G$7:G31)</f>
        <v>13365</v>
      </c>
      <c r="J31" s="106">
        <f t="shared" si="5"/>
        <v>0.39410828025477707</v>
      </c>
      <c r="K31" s="38"/>
      <c r="L31" s="20" t="str">
        <f t="shared" si="2"/>
        <v/>
      </c>
      <c r="N31" s="24"/>
    </row>
    <row r="32" spans="1:17" s="22" customFormat="1" ht="25" customHeight="1" x14ac:dyDescent="0.45">
      <c r="A32" s="20"/>
      <c r="B32" s="37"/>
      <c r="C32" s="127">
        <v>25</v>
      </c>
      <c r="D32" s="128">
        <f t="shared" si="3"/>
        <v>52</v>
      </c>
      <c r="E32" s="128">
        <f t="shared" si="0"/>
        <v>4</v>
      </c>
      <c r="F32" s="102">
        <f t="shared" si="4"/>
        <v>59.12</v>
      </c>
      <c r="G32" s="103">
        <f>IF(D32=D31,"",_xlfn.IFNA(VLOOKUP(D32,'인원 입력 기능(사과탐)'!$P$64:$S$116,4,FALSE),0))</f>
        <v>994</v>
      </c>
      <c r="H32" s="104">
        <f t="shared" si="1"/>
        <v>2.9311158292050013E-2</v>
      </c>
      <c r="I32" s="114">
        <f>SUM($G$7:G32)</f>
        <v>14359</v>
      </c>
      <c r="J32" s="106">
        <f t="shared" si="5"/>
        <v>0.42341943854682706</v>
      </c>
      <c r="K32" s="38"/>
      <c r="L32" s="20" t="str">
        <f t="shared" si="2"/>
        <v/>
      </c>
      <c r="N32" s="24"/>
    </row>
    <row r="33" spans="1:14" s="22" customFormat="1" ht="25" customHeight="1" x14ac:dyDescent="0.45">
      <c r="A33" s="20"/>
      <c r="B33" s="37"/>
      <c r="C33" s="169">
        <v>24</v>
      </c>
      <c r="D33" s="128">
        <f t="shared" si="3"/>
        <v>51</v>
      </c>
      <c r="E33" s="128">
        <f t="shared" si="0"/>
        <v>5</v>
      </c>
      <c r="F33" s="102">
        <f t="shared" si="4"/>
        <v>55.99</v>
      </c>
      <c r="G33" s="103">
        <f>IF(D33=D32,"",_xlfn.IFNA(VLOOKUP(D33,'인원 입력 기능(사과탐)'!$P$64:$S$116,4,FALSE),0))</f>
        <v>1131</v>
      </c>
      <c r="H33" s="104">
        <f t="shared" si="1"/>
        <v>3.3351026185421087E-2</v>
      </c>
      <c r="I33" s="114">
        <f>SUM($G$7:G33)</f>
        <v>15490</v>
      </c>
      <c r="J33" s="106">
        <f t="shared" si="5"/>
        <v>0.45677046473224819</v>
      </c>
      <c r="K33" s="38"/>
      <c r="L33" s="20" t="str">
        <f t="shared" si="2"/>
        <v/>
      </c>
      <c r="N33" s="24"/>
    </row>
    <row r="34" spans="1:14" s="22" customFormat="1" ht="25" customHeight="1" x14ac:dyDescent="0.45">
      <c r="A34" s="20"/>
      <c r="B34" s="37"/>
      <c r="C34" s="127">
        <v>23</v>
      </c>
      <c r="D34" s="128">
        <f t="shared" si="3"/>
        <v>50</v>
      </c>
      <c r="E34" s="128">
        <f t="shared" si="0"/>
        <v>5</v>
      </c>
      <c r="F34" s="102">
        <f t="shared" si="4"/>
        <v>52.47</v>
      </c>
      <c r="G34" s="103">
        <f>IF(D34=D33,"",_xlfn.IFNA(VLOOKUP(D34,'인원 입력 기능(사과탐)'!$P$64:$S$116,4,FALSE),0))</f>
        <v>1255</v>
      </c>
      <c r="H34" s="104">
        <f t="shared" si="1"/>
        <v>3.7007548950224109E-2</v>
      </c>
      <c r="I34" s="114">
        <f>SUM($G$7:G34)</f>
        <v>16745</v>
      </c>
      <c r="J34" s="106">
        <f t="shared" si="5"/>
        <v>0.49377801368247226</v>
      </c>
      <c r="K34" s="38"/>
      <c r="L34" s="20" t="str">
        <f t="shared" si="2"/>
        <v/>
      </c>
      <c r="N34" s="24"/>
    </row>
    <row r="35" spans="1:14" s="22" customFormat="1" ht="25" customHeight="1" x14ac:dyDescent="0.45">
      <c r="A35" s="20"/>
      <c r="B35" s="37"/>
      <c r="C35" s="169">
        <v>22</v>
      </c>
      <c r="D35" s="128">
        <f t="shared" si="3"/>
        <v>49</v>
      </c>
      <c r="E35" s="128">
        <f t="shared" si="0"/>
        <v>5</v>
      </c>
      <c r="F35" s="102">
        <f t="shared" si="4"/>
        <v>49</v>
      </c>
      <c r="G35" s="103">
        <f>IF(D35=D34,"",_xlfn.IFNA(VLOOKUP(D35,'인원 입력 기능(사과탐)'!$P$64:$S$116,4,FALSE),0))</f>
        <v>1103</v>
      </c>
      <c r="H35" s="104">
        <f t="shared" si="1"/>
        <v>3.2525359754659117E-2</v>
      </c>
      <c r="I35" s="114">
        <f>SUM($G$7:G35)</f>
        <v>17848</v>
      </c>
      <c r="J35" s="106">
        <f t="shared" si="5"/>
        <v>0.52630337343713141</v>
      </c>
      <c r="K35" s="38"/>
      <c r="L35" s="20" t="str">
        <f t="shared" si="2"/>
        <v/>
      </c>
      <c r="N35" s="24"/>
    </row>
    <row r="36" spans="1:14" s="22" customFormat="1" ht="25" customHeight="1" x14ac:dyDescent="0.45">
      <c r="A36" s="20"/>
      <c r="B36" s="37"/>
      <c r="C36" s="127">
        <v>21</v>
      </c>
      <c r="D36" s="128">
        <f t="shared" si="3"/>
        <v>48</v>
      </c>
      <c r="E36" s="128">
        <f t="shared" si="0"/>
        <v>5</v>
      </c>
      <c r="F36" s="102">
        <f t="shared" si="4"/>
        <v>45.53</v>
      </c>
      <c r="G36" s="103">
        <f>IF(D36=D35,"",_xlfn.IFNA(VLOOKUP(D36,'인원 입력 기능(사과탐)'!$P$64:$S$116,4,FALSE),0))</f>
        <v>1246</v>
      </c>
      <c r="H36" s="104">
        <f t="shared" si="1"/>
        <v>3.6742156168907761E-2</v>
      </c>
      <c r="I36" s="114">
        <f>SUM($G$7:G36)</f>
        <v>19094</v>
      </c>
      <c r="J36" s="106">
        <f t="shared" si="5"/>
        <v>0.56304552960603915</v>
      </c>
      <c r="K36" s="38"/>
      <c r="L36" s="20" t="str">
        <f t="shared" si="2"/>
        <v/>
      </c>
      <c r="N36" s="24"/>
    </row>
    <row r="37" spans="1:14" s="22" customFormat="1" ht="25" customHeight="1" x14ac:dyDescent="0.45">
      <c r="A37" s="20"/>
      <c r="B37" s="37"/>
      <c r="C37" s="169">
        <v>20</v>
      </c>
      <c r="D37" s="128">
        <f t="shared" si="3"/>
        <v>47</v>
      </c>
      <c r="E37" s="128">
        <f t="shared" si="0"/>
        <v>5</v>
      </c>
      <c r="F37" s="102">
        <f t="shared" si="4"/>
        <v>41.94</v>
      </c>
      <c r="G37" s="103">
        <f>IF(D37=D36,"",_xlfn.IFNA(VLOOKUP(D37,'인원 입력 기능(사과탐)'!$P$64:$S$116,4,FALSE),0))</f>
        <v>1193</v>
      </c>
      <c r="H37" s="104">
        <f t="shared" si="1"/>
        <v>3.5179287567822598E-2</v>
      </c>
      <c r="I37" s="114">
        <f>SUM($G$7:G37)</f>
        <v>20287</v>
      </c>
      <c r="J37" s="106">
        <f t="shared" si="5"/>
        <v>0.59822481717386178</v>
      </c>
      <c r="K37" s="38"/>
      <c r="L37" s="20" t="str">
        <f t="shared" si="2"/>
        <v/>
      </c>
      <c r="N37" s="24"/>
    </row>
    <row r="38" spans="1:14" s="22" customFormat="1" ht="25" customHeight="1" x14ac:dyDescent="0.45">
      <c r="A38" s="20"/>
      <c r="B38" s="37"/>
      <c r="C38" s="127">
        <v>19</v>
      </c>
      <c r="D38" s="128">
        <f t="shared" si="3"/>
        <v>46</v>
      </c>
      <c r="E38" s="128">
        <f t="shared" si="0"/>
        <v>5</v>
      </c>
      <c r="F38" s="102">
        <f t="shared" si="4"/>
        <v>38.43</v>
      </c>
      <c r="G38" s="103">
        <f>IF(D38=D37,"",_xlfn.IFNA(VLOOKUP(D38,'인원 입력 기능(사과탐)'!$P$64:$S$116,4,FALSE),0))</f>
        <v>1187</v>
      </c>
      <c r="H38" s="104">
        <f t="shared" si="1"/>
        <v>3.5002359046945035E-2</v>
      </c>
      <c r="I38" s="114">
        <f>SUM($G$7:G38)</f>
        <v>21474</v>
      </c>
      <c r="J38" s="106">
        <f t="shared" si="5"/>
        <v>0.63322717622080682</v>
      </c>
      <c r="K38" s="38"/>
      <c r="L38" s="20" t="str">
        <f t="shared" si="2"/>
        <v/>
      </c>
      <c r="N38" s="24"/>
    </row>
    <row r="39" spans="1:14" s="22" customFormat="1" ht="25" customHeight="1" x14ac:dyDescent="0.45">
      <c r="A39" s="20"/>
      <c r="B39" s="37"/>
      <c r="C39" s="169">
        <v>18</v>
      </c>
      <c r="D39" s="128">
        <f t="shared" si="3"/>
        <v>45</v>
      </c>
      <c r="E39" s="128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6</v>
      </c>
      <c r="F39" s="102">
        <f t="shared" si="4"/>
        <v>34.96</v>
      </c>
      <c r="G39" s="103">
        <f>IF(D39=D38,"",_xlfn.IFNA(VLOOKUP(D39,'인원 입력 기능(사과탐)'!$P$64:$S$116,4,FALSE),0))</f>
        <v>1162</v>
      </c>
      <c r="H39" s="104">
        <f t="shared" si="1"/>
        <v>3.4265156876621843E-2</v>
      </c>
      <c r="I39" s="114">
        <f>SUM($G$7:G39)</f>
        <v>22636</v>
      </c>
      <c r="J39" s="106">
        <f t="shared" si="5"/>
        <v>0.66749233309742861</v>
      </c>
      <c r="K39" s="38"/>
      <c r="L39" s="20" t="str">
        <f t="shared" si="2"/>
        <v/>
      </c>
      <c r="N39" s="24"/>
    </row>
    <row r="40" spans="1:14" s="22" customFormat="1" ht="25" customHeight="1" x14ac:dyDescent="0.45">
      <c r="A40" s="20"/>
      <c r="B40" s="37"/>
      <c r="C40" s="127">
        <v>17</v>
      </c>
      <c r="D40" s="128">
        <f t="shared" si="3"/>
        <v>44</v>
      </c>
      <c r="E40" s="128">
        <f t="shared" si="6"/>
        <v>6</v>
      </c>
      <c r="F40" s="102">
        <f t="shared" si="4"/>
        <v>31.72</v>
      </c>
      <c r="G40" s="103">
        <f>IF(D40=D39,"",_xlfn.IFNA(VLOOKUP(D40,'인원 입력 기능(사과탐)'!$P$64:$S$116,4,FALSE),0))</f>
        <v>1037</v>
      </c>
      <c r="H40" s="104">
        <f t="shared" si="1"/>
        <v>3.0579146025005898E-2</v>
      </c>
      <c r="I40" s="114">
        <f>SUM($G$7:G40)</f>
        <v>23673</v>
      </c>
      <c r="J40" s="106">
        <f t="shared" si="5"/>
        <v>0.6980714791224345</v>
      </c>
      <c r="K40" s="38"/>
      <c r="L40" s="20" t="str">
        <f t="shared" si="2"/>
        <v/>
      </c>
      <c r="N40" s="24"/>
    </row>
    <row r="41" spans="1:14" s="22" customFormat="1" ht="25" customHeight="1" x14ac:dyDescent="0.45">
      <c r="A41" s="20"/>
      <c r="B41" s="37"/>
      <c r="C41" s="169">
        <v>16</v>
      </c>
      <c r="D41" s="128">
        <f t="shared" si="3"/>
        <v>43</v>
      </c>
      <c r="E41" s="128">
        <f t="shared" si="6"/>
        <v>6</v>
      </c>
      <c r="F41" s="102">
        <f t="shared" si="4"/>
        <v>28.58</v>
      </c>
      <c r="G41" s="103">
        <f>IF(D41=D40,"",_xlfn.IFNA(VLOOKUP(D41,'인원 입력 기능(사과탐)'!$P$64:$S$116,4,FALSE),0))</f>
        <v>1093</v>
      </c>
      <c r="H41" s="104">
        <f t="shared" si="1"/>
        <v>3.2230478886529842E-2</v>
      </c>
      <c r="I41" s="114">
        <f>SUM($G$7:G41)</f>
        <v>24766</v>
      </c>
      <c r="J41" s="106">
        <f t="shared" si="5"/>
        <v>0.73030195800896436</v>
      </c>
      <c r="K41" s="38"/>
      <c r="L41" s="20" t="str">
        <f t="shared" si="2"/>
        <v/>
      </c>
      <c r="N41" s="24"/>
    </row>
    <row r="42" spans="1:14" s="22" customFormat="1" ht="25" customHeight="1" x14ac:dyDescent="0.45">
      <c r="A42" s="20"/>
      <c r="B42" s="37"/>
      <c r="C42" s="127">
        <v>15</v>
      </c>
      <c r="D42" s="128">
        <f t="shared" si="3"/>
        <v>42</v>
      </c>
      <c r="E42" s="128">
        <f t="shared" si="6"/>
        <v>6</v>
      </c>
      <c r="F42" s="102">
        <f t="shared" si="4"/>
        <v>25.6</v>
      </c>
      <c r="G42" s="103">
        <f>IF(D42=D41,"",_xlfn.IFNA(VLOOKUP(D42,'인원 입력 기능(사과탐)'!$P$64:$S$116,4,FALSE),0))</f>
        <v>932</v>
      </c>
      <c r="H42" s="104">
        <f t="shared" si="1"/>
        <v>2.7482896909648502E-2</v>
      </c>
      <c r="I42" s="114">
        <f>SUM($G$7:G42)</f>
        <v>25698</v>
      </c>
      <c r="J42" s="106">
        <f t="shared" si="5"/>
        <v>0.75778485491861292</v>
      </c>
      <c r="K42" s="38"/>
      <c r="L42" s="20" t="str">
        <f t="shared" si="2"/>
        <v/>
      </c>
      <c r="N42" s="24"/>
    </row>
    <row r="43" spans="1:14" s="22" customFormat="1" ht="25" customHeight="1" x14ac:dyDescent="0.45">
      <c r="A43" s="20"/>
      <c r="B43" s="37"/>
      <c r="C43" s="169">
        <v>14</v>
      </c>
      <c r="D43" s="128">
        <f t="shared" si="3"/>
        <v>41</v>
      </c>
      <c r="E43" s="128">
        <f t="shared" si="6"/>
        <v>6</v>
      </c>
      <c r="F43" s="102">
        <f t="shared" si="4"/>
        <v>22.81</v>
      </c>
      <c r="G43" s="103">
        <f>IF(D43=D42,"",_xlfn.IFNA(VLOOKUP(D43,'인원 입력 기능(사과탐)'!$P$64:$S$116,4,FALSE),0))</f>
        <v>959</v>
      </c>
      <c r="H43" s="104">
        <f t="shared" si="1"/>
        <v>2.8279075253597546E-2</v>
      </c>
      <c r="I43" s="114">
        <f>SUM($G$7:G43)</f>
        <v>26657</v>
      </c>
      <c r="J43" s="106">
        <f t="shared" si="5"/>
        <v>0.78606393017221043</v>
      </c>
      <c r="K43" s="38"/>
      <c r="L43" s="20" t="str">
        <f t="shared" si="2"/>
        <v/>
      </c>
      <c r="N43" s="24"/>
    </row>
    <row r="44" spans="1:14" s="22" customFormat="1" ht="25" customHeight="1" x14ac:dyDescent="0.45">
      <c r="A44" s="20"/>
      <c r="B44" s="37"/>
      <c r="C44" s="127">
        <v>13</v>
      </c>
      <c r="D44" s="128">
        <f t="shared" si="3"/>
        <v>40</v>
      </c>
      <c r="E44" s="128">
        <f t="shared" si="6"/>
        <v>7</v>
      </c>
      <c r="F44" s="102">
        <f t="shared" si="4"/>
        <v>19.93</v>
      </c>
      <c r="G44" s="103">
        <f>IF(D44=D43,"",_xlfn.IFNA(VLOOKUP(D44,'인원 입력 기능(사과탐)'!$P$64:$S$116,4,FALSE),0))</f>
        <v>991</v>
      </c>
      <c r="H44" s="104">
        <f t="shared" si="1"/>
        <v>2.9222694031611228E-2</v>
      </c>
      <c r="I44" s="114">
        <f>SUM($G$7:G44)</f>
        <v>27648</v>
      </c>
      <c r="J44" s="106">
        <f t="shared" si="5"/>
        <v>0.8152866242038217</v>
      </c>
      <c r="K44" s="38"/>
      <c r="L44" s="20" t="str">
        <f t="shared" si="2"/>
        <v/>
      </c>
      <c r="N44" s="24"/>
    </row>
    <row r="45" spans="1:14" s="22" customFormat="1" ht="25" customHeight="1" x14ac:dyDescent="0.45">
      <c r="A45" s="20"/>
      <c r="B45" s="37"/>
      <c r="C45" s="169">
        <v>12</v>
      </c>
      <c r="D45" s="128">
        <f t="shared" si="3"/>
        <v>39</v>
      </c>
      <c r="E45" s="128">
        <f t="shared" si="6"/>
        <v>7</v>
      </c>
      <c r="F45" s="102">
        <f t="shared" si="4"/>
        <v>16.079999999999998</v>
      </c>
      <c r="G45" s="103">
        <f>IF(D45=D44,"",_xlfn.IFNA(VLOOKUP(D45,'인원 입력 기능(사과탐)'!$P$64:$S$116,4,FALSE),0))</f>
        <v>1619</v>
      </c>
      <c r="H45" s="104">
        <f t="shared" si="1"/>
        <v>4.7741212550129745E-2</v>
      </c>
      <c r="I45" s="114">
        <f>SUM($G$7:G45)</f>
        <v>29267</v>
      </c>
      <c r="J45" s="106">
        <f t="shared" si="5"/>
        <v>0.86302783675395145</v>
      </c>
      <c r="K45" s="38"/>
      <c r="L45" s="20" t="str">
        <f t="shared" si="2"/>
        <v/>
      </c>
      <c r="N45" s="24"/>
    </row>
    <row r="46" spans="1:14" s="22" customFormat="1" ht="25" customHeight="1" x14ac:dyDescent="0.45">
      <c r="A46" s="20"/>
      <c r="B46" s="37"/>
      <c r="C46" s="127">
        <v>11</v>
      </c>
      <c r="D46" s="128">
        <f t="shared" si="3"/>
        <v>38</v>
      </c>
      <c r="E46" s="128">
        <f t="shared" si="6"/>
        <v>7</v>
      </c>
      <c r="F46" s="102">
        <f t="shared" si="4"/>
        <v>12.74</v>
      </c>
      <c r="G46" s="103">
        <f>IF(D46=D45,"",_xlfn.IFNA(VLOOKUP(D46,'인원 입력 기능(사과탐)'!$P$64:$S$116,4,FALSE),0))</f>
        <v>652</v>
      </c>
      <c r="H46" s="104">
        <f t="shared" si="1"/>
        <v>1.922623260202878E-2</v>
      </c>
      <c r="I46" s="114">
        <f>SUM($G$7:G46)</f>
        <v>29919</v>
      </c>
      <c r="J46" s="106">
        <f t="shared" si="5"/>
        <v>0.88225406935598016</v>
      </c>
      <c r="K46" s="38"/>
      <c r="L46" s="20" t="str">
        <f t="shared" si="2"/>
        <v/>
      </c>
      <c r="N46" s="24"/>
    </row>
    <row r="47" spans="1:14" s="22" customFormat="1" ht="25" customHeight="1" x14ac:dyDescent="0.45">
      <c r="A47" s="20"/>
      <c r="B47" s="37"/>
      <c r="C47" s="169">
        <v>10</v>
      </c>
      <c r="D47" s="128">
        <f t="shared" si="3"/>
        <v>37</v>
      </c>
      <c r="E47" s="128">
        <f t="shared" si="6"/>
        <v>7</v>
      </c>
      <c r="F47" s="102">
        <f t="shared" si="4"/>
        <v>9.1999999999999993</v>
      </c>
      <c r="G47" s="103">
        <f>IF(D47=D46,"",_xlfn.IFNA(VLOOKUP(D47,'인원 입력 기능(사과탐)'!$P$64:$S$116,4,FALSE),0))</f>
        <v>1746</v>
      </c>
      <c r="H47" s="104">
        <f t="shared" si="1"/>
        <v>5.1486199575371552E-2</v>
      </c>
      <c r="I47" s="114">
        <f>SUM($G$7:G47)</f>
        <v>31665</v>
      </c>
      <c r="J47" s="106">
        <f t="shared" si="5"/>
        <v>0.93374026893135176</v>
      </c>
      <c r="K47" s="38"/>
      <c r="L47" s="20" t="str">
        <f t="shared" si="2"/>
        <v/>
      </c>
      <c r="N47" s="24"/>
    </row>
    <row r="48" spans="1:14" s="22" customFormat="1" ht="25" customHeight="1" x14ac:dyDescent="0.45">
      <c r="A48" s="20"/>
      <c r="B48" s="37"/>
      <c r="C48" s="127">
        <v>9</v>
      </c>
      <c r="D48" s="128">
        <f t="shared" si="3"/>
        <v>36</v>
      </c>
      <c r="E48" s="128">
        <f t="shared" si="6"/>
        <v>8</v>
      </c>
      <c r="F48" s="102">
        <f t="shared" si="4"/>
        <v>5.91</v>
      </c>
      <c r="G48" s="103">
        <f>IF(D48=D47,"",_xlfn.IFNA(VLOOKUP(D48,'인원 입력 기능(사과탐)'!$P$64:$S$116,4,FALSE),0))</f>
        <v>486</v>
      </c>
      <c r="H48" s="104">
        <f t="shared" si="1"/>
        <v>1.4331210191082803E-2</v>
      </c>
      <c r="I48" s="114">
        <f>SUM($G$7:G48)</f>
        <v>32151</v>
      </c>
      <c r="J48" s="106">
        <f t="shared" si="5"/>
        <v>0.9480714791224345</v>
      </c>
      <c r="K48" s="38"/>
      <c r="L48" s="20" t="str">
        <f t="shared" si="2"/>
        <v/>
      </c>
      <c r="N48" s="24"/>
    </row>
    <row r="49" spans="1:14" s="22" customFormat="1" ht="25" customHeight="1" x14ac:dyDescent="0.45">
      <c r="A49" s="20"/>
      <c r="B49" s="37"/>
      <c r="C49" s="169">
        <v>8</v>
      </c>
      <c r="D49" s="130">
        <f t="shared" si="3"/>
        <v>35</v>
      </c>
      <c r="E49" s="130">
        <f t="shared" si="6"/>
        <v>8</v>
      </c>
      <c r="F49" s="116">
        <f t="shared" si="4"/>
        <v>3.66</v>
      </c>
      <c r="G49" s="117">
        <f>IF(D49=D48,"",_xlfn.IFNA(VLOOKUP(D49,'인원 입력 기능(사과탐)'!$P$64:$S$116,4,FALSE),0))</f>
        <v>1039</v>
      </c>
      <c r="H49" s="118">
        <f t="shared" si="1"/>
        <v>3.0638122198631754E-2</v>
      </c>
      <c r="I49" s="119">
        <f>SUM($G$7:G49)</f>
        <v>33190</v>
      </c>
      <c r="J49" s="120">
        <f t="shared" si="5"/>
        <v>0.97870960132106632</v>
      </c>
      <c r="K49" s="38"/>
      <c r="L49" s="20" t="str">
        <f t="shared" si="2"/>
        <v/>
      </c>
      <c r="N49" s="24"/>
    </row>
    <row r="50" spans="1:14" s="22" customFormat="1" ht="25" customHeight="1" x14ac:dyDescent="0.45">
      <c r="A50" s="20"/>
      <c r="B50" s="37"/>
      <c r="C50" s="127">
        <v>7</v>
      </c>
      <c r="D50" s="132"/>
      <c r="E50" s="132"/>
      <c r="F50" s="122"/>
      <c r="G50" s="123"/>
      <c r="H50" s="124"/>
      <c r="I50" s="125"/>
      <c r="J50" s="126"/>
      <c r="K50" s="38"/>
      <c r="L50" s="20" t="str">
        <f t="shared" si="2"/>
        <v>경고</v>
      </c>
      <c r="N50" s="24"/>
    </row>
    <row r="51" spans="1:14" s="22" customFormat="1" ht="25" customHeight="1" x14ac:dyDescent="0.45">
      <c r="A51" s="20"/>
      <c r="B51" s="37"/>
      <c r="C51" s="169">
        <v>6</v>
      </c>
      <c r="D51" s="128">
        <f t="shared" si="3"/>
        <v>34</v>
      </c>
      <c r="E51" s="128">
        <f t="shared" si="6"/>
        <v>9</v>
      </c>
      <c r="F51" s="102">
        <f t="shared" si="4"/>
        <v>1.8</v>
      </c>
      <c r="G51" s="103">
        <f>IF(D51=D50,"",_xlfn.IFNA(VLOOKUP(D51,'인원 입력 기능(사과탐)'!$P$64:$S$116,4,FALSE),0))</f>
        <v>224</v>
      </c>
      <c r="H51" s="104">
        <f t="shared" si="1"/>
        <v>6.6053314460957774E-3</v>
      </c>
      <c r="I51" s="114">
        <f>SUM($G$7:G51)</f>
        <v>33414</v>
      </c>
      <c r="J51" s="106">
        <f t="shared" si="5"/>
        <v>0.98531493276716209</v>
      </c>
      <c r="K51" s="38"/>
      <c r="L51" s="20" t="str">
        <f t="shared" si="2"/>
        <v/>
      </c>
      <c r="N51" s="24"/>
    </row>
    <row r="52" spans="1:14" s="22" customFormat="1" ht="25" customHeight="1" x14ac:dyDescent="0.45">
      <c r="A52" s="20"/>
      <c r="B52" s="37"/>
      <c r="C52" s="127">
        <v>5</v>
      </c>
      <c r="D52" s="128">
        <f t="shared" si="3"/>
        <v>33</v>
      </c>
      <c r="E52" s="128">
        <f t="shared" si="6"/>
        <v>9</v>
      </c>
      <c r="F52" s="102">
        <f t="shared" si="4"/>
        <v>1.17</v>
      </c>
      <c r="G52" s="103">
        <f>IF(D52=D51,"",_xlfn.IFNA(VLOOKUP(D52,'인원 입력 기능(사과탐)'!$P$64:$S$116,4,FALSE),0))</f>
        <v>203</v>
      </c>
      <c r="H52" s="104">
        <f t="shared" si="1"/>
        <v>5.9860816230242978E-3</v>
      </c>
      <c r="I52" s="114">
        <f>SUM($G$7:G52)</f>
        <v>33617</v>
      </c>
      <c r="J52" s="106">
        <f t="shared" si="5"/>
        <v>0.99130101439018636</v>
      </c>
      <c r="K52" s="38"/>
      <c r="L52" s="20" t="str">
        <f t="shared" si="2"/>
        <v/>
      </c>
      <c r="N52" s="24"/>
    </row>
    <row r="53" spans="1:14" s="22" customFormat="1" ht="25" customHeight="1" x14ac:dyDescent="0.45">
      <c r="A53" s="20"/>
      <c r="B53" s="37"/>
      <c r="C53" s="100">
        <v>4</v>
      </c>
      <c r="D53" s="101">
        <f t="shared" si="3"/>
        <v>32</v>
      </c>
      <c r="E53" s="101">
        <f t="shared" si="6"/>
        <v>9</v>
      </c>
      <c r="F53" s="102">
        <f t="shared" si="4"/>
        <v>0.7</v>
      </c>
      <c r="G53" s="103">
        <f>IF(D53=D52,"",_xlfn.IFNA(VLOOKUP(D53,'인원 입력 기능(사과탐)'!$P$64:$S$116,4,FALSE),0))</f>
        <v>112</v>
      </c>
      <c r="H53" s="104">
        <f t="shared" si="1"/>
        <v>3.3026657230478887E-3</v>
      </c>
      <c r="I53" s="114">
        <f>SUM($G$7:G53)</f>
        <v>33729</v>
      </c>
      <c r="J53" s="106">
        <f t="shared" si="5"/>
        <v>0.9946036801132343</v>
      </c>
      <c r="K53" s="38"/>
      <c r="L53" s="20" t="str">
        <f t="shared" si="2"/>
        <v/>
      </c>
      <c r="N53" s="24"/>
    </row>
    <row r="54" spans="1:14" s="22" customFormat="1" ht="25" customHeight="1" x14ac:dyDescent="0.45">
      <c r="A54" s="20"/>
      <c r="B54" s="37"/>
      <c r="C54" s="107">
        <v>3</v>
      </c>
      <c r="D54" s="101">
        <f t="shared" si="3"/>
        <v>31</v>
      </c>
      <c r="E54" s="101">
        <f t="shared" si="6"/>
        <v>9</v>
      </c>
      <c r="F54" s="102">
        <f t="shared" si="4"/>
        <v>0.45</v>
      </c>
      <c r="G54" s="103">
        <f>IF(D54=D53,"",_xlfn.IFNA(VLOOKUP(D54,'인원 입력 기능(사과탐)'!$P$64:$S$116,4,FALSE),0))</f>
        <v>64</v>
      </c>
      <c r="H54" s="104">
        <f t="shared" si="1"/>
        <v>1.8872375560273649E-3</v>
      </c>
      <c r="I54" s="114">
        <f>SUM($G$7:G54)</f>
        <v>33793</v>
      </c>
      <c r="J54" s="106">
        <f t="shared" si="5"/>
        <v>0.99649091766926157</v>
      </c>
      <c r="K54" s="38"/>
      <c r="L54" s="20" t="str">
        <f t="shared" si="2"/>
        <v/>
      </c>
      <c r="N54" s="24"/>
    </row>
    <row r="55" spans="1:14" s="22" customFormat="1" ht="25" customHeight="1" x14ac:dyDescent="0.45">
      <c r="A55" s="20"/>
      <c r="B55" s="37"/>
      <c r="C55" s="100">
        <v>2</v>
      </c>
      <c r="D55" s="101">
        <f t="shared" si="3"/>
        <v>30</v>
      </c>
      <c r="E55" s="101">
        <f t="shared" si="6"/>
        <v>9</v>
      </c>
      <c r="F55" s="102">
        <f t="shared" si="4"/>
        <v>0.24</v>
      </c>
      <c r="G55" s="103">
        <f>IF(D55=D54,"",_xlfn.IFNA(VLOOKUP(D55,'인원 입력 기능(사과탐)'!$P$64:$S$116,4,FALSE),0))</f>
        <v>77</v>
      </c>
      <c r="H55" s="104">
        <f t="shared" si="1"/>
        <v>2.2705826845954235E-3</v>
      </c>
      <c r="I55" s="114">
        <f>SUM($G$7:G55)</f>
        <v>33870</v>
      </c>
      <c r="J55" s="106">
        <f t="shared" si="5"/>
        <v>0.99876150035385702</v>
      </c>
      <c r="K55" s="38"/>
      <c r="L55" s="20" t="str">
        <f t="shared" si="2"/>
        <v/>
      </c>
      <c r="N55" s="24"/>
    </row>
    <row r="56" spans="1:14" s="22" customFormat="1" ht="25" customHeight="1" x14ac:dyDescent="0.45">
      <c r="A56" s="20"/>
      <c r="B56" s="37"/>
      <c r="C56" s="107">
        <v>1</v>
      </c>
      <c r="D56" s="108" t="s">
        <v>54</v>
      </c>
      <c r="E56" s="108"/>
      <c r="F56" s="109"/>
      <c r="G56" s="170"/>
      <c r="H56" s="168"/>
      <c r="I56" s="134"/>
      <c r="J56" s="113"/>
      <c r="K56" s="38"/>
      <c r="L56" s="20"/>
      <c r="N56" s="24"/>
    </row>
    <row r="57" spans="1:14" s="22" customFormat="1" ht="25" customHeight="1" thickBot="1" x14ac:dyDescent="0.5">
      <c r="A57" s="20"/>
      <c r="B57" s="37"/>
      <c r="C57" s="171">
        <v>0</v>
      </c>
      <c r="D57" s="136">
        <f>ROUND(10*(C57-$H$3)/$H$4+50,0)</f>
        <v>28</v>
      </c>
      <c r="E57" s="172">
        <f t="shared" si="6"/>
        <v>9</v>
      </c>
      <c r="F57" s="137">
        <f>IF(I55=0,ROUND(100*(1-(I54+I57)/2/$J$3),2),ROUND(100*(1-(I55+I57)/2/$J$3),2))</f>
        <v>0.06</v>
      </c>
      <c r="G57" s="173">
        <f>_xlfn.IFNA(VLOOKUP(D57,'인원 입력 기능(사과탐)'!$P$64:$S$116,4,FALSE),0)</f>
        <v>42</v>
      </c>
      <c r="H57" s="139">
        <f>G57/$J$3</f>
        <v>1.2384996461429583E-3</v>
      </c>
      <c r="I57" s="140">
        <f>SUM($G$7:G57)</f>
        <v>33912</v>
      </c>
      <c r="J57" s="174">
        <f>I57/$J$3</f>
        <v>1</v>
      </c>
      <c r="K57" s="38"/>
      <c r="L57" s="20" t="str">
        <f t="shared" si="2"/>
        <v/>
      </c>
      <c r="N57" s="24"/>
    </row>
    <row r="58" spans="1:14" ht="6" customHeight="1" x14ac:dyDescent="0.45">
      <c r="A58" s="5"/>
      <c r="B58" s="34"/>
      <c r="C58" s="35"/>
      <c r="D58" s="35"/>
      <c r="E58" s="35"/>
      <c r="F58" s="35"/>
      <c r="G58" s="35"/>
      <c r="H58" s="35"/>
      <c r="I58" s="35"/>
      <c r="J58" s="35"/>
      <c r="K58" s="36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16">
    <mergeCell ref="G28:G29"/>
    <mergeCell ref="H28:H29"/>
    <mergeCell ref="I28:I29"/>
    <mergeCell ref="J28:J29"/>
    <mergeCell ref="D49:D50"/>
    <mergeCell ref="E49:E50"/>
    <mergeCell ref="F49:F50"/>
    <mergeCell ref="G49:G50"/>
    <mergeCell ref="H49:H50"/>
    <mergeCell ref="I49:I50"/>
    <mergeCell ref="J49:J50"/>
    <mergeCell ref="D3:F3"/>
    <mergeCell ref="D4:F4"/>
    <mergeCell ref="D28:D29"/>
    <mergeCell ref="E28:E29"/>
    <mergeCell ref="F28:F29"/>
  </mergeCells>
  <phoneticPr fontId="1" type="noConversion"/>
  <conditionalFormatting sqref="D7:G28 I7:J28 D30:G49 I30:J49 D51:G57 I51:J57">
    <cfRule type="expression" dxfId="23" priority="4">
      <formula>OR($D7=$Q$7:$Q$14)</formula>
    </cfRule>
  </conditionalFormatting>
  <conditionalFormatting sqref="C7:C57">
    <cfRule type="expression" dxfId="22" priority="3">
      <formula>OR(AND($D7=0,OR($D6=$Q$7:$Q$14)),AND($D8&gt;0,OR($D7=$Q$7:$Q$14)))</formula>
    </cfRule>
  </conditionalFormatting>
  <conditionalFormatting sqref="D7:D28 D30:D49 D51:D57">
    <cfRule type="expression" dxfId="21" priority="2">
      <formula>$D7=$D8</formula>
    </cfRule>
  </conditionalFormatting>
  <conditionalFormatting sqref="H7:H28 H30:H49 H51:H57">
    <cfRule type="expression" dxfId="20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ED3DB-AFEE-440A-A9DD-88DC15649F11}">
  <sheetPr codeName="Sheet18"/>
  <dimension ref="A1:Q105"/>
  <sheetViews>
    <sheetView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5" t="s">
        <v>6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37"/>
      <c r="C3" s="84" t="s">
        <v>122</v>
      </c>
      <c r="D3" s="85" t="s">
        <v>67</v>
      </c>
      <c r="E3" s="86"/>
      <c r="F3" s="87"/>
      <c r="G3" s="84" t="s">
        <v>123</v>
      </c>
      <c r="H3" s="88" t="str">
        <f>'통계 및 응시자 수 입력 기능'!D16</f>
        <v>26.85</v>
      </c>
      <c r="I3" s="21" t="s">
        <v>124</v>
      </c>
      <c r="J3" s="89">
        <f>'통계 및 응시자 수 입력 기능'!C16</f>
        <v>47071</v>
      </c>
      <c r="K3" s="38"/>
      <c r="L3" s="20"/>
    </row>
    <row r="4" spans="1:17" s="22" customFormat="1" ht="25" customHeight="1" thickBot="1" x14ac:dyDescent="0.5">
      <c r="A4" s="20"/>
      <c r="B4" s="37"/>
      <c r="C4" s="90" t="s">
        <v>125</v>
      </c>
      <c r="D4" s="91" t="s">
        <v>150</v>
      </c>
      <c r="E4" s="92"/>
      <c r="F4" s="93"/>
      <c r="G4" s="94" t="s">
        <v>127</v>
      </c>
      <c r="H4" s="95" t="str">
        <f>'통계 및 응시자 수 입력 기능'!E16</f>
        <v>12.47</v>
      </c>
      <c r="I4" s="39"/>
      <c r="J4" s="40"/>
      <c r="K4" s="38"/>
      <c r="L4" s="20"/>
    </row>
    <row r="5" spans="1:17" s="22" customFormat="1" ht="25" customHeight="1" thickBot="1" x14ac:dyDescent="0.5">
      <c r="A5" s="20"/>
      <c r="B5" s="37"/>
      <c r="C5" s="32"/>
      <c r="D5" s="32"/>
      <c r="E5" s="32"/>
      <c r="F5" s="32"/>
      <c r="G5" s="32"/>
      <c r="H5" s="33"/>
      <c r="I5" s="33"/>
      <c r="J5" s="33"/>
      <c r="K5" s="38"/>
      <c r="L5" s="20"/>
    </row>
    <row r="6" spans="1:17" s="22" customFormat="1" ht="25" customHeight="1" thickBot="1" x14ac:dyDescent="0.5">
      <c r="A6" s="20"/>
      <c r="B6" s="37"/>
      <c r="C6" s="96" t="s">
        <v>129</v>
      </c>
      <c r="D6" s="97" t="s">
        <v>130</v>
      </c>
      <c r="E6" s="97" t="s">
        <v>131</v>
      </c>
      <c r="F6" s="97" t="s">
        <v>132</v>
      </c>
      <c r="G6" s="97" t="s">
        <v>133</v>
      </c>
      <c r="H6" s="97" t="s">
        <v>134</v>
      </c>
      <c r="I6" s="98" t="s">
        <v>135</v>
      </c>
      <c r="J6" s="99" t="s">
        <v>136</v>
      </c>
      <c r="K6" s="38"/>
      <c r="L6" s="19" t="s">
        <v>62</v>
      </c>
      <c r="M6" s="19"/>
      <c r="N6" s="23"/>
    </row>
    <row r="7" spans="1:17" s="22" customFormat="1" ht="25" customHeight="1" x14ac:dyDescent="0.45">
      <c r="A7" s="20"/>
      <c r="B7" s="37"/>
      <c r="C7" s="100">
        <v>50</v>
      </c>
      <c r="D7" s="101">
        <f>ROUND(10*(C7-$H$3)/$H$4+50,0)</f>
        <v>69</v>
      </c>
      <c r="E7" s="101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102">
        <f>ROUND(100*(1-(0+I7)/2/$J$3),2)</f>
        <v>98.4</v>
      </c>
      <c r="G7" s="103">
        <f>_xlfn.IFNA(VLOOKUP(D7,'인원 입력 기능(사과탐)'!$A$121:$D$172,4,FALSE),0)</f>
        <v>1502</v>
      </c>
      <c r="H7" s="104">
        <f>G7/$J$3</f>
        <v>3.1909243483248709E-2</v>
      </c>
      <c r="I7" s="105">
        <f>G7</f>
        <v>1502</v>
      </c>
      <c r="J7" s="106">
        <f>I7/$J$3</f>
        <v>3.1909243483248709E-2</v>
      </c>
      <c r="K7" s="38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기능'!C112</f>
        <v>67</v>
      </c>
    </row>
    <row r="8" spans="1:17" s="22" customFormat="1" ht="25" customHeight="1" x14ac:dyDescent="0.45">
      <c r="A8" s="20"/>
      <c r="B8" s="37"/>
      <c r="C8" s="107">
        <v>49</v>
      </c>
      <c r="D8" s="108" t="s">
        <v>54</v>
      </c>
      <c r="E8" s="108"/>
      <c r="F8" s="109"/>
      <c r="G8" s="110"/>
      <c r="H8" s="168"/>
      <c r="I8" s="112"/>
      <c r="J8" s="113"/>
      <c r="K8" s="38"/>
      <c r="L8" s="20"/>
      <c r="N8" s="24"/>
      <c r="P8" s="24">
        <v>2</v>
      </c>
      <c r="Q8" s="24">
        <f>'표점등급&amp;절평인원 입력 기능'!C113</f>
        <v>64</v>
      </c>
    </row>
    <row r="9" spans="1:17" s="22" customFormat="1" ht="25" customHeight="1" x14ac:dyDescent="0.45">
      <c r="A9" s="20"/>
      <c r="B9" s="37"/>
      <c r="C9" s="100">
        <v>48</v>
      </c>
      <c r="D9" s="101">
        <f>ROUND(10*(C9-$H$3)/$H$4+50,0)</f>
        <v>67</v>
      </c>
      <c r="E9" s="101">
        <f t="shared" si="0"/>
        <v>1</v>
      </c>
      <c r="F9" s="102">
        <f>IF(I8=0,ROUND(100*(1-(I7+I9)/2/$J$3),2),ROUND(100*(1-(I8+I9)/2/$J$3),2))</f>
        <v>95.9</v>
      </c>
      <c r="G9" s="103">
        <f>_xlfn.IFNA(VLOOKUP(D9,'인원 입력 기능(사과탐)'!$A$121:$D$172,4,FALSE),0)</f>
        <v>859</v>
      </c>
      <c r="H9" s="104">
        <f t="shared" ref="H9:H55" si="1">G9/$J$3</f>
        <v>1.8249028063988443E-2</v>
      </c>
      <c r="I9" s="114">
        <f>SUM($G$7:G9)</f>
        <v>2361</v>
      </c>
      <c r="J9" s="106">
        <f>I9/$J$3</f>
        <v>5.0158271547237156E-2</v>
      </c>
      <c r="K9" s="38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기능'!C114</f>
        <v>59</v>
      </c>
    </row>
    <row r="10" spans="1:17" s="22" customFormat="1" ht="25" customHeight="1" x14ac:dyDescent="0.45">
      <c r="A10" s="20"/>
      <c r="B10" s="37"/>
      <c r="C10" s="107">
        <v>47</v>
      </c>
      <c r="D10" s="101">
        <f t="shared" ref="D10:D55" si="3">ROUND(10*(C10-$H$3)/$H$4+50,0)</f>
        <v>66</v>
      </c>
      <c r="E10" s="101">
        <f t="shared" si="0"/>
        <v>2</v>
      </c>
      <c r="F10" s="102">
        <f t="shared" ref="F10:F55" si="4">IF(I9=0,ROUND(100*(1-(I8+I10)/2/$J$3),2),ROUND(100*(1-(I9+I10)/2/$J$3),2))</f>
        <v>94.07</v>
      </c>
      <c r="G10" s="103">
        <f>IF(D10=D9,"",_xlfn.IFNA(VLOOKUP(D10,'인원 입력 기능(사과탐)'!$A$121:$D$172,4,FALSE),0))</f>
        <v>860</v>
      </c>
      <c r="H10" s="104">
        <f t="shared" si="1"/>
        <v>1.8270272566973295E-2</v>
      </c>
      <c r="I10" s="114">
        <f>SUM($G$7:G10)</f>
        <v>3221</v>
      </c>
      <c r="J10" s="106">
        <f t="shared" ref="J10:J55" si="5">I10/$J$3</f>
        <v>6.8428544114210454E-2</v>
      </c>
      <c r="K10" s="38"/>
      <c r="L10" s="20" t="str">
        <f t="shared" si="2"/>
        <v/>
      </c>
      <c r="N10" s="24"/>
      <c r="P10" s="24">
        <v>4</v>
      </c>
      <c r="Q10" s="24">
        <f>'표점등급&amp;절평인원 입력 기능'!C115</f>
        <v>53</v>
      </c>
    </row>
    <row r="11" spans="1:17" s="22" customFormat="1" ht="25" customHeight="1" x14ac:dyDescent="0.45">
      <c r="A11" s="20"/>
      <c r="B11" s="37"/>
      <c r="C11" s="100">
        <v>46</v>
      </c>
      <c r="D11" s="115">
        <f t="shared" si="3"/>
        <v>65</v>
      </c>
      <c r="E11" s="115">
        <f t="shared" si="0"/>
        <v>2</v>
      </c>
      <c r="F11" s="116">
        <f t="shared" si="4"/>
        <v>91.39</v>
      </c>
      <c r="G11" s="117">
        <f>IF(D11=D10,"",_xlfn.IFNA(VLOOKUP(D11,'인원 입력 기능(사과탐)'!$A$121:$D$172,4,FALSE),0))</f>
        <v>1660</v>
      </c>
      <c r="H11" s="118">
        <f t="shared" si="1"/>
        <v>3.5265874954855433E-2</v>
      </c>
      <c r="I11" s="119">
        <f>SUM($G$7:G11)</f>
        <v>4881</v>
      </c>
      <c r="J11" s="120">
        <f t="shared" si="5"/>
        <v>0.10369441906906587</v>
      </c>
      <c r="K11" s="38"/>
      <c r="L11" s="20" t="str">
        <f t="shared" si="2"/>
        <v/>
      </c>
      <c r="N11" s="24"/>
      <c r="P11" s="24">
        <v>5</v>
      </c>
      <c r="Q11" s="24">
        <f>'표점등급&amp;절평인원 입력 기능'!C116</f>
        <v>47</v>
      </c>
    </row>
    <row r="12" spans="1:17" s="22" customFormat="1" ht="25" customHeight="1" x14ac:dyDescent="0.45">
      <c r="A12" s="20"/>
      <c r="B12" s="37"/>
      <c r="C12" s="107">
        <v>45</v>
      </c>
      <c r="D12" s="121"/>
      <c r="E12" s="121"/>
      <c r="F12" s="122"/>
      <c r="G12" s="123"/>
      <c r="H12" s="124"/>
      <c r="I12" s="125"/>
      <c r="J12" s="126"/>
      <c r="K12" s="38"/>
      <c r="L12" s="20" t="str">
        <f t="shared" si="2"/>
        <v>경고</v>
      </c>
      <c r="N12" s="24"/>
      <c r="P12" s="24">
        <v>6</v>
      </c>
      <c r="Q12" s="24">
        <f>'표점등급&amp;절평인원 입력 기능'!C117</f>
        <v>40</v>
      </c>
    </row>
    <row r="13" spans="1:17" s="22" customFormat="1" ht="25" customHeight="1" x14ac:dyDescent="0.45">
      <c r="A13" s="20"/>
      <c r="B13" s="37"/>
      <c r="C13" s="100">
        <v>44</v>
      </c>
      <c r="D13" s="101">
        <f t="shared" si="3"/>
        <v>64</v>
      </c>
      <c r="E13" s="101">
        <f t="shared" si="0"/>
        <v>2</v>
      </c>
      <c r="F13" s="102">
        <f t="shared" si="4"/>
        <v>89.09</v>
      </c>
      <c r="G13" s="103">
        <f>IF(D13=D12,"",_xlfn.IFNA(VLOOKUP(D13,'인원 입력 기능(사과탐)'!$A$121:$D$172,4,FALSE),0))</f>
        <v>505</v>
      </c>
      <c r="H13" s="104">
        <f t="shared" si="1"/>
        <v>1.0728474007350598E-2</v>
      </c>
      <c r="I13" s="114">
        <f>SUM($G$7:G13)</f>
        <v>5386</v>
      </c>
      <c r="J13" s="106">
        <f t="shared" si="5"/>
        <v>0.11442289307641648</v>
      </c>
      <c r="K13" s="38"/>
      <c r="L13" s="20" t="str">
        <f t="shared" si="2"/>
        <v/>
      </c>
      <c r="N13" s="24"/>
      <c r="P13" s="24">
        <v>7</v>
      </c>
      <c r="Q13" s="24">
        <f>'표점등급&amp;절평인원 입력 기능'!C118</f>
        <v>37</v>
      </c>
    </row>
    <row r="14" spans="1:17" s="22" customFormat="1" ht="25" customHeight="1" x14ac:dyDescent="0.45">
      <c r="A14" s="20"/>
      <c r="B14" s="37"/>
      <c r="C14" s="107">
        <v>43</v>
      </c>
      <c r="D14" s="101">
        <f t="shared" si="3"/>
        <v>63</v>
      </c>
      <c r="E14" s="101">
        <f t="shared" si="0"/>
        <v>3</v>
      </c>
      <c r="F14" s="102">
        <f t="shared" si="4"/>
        <v>87.76</v>
      </c>
      <c r="G14" s="103">
        <f>IF(D14=D13,"",_xlfn.IFNA(VLOOKUP(D14,'인원 입력 기능(사과탐)'!$A$121:$D$172,4,FALSE),0))</f>
        <v>751</v>
      </c>
      <c r="H14" s="104">
        <f t="shared" si="1"/>
        <v>1.5954621741624354E-2</v>
      </c>
      <c r="I14" s="114">
        <f>SUM($G$7:G14)</f>
        <v>6137</v>
      </c>
      <c r="J14" s="106">
        <f t="shared" si="5"/>
        <v>0.13037751481804083</v>
      </c>
      <c r="K14" s="38"/>
      <c r="L14" s="20" t="str">
        <f t="shared" si="2"/>
        <v/>
      </c>
      <c r="N14" s="24"/>
      <c r="P14" s="24">
        <v>8</v>
      </c>
      <c r="Q14" s="24">
        <f>'표점등급&amp;절평인원 입력 기능'!C119</f>
        <v>35</v>
      </c>
    </row>
    <row r="15" spans="1:17" s="22" customFormat="1" ht="25" customHeight="1" x14ac:dyDescent="0.45">
      <c r="A15" s="20"/>
      <c r="B15" s="37"/>
      <c r="C15" s="100">
        <v>42</v>
      </c>
      <c r="D15" s="101">
        <f t="shared" si="3"/>
        <v>62</v>
      </c>
      <c r="E15" s="101">
        <f t="shared" si="0"/>
        <v>3</v>
      </c>
      <c r="F15" s="102">
        <f t="shared" si="4"/>
        <v>85.51</v>
      </c>
      <c r="G15" s="103">
        <f>IF(D15=D14,"",_xlfn.IFNA(VLOOKUP(D15,'인원 입력 기능(사과탐)'!$A$121:$D$172,4,FALSE),0))</f>
        <v>1369</v>
      </c>
      <c r="H15" s="104">
        <f t="shared" si="1"/>
        <v>2.9083724586263304E-2</v>
      </c>
      <c r="I15" s="114">
        <f>SUM($G$7:G15)</f>
        <v>7506</v>
      </c>
      <c r="J15" s="106">
        <f t="shared" si="5"/>
        <v>0.15946123940430412</v>
      </c>
      <c r="K15" s="38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7"/>
      <c r="C16" s="107">
        <v>41</v>
      </c>
      <c r="D16" s="115">
        <f t="shared" si="3"/>
        <v>61</v>
      </c>
      <c r="E16" s="115">
        <f t="shared" si="0"/>
        <v>3</v>
      </c>
      <c r="F16" s="116">
        <f t="shared" si="4"/>
        <v>82.28</v>
      </c>
      <c r="G16" s="117">
        <f>IF(D16=D15,"",_xlfn.IFNA(VLOOKUP(D16,'인원 입력 기능(사과탐)'!$A$121:$D$172,4,FALSE),0))</f>
        <v>1668</v>
      </c>
      <c r="H16" s="118">
        <f t="shared" si="1"/>
        <v>3.5435830978734255E-2</v>
      </c>
      <c r="I16" s="119">
        <f>SUM($G$7:G16)</f>
        <v>9174</v>
      </c>
      <c r="J16" s="120">
        <f t="shared" si="5"/>
        <v>0.19489707038303838</v>
      </c>
      <c r="K16" s="38"/>
      <c r="L16" s="20" t="str">
        <f t="shared" si="2"/>
        <v/>
      </c>
      <c r="N16" s="24"/>
    </row>
    <row r="17" spans="1:17" s="22" customFormat="1" ht="25" customHeight="1" x14ac:dyDescent="0.45">
      <c r="A17" s="20"/>
      <c r="B17" s="37"/>
      <c r="C17" s="100">
        <v>40</v>
      </c>
      <c r="D17" s="121"/>
      <c r="E17" s="121"/>
      <c r="F17" s="122"/>
      <c r="G17" s="123"/>
      <c r="H17" s="124"/>
      <c r="I17" s="125"/>
      <c r="J17" s="126"/>
      <c r="K17" s="38"/>
      <c r="L17" s="20" t="str">
        <f t="shared" si="2"/>
        <v>경고</v>
      </c>
      <c r="N17" s="24"/>
      <c r="Q17" s="24">
        <f>Q7*H3*H4*J3*IFERROR(IF(J57=1, 1, 0), 0)</f>
        <v>1055939341.8615</v>
      </c>
    </row>
    <row r="18" spans="1:17" s="22" customFormat="1" ht="25" customHeight="1" x14ac:dyDescent="0.45">
      <c r="A18" s="20"/>
      <c r="B18" s="37"/>
      <c r="C18" s="107">
        <v>39</v>
      </c>
      <c r="D18" s="101">
        <f t="shared" si="3"/>
        <v>60</v>
      </c>
      <c r="E18" s="101">
        <f t="shared" si="0"/>
        <v>3</v>
      </c>
      <c r="F18" s="102">
        <f t="shared" si="4"/>
        <v>79.39</v>
      </c>
      <c r="G18" s="103">
        <f>IF(D18=D17,"",_xlfn.IFNA(VLOOKUP(D18,'인원 입력 기능(사과탐)'!$A$121:$D$172,4,FALSE),0))</f>
        <v>1055</v>
      </c>
      <c r="H18" s="104">
        <f t="shared" si="1"/>
        <v>2.2412950649019565E-2</v>
      </c>
      <c r="I18" s="114">
        <f>SUM($G$7:G18)</f>
        <v>10229</v>
      </c>
      <c r="J18" s="106">
        <f t="shared" si="5"/>
        <v>0.21731002103205796</v>
      </c>
      <c r="K18" s="38"/>
      <c r="L18" s="20" t="str">
        <f t="shared" si="2"/>
        <v/>
      </c>
      <c r="N18" s="24"/>
    </row>
    <row r="19" spans="1:17" s="22" customFormat="1" ht="25" customHeight="1" x14ac:dyDescent="0.45">
      <c r="A19" s="20"/>
      <c r="B19" s="37"/>
      <c r="C19" s="100">
        <v>38</v>
      </c>
      <c r="D19" s="101">
        <f t="shared" si="3"/>
        <v>59</v>
      </c>
      <c r="E19" s="101">
        <f t="shared" si="0"/>
        <v>3</v>
      </c>
      <c r="F19" s="102">
        <f t="shared" si="4"/>
        <v>77.489999999999995</v>
      </c>
      <c r="G19" s="103">
        <f>IF(D19=D18,"",_xlfn.IFNA(VLOOKUP(D19,'인원 입력 기능(사과탐)'!$A$121:$D$172,4,FALSE),0))</f>
        <v>733</v>
      </c>
      <c r="H19" s="104">
        <f t="shared" si="1"/>
        <v>1.5572220687897006E-2</v>
      </c>
      <c r="I19" s="114">
        <f>SUM($G$7:G19)</f>
        <v>10962</v>
      </c>
      <c r="J19" s="106">
        <f t="shared" si="5"/>
        <v>0.23288224171995497</v>
      </c>
      <c r="K19" s="38"/>
      <c r="L19" s="20" t="str">
        <f t="shared" si="2"/>
        <v/>
      </c>
      <c r="N19" s="24"/>
    </row>
    <row r="20" spans="1:17" s="22" customFormat="1" ht="25" customHeight="1" x14ac:dyDescent="0.45">
      <c r="A20" s="20"/>
      <c r="B20" s="37"/>
      <c r="C20" s="107">
        <v>37</v>
      </c>
      <c r="D20" s="101">
        <f t="shared" si="3"/>
        <v>58</v>
      </c>
      <c r="E20" s="101">
        <f t="shared" si="0"/>
        <v>4</v>
      </c>
      <c r="F20" s="102">
        <f t="shared" si="4"/>
        <v>75.31</v>
      </c>
      <c r="G20" s="103">
        <f>IF(D20=D19,"",_xlfn.IFNA(VLOOKUP(D20,'인원 입력 기능(사과탐)'!$A$121:$D$172,4,FALSE),0))</f>
        <v>1319</v>
      </c>
      <c r="H20" s="104">
        <f t="shared" si="1"/>
        <v>2.8021499437020671E-2</v>
      </c>
      <c r="I20" s="114">
        <f>SUM($G$7:G20)</f>
        <v>12281</v>
      </c>
      <c r="J20" s="106">
        <f t="shared" si="5"/>
        <v>0.26090374115697562</v>
      </c>
      <c r="K20" s="38"/>
      <c r="L20" s="20" t="str">
        <f t="shared" si="2"/>
        <v/>
      </c>
      <c r="N20" s="24"/>
    </row>
    <row r="21" spans="1:17" s="22" customFormat="1" ht="25" customHeight="1" x14ac:dyDescent="0.45">
      <c r="A21" s="20"/>
      <c r="B21" s="37"/>
      <c r="C21" s="169">
        <v>36</v>
      </c>
      <c r="D21" s="130">
        <f t="shared" si="3"/>
        <v>57</v>
      </c>
      <c r="E21" s="130">
        <f t="shared" si="0"/>
        <v>4</v>
      </c>
      <c r="F21" s="116">
        <f t="shared" si="4"/>
        <v>71.790000000000006</v>
      </c>
      <c r="G21" s="117">
        <f>IF(D21=D20,"",_xlfn.IFNA(VLOOKUP(D21,'인원 입력 기능(사과탐)'!$A$121:$D$172,4,FALSE),0))</f>
        <v>1992</v>
      </c>
      <c r="H21" s="118">
        <f t="shared" si="1"/>
        <v>4.2319049945826519E-2</v>
      </c>
      <c r="I21" s="119">
        <f>SUM($G$7:G21)</f>
        <v>14273</v>
      </c>
      <c r="J21" s="120">
        <f t="shared" si="5"/>
        <v>0.30322279110280215</v>
      </c>
      <c r="K21" s="38"/>
      <c r="L21" s="20" t="str">
        <f t="shared" si="2"/>
        <v/>
      </c>
      <c r="N21" s="24"/>
    </row>
    <row r="22" spans="1:17" s="22" customFormat="1" ht="25" customHeight="1" x14ac:dyDescent="0.45">
      <c r="A22" s="20"/>
      <c r="B22" s="37"/>
      <c r="C22" s="127">
        <v>35</v>
      </c>
      <c r="D22" s="132"/>
      <c r="E22" s="132"/>
      <c r="F22" s="122"/>
      <c r="G22" s="123"/>
      <c r="H22" s="124"/>
      <c r="I22" s="125"/>
      <c r="J22" s="126"/>
      <c r="K22" s="38"/>
      <c r="L22" s="20" t="str">
        <f t="shared" si="2"/>
        <v>경고</v>
      </c>
      <c r="N22" s="24"/>
    </row>
    <row r="23" spans="1:17" s="22" customFormat="1" ht="25" customHeight="1" x14ac:dyDescent="0.45">
      <c r="A23" s="20"/>
      <c r="B23" s="37"/>
      <c r="C23" s="169">
        <v>34</v>
      </c>
      <c r="D23" s="128">
        <f t="shared" si="3"/>
        <v>56</v>
      </c>
      <c r="E23" s="128">
        <f t="shared" si="0"/>
        <v>4</v>
      </c>
      <c r="F23" s="102">
        <f t="shared" si="4"/>
        <v>68.349999999999994</v>
      </c>
      <c r="G23" s="103">
        <f>IF(D23=D22,"",_xlfn.IFNA(VLOOKUP(D23,'인원 입력 기능(사과탐)'!$A$121:$D$172,4,FALSE),0))</f>
        <v>1248</v>
      </c>
      <c r="H23" s="104">
        <f t="shared" si="1"/>
        <v>2.6513139725096131E-2</v>
      </c>
      <c r="I23" s="114">
        <f>SUM($G$7:G23)</f>
        <v>15521</v>
      </c>
      <c r="J23" s="106">
        <f t="shared" si="5"/>
        <v>0.32973593082789826</v>
      </c>
      <c r="K23" s="38"/>
      <c r="L23" s="20" t="str">
        <f t="shared" si="2"/>
        <v/>
      </c>
      <c r="N23" s="24"/>
    </row>
    <row r="24" spans="1:17" s="22" customFormat="1" ht="25" customHeight="1" x14ac:dyDescent="0.45">
      <c r="A24" s="20"/>
      <c r="B24" s="37"/>
      <c r="C24" s="127">
        <v>33</v>
      </c>
      <c r="D24" s="128">
        <f t="shared" si="3"/>
        <v>55</v>
      </c>
      <c r="E24" s="128">
        <f t="shared" si="0"/>
        <v>4</v>
      </c>
      <c r="F24" s="102">
        <f t="shared" si="4"/>
        <v>65.989999999999995</v>
      </c>
      <c r="G24" s="103">
        <f>IF(D24=D23,"",_xlfn.IFNA(VLOOKUP(D24,'인원 입력 기능(사과탐)'!$A$121:$D$172,4,FALSE),0))</f>
        <v>979</v>
      </c>
      <c r="H24" s="104">
        <f t="shared" si="1"/>
        <v>2.0798368422170765E-2</v>
      </c>
      <c r="I24" s="114">
        <f>SUM($G$7:G24)</f>
        <v>16500</v>
      </c>
      <c r="J24" s="106">
        <f t="shared" si="5"/>
        <v>0.35053429925006907</v>
      </c>
      <c r="K24" s="38"/>
      <c r="L24" s="20" t="str">
        <f t="shared" si="2"/>
        <v/>
      </c>
      <c r="N24" s="24"/>
    </row>
    <row r="25" spans="1:17" s="22" customFormat="1" ht="25" customHeight="1" x14ac:dyDescent="0.45">
      <c r="A25" s="20"/>
      <c r="B25" s="37"/>
      <c r="C25" s="169">
        <v>32</v>
      </c>
      <c r="D25" s="128">
        <f t="shared" si="3"/>
        <v>54</v>
      </c>
      <c r="E25" s="128">
        <f t="shared" si="0"/>
        <v>4</v>
      </c>
      <c r="F25" s="102">
        <f t="shared" si="4"/>
        <v>63.48</v>
      </c>
      <c r="G25" s="103">
        <f>IF(D25=D24,"",_xlfn.IFNA(VLOOKUP(D25,'인원 입력 기능(사과탐)'!$A$121:$D$172,4,FALSE),0))</f>
        <v>1381</v>
      </c>
      <c r="H25" s="104">
        <f t="shared" si="1"/>
        <v>2.9338658622081536E-2</v>
      </c>
      <c r="I25" s="114">
        <f>SUM($G$7:G25)</f>
        <v>17881</v>
      </c>
      <c r="J25" s="106">
        <f t="shared" si="5"/>
        <v>0.37987295787215059</v>
      </c>
      <c r="K25" s="38"/>
      <c r="L25" s="20" t="str">
        <f t="shared" si="2"/>
        <v/>
      </c>
      <c r="N25" s="24"/>
    </row>
    <row r="26" spans="1:17" s="22" customFormat="1" ht="25" customHeight="1" x14ac:dyDescent="0.45">
      <c r="A26" s="20"/>
      <c r="B26" s="37"/>
      <c r="C26" s="127">
        <v>31</v>
      </c>
      <c r="D26" s="130">
        <f t="shared" si="3"/>
        <v>53</v>
      </c>
      <c r="E26" s="130">
        <f t="shared" si="0"/>
        <v>4</v>
      </c>
      <c r="F26" s="116">
        <f t="shared" si="4"/>
        <v>59.65</v>
      </c>
      <c r="G26" s="117">
        <f>IF(D26=D25,"",_xlfn.IFNA(VLOOKUP(D26,'인원 입력 기능(사과탐)'!$A$121:$D$172,4,FALSE),0))</f>
        <v>2226</v>
      </c>
      <c r="H26" s="118">
        <f t="shared" si="1"/>
        <v>4.7290263644282043E-2</v>
      </c>
      <c r="I26" s="119">
        <f>SUM($G$7:G26)</f>
        <v>20107</v>
      </c>
      <c r="J26" s="120">
        <f t="shared" si="5"/>
        <v>0.4271632215164326</v>
      </c>
      <c r="K26" s="38"/>
      <c r="L26" s="20" t="str">
        <f t="shared" si="2"/>
        <v/>
      </c>
      <c r="N26" s="24"/>
    </row>
    <row r="27" spans="1:17" s="22" customFormat="1" ht="25" customHeight="1" x14ac:dyDescent="0.45">
      <c r="A27" s="20"/>
      <c r="B27" s="37"/>
      <c r="C27" s="169">
        <v>30</v>
      </c>
      <c r="D27" s="132"/>
      <c r="E27" s="132"/>
      <c r="F27" s="122"/>
      <c r="G27" s="123"/>
      <c r="H27" s="124"/>
      <c r="I27" s="125"/>
      <c r="J27" s="126"/>
      <c r="K27" s="38"/>
      <c r="L27" s="20" t="str">
        <f t="shared" si="2"/>
        <v>경고</v>
      </c>
      <c r="N27" s="24"/>
    </row>
    <row r="28" spans="1:17" s="22" customFormat="1" ht="25" customHeight="1" x14ac:dyDescent="0.45">
      <c r="A28" s="20"/>
      <c r="B28" s="37"/>
      <c r="C28" s="127">
        <v>29</v>
      </c>
      <c r="D28" s="128">
        <f t="shared" si="3"/>
        <v>52</v>
      </c>
      <c r="E28" s="128">
        <f t="shared" si="0"/>
        <v>5</v>
      </c>
      <c r="F28" s="102">
        <f t="shared" si="4"/>
        <v>55.9</v>
      </c>
      <c r="G28" s="103">
        <f>IF(D28=D27,"",_xlfn.IFNA(VLOOKUP(D28,'인원 입력 기능(사과탐)'!$A$121:$D$172,4,FALSE),0))</f>
        <v>1301</v>
      </c>
      <c r="H28" s="104">
        <f t="shared" si="1"/>
        <v>2.7639098383293322E-2</v>
      </c>
      <c r="I28" s="114">
        <f>SUM($G$7:G28)</f>
        <v>21408</v>
      </c>
      <c r="J28" s="106">
        <f t="shared" si="5"/>
        <v>0.45480231989972597</v>
      </c>
      <c r="K28" s="38"/>
      <c r="L28" s="20" t="str">
        <f t="shared" si="2"/>
        <v/>
      </c>
      <c r="N28" s="24"/>
    </row>
    <row r="29" spans="1:17" s="22" customFormat="1" ht="25" customHeight="1" x14ac:dyDescent="0.45">
      <c r="A29" s="20"/>
      <c r="B29" s="37"/>
      <c r="C29" s="169">
        <v>28</v>
      </c>
      <c r="D29" s="128">
        <f t="shared" si="3"/>
        <v>51</v>
      </c>
      <c r="E29" s="128">
        <f t="shared" si="0"/>
        <v>5</v>
      </c>
      <c r="F29" s="102">
        <f t="shared" si="4"/>
        <v>53.4</v>
      </c>
      <c r="G29" s="103">
        <f>IF(D29=D28,"",_xlfn.IFNA(VLOOKUP(D29,'인원 입력 기능(사과탐)'!$A$121:$D$172,4,FALSE),0))</f>
        <v>1058</v>
      </c>
      <c r="H29" s="104">
        <f t="shared" si="1"/>
        <v>2.2476684157974124E-2</v>
      </c>
      <c r="I29" s="114">
        <f>SUM($G$7:G29)</f>
        <v>22466</v>
      </c>
      <c r="J29" s="106">
        <f t="shared" si="5"/>
        <v>0.47727900405770007</v>
      </c>
      <c r="K29" s="38"/>
      <c r="L29" s="20" t="str">
        <f t="shared" si="2"/>
        <v/>
      </c>
      <c r="N29" s="24"/>
    </row>
    <row r="30" spans="1:17" s="22" customFormat="1" ht="25" customHeight="1" x14ac:dyDescent="0.45">
      <c r="A30" s="20"/>
      <c r="B30" s="37"/>
      <c r="C30" s="127">
        <v>27</v>
      </c>
      <c r="D30" s="128">
        <f t="shared" si="3"/>
        <v>50</v>
      </c>
      <c r="E30" s="128">
        <f t="shared" si="0"/>
        <v>5</v>
      </c>
      <c r="F30" s="102">
        <f t="shared" si="4"/>
        <v>50.95</v>
      </c>
      <c r="G30" s="103">
        <f>IF(D30=D29,"",_xlfn.IFNA(VLOOKUP(D30,'인원 입력 기능(사과탐)'!$A$121:$D$172,4,FALSE),0))</f>
        <v>1247</v>
      </c>
      <c r="H30" s="104">
        <f t="shared" si="1"/>
        <v>2.6491895222111279E-2</v>
      </c>
      <c r="I30" s="114">
        <f>SUM($G$7:G30)</f>
        <v>23713</v>
      </c>
      <c r="J30" s="106">
        <f t="shared" si="5"/>
        <v>0.50377089927981133</v>
      </c>
      <c r="K30" s="38"/>
      <c r="L30" s="20" t="str">
        <f t="shared" si="2"/>
        <v/>
      </c>
      <c r="N30" s="24"/>
    </row>
    <row r="31" spans="1:17" s="22" customFormat="1" ht="25" customHeight="1" x14ac:dyDescent="0.45">
      <c r="A31" s="20"/>
      <c r="B31" s="37"/>
      <c r="C31" s="169">
        <v>26</v>
      </c>
      <c r="D31" s="130">
        <f t="shared" si="3"/>
        <v>49</v>
      </c>
      <c r="E31" s="130">
        <f t="shared" si="0"/>
        <v>5</v>
      </c>
      <c r="F31" s="116">
        <f t="shared" si="4"/>
        <v>47.23</v>
      </c>
      <c r="G31" s="117">
        <f>IF(D31=D30,"",_xlfn.IFNA(VLOOKUP(D31,'인원 입력 기능(사과탐)'!$A$121:$D$172,4,FALSE),0))</f>
        <v>2251</v>
      </c>
      <c r="H31" s="118">
        <f t="shared" si="1"/>
        <v>4.7821376218903359E-2</v>
      </c>
      <c r="I31" s="119">
        <f>SUM($G$7:G31)</f>
        <v>25964</v>
      </c>
      <c r="J31" s="120">
        <f t="shared" si="5"/>
        <v>0.5515922754987147</v>
      </c>
      <c r="K31" s="38"/>
      <c r="L31" s="20" t="str">
        <f t="shared" si="2"/>
        <v/>
      </c>
      <c r="N31" s="24"/>
    </row>
    <row r="32" spans="1:17" s="22" customFormat="1" ht="25" customHeight="1" x14ac:dyDescent="0.45">
      <c r="A32" s="20"/>
      <c r="B32" s="37"/>
      <c r="C32" s="127">
        <v>25</v>
      </c>
      <c r="D32" s="132"/>
      <c r="E32" s="132"/>
      <c r="F32" s="122"/>
      <c r="G32" s="123"/>
      <c r="H32" s="124"/>
      <c r="I32" s="125"/>
      <c r="J32" s="126"/>
      <c r="K32" s="38"/>
      <c r="L32" s="20" t="str">
        <f t="shared" si="2"/>
        <v>경고</v>
      </c>
      <c r="N32" s="24"/>
    </row>
    <row r="33" spans="1:14" s="22" customFormat="1" ht="25" customHeight="1" x14ac:dyDescent="0.45">
      <c r="A33" s="20"/>
      <c r="B33" s="37"/>
      <c r="C33" s="169">
        <v>24</v>
      </c>
      <c r="D33" s="128">
        <f t="shared" si="3"/>
        <v>48</v>
      </c>
      <c r="E33" s="128">
        <f t="shared" si="0"/>
        <v>5</v>
      </c>
      <c r="F33" s="102">
        <f t="shared" si="4"/>
        <v>43.43</v>
      </c>
      <c r="G33" s="103">
        <f>IF(D33=D32,"",_xlfn.IFNA(VLOOKUP(D33,'인원 입력 기능(사과탐)'!$A$121:$D$172,4,FALSE),0))</f>
        <v>1325</v>
      </c>
      <c r="H33" s="104">
        <f t="shared" si="1"/>
        <v>2.8148966454929786E-2</v>
      </c>
      <c r="I33" s="114">
        <f>SUM($G$7:G33)</f>
        <v>27289</v>
      </c>
      <c r="J33" s="106">
        <f t="shared" si="5"/>
        <v>0.57974124195364451</v>
      </c>
      <c r="K33" s="38"/>
      <c r="L33" s="20" t="str">
        <f t="shared" si="2"/>
        <v/>
      </c>
      <c r="N33" s="24"/>
    </row>
    <row r="34" spans="1:14" s="22" customFormat="1" ht="25" customHeight="1" x14ac:dyDescent="0.45">
      <c r="A34" s="20"/>
      <c r="B34" s="37"/>
      <c r="C34" s="127">
        <v>23</v>
      </c>
      <c r="D34" s="128">
        <f t="shared" si="3"/>
        <v>47</v>
      </c>
      <c r="E34" s="128">
        <f t="shared" si="0"/>
        <v>5</v>
      </c>
      <c r="F34" s="102">
        <f t="shared" si="4"/>
        <v>40.86</v>
      </c>
      <c r="G34" s="103">
        <f>IF(D34=D33,"",_xlfn.IFNA(VLOOKUP(D34,'인원 입력 기능(사과탐)'!$A$121:$D$172,4,FALSE),0))</f>
        <v>1094</v>
      </c>
      <c r="H34" s="104">
        <f t="shared" si="1"/>
        <v>2.324148626542882E-2</v>
      </c>
      <c r="I34" s="114">
        <f>SUM($G$7:G34)</f>
        <v>28383</v>
      </c>
      <c r="J34" s="106">
        <f t="shared" si="5"/>
        <v>0.60298272821907328</v>
      </c>
      <c r="K34" s="38"/>
      <c r="L34" s="20" t="str">
        <f t="shared" si="2"/>
        <v/>
      </c>
      <c r="N34" s="24"/>
    </row>
    <row r="35" spans="1:14" s="22" customFormat="1" ht="25" customHeight="1" x14ac:dyDescent="0.45">
      <c r="A35" s="20"/>
      <c r="B35" s="37"/>
      <c r="C35" s="169">
        <v>22</v>
      </c>
      <c r="D35" s="128">
        <f t="shared" si="3"/>
        <v>46</v>
      </c>
      <c r="E35" s="128">
        <f t="shared" si="0"/>
        <v>6</v>
      </c>
      <c r="F35" s="102">
        <f t="shared" si="4"/>
        <v>38.520000000000003</v>
      </c>
      <c r="G35" s="103">
        <f>IF(D35=D34,"",_xlfn.IFNA(VLOOKUP(D35,'인원 입력 기능(사과탐)'!$A$121:$D$172,4,FALSE),0))</f>
        <v>1108</v>
      </c>
      <c r="H35" s="104">
        <f t="shared" si="1"/>
        <v>2.3538909307216759E-2</v>
      </c>
      <c r="I35" s="114">
        <f>SUM($G$7:G35)</f>
        <v>29491</v>
      </c>
      <c r="J35" s="106">
        <f t="shared" si="5"/>
        <v>0.62652163752629009</v>
      </c>
      <c r="K35" s="38"/>
      <c r="L35" s="20" t="str">
        <f t="shared" si="2"/>
        <v/>
      </c>
      <c r="N35" s="24"/>
    </row>
    <row r="36" spans="1:14" s="22" customFormat="1" ht="25" customHeight="1" x14ac:dyDescent="0.45">
      <c r="A36" s="20"/>
      <c r="B36" s="37"/>
      <c r="C36" s="127">
        <v>21</v>
      </c>
      <c r="D36" s="130">
        <f t="shared" si="3"/>
        <v>45</v>
      </c>
      <c r="E36" s="130">
        <f t="shared" si="0"/>
        <v>6</v>
      </c>
      <c r="F36" s="116">
        <f t="shared" si="4"/>
        <v>35.06</v>
      </c>
      <c r="G36" s="117">
        <f>IF(D36=D35,"",_xlfn.IFNA(VLOOKUP(D36,'인원 입력 기능(사과탐)'!$A$121:$D$172,4,FALSE),0))</f>
        <v>2152</v>
      </c>
      <c r="H36" s="118">
        <f t="shared" si="1"/>
        <v>4.5718170423402947E-2</v>
      </c>
      <c r="I36" s="119">
        <f>SUM($G$7:G36)</f>
        <v>31643</v>
      </c>
      <c r="J36" s="120">
        <f t="shared" si="5"/>
        <v>0.67223980794969307</v>
      </c>
      <c r="K36" s="38"/>
      <c r="L36" s="20" t="str">
        <f t="shared" si="2"/>
        <v/>
      </c>
      <c r="N36" s="24"/>
    </row>
    <row r="37" spans="1:14" s="22" customFormat="1" ht="25" customHeight="1" x14ac:dyDescent="0.45">
      <c r="A37" s="20"/>
      <c r="B37" s="37"/>
      <c r="C37" s="169">
        <v>20</v>
      </c>
      <c r="D37" s="132"/>
      <c r="E37" s="132"/>
      <c r="F37" s="122"/>
      <c r="G37" s="123"/>
      <c r="H37" s="124"/>
      <c r="I37" s="125"/>
      <c r="J37" s="126"/>
      <c r="K37" s="38"/>
      <c r="L37" s="20" t="str">
        <f t="shared" si="2"/>
        <v>경고</v>
      </c>
      <c r="N37" s="24"/>
    </row>
    <row r="38" spans="1:14" s="22" customFormat="1" ht="25" customHeight="1" x14ac:dyDescent="0.45">
      <c r="A38" s="20"/>
      <c r="B38" s="37"/>
      <c r="C38" s="127">
        <v>19</v>
      </c>
      <c r="D38" s="128">
        <f t="shared" si="3"/>
        <v>44</v>
      </c>
      <c r="E38" s="128">
        <f t="shared" si="0"/>
        <v>6</v>
      </c>
      <c r="F38" s="102">
        <f t="shared" si="4"/>
        <v>31.65</v>
      </c>
      <c r="G38" s="103">
        <f>IF(D38=D37,"",_xlfn.IFNA(VLOOKUP(D38,'인원 입력 기능(사과탐)'!$A$121:$D$172,4,FALSE),0))</f>
        <v>1062</v>
      </c>
      <c r="H38" s="104">
        <f t="shared" si="1"/>
        <v>2.2561662169913534E-2</v>
      </c>
      <c r="I38" s="114">
        <f>SUM($G$7:G38)</f>
        <v>32705</v>
      </c>
      <c r="J38" s="106">
        <f t="shared" si="5"/>
        <v>0.69480147011960658</v>
      </c>
      <c r="K38" s="38"/>
      <c r="L38" s="20" t="str">
        <f t="shared" si="2"/>
        <v/>
      </c>
      <c r="N38" s="24"/>
    </row>
    <row r="39" spans="1:14" s="22" customFormat="1" ht="25" customHeight="1" x14ac:dyDescent="0.45">
      <c r="A39" s="20"/>
      <c r="B39" s="37"/>
      <c r="C39" s="169">
        <v>18</v>
      </c>
      <c r="D39" s="128">
        <f t="shared" si="3"/>
        <v>43</v>
      </c>
      <c r="E39" s="128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6</v>
      </c>
      <c r="F39" s="102">
        <f t="shared" si="4"/>
        <v>29.43</v>
      </c>
      <c r="G39" s="103">
        <f>IF(D39=D38,"",_xlfn.IFNA(VLOOKUP(D39,'인원 입력 기능(사과탐)'!$A$121:$D$172,4,FALSE),0))</f>
        <v>1027</v>
      </c>
      <c r="H39" s="104">
        <f t="shared" si="1"/>
        <v>2.181810456544369E-2</v>
      </c>
      <c r="I39" s="114">
        <f>SUM($G$7:G39)</f>
        <v>33732</v>
      </c>
      <c r="J39" s="106">
        <f t="shared" si="5"/>
        <v>0.71661957468505022</v>
      </c>
      <c r="K39" s="38"/>
      <c r="L39" s="20" t="str">
        <f t="shared" si="2"/>
        <v/>
      </c>
      <c r="N39" s="24"/>
    </row>
    <row r="40" spans="1:14" s="22" customFormat="1" ht="25" customHeight="1" x14ac:dyDescent="0.45">
      <c r="A40" s="20"/>
      <c r="B40" s="37"/>
      <c r="C40" s="127">
        <v>17</v>
      </c>
      <c r="D40" s="128">
        <f t="shared" si="3"/>
        <v>42</v>
      </c>
      <c r="E40" s="128">
        <f t="shared" si="6"/>
        <v>6</v>
      </c>
      <c r="F40" s="102">
        <f t="shared" si="4"/>
        <v>27.32</v>
      </c>
      <c r="G40" s="103">
        <f>IF(D40=D39,"",_xlfn.IFNA(VLOOKUP(D40,'인원 입력 기능(사과탐)'!$A$121:$D$172,4,FALSE),0))</f>
        <v>958</v>
      </c>
      <c r="H40" s="104">
        <f t="shared" si="1"/>
        <v>2.0352233859488856E-2</v>
      </c>
      <c r="I40" s="114">
        <f>SUM($G$7:G40)</f>
        <v>34690</v>
      </c>
      <c r="J40" s="106">
        <f t="shared" si="5"/>
        <v>0.73697180854453914</v>
      </c>
      <c r="K40" s="38"/>
      <c r="L40" s="20" t="str">
        <f t="shared" si="2"/>
        <v/>
      </c>
      <c r="N40" s="24"/>
    </row>
    <row r="41" spans="1:14" s="22" customFormat="1" ht="25" customHeight="1" x14ac:dyDescent="0.45">
      <c r="A41" s="20"/>
      <c r="B41" s="37"/>
      <c r="C41" s="169">
        <v>16</v>
      </c>
      <c r="D41" s="128">
        <f t="shared" si="3"/>
        <v>41</v>
      </c>
      <c r="E41" s="128">
        <f t="shared" si="6"/>
        <v>6</v>
      </c>
      <c r="F41" s="102">
        <f t="shared" si="4"/>
        <v>25.27</v>
      </c>
      <c r="G41" s="103">
        <f>IF(D41=D40,"",_xlfn.IFNA(VLOOKUP(D41,'인원 입력 기능(사과탐)'!$A$121:$D$172,4,FALSE),0))</f>
        <v>975</v>
      </c>
      <c r="H41" s="104">
        <f t="shared" si="1"/>
        <v>2.0713390410231354E-2</v>
      </c>
      <c r="I41" s="114">
        <f>SUM($G$7:G41)</f>
        <v>35665</v>
      </c>
      <c r="J41" s="106">
        <f t="shared" si="5"/>
        <v>0.75768519895477049</v>
      </c>
      <c r="K41" s="38"/>
      <c r="L41" s="20" t="str">
        <f t="shared" si="2"/>
        <v/>
      </c>
      <c r="N41" s="24"/>
    </row>
    <row r="42" spans="1:14" s="22" customFormat="1" ht="25" customHeight="1" x14ac:dyDescent="0.45">
      <c r="A42" s="20"/>
      <c r="B42" s="37"/>
      <c r="C42" s="127">
        <v>15</v>
      </c>
      <c r="D42" s="130">
        <f t="shared" si="3"/>
        <v>40</v>
      </c>
      <c r="E42" s="130">
        <f t="shared" si="6"/>
        <v>6</v>
      </c>
      <c r="F42" s="116">
        <f t="shared" si="4"/>
        <v>22.19</v>
      </c>
      <c r="G42" s="117">
        <f>IF(D42=D41,"",_xlfn.IFNA(VLOOKUP(D42,'인원 입력 기능(사과탐)'!$A$121:$D$172,4,FALSE),0))</f>
        <v>1919</v>
      </c>
      <c r="H42" s="118">
        <f t="shared" si="1"/>
        <v>4.0768201227932274E-2</v>
      </c>
      <c r="I42" s="119">
        <f>SUM($G$7:G42)</f>
        <v>37584</v>
      </c>
      <c r="J42" s="120">
        <f t="shared" si="5"/>
        <v>0.79845340018270272</v>
      </c>
      <c r="K42" s="38"/>
      <c r="L42" s="20" t="str">
        <f t="shared" si="2"/>
        <v>경고</v>
      </c>
      <c r="N42" s="24"/>
    </row>
    <row r="43" spans="1:14" s="22" customFormat="1" ht="25" customHeight="1" x14ac:dyDescent="0.45">
      <c r="A43" s="20"/>
      <c r="B43" s="37"/>
      <c r="C43" s="169">
        <v>14</v>
      </c>
      <c r="D43" s="132"/>
      <c r="E43" s="132"/>
      <c r="F43" s="122"/>
      <c r="G43" s="123"/>
      <c r="H43" s="124"/>
      <c r="I43" s="125"/>
      <c r="J43" s="126"/>
      <c r="K43" s="38"/>
      <c r="L43" s="20" t="str">
        <f t="shared" si="2"/>
        <v>경고</v>
      </c>
      <c r="N43" s="24"/>
    </row>
    <row r="44" spans="1:14" s="22" customFormat="1" ht="25" customHeight="1" x14ac:dyDescent="0.45">
      <c r="A44" s="20"/>
      <c r="B44" s="37"/>
      <c r="C44" s="127">
        <v>13</v>
      </c>
      <c r="D44" s="128">
        <f t="shared" si="3"/>
        <v>39</v>
      </c>
      <c r="E44" s="128">
        <f t="shared" si="6"/>
        <v>7</v>
      </c>
      <c r="F44" s="102">
        <f t="shared" si="4"/>
        <v>17.41</v>
      </c>
      <c r="G44" s="103">
        <f>IF(D44=D43,"",_xlfn.IFNA(VLOOKUP(D44,'인원 입력 기능(사과탐)'!$A$121:$D$172,4,FALSE),0))</f>
        <v>2580</v>
      </c>
      <c r="H44" s="104">
        <f t="shared" si="1"/>
        <v>5.4810817700919889E-2</v>
      </c>
      <c r="I44" s="114">
        <f>SUM($G$7:G44)</f>
        <v>40164</v>
      </c>
      <c r="J44" s="106">
        <f t="shared" si="5"/>
        <v>0.85326421788362261</v>
      </c>
      <c r="K44" s="38"/>
      <c r="L44" s="20" t="str">
        <f t="shared" si="2"/>
        <v/>
      </c>
      <c r="N44" s="24"/>
    </row>
    <row r="45" spans="1:14" s="22" customFormat="1" ht="25" customHeight="1" x14ac:dyDescent="0.45">
      <c r="A45" s="20"/>
      <c r="B45" s="37"/>
      <c r="C45" s="169">
        <v>12</v>
      </c>
      <c r="D45" s="128">
        <f t="shared" si="3"/>
        <v>38</v>
      </c>
      <c r="E45" s="128">
        <f t="shared" si="6"/>
        <v>7</v>
      </c>
      <c r="F45" s="102">
        <f t="shared" si="4"/>
        <v>13.68</v>
      </c>
      <c r="G45" s="103">
        <f>IF(D45=D44,"",_xlfn.IFNA(VLOOKUP(D45,'인원 입력 기능(사과탐)'!$A$121:$D$172,4,FALSE),0))</f>
        <v>933</v>
      </c>
      <c r="H45" s="104">
        <f t="shared" si="1"/>
        <v>1.982112128486754E-2</v>
      </c>
      <c r="I45" s="114">
        <f>SUM($G$7:G45)</f>
        <v>41097</v>
      </c>
      <c r="J45" s="106">
        <f t="shared" si="5"/>
        <v>0.87308533916849018</v>
      </c>
      <c r="K45" s="38"/>
      <c r="L45" s="20" t="str">
        <f t="shared" si="2"/>
        <v/>
      </c>
      <c r="N45" s="24"/>
    </row>
    <row r="46" spans="1:14" s="22" customFormat="1" ht="25" customHeight="1" x14ac:dyDescent="0.45">
      <c r="A46" s="20"/>
      <c r="B46" s="37"/>
      <c r="C46" s="127">
        <v>11</v>
      </c>
      <c r="D46" s="128">
        <f t="shared" si="3"/>
        <v>37</v>
      </c>
      <c r="E46" s="128">
        <f t="shared" si="6"/>
        <v>7</v>
      </c>
      <c r="F46" s="102">
        <f t="shared" si="4"/>
        <v>11.7</v>
      </c>
      <c r="G46" s="103">
        <f>IF(D46=D45,"",_xlfn.IFNA(VLOOKUP(D46,'인원 입력 기능(사과탐)'!$A$121:$D$172,4,FALSE),0))</f>
        <v>937</v>
      </c>
      <c r="H46" s="104">
        <f t="shared" si="1"/>
        <v>1.9906099296806951E-2</v>
      </c>
      <c r="I46" s="114">
        <f>SUM($G$7:G46)</f>
        <v>42034</v>
      </c>
      <c r="J46" s="106">
        <f t="shared" si="5"/>
        <v>0.89299143846529705</v>
      </c>
      <c r="K46" s="38"/>
      <c r="L46" s="20" t="str">
        <f t="shared" si="2"/>
        <v/>
      </c>
      <c r="N46" s="24"/>
    </row>
    <row r="47" spans="1:14" s="22" customFormat="1" ht="25" customHeight="1" x14ac:dyDescent="0.45">
      <c r="A47" s="20"/>
      <c r="B47" s="37"/>
      <c r="C47" s="169">
        <v>10</v>
      </c>
      <c r="D47" s="130">
        <f t="shared" si="3"/>
        <v>36</v>
      </c>
      <c r="E47" s="130">
        <f t="shared" si="6"/>
        <v>8</v>
      </c>
      <c r="F47" s="116">
        <f t="shared" si="4"/>
        <v>8.1999999999999993</v>
      </c>
      <c r="G47" s="117">
        <f>IF(D47=D46,"",_xlfn.IFNA(VLOOKUP(D47,'인원 입력 기능(사과탐)'!$A$121:$D$172,4,FALSE),0))</f>
        <v>2355</v>
      </c>
      <c r="H47" s="118">
        <f t="shared" si="1"/>
        <v>5.0030804529328038E-2</v>
      </c>
      <c r="I47" s="119">
        <f>SUM($G$7:G47)</f>
        <v>44389</v>
      </c>
      <c r="J47" s="120">
        <f t="shared" si="5"/>
        <v>0.94302224299462512</v>
      </c>
      <c r="K47" s="38"/>
      <c r="L47" s="20" t="str">
        <f t="shared" si="2"/>
        <v/>
      </c>
      <c r="N47" s="24"/>
    </row>
    <row r="48" spans="1:14" s="22" customFormat="1" ht="25" customHeight="1" x14ac:dyDescent="0.45">
      <c r="A48" s="20"/>
      <c r="B48" s="37"/>
      <c r="C48" s="127">
        <v>9</v>
      </c>
      <c r="D48" s="132"/>
      <c r="E48" s="132"/>
      <c r="F48" s="122"/>
      <c r="G48" s="123"/>
      <c r="H48" s="124"/>
      <c r="I48" s="125"/>
      <c r="J48" s="126"/>
      <c r="K48" s="38"/>
      <c r="L48" s="20" t="str">
        <f t="shared" si="2"/>
        <v>경고</v>
      </c>
      <c r="N48" s="24"/>
    </row>
    <row r="49" spans="1:14" s="22" customFormat="1" ht="25" customHeight="1" x14ac:dyDescent="0.45">
      <c r="A49" s="20"/>
      <c r="B49" s="37"/>
      <c r="C49" s="169">
        <v>8</v>
      </c>
      <c r="D49" s="128">
        <f t="shared" si="3"/>
        <v>35</v>
      </c>
      <c r="E49" s="128">
        <f t="shared" si="6"/>
        <v>8</v>
      </c>
      <c r="F49" s="102">
        <f t="shared" si="4"/>
        <v>4.53</v>
      </c>
      <c r="G49" s="103">
        <f>IF(D49=D48,"",_xlfn.IFNA(VLOOKUP(D49,'인원 입력 기능(사과탐)'!$A$121:$D$172,4,FALSE),0))</f>
        <v>1095</v>
      </c>
      <c r="H49" s="104">
        <f t="shared" si="1"/>
        <v>2.3262730768413672E-2</v>
      </c>
      <c r="I49" s="114">
        <f>SUM($G$7:G49)</f>
        <v>45484</v>
      </c>
      <c r="J49" s="106">
        <f t="shared" si="5"/>
        <v>0.96628497376303879</v>
      </c>
      <c r="K49" s="38"/>
      <c r="L49" s="20" t="str">
        <f t="shared" si="2"/>
        <v/>
      </c>
      <c r="N49" s="24"/>
    </row>
    <row r="50" spans="1:14" s="22" customFormat="1" ht="25" customHeight="1" x14ac:dyDescent="0.45">
      <c r="A50" s="20"/>
      <c r="B50" s="37"/>
      <c r="C50" s="127">
        <v>7</v>
      </c>
      <c r="D50" s="128">
        <f t="shared" si="3"/>
        <v>34</v>
      </c>
      <c r="E50" s="128">
        <f t="shared" si="6"/>
        <v>9</v>
      </c>
      <c r="F50" s="102">
        <f t="shared" si="4"/>
        <v>2.84</v>
      </c>
      <c r="G50" s="103">
        <f>IF(D50=D49,"",_xlfn.IFNA(VLOOKUP(D50,'인원 입력 기능(사과탐)'!$A$121:$D$172,4,FALSE),0))</f>
        <v>496</v>
      </c>
      <c r="H50" s="104">
        <f t="shared" si="1"/>
        <v>1.0537273480486924E-2</v>
      </c>
      <c r="I50" s="114">
        <f>SUM($G$7:G50)</f>
        <v>45980</v>
      </c>
      <c r="J50" s="106">
        <f t="shared" si="5"/>
        <v>0.97682224724352573</v>
      </c>
      <c r="K50" s="38"/>
      <c r="L50" s="20" t="str">
        <f t="shared" si="2"/>
        <v/>
      </c>
      <c r="N50" s="24"/>
    </row>
    <row r="51" spans="1:14" s="22" customFormat="1" ht="25" customHeight="1" x14ac:dyDescent="0.45">
      <c r="A51" s="20"/>
      <c r="B51" s="37"/>
      <c r="C51" s="169">
        <v>6</v>
      </c>
      <c r="D51" s="128">
        <f t="shared" si="3"/>
        <v>33</v>
      </c>
      <c r="E51" s="128">
        <f t="shared" si="6"/>
        <v>9</v>
      </c>
      <c r="F51" s="102">
        <f t="shared" si="4"/>
        <v>1.94</v>
      </c>
      <c r="G51" s="103">
        <f>IF(D51=D50,"",_xlfn.IFNA(VLOOKUP(D51,'인원 입력 기능(사과탐)'!$A$121:$D$172,4,FALSE),0))</f>
        <v>359</v>
      </c>
      <c r="H51" s="104">
        <f t="shared" si="1"/>
        <v>7.6267765715621084E-3</v>
      </c>
      <c r="I51" s="114">
        <f>SUM($G$7:G51)</f>
        <v>46339</v>
      </c>
      <c r="J51" s="106">
        <f t="shared" si="5"/>
        <v>0.98444902381508781</v>
      </c>
      <c r="K51" s="38"/>
      <c r="L51" s="20" t="str">
        <f t="shared" si="2"/>
        <v/>
      </c>
      <c r="N51" s="24"/>
    </row>
    <row r="52" spans="1:14" s="22" customFormat="1" ht="25" customHeight="1" x14ac:dyDescent="0.45">
      <c r="A52" s="20"/>
      <c r="B52" s="37"/>
      <c r="C52" s="127">
        <v>5</v>
      </c>
      <c r="D52" s="130">
        <f t="shared" si="3"/>
        <v>32</v>
      </c>
      <c r="E52" s="130">
        <f t="shared" si="6"/>
        <v>9</v>
      </c>
      <c r="F52" s="116">
        <f t="shared" si="4"/>
        <v>1.02</v>
      </c>
      <c r="G52" s="117">
        <f>IF(D52=D51,"",_xlfn.IFNA(VLOOKUP(D52,'인원 입력 기능(사과탐)'!$A$121:$D$172,4,FALSE),0))</f>
        <v>506</v>
      </c>
      <c r="H52" s="118">
        <f t="shared" si="1"/>
        <v>1.0749718510335451E-2</v>
      </c>
      <c r="I52" s="119">
        <f>SUM($G$7:G52)</f>
        <v>46845</v>
      </c>
      <c r="J52" s="120">
        <f t="shared" si="5"/>
        <v>0.99519874232542327</v>
      </c>
      <c r="K52" s="38"/>
      <c r="L52" s="20" t="str">
        <f t="shared" si="2"/>
        <v/>
      </c>
      <c r="N52" s="24"/>
    </row>
    <row r="53" spans="1:14" s="22" customFormat="1" ht="25" customHeight="1" x14ac:dyDescent="0.45">
      <c r="A53" s="20"/>
      <c r="B53" s="37"/>
      <c r="C53" s="100">
        <v>4</v>
      </c>
      <c r="D53" s="132"/>
      <c r="E53" s="132"/>
      <c r="F53" s="122"/>
      <c r="G53" s="123"/>
      <c r="H53" s="124"/>
      <c r="I53" s="125"/>
      <c r="J53" s="126"/>
      <c r="K53" s="38"/>
      <c r="L53" s="20" t="str">
        <f t="shared" si="2"/>
        <v>경고</v>
      </c>
      <c r="N53" s="24"/>
    </row>
    <row r="54" spans="1:14" s="22" customFormat="1" ht="25" customHeight="1" x14ac:dyDescent="0.45">
      <c r="A54" s="20"/>
      <c r="B54" s="37"/>
      <c r="C54" s="107">
        <v>3</v>
      </c>
      <c r="D54" s="101">
        <f t="shared" si="3"/>
        <v>31</v>
      </c>
      <c r="E54" s="101">
        <f t="shared" si="6"/>
        <v>9</v>
      </c>
      <c r="F54" s="102">
        <f t="shared" si="4"/>
        <v>0.4</v>
      </c>
      <c r="G54" s="103">
        <f>IF(D54=D53,"",_xlfn.IFNA(VLOOKUP(D54,'인원 입력 기능(사과탐)'!$A$121:$D$172,4,FALSE),0))</f>
        <v>79</v>
      </c>
      <c r="H54" s="104">
        <f t="shared" si="1"/>
        <v>1.6783157358033608E-3</v>
      </c>
      <c r="I54" s="114">
        <f>SUM($G$7:G54)</f>
        <v>46924</v>
      </c>
      <c r="J54" s="106">
        <f t="shared" si="5"/>
        <v>0.99687705806122662</v>
      </c>
      <c r="K54" s="38"/>
      <c r="L54" s="20" t="str">
        <f t="shared" si="2"/>
        <v/>
      </c>
      <c r="N54" s="24"/>
    </row>
    <row r="55" spans="1:14" s="22" customFormat="1" ht="25" customHeight="1" x14ac:dyDescent="0.45">
      <c r="A55" s="20"/>
      <c r="B55" s="37"/>
      <c r="C55" s="100">
        <v>2</v>
      </c>
      <c r="D55" s="101">
        <f t="shared" si="3"/>
        <v>30</v>
      </c>
      <c r="E55" s="101">
        <f t="shared" si="6"/>
        <v>9</v>
      </c>
      <c r="F55" s="102">
        <f t="shared" si="4"/>
        <v>0.21</v>
      </c>
      <c r="G55" s="103">
        <f>IF(D55=D54,"",_xlfn.IFNA(VLOOKUP(D55,'인원 입력 기능(사과탐)'!$A$121:$D$172,4,FALSE),0))</f>
        <v>100</v>
      </c>
      <c r="H55" s="104">
        <f t="shared" si="1"/>
        <v>2.1244502984852668E-3</v>
      </c>
      <c r="I55" s="114">
        <f>SUM($G$7:G55)</f>
        <v>47024</v>
      </c>
      <c r="J55" s="106">
        <f t="shared" si="5"/>
        <v>0.99900150835971191</v>
      </c>
      <c r="K55" s="38"/>
      <c r="L55" s="20" t="str">
        <f t="shared" si="2"/>
        <v/>
      </c>
      <c r="N55" s="24"/>
    </row>
    <row r="56" spans="1:14" s="22" customFormat="1" ht="25" customHeight="1" x14ac:dyDescent="0.45">
      <c r="A56" s="20"/>
      <c r="B56" s="37"/>
      <c r="C56" s="107">
        <v>1</v>
      </c>
      <c r="D56" s="108" t="s">
        <v>54</v>
      </c>
      <c r="E56" s="108"/>
      <c r="F56" s="109"/>
      <c r="G56" s="170"/>
      <c r="H56" s="168"/>
      <c r="I56" s="134"/>
      <c r="J56" s="113"/>
      <c r="K56" s="38"/>
      <c r="L56" s="20"/>
      <c r="N56" s="24"/>
    </row>
    <row r="57" spans="1:14" s="22" customFormat="1" ht="25" customHeight="1" thickBot="1" x14ac:dyDescent="0.5">
      <c r="A57" s="20"/>
      <c r="B57" s="37"/>
      <c r="C57" s="171">
        <v>0</v>
      </c>
      <c r="D57" s="136">
        <f>ROUND(10*(C57-$H$3)/$H$4+50,0)</f>
        <v>28</v>
      </c>
      <c r="E57" s="172">
        <f t="shared" si="6"/>
        <v>9</v>
      </c>
      <c r="F57" s="137">
        <f>IF(I55=0,ROUND(100*(1-(I54+I57)/2/$J$3),2),ROUND(100*(1-(I55+I57)/2/$J$3),2))</f>
        <v>0.05</v>
      </c>
      <c r="G57" s="173">
        <f>_xlfn.IFNA(VLOOKUP(D57,'인원 입력 기능(사과탐)'!$A$121:$D$172,4,FALSE),0)</f>
        <v>47</v>
      </c>
      <c r="H57" s="139">
        <f>G57/$J$3</f>
        <v>9.9849164028807539E-4</v>
      </c>
      <c r="I57" s="140">
        <f>SUM($G$7:G57)</f>
        <v>47071</v>
      </c>
      <c r="J57" s="174">
        <f>I57/$J$3</f>
        <v>1</v>
      </c>
      <c r="K57" s="38"/>
      <c r="L57" s="20" t="str">
        <f t="shared" si="2"/>
        <v/>
      </c>
      <c r="N57" s="24"/>
    </row>
    <row r="58" spans="1:14" ht="6" customHeight="1" x14ac:dyDescent="0.45">
      <c r="A58" s="5"/>
      <c r="B58" s="34"/>
      <c r="C58" s="35"/>
      <c r="D58" s="35"/>
      <c r="E58" s="35"/>
      <c r="F58" s="35"/>
      <c r="G58" s="35"/>
      <c r="H58" s="35"/>
      <c r="I58" s="35"/>
      <c r="J58" s="35"/>
      <c r="K58" s="36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65">
    <mergeCell ref="I52:I53"/>
    <mergeCell ref="J52:J53"/>
    <mergeCell ref="D52:D53"/>
    <mergeCell ref="E52:E53"/>
    <mergeCell ref="F52:F53"/>
    <mergeCell ref="G52:G53"/>
    <mergeCell ref="H52:H53"/>
    <mergeCell ref="I42:I43"/>
    <mergeCell ref="J42:J43"/>
    <mergeCell ref="D47:D48"/>
    <mergeCell ref="E47:E48"/>
    <mergeCell ref="F47:F48"/>
    <mergeCell ref="G47:G48"/>
    <mergeCell ref="H47:H48"/>
    <mergeCell ref="I47:I48"/>
    <mergeCell ref="J47:J48"/>
    <mergeCell ref="D42:D43"/>
    <mergeCell ref="E42:E43"/>
    <mergeCell ref="F42:F43"/>
    <mergeCell ref="G42:G43"/>
    <mergeCell ref="H42:H43"/>
    <mergeCell ref="I31:I32"/>
    <mergeCell ref="J31:J32"/>
    <mergeCell ref="D36:D37"/>
    <mergeCell ref="E36:E37"/>
    <mergeCell ref="F36:F37"/>
    <mergeCell ref="G36:G37"/>
    <mergeCell ref="H36:H37"/>
    <mergeCell ref="I36:I37"/>
    <mergeCell ref="J36:J37"/>
    <mergeCell ref="D31:D32"/>
    <mergeCell ref="E31:E32"/>
    <mergeCell ref="F31:F32"/>
    <mergeCell ref="G31:G32"/>
    <mergeCell ref="H31:H32"/>
    <mergeCell ref="I21:I22"/>
    <mergeCell ref="J21:J22"/>
    <mergeCell ref="D26:D27"/>
    <mergeCell ref="E26:E27"/>
    <mergeCell ref="F26:F27"/>
    <mergeCell ref="G26:G27"/>
    <mergeCell ref="H26:H27"/>
    <mergeCell ref="I26:I27"/>
    <mergeCell ref="J26:J27"/>
    <mergeCell ref="D21:D22"/>
    <mergeCell ref="E21:E22"/>
    <mergeCell ref="F21:F22"/>
    <mergeCell ref="G21:G22"/>
    <mergeCell ref="H21:H22"/>
    <mergeCell ref="G11:G12"/>
    <mergeCell ref="H11:H12"/>
    <mergeCell ref="I11:I12"/>
    <mergeCell ref="J11:J12"/>
    <mergeCell ref="D16:D17"/>
    <mergeCell ref="E16:E17"/>
    <mergeCell ref="F16:F17"/>
    <mergeCell ref="G16:G17"/>
    <mergeCell ref="H16:H17"/>
    <mergeCell ref="I16:I17"/>
    <mergeCell ref="J16:J17"/>
    <mergeCell ref="D3:F3"/>
    <mergeCell ref="D4:F4"/>
    <mergeCell ref="D11:D12"/>
    <mergeCell ref="E11:E12"/>
    <mergeCell ref="F11:F12"/>
  </mergeCells>
  <phoneticPr fontId="1" type="noConversion"/>
  <conditionalFormatting sqref="D7:G11 I7:J11 D13:G16 I13:J16 D18:G21 I18:J21 D23:G26 I23:J26 D28:G31 I28:J31 D33:G36 I33:J36 D38:G42 I38:J42 D44:G47 I44:J47 D49:G52 I49:J52 D54:G57 I54:J57">
    <cfRule type="expression" dxfId="19" priority="4">
      <formula>OR($D7=$Q$7:$Q$14)</formula>
    </cfRule>
  </conditionalFormatting>
  <conditionalFormatting sqref="C7:C57">
    <cfRule type="expression" dxfId="18" priority="3">
      <formula>OR(AND($D7=0,OR($D6=$Q$7:$Q$14)),AND($D8&gt;0,OR($D7=$Q$7:$Q$14)))</formula>
    </cfRule>
  </conditionalFormatting>
  <conditionalFormatting sqref="D7:D11 D13:D16 D18:D21 D23:D26 D28:D31 D33:D36 D38:D42 D44:D47 D49:D52 D54:D57">
    <cfRule type="expression" dxfId="17" priority="2">
      <formula>$D7=$D8</formula>
    </cfRule>
  </conditionalFormatting>
  <conditionalFormatting sqref="H7:H11 H13:H16 H18:H21 H23:H26 H28:H31 H33:H36 H38:H42 H44:H47 H49:H52 H54:H57">
    <cfRule type="expression" dxfId="16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30A4B-4E11-46F3-A11B-285051ABE31F}">
  <sheetPr codeName="Sheet19"/>
  <dimension ref="A1:Q105"/>
  <sheetViews>
    <sheetView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5" t="s">
        <v>6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37"/>
      <c r="C3" s="84" t="s">
        <v>122</v>
      </c>
      <c r="D3" s="85" t="s">
        <v>67</v>
      </c>
      <c r="E3" s="86"/>
      <c r="F3" s="87"/>
      <c r="G3" s="84" t="s">
        <v>123</v>
      </c>
      <c r="H3" s="88" t="str">
        <f>'통계 및 응시자 수 입력 기능'!D17</f>
        <v>22.63</v>
      </c>
      <c r="I3" s="21" t="s">
        <v>124</v>
      </c>
      <c r="J3" s="89">
        <f>'통계 및 응시자 수 입력 기능'!C17</f>
        <v>44407</v>
      </c>
      <c r="K3" s="38"/>
      <c r="L3" s="20"/>
    </row>
    <row r="4" spans="1:17" s="22" customFormat="1" ht="25" customHeight="1" thickBot="1" x14ac:dyDescent="0.5">
      <c r="A4" s="20"/>
      <c r="B4" s="37"/>
      <c r="C4" s="90" t="s">
        <v>125</v>
      </c>
      <c r="D4" s="91" t="s">
        <v>149</v>
      </c>
      <c r="E4" s="92"/>
      <c r="F4" s="93"/>
      <c r="G4" s="94" t="s">
        <v>127</v>
      </c>
      <c r="H4" s="95" t="str">
        <f>'통계 및 응시자 수 입력 기능'!E17</f>
        <v>12.17</v>
      </c>
      <c r="I4" s="39"/>
      <c r="J4" s="40"/>
      <c r="K4" s="38"/>
      <c r="L4" s="20"/>
    </row>
    <row r="5" spans="1:17" s="22" customFormat="1" ht="25" customHeight="1" thickBot="1" x14ac:dyDescent="0.5">
      <c r="A5" s="20"/>
      <c r="B5" s="37"/>
      <c r="C5" s="32"/>
      <c r="D5" s="32"/>
      <c r="E5" s="32"/>
      <c r="F5" s="32"/>
      <c r="G5" s="32"/>
      <c r="H5" s="33"/>
      <c r="I5" s="33"/>
      <c r="J5" s="33"/>
      <c r="K5" s="38"/>
      <c r="L5" s="20"/>
    </row>
    <row r="6" spans="1:17" s="22" customFormat="1" ht="25" customHeight="1" thickBot="1" x14ac:dyDescent="0.5">
      <c r="A6" s="20"/>
      <c r="B6" s="37"/>
      <c r="C6" s="96" t="s">
        <v>129</v>
      </c>
      <c r="D6" s="97" t="s">
        <v>130</v>
      </c>
      <c r="E6" s="97" t="s">
        <v>131</v>
      </c>
      <c r="F6" s="97" t="s">
        <v>132</v>
      </c>
      <c r="G6" s="97" t="s">
        <v>133</v>
      </c>
      <c r="H6" s="97" t="s">
        <v>134</v>
      </c>
      <c r="I6" s="98" t="s">
        <v>135</v>
      </c>
      <c r="J6" s="99" t="s">
        <v>136</v>
      </c>
      <c r="K6" s="38"/>
      <c r="L6" s="19" t="s">
        <v>62</v>
      </c>
      <c r="M6" s="19"/>
      <c r="N6" s="23"/>
    </row>
    <row r="7" spans="1:17" s="22" customFormat="1" ht="25" customHeight="1" x14ac:dyDescent="0.45">
      <c r="A7" s="20"/>
      <c r="B7" s="37"/>
      <c r="C7" s="100">
        <v>50</v>
      </c>
      <c r="D7" s="101">
        <f>ROUND(10*(C7-$H$3)/$H$4+50,0)</f>
        <v>72</v>
      </c>
      <c r="E7" s="101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102">
        <f>ROUND(100*(1-(0+I7)/2/$J$3),2)</f>
        <v>99.13</v>
      </c>
      <c r="G7" s="103">
        <f>_xlfn.IFNA(VLOOKUP(D7,'인원 입력 기능(사과탐)'!$A$177:$D$231,4,FALSE),0)</f>
        <v>777</v>
      </c>
      <c r="H7" s="104">
        <f>G7/$J$3</f>
        <v>1.7497241425901321E-2</v>
      </c>
      <c r="I7" s="105">
        <f>G7</f>
        <v>777</v>
      </c>
      <c r="J7" s="106">
        <f>I7/$J$3</f>
        <v>1.7497241425901321E-2</v>
      </c>
      <c r="K7" s="38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기능'!C121</f>
        <v>70</v>
      </c>
    </row>
    <row r="8" spans="1:17" s="22" customFormat="1" ht="25" customHeight="1" x14ac:dyDescent="0.45">
      <c r="A8" s="20"/>
      <c r="B8" s="37"/>
      <c r="C8" s="107">
        <v>49</v>
      </c>
      <c r="D8" s="108" t="s">
        <v>54</v>
      </c>
      <c r="E8" s="108"/>
      <c r="F8" s="109"/>
      <c r="G8" s="110"/>
      <c r="H8" s="168"/>
      <c r="I8" s="112"/>
      <c r="J8" s="113"/>
      <c r="K8" s="38"/>
      <c r="L8" s="20"/>
      <c r="N8" s="24"/>
      <c r="P8" s="24">
        <v>2</v>
      </c>
      <c r="Q8" s="24">
        <f>'표점등급&amp;절평인원 입력 기능'!C122</f>
        <v>65</v>
      </c>
    </row>
    <row r="9" spans="1:17" s="22" customFormat="1" ht="25" customHeight="1" x14ac:dyDescent="0.45">
      <c r="A9" s="20"/>
      <c r="B9" s="37"/>
      <c r="C9" s="100">
        <v>48</v>
      </c>
      <c r="D9" s="101">
        <f>ROUND(10*(C9-$H$3)/$H$4+50,0)</f>
        <v>71</v>
      </c>
      <c r="E9" s="101">
        <f t="shared" si="0"/>
        <v>1</v>
      </c>
      <c r="F9" s="102">
        <f>IF(I8=0,ROUND(100*(1-(I7+I9)/2/$J$3),2),ROUND(100*(1-(I8+I9)/2/$J$3),2))</f>
        <v>97.88</v>
      </c>
      <c r="G9" s="103">
        <f>_xlfn.IFNA(VLOOKUP(D9,'인원 입력 기능(사과탐)'!$A$177:$D$231,4,FALSE),0)</f>
        <v>333</v>
      </c>
      <c r="H9" s="104">
        <f t="shared" ref="H9:H55" si="1">G9/$J$3</f>
        <v>7.4988177539577093E-3</v>
      </c>
      <c r="I9" s="114">
        <f>SUM($G$7:G9)</f>
        <v>1110</v>
      </c>
      <c r="J9" s="106">
        <f>I9/$J$3</f>
        <v>2.4996059179859031E-2</v>
      </c>
      <c r="K9" s="38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기능'!C123</f>
        <v>59</v>
      </c>
    </row>
    <row r="10" spans="1:17" s="22" customFormat="1" ht="25" customHeight="1" x14ac:dyDescent="0.45">
      <c r="A10" s="20"/>
      <c r="B10" s="37"/>
      <c r="C10" s="107">
        <v>47</v>
      </c>
      <c r="D10" s="101">
        <f t="shared" ref="D10:D55" si="3">ROUND(10*(C10-$H$3)/$H$4+50,0)</f>
        <v>70</v>
      </c>
      <c r="E10" s="101">
        <f t="shared" si="0"/>
        <v>1</v>
      </c>
      <c r="F10" s="102">
        <f t="shared" ref="F10:F55" si="4">IF(I9=0,ROUND(100*(1-(I8+I10)/2/$J$3),2),ROUND(100*(1-(I9+I10)/2/$J$3),2))</f>
        <v>96.52</v>
      </c>
      <c r="G10" s="103">
        <f>IF(D10=D9,"",_xlfn.IFNA(VLOOKUP(D10,'인원 입력 기능(사과탐)'!$A$177:$D$231,4,FALSE),0))</f>
        <v>867</v>
      </c>
      <c r="H10" s="104">
        <f t="shared" si="1"/>
        <v>1.9523948926970972E-2</v>
      </c>
      <c r="I10" s="114">
        <f>SUM($G$7:G10)</f>
        <v>1977</v>
      </c>
      <c r="J10" s="106">
        <f t="shared" ref="J10:J55" si="5">I10/$J$3</f>
        <v>4.4520008106830003E-2</v>
      </c>
      <c r="K10" s="38"/>
      <c r="L10" s="20" t="str">
        <f t="shared" si="2"/>
        <v/>
      </c>
      <c r="N10" s="24"/>
      <c r="P10" s="24">
        <v>4</v>
      </c>
      <c r="Q10" s="24">
        <f>'표점등급&amp;절평인원 입력 기능'!C124</f>
        <v>51</v>
      </c>
    </row>
    <row r="11" spans="1:17" s="22" customFormat="1" ht="25" customHeight="1" x14ac:dyDescent="0.45">
      <c r="A11" s="20"/>
      <c r="B11" s="37"/>
      <c r="C11" s="100">
        <v>46</v>
      </c>
      <c r="D11" s="101">
        <f t="shared" si="3"/>
        <v>69</v>
      </c>
      <c r="E11" s="101">
        <f t="shared" si="0"/>
        <v>2</v>
      </c>
      <c r="F11" s="102">
        <f t="shared" si="4"/>
        <v>95.42</v>
      </c>
      <c r="G11" s="103">
        <f>IF(D11=D10,"",_xlfn.IFNA(VLOOKUP(D11,'인원 입력 기능(사과탐)'!$A$177:$D$231,4,FALSE),0))</f>
        <v>112</v>
      </c>
      <c r="H11" s="104">
        <f t="shared" si="1"/>
        <v>2.5221248902200103E-3</v>
      </c>
      <c r="I11" s="114">
        <f>SUM($G$7:G11)</f>
        <v>2089</v>
      </c>
      <c r="J11" s="106">
        <f t="shared" si="5"/>
        <v>4.7042132997050012E-2</v>
      </c>
      <c r="K11" s="38"/>
      <c r="L11" s="20" t="str">
        <f t="shared" si="2"/>
        <v/>
      </c>
      <c r="N11" s="24"/>
      <c r="P11" s="24">
        <v>5</v>
      </c>
      <c r="Q11" s="24">
        <f>'표점등급&amp;절평인원 입력 기능'!C125</f>
        <v>45</v>
      </c>
    </row>
    <row r="12" spans="1:17" s="22" customFormat="1" ht="25" customHeight="1" x14ac:dyDescent="0.45">
      <c r="A12" s="20"/>
      <c r="B12" s="37"/>
      <c r="C12" s="107">
        <v>45</v>
      </c>
      <c r="D12" s="115">
        <f t="shared" si="3"/>
        <v>68</v>
      </c>
      <c r="E12" s="115">
        <f t="shared" si="0"/>
        <v>2</v>
      </c>
      <c r="F12" s="116">
        <f t="shared" si="4"/>
        <v>93.76</v>
      </c>
      <c r="G12" s="117">
        <f>IF(D12=D11,"",_xlfn.IFNA(VLOOKUP(D12,'인원 입력 기능(사과탐)'!$A$177:$D$231,4,FALSE),0))</f>
        <v>1363</v>
      </c>
      <c r="H12" s="118">
        <f t="shared" si="1"/>
        <v>3.0693359155088161E-2</v>
      </c>
      <c r="I12" s="119">
        <f>SUM($G$7:G12)</f>
        <v>3452</v>
      </c>
      <c r="J12" s="120">
        <f t="shared" si="5"/>
        <v>7.773549215213818E-2</v>
      </c>
      <c r="K12" s="38"/>
      <c r="L12" s="20" t="str">
        <f t="shared" si="2"/>
        <v/>
      </c>
      <c r="N12" s="24"/>
      <c r="P12" s="24">
        <v>6</v>
      </c>
      <c r="Q12" s="24">
        <f>'표점등급&amp;절평인원 입력 기능'!C126</f>
        <v>41</v>
      </c>
    </row>
    <row r="13" spans="1:17" s="22" customFormat="1" ht="25" customHeight="1" x14ac:dyDescent="0.45">
      <c r="A13" s="20"/>
      <c r="B13" s="37"/>
      <c r="C13" s="100">
        <v>44</v>
      </c>
      <c r="D13" s="121"/>
      <c r="E13" s="121"/>
      <c r="F13" s="122"/>
      <c r="G13" s="123"/>
      <c r="H13" s="124"/>
      <c r="I13" s="125"/>
      <c r="J13" s="126"/>
      <c r="K13" s="38"/>
      <c r="L13" s="20" t="str">
        <f t="shared" si="2"/>
        <v>경고</v>
      </c>
      <c r="N13" s="24"/>
      <c r="P13" s="24">
        <v>7</v>
      </c>
      <c r="Q13" s="24">
        <f>'표점등급&amp;절평인원 입력 기능'!C127</f>
        <v>40</v>
      </c>
    </row>
    <row r="14" spans="1:17" s="22" customFormat="1" ht="25" customHeight="1" x14ac:dyDescent="0.45">
      <c r="A14" s="20"/>
      <c r="B14" s="37"/>
      <c r="C14" s="127">
        <v>43</v>
      </c>
      <c r="D14" s="175">
        <f t="shared" si="3"/>
        <v>67</v>
      </c>
      <c r="E14" s="175">
        <f t="shared" si="0"/>
        <v>2</v>
      </c>
      <c r="F14" s="102">
        <f t="shared" si="4"/>
        <v>91.79</v>
      </c>
      <c r="G14" s="103">
        <f>IF(D14=D13,"",_xlfn.IFNA(VLOOKUP(D14,'인원 입력 기능(사과탐)'!$A$177:$D$231,4,FALSE),0))</f>
        <v>390</v>
      </c>
      <c r="H14" s="104">
        <f t="shared" si="1"/>
        <v>8.7823991713018214E-3</v>
      </c>
      <c r="I14" s="114">
        <f>SUM($G$7:G14)</f>
        <v>3842</v>
      </c>
      <c r="J14" s="106">
        <f t="shared" si="5"/>
        <v>8.6517891323439997E-2</v>
      </c>
      <c r="K14" s="38"/>
      <c r="L14" s="20" t="str">
        <f t="shared" si="2"/>
        <v/>
      </c>
      <c r="N14" s="24"/>
      <c r="P14" s="24">
        <v>8</v>
      </c>
      <c r="Q14" s="24">
        <f>'표점등급&amp;절평인원 입력 기능'!C128</f>
        <v>37</v>
      </c>
    </row>
    <row r="15" spans="1:17" s="22" customFormat="1" ht="25" customHeight="1" x14ac:dyDescent="0.45">
      <c r="A15" s="20"/>
      <c r="B15" s="37"/>
      <c r="C15" s="100">
        <v>42</v>
      </c>
      <c r="D15" s="175">
        <f t="shared" ref="D15" si="6">ROUND(10*(C15-$H$3)/$H$4+50,0)</f>
        <v>66</v>
      </c>
      <c r="E15" s="175">
        <f t="shared" si="0"/>
        <v>2</v>
      </c>
      <c r="F15" s="102">
        <f t="shared" si="4"/>
        <v>90.46</v>
      </c>
      <c r="G15" s="103">
        <f>IF(D15=D14,"",_xlfn.IFNA(VLOOKUP(D15,'인원 입력 기능(사과탐)'!$A$177:$D$231,4,FALSE),0))</f>
        <v>793</v>
      </c>
      <c r="H15" s="104">
        <f t="shared" si="1"/>
        <v>1.7857544981647037E-2</v>
      </c>
      <c r="I15" s="114">
        <f>SUM($G$7:G15)</f>
        <v>4635</v>
      </c>
      <c r="J15" s="106">
        <f t="shared" si="5"/>
        <v>0.10437543630508704</v>
      </c>
      <c r="K15" s="38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7"/>
      <c r="C16" s="107">
        <v>41</v>
      </c>
      <c r="D16" s="101">
        <f t="shared" si="3"/>
        <v>65</v>
      </c>
      <c r="E16" s="101">
        <f t="shared" si="0"/>
        <v>2</v>
      </c>
      <c r="F16" s="102">
        <f t="shared" si="4"/>
        <v>88.93</v>
      </c>
      <c r="G16" s="103">
        <f>IF(D16=D15,"",_xlfn.IFNA(VLOOKUP(D16,'인원 입력 기능(사과탐)'!$A$177:$D$231,4,FALSE),0))</f>
        <v>561</v>
      </c>
      <c r="H16" s="104">
        <f t="shared" si="1"/>
        <v>1.2633143423334159E-2</v>
      </c>
      <c r="I16" s="114">
        <f>SUM($G$7:G16)</f>
        <v>5196</v>
      </c>
      <c r="J16" s="106">
        <f t="shared" si="5"/>
        <v>0.1170085797284212</v>
      </c>
      <c r="K16" s="38"/>
      <c r="L16" s="20" t="str">
        <f t="shared" si="2"/>
        <v/>
      </c>
      <c r="N16" s="24"/>
    </row>
    <row r="17" spans="1:17" s="22" customFormat="1" ht="25" customHeight="1" x14ac:dyDescent="0.45">
      <c r="A17" s="20"/>
      <c r="B17" s="37"/>
      <c r="C17" s="100">
        <v>40</v>
      </c>
      <c r="D17" s="101">
        <f t="shared" si="3"/>
        <v>64</v>
      </c>
      <c r="E17" s="101">
        <f t="shared" si="0"/>
        <v>3</v>
      </c>
      <c r="F17" s="102">
        <f t="shared" si="4"/>
        <v>87.59</v>
      </c>
      <c r="G17" s="103">
        <f>IF(D17=D16,"",_xlfn.IFNA(VLOOKUP(D17,'인원 입력 기능(사과탐)'!$A$177:$D$231,4,FALSE),0))</f>
        <v>631</v>
      </c>
      <c r="H17" s="104">
        <f t="shared" si="1"/>
        <v>1.4209471479721665E-2</v>
      </c>
      <c r="I17" s="114">
        <f>SUM($G$7:G17)</f>
        <v>5827</v>
      </c>
      <c r="J17" s="106">
        <f t="shared" si="5"/>
        <v>0.13121805120814287</v>
      </c>
      <c r="K17" s="38"/>
      <c r="L17" s="20" t="str">
        <f t="shared" si="2"/>
        <v/>
      </c>
      <c r="N17" s="24"/>
      <c r="Q17" s="24">
        <f>Q7*H3*H4*J3*IFERROR(IF(J57=1, 1, 0), 0)</f>
        <v>856100216.27899992</v>
      </c>
    </row>
    <row r="18" spans="1:17" s="22" customFormat="1" ht="25" customHeight="1" x14ac:dyDescent="0.45">
      <c r="A18" s="20"/>
      <c r="B18" s="37"/>
      <c r="C18" s="107">
        <v>39</v>
      </c>
      <c r="D18" s="115">
        <f t="shared" si="3"/>
        <v>63</v>
      </c>
      <c r="E18" s="115">
        <f t="shared" si="0"/>
        <v>3</v>
      </c>
      <c r="F18" s="116">
        <f t="shared" si="4"/>
        <v>85.37</v>
      </c>
      <c r="G18" s="117">
        <f>IF(D18=D17,"",_xlfn.IFNA(VLOOKUP(D18,'인원 입력 기능(사과탐)'!$A$177:$D$231,4,FALSE),0))</f>
        <v>1343</v>
      </c>
      <c r="H18" s="118">
        <f t="shared" si="1"/>
        <v>3.0242979710406018E-2</v>
      </c>
      <c r="I18" s="119">
        <f>SUM($G$7:G18)</f>
        <v>7170</v>
      </c>
      <c r="J18" s="120">
        <f t="shared" si="5"/>
        <v>0.16146103091854888</v>
      </c>
      <c r="K18" s="38"/>
      <c r="L18" s="20" t="str">
        <f t="shared" si="2"/>
        <v/>
      </c>
      <c r="N18" s="24"/>
    </row>
    <row r="19" spans="1:17" s="22" customFormat="1" ht="25" customHeight="1" x14ac:dyDescent="0.45">
      <c r="A19" s="20"/>
      <c r="B19" s="37"/>
      <c r="C19" s="100">
        <v>38</v>
      </c>
      <c r="D19" s="121"/>
      <c r="E19" s="121"/>
      <c r="F19" s="122"/>
      <c r="G19" s="123"/>
      <c r="H19" s="124"/>
      <c r="I19" s="125"/>
      <c r="J19" s="126"/>
      <c r="K19" s="38"/>
      <c r="L19" s="20" t="str">
        <f t="shared" si="2"/>
        <v>경고</v>
      </c>
      <c r="N19" s="24"/>
    </row>
    <row r="20" spans="1:17" s="22" customFormat="1" ht="25" customHeight="1" x14ac:dyDescent="0.45">
      <c r="A20" s="20"/>
      <c r="B20" s="37"/>
      <c r="C20" s="107">
        <v>37</v>
      </c>
      <c r="D20" s="101">
        <f t="shared" si="3"/>
        <v>62</v>
      </c>
      <c r="E20" s="101">
        <f t="shared" si="0"/>
        <v>3</v>
      </c>
      <c r="F20" s="102">
        <f t="shared" si="4"/>
        <v>83.03</v>
      </c>
      <c r="G20" s="103">
        <f>IF(D20=D19,"",_xlfn.IFNA(VLOOKUP(D20,'인원 입력 기능(사과탐)'!$A$177:$D$231,4,FALSE),0))</f>
        <v>729</v>
      </c>
      <c r="H20" s="104">
        <f t="shared" si="1"/>
        <v>1.6416330758664173E-2</v>
      </c>
      <c r="I20" s="114">
        <f>SUM($G$7:G20)</f>
        <v>7899</v>
      </c>
      <c r="J20" s="106">
        <f t="shared" si="5"/>
        <v>0.17787736167721305</v>
      </c>
      <c r="K20" s="38"/>
      <c r="L20" s="20" t="str">
        <f t="shared" si="2"/>
        <v/>
      </c>
      <c r="N20" s="24"/>
    </row>
    <row r="21" spans="1:17" s="22" customFormat="1" ht="25" customHeight="1" x14ac:dyDescent="0.45">
      <c r="A21" s="20"/>
      <c r="B21" s="37"/>
      <c r="C21" s="169">
        <v>36</v>
      </c>
      <c r="D21" s="128">
        <f t="shared" si="3"/>
        <v>61</v>
      </c>
      <c r="E21" s="128">
        <f t="shared" si="0"/>
        <v>3</v>
      </c>
      <c r="F21" s="102">
        <f t="shared" si="4"/>
        <v>81.510000000000005</v>
      </c>
      <c r="G21" s="103">
        <f>IF(D21=D20,"",_xlfn.IFNA(VLOOKUP(D21,'인원 입력 기능(사과탐)'!$A$177:$D$231,4,FALSE),0))</f>
        <v>628</v>
      </c>
      <c r="H21" s="104">
        <f t="shared" si="1"/>
        <v>1.4141914563019343E-2</v>
      </c>
      <c r="I21" s="114">
        <f>SUM($G$7:G21)</f>
        <v>8527</v>
      </c>
      <c r="J21" s="106">
        <f t="shared" si="5"/>
        <v>0.19201927624023241</v>
      </c>
      <c r="K21" s="38"/>
      <c r="L21" s="20" t="str">
        <f t="shared" si="2"/>
        <v/>
      </c>
      <c r="N21" s="24"/>
    </row>
    <row r="22" spans="1:17" s="22" customFormat="1" ht="25" customHeight="1" x14ac:dyDescent="0.45">
      <c r="A22" s="20"/>
      <c r="B22" s="37"/>
      <c r="C22" s="127">
        <v>35</v>
      </c>
      <c r="D22" s="128">
        <f t="shared" si="3"/>
        <v>60</v>
      </c>
      <c r="E22" s="128">
        <f t="shared" si="0"/>
        <v>3</v>
      </c>
      <c r="F22" s="102">
        <f t="shared" si="4"/>
        <v>80.069999999999993</v>
      </c>
      <c r="G22" s="103">
        <f>IF(D22=D21,"",_xlfn.IFNA(VLOOKUP(D22,'인원 입력 기능(사과탐)'!$A$177:$D$231,4,FALSE),0))</f>
        <v>647</v>
      </c>
      <c r="H22" s="104">
        <f t="shared" si="1"/>
        <v>1.4569775035467381E-2</v>
      </c>
      <c r="I22" s="114">
        <f>SUM($G$7:G22)</f>
        <v>9174</v>
      </c>
      <c r="J22" s="106">
        <f t="shared" si="5"/>
        <v>0.20658905127569976</v>
      </c>
      <c r="K22" s="38"/>
      <c r="L22" s="20" t="str">
        <f t="shared" si="2"/>
        <v/>
      </c>
      <c r="N22" s="24"/>
    </row>
    <row r="23" spans="1:17" s="22" customFormat="1" ht="25" customHeight="1" x14ac:dyDescent="0.45">
      <c r="A23" s="20"/>
      <c r="B23" s="37"/>
      <c r="C23" s="169">
        <v>34</v>
      </c>
      <c r="D23" s="130">
        <f t="shared" si="3"/>
        <v>59</v>
      </c>
      <c r="E23" s="130">
        <f t="shared" si="0"/>
        <v>3</v>
      </c>
      <c r="F23" s="116">
        <f t="shared" si="4"/>
        <v>77.819999999999993</v>
      </c>
      <c r="G23" s="117">
        <f>IF(D23=D22,"",_xlfn.IFNA(VLOOKUP(D23,'인원 입력 기능(사과탐)'!$A$177:$D$231,4,FALSE),0))</f>
        <v>1350</v>
      </c>
      <c r="H23" s="118">
        <f t="shared" si="1"/>
        <v>3.0400612516044766E-2</v>
      </c>
      <c r="I23" s="119">
        <f>SUM($G$7:G23)</f>
        <v>10524</v>
      </c>
      <c r="J23" s="120">
        <f t="shared" si="5"/>
        <v>0.23698966379174455</v>
      </c>
      <c r="K23" s="38"/>
      <c r="L23" s="20" t="str">
        <f t="shared" si="2"/>
        <v/>
      </c>
      <c r="N23" s="24"/>
    </row>
    <row r="24" spans="1:17" s="22" customFormat="1" ht="25" customHeight="1" x14ac:dyDescent="0.45">
      <c r="A24" s="20"/>
      <c r="B24" s="37"/>
      <c r="C24" s="127">
        <v>33</v>
      </c>
      <c r="D24" s="132"/>
      <c r="E24" s="132"/>
      <c r="F24" s="122"/>
      <c r="G24" s="123"/>
      <c r="H24" s="124"/>
      <c r="I24" s="125"/>
      <c r="J24" s="126"/>
      <c r="K24" s="38"/>
      <c r="L24" s="20" t="str">
        <f t="shared" si="2"/>
        <v>경고</v>
      </c>
      <c r="N24" s="24"/>
    </row>
    <row r="25" spans="1:17" s="22" customFormat="1" ht="25" customHeight="1" x14ac:dyDescent="0.45">
      <c r="A25" s="20"/>
      <c r="B25" s="37"/>
      <c r="C25" s="169">
        <v>32</v>
      </c>
      <c r="D25" s="128">
        <f t="shared" si="3"/>
        <v>58</v>
      </c>
      <c r="E25" s="128">
        <f t="shared" si="0"/>
        <v>4</v>
      </c>
      <c r="F25" s="102">
        <f t="shared" si="4"/>
        <v>75.5</v>
      </c>
      <c r="G25" s="103">
        <f>IF(D25=D24,"",_xlfn.IFNA(VLOOKUP(D25,'인원 입력 기능(사과탐)'!$A$177:$D$231,4,FALSE),0))</f>
        <v>714</v>
      </c>
      <c r="H25" s="104">
        <f t="shared" si="1"/>
        <v>1.6078546175152565E-2</v>
      </c>
      <c r="I25" s="114">
        <f>SUM($G$7:G25)</f>
        <v>11238</v>
      </c>
      <c r="J25" s="106">
        <f t="shared" si="5"/>
        <v>0.25306820996689711</v>
      </c>
      <c r="K25" s="38"/>
      <c r="L25" s="20" t="str">
        <f t="shared" si="2"/>
        <v/>
      </c>
      <c r="N25" s="24"/>
    </row>
    <row r="26" spans="1:17" s="22" customFormat="1" ht="25" customHeight="1" x14ac:dyDescent="0.45">
      <c r="A26" s="20"/>
      <c r="B26" s="37"/>
      <c r="C26" s="127">
        <v>31</v>
      </c>
      <c r="D26" s="128">
        <f t="shared" si="3"/>
        <v>57</v>
      </c>
      <c r="E26" s="128">
        <f t="shared" si="0"/>
        <v>4</v>
      </c>
      <c r="F26" s="102">
        <f t="shared" si="4"/>
        <v>73.87</v>
      </c>
      <c r="G26" s="103">
        <f>IF(D26=D25,"",_xlfn.IFNA(VLOOKUP(D26,'인원 입력 기능(사과탐)'!$A$177:$D$231,4,FALSE),0))</f>
        <v>730</v>
      </c>
      <c r="H26" s="104">
        <f t="shared" si="1"/>
        <v>1.6438849730898281E-2</v>
      </c>
      <c r="I26" s="114">
        <f>SUM($G$7:G26)</f>
        <v>11968</v>
      </c>
      <c r="J26" s="106">
        <f t="shared" si="5"/>
        <v>0.26950705969779537</v>
      </c>
      <c r="K26" s="38"/>
      <c r="L26" s="20" t="str">
        <f t="shared" si="2"/>
        <v/>
      </c>
      <c r="N26" s="24"/>
    </row>
    <row r="27" spans="1:17" s="22" customFormat="1" ht="25" customHeight="1" x14ac:dyDescent="0.45">
      <c r="A27" s="20"/>
      <c r="B27" s="37"/>
      <c r="C27" s="169">
        <v>30</v>
      </c>
      <c r="D27" s="128">
        <f t="shared" si="3"/>
        <v>56</v>
      </c>
      <c r="E27" s="128">
        <f t="shared" si="0"/>
        <v>4</v>
      </c>
      <c r="F27" s="102">
        <f t="shared" si="4"/>
        <v>72.260000000000005</v>
      </c>
      <c r="G27" s="103">
        <f>IF(D27=D26,"",_xlfn.IFNA(VLOOKUP(D27,'인원 입력 기능(사과탐)'!$A$177:$D$231,4,FALSE),0))</f>
        <v>701</v>
      </c>
      <c r="H27" s="104">
        <f t="shared" si="1"/>
        <v>1.5785799536109171E-2</v>
      </c>
      <c r="I27" s="114">
        <f>SUM($G$7:G27)</f>
        <v>12669</v>
      </c>
      <c r="J27" s="106">
        <f t="shared" si="5"/>
        <v>0.28529285923390457</v>
      </c>
      <c r="K27" s="38"/>
      <c r="L27" s="20" t="str">
        <f t="shared" si="2"/>
        <v/>
      </c>
      <c r="N27" s="24"/>
    </row>
    <row r="28" spans="1:17" s="22" customFormat="1" ht="25" customHeight="1" x14ac:dyDescent="0.45">
      <c r="A28" s="20"/>
      <c r="B28" s="37"/>
      <c r="C28" s="127">
        <v>29</v>
      </c>
      <c r="D28" s="128">
        <f t="shared" si="3"/>
        <v>55</v>
      </c>
      <c r="E28" s="128">
        <f t="shared" si="0"/>
        <v>4</v>
      </c>
      <c r="F28" s="102">
        <f t="shared" si="4"/>
        <v>70.650000000000006</v>
      </c>
      <c r="G28" s="103">
        <f>IF(D28=D27,"",_xlfn.IFNA(VLOOKUP(D28,'인원 입력 기능(사과탐)'!$A$177:$D$231,4,FALSE),0))</f>
        <v>729</v>
      </c>
      <c r="H28" s="104">
        <f t="shared" si="1"/>
        <v>1.6416330758664173E-2</v>
      </c>
      <c r="I28" s="114">
        <f>SUM($G$7:G28)</f>
        <v>13398</v>
      </c>
      <c r="J28" s="106">
        <f t="shared" si="5"/>
        <v>0.30170918999256874</v>
      </c>
      <c r="K28" s="38"/>
      <c r="L28" s="20" t="str">
        <f t="shared" si="2"/>
        <v/>
      </c>
      <c r="N28" s="24"/>
    </row>
    <row r="29" spans="1:17" s="22" customFormat="1" ht="25" customHeight="1" x14ac:dyDescent="0.45">
      <c r="A29" s="20"/>
      <c r="B29" s="37"/>
      <c r="C29" s="169">
        <v>28</v>
      </c>
      <c r="D29" s="130">
        <f t="shared" si="3"/>
        <v>54</v>
      </c>
      <c r="E29" s="130">
        <f t="shared" si="0"/>
        <v>4</v>
      </c>
      <c r="F29" s="116">
        <f t="shared" si="4"/>
        <v>67.959999999999994</v>
      </c>
      <c r="G29" s="117">
        <f>IF(D29=D28,"",_xlfn.IFNA(VLOOKUP(D29,'인원 입력 기능(사과탐)'!$A$177:$D$231,4,FALSE),0))</f>
        <v>1663</v>
      </c>
      <c r="H29" s="118">
        <f t="shared" si="1"/>
        <v>3.7449050825320331E-2</v>
      </c>
      <c r="I29" s="119">
        <f>SUM($G$7:G29)</f>
        <v>15061</v>
      </c>
      <c r="J29" s="120">
        <f t="shared" si="5"/>
        <v>0.33915824081788909</v>
      </c>
      <c r="K29" s="38"/>
      <c r="L29" s="20" t="str">
        <f t="shared" si="2"/>
        <v/>
      </c>
      <c r="N29" s="24"/>
    </row>
    <row r="30" spans="1:17" s="22" customFormat="1" ht="25" customHeight="1" x14ac:dyDescent="0.45">
      <c r="A30" s="20"/>
      <c r="B30" s="37"/>
      <c r="C30" s="127">
        <v>27</v>
      </c>
      <c r="D30" s="132"/>
      <c r="E30" s="132"/>
      <c r="F30" s="122"/>
      <c r="G30" s="123"/>
      <c r="H30" s="124"/>
      <c r="I30" s="125"/>
      <c r="J30" s="126"/>
      <c r="K30" s="38"/>
      <c r="L30" s="20" t="str">
        <f t="shared" si="2"/>
        <v>경고</v>
      </c>
      <c r="N30" s="24"/>
    </row>
    <row r="31" spans="1:17" s="22" customFormat="1" ht="25" customHeight="1" x14ac:dyDescent="0.45">
      <c r="A31" s="20"/>
      <c r="B31" s="37"/>
      <c r="C31" s="169">
        <v>26</v>
      </c>
      <c r="D31" s="128">
        <f t="shared" si="3"/>
        <v>53</v>
      </c>
      <c r="E31" s="128">
        <f t="shared" si="0"/>
        <v>4</v>
      </c>
      <c r="F31" s="102">
        <f t="shared" si="4"/>
        <v>65.19</v>
      </c>
      <c r="G31" s="103">
        <f>IF(D31=D30,"",_xlfn.IFNA(VLOOKUP(D31,'인원 입력 기능(사과탐)'!$A$177:$D$231,4,FALSE),0))</f>
        <v>797</v>
      </c>
      <c r="H31" s="104">
        <f t="shared" si="1"/>
        <v>1.7947620870583467E-2</v>
      </c>
      <c r="I31" s="114">
        <f>SUM($G$7:G31)</f>
        <v>15858</v>
      </c>
      <c r="J31" s="106">
        <f t="shared" si="5"/>
        <v>0.35710586168847253</v>
      </c>
      <c r="K31" s="38"/>
      <c r="L31" s="20" t="str">
        <f t="shared" si="2"/>
        <v/>
      </c>
      <c r="N31" s="24"/>
    </row>
    <row r="32" spans="1:17" s="22" customFormat="1" ht="25" customHeight="1" x14ac:dyDescent="0.45">
      <c r="A32" s="20"/>
      <c r="B32" s="37"/>
      <c r="C32" s="127">
        <v>25</v>
      </c>
      <c r="D32" s="128">
        <f t="shared" si="3"/>
        <v>52</v>
      </c>
      <c r="E32" s="128">
        <f t="shared" si="0"/>
        <v>4</v>
      </c>
      <c r="F32" s="102">
        <f t="shared" si="4"/>
        <v>63.25</v>
      </c>
      <c r="G32" s="103">
        <f>IF(D32=D31,"",_xlfn.IFNA(VLOOKUP(D32,'인원 입력 기능(사과탐)'!$A$177:$D$231,4,FALSE),0))</f>
        <v>924</v>
      </c>
      <c r="H32" s="104">
        <f t="shared" si="1"/>
        <v>2.0807530344315085E-2</v>
      </c>
      <c r="I32" s="114">
        <f>SUM($G$7:G32)</f>
        <v>16782</v>
      </c>
      <c r="J32" s="106">
        <f t="shared" si="5"/>
        <v>0.37791339203278762</v>
      </c>
      <c r="K32" s="38"/>
      <c r="L32" s="20" t="str">
        <f t="shared" si="2"/>
        <v/>
      </c>
      <c r="N32" s="24"/>
    </row>
    <row r="33" spans="1:14" s="22" customFormat="1" ht="25" customHeight="1" x14ac:dyDescent="0.45">
      <c r="A33" s="20"/>
      <c r="B33" s="37"/>
      <c r="C33" s="169">
        <v>24</v>
      </c>
      <c r="D33" s="128">
        <f t="shared" si="3"/>
        <v>51</v>
      </c>
      <c r="E33" s="128">
        <f t="shared" si="0"/>
        <v>4</v>
      </c>
      <c r="F33" s="102">
        <f t="shared" si="4"/>
        <v>61.04</v>
      </c>
      <c r="G33" s="103">
        <f>IF(D33=D32,"",_xlfn.IFNA(VLOOKUP(D33,'인원 입력 기능(사과탐)'!$A$177:$D$231,4,FALSE),0))</f>
        <v>1034</v>
      </c>
      <c r="H33" s="104">
        <f t="shared" si="1"/>
        <v>2.3284617290066881E-2</v>
      </c>
      <c r="I33" s="114">
        <f>SUM($G$7:G33)</f>
        <v>17816</v>
      </c>
      <c r="J33" s="106">
        <f t="shared" si="5"/>
        <v>0.40119800932285449</v>
      </c>
      <c r="K33" s="38"/>
      <c r="L33" s="20" t="str">
        <f t="shared" si="2"/>
        <v/>
      </c>
      <c r="N33" s="24"/>
    </row>
    <row r="34" spans="1:14" s="22" customFormat="1" ht="25" customHeight="1" x14ac:dyDescent="0.45">
      <c r="A34" s="20"/>
      <c r="B34" s="37"/>
      <c r="C34" s="127">
        <v>23</v>
      </c>
      <c r="D34" s="128">
        <f t="shared" si="3"/>
        <v>50</v>
      </c>
      <c r="E34" s="128">
        <f t="shared" si="0"/>
        <v>5</v>
      </c>
      <c r="F34" s="102">
        <f t="shared" si="4"/>
        <v>58.7</v>
      </c>
      <c r="G34" s="103">
        <f>IF(D34=D33,"",_xlfn.IFNA(VLOOKUP(D34,'인원 입력 기능(사과탐)'!$A$177:$D$231,4,FALSE),0))</f>
        <v>1046</v>
      </c>
      <c r="H34" s="104">
        <f t="shared" si="1"/>
        <v>2.3554844956876167E-2</v>
      </c>
      <c r="I34" s="114">
        <f>SUM($G$7:G34)</f>
        <v>18862</v>
      </c>
      <c r="J34" s="106">
        <f t="shared" si="5"/>
        <v>0.4247528542797307</v>
      </c>
      <c r="K34" s="38"/>
      <c r="L34" s="20" t="str">
        <f t="shared" si="2"/>
        <v/>
      </c>
      <c r="N34" s="24"/>
    </row>
    <row r="35" spans="1:14" s="22" customFormat="1" ht="25" customHeight="1" x14ac:dyDescent="0.45">
      <c r="A35" s="20"/>
      <c r="B35" s="37"/>
      <c r="C35" s="169">
        <v>22</v>
      </c>
      <c r="D35" s="130">
        <f t="shared" si="3"/>
        <v>49</v>
      </c>
      <c r="E35" s="130">
        <f t="shared" si="0"/>
        <v>5</v>
      </c>
      <c r="F35" s="116">
        <f t="shared" si="4"/>
        <v>54.96</v>
      </c>
      <c r="G35" s="117">
        <f>IF(D35=D34,"",_xlfn.IFNA(VLOOKUP(D35,'인원 입력 기능(사과탐)'!$A$177:$D$231,4,FALSE),0))</f>
        <v>2280</v>
      </c>
      <c r="H35" s="118">
        <f t="shared" si="1"/>
        <v>5.1343256693764494E-2</v>
      </c>
      <c r="I35" s="119">
        <f>SUM($G$7:G35)</f>
        <v>21142</v>
      </c>
      <c r="J35" s="120">
        <f t="shared" si="5"/>
        <v>0.47609611097349519</v>
      </c>
      <c r="K35" s="38"/>
      <c r="L35" s="20" t="str">
        <f t="shared" si="2"/>
        <v/>
      </c>
      <c r="N35" s="24"/>
    </row>
    <row r="36" spans="1:14" s="22" customFormat="1" ht="25" customHeight="1" x14ac:dyDescent="0.45">
      <c r="A36" s="20"/>
      <c r="B36" s="37"/>
      <c r="C36" s="127">
        <v>21</v>
      </c>
      <c r="D36" s="132"/>
      <c r="E36" s="132"/>
      <c r="F36" s="122"/>
      <c r="G36" s="123"/>
      <c r="H36" s="124"/>
      <c r="I36" s="125"/>
      <c r="J36" s="126"/>
      <c r="K36" s="38"/>
      <c r="L36" s="20" t="str">
        <f t="shared" si="2"/>
        <v>경고</v>
      </c>
      <c r="N36" s="24"/>
    </row>
    <row r="37" spans="1:14" s="22" customFormat="1" ht="25" customHeight="1" x14ac:dyDescent="0.45">
      <c r="A37" s="20"/>
      <c r="B37" s="37"/>
      <c r="C37" s="169">
        <v>20</v>
      </c>
      <c r="D37" s="128">
        <f t="shared" si="3"/>
        <v>48</v>
      </c>
      <c r="E37" s="128">
        <f t="shared" si="0"/>
        <v>5</v>
      </c>
      <c r="F37" s="102">
        <f t="shared" si="4"/>
        <v>50.93</v>
      </c>
      <c r="G37" s="103">
        <f>IF(D37=D36,"",_xlfn.IFNA(VLOOKUP(D37,'인원 입력 기능(사과탐)'!$A$177:$D$231,4,FALSE),0))</f>
        <v>1299</v>
      </c>
      <c r="H37" s="104">
        <f t="shared" si="1"/>
        <v>2.92521449321053E-2</v>
      </c>
      <c r="I37" s="114">
        <f>SUM($G$7:G37)</f>
        <v>22441</v>
      </c>
      <c r="J37" s="106">
        <f t="shared" si="5"/>
        <v>0.50534825590560051</v>
      </c>
      <c r="K37" s="38"/>
      <c r="L37" s="20" t="str">
        <f t="shared" si="2"/>
        <v/>
      </c>
      <c r="N37" s="24"/>
    </row>
    <row r="38" spans="1:14" s="22" customFormat="1" ht="25" customHeight="1" x14ac:dyDescent="0.45">
      <c r="A38" s="20"/>
      <c r="B38" s="37"/>
      <c r="C38" s="127">
        <v>19</v>
      </c>
      <c r="D38" s="128">
        <f t="shared" si="3"/>
        <v>47</v>
      </c>
      <c r="E38" s="128">
        <f t="shared" si="0"/>
        <v>5</v>
      </c>
      <c r="F38" s="102">
        <f t="shared" si="4"/>
        <v>47.8</v>
      </c>
      <c r="G38" s="103">
        <f>IF(D38=D37,"",_xlfn.IFNA(VLOOKUP(D38,'인원 입력 기능(사과탐)'!$A$177:$D$231,4,FALSE),0))</f>
        <v>1479</v>
      </c>
      <c r="H38" s="104">
        <f t="shared" si="1"/>
        <v>3.3305559934244604E-2</v>
      </c>
      <c r="I38" s="114">
        <f>SUM($G$7:G38)</f>
        <v>23920</v>
      </c>
      <c r="J38" s="106">
        <f t="shared" si="5"/>
        <v>0.53865381583984506</v>
      </c>
      <c r="K38" s="38"/>
      <c r="L38" s="20" t="str">
        <f t="shared" si="2"/>
        <v/>
      </c>
      <c r="N38" s="24"/>
    </row>
    <row r="39" spans="1:14" s="22" customFormat="1" ht="25" customHeight="1" x14ac:dyDescent="0.45">
      <c r="A39" s="20"/>
      <c r="B39" s="37"/>
      <c r="C39" s="169">
        <v>18</v>
      </c>
      <c r="D39" s="128">
        <f t="shared" si="3"/>
        <v>46</v>
      </c>
      <c r="E39" s="128">
        <f t="shared" ref="E39:E57" si="7">IF(ROUND(D39,0)&gt;=$Q$7,1,IF(ROUND(D39,0)&gt;=$Q$8,2,IF(ROUND(D39,0)&gt;=$Q$9,3,IF(ROUND(D39,0)&gt;=$Q$10,4,IF(ROUND(D39,0)&gt;=$Q$11,5,IF(ROUND(D39,0)&gt;=$Q$12,6,IF(ROUND(D39,0)&gt;=$Q$13,7,IF(ROUND(D39,0)&gt;=$Q$14,8,9))))))))</f>
        <v>5</v>
      </c>
      <c r="F39" s="102">
        <f t="shared" si="4"/>
        <v>44.56</v>
      </c>
      <c r="G39" s="103">
        <f>IF(D39=D38,"",_xlfn.IFNA(VLOOKUP(D39,'인원 입력 기능(사과탐)'!$A$177:$D$231,4,FALSE),0))</f>
        <v>1402</v>
      </c>
      <c r="H39" s="104">
        <f t="shared" si="1"/>
        <v>3.1571599072218341E-2</v>
      </c>
      <c r="I39" s="114">
        <f>SUM($G$7:G39)</f>
        <v>25322</v>
      </c>
      <c r="J39" s="106">
        <f t="shared" si="5"/>
        <v>0.57022541491206347</v>
      </c>
      <c r="K39" s="38"/>
      <c r="L39" s="20" t="str">
        <f t="shared" si="2"/>
        <v/>
      </c>
      <c r="N39" s="24"/>
    </row>
    <row r="40" spans="1:14" s="22" customFormat="1" ht="25" customHeight="1" x14ac:dyDescent="0.45">
      <c r="A40" s="20"/>
      <c r="B40" s="37"/>
      <c r="C40" s="127">
        <v>17</v>
      </c>
      <c r="D40" s="130">
        <f t="shared" si="3"/>
        <v>45</v>
      </c>
      <c r="E40" s="130">
        <f t="shared" si="7"/>
        <v>5</v>
      </c>
      <c r="F40" s="116">
        <f t="shared" si="4"/>
        <v>39.520000000000003</v>
      </c>
      <c r="G40" s="117">
        <f>IF(D40=D39,"",_xlfn.IFNA(VLOOKUP(D40,'인원 입력 기능(사과탐)'!$A$177:$D$231,4,FALSE),0))</f>
        <v>3074</v>
      </c>
      <c r="H40" s="118">
        <f t="shared" si="1"/>
        <v>6.9223320647645636E-2</v>
      </c>
      <c r="I40" s="119">
        <f>SUM($G$7:G40)</f>
        <v>28396</v>
      </c>
      <c r="J40" s="120">
        <f t="shared" si="5"/>
        <v>0.63944873555970905</v>
      </c>
      <c r="K40" s="38"/>
      <c r="L40" s="20" t="str">
        <f t="shared" si="2"/>
        <v/>
      </c>
      <c r="N40" s="24"/>
    </row>
    <row r="41" spans="1:14" s="22" customFormat="1" ht="25" customHeight="1" x14ac:dyDescent="0.45">
      <c r="A41" s="20"/>
      <c r="B41" s="37"/>
      <c r="C41" s="169">
        <v>16</v>
      </c>
      <c r="D41" s="132"/>
      <c r="E41" s="132"/>
      <c r="F41" s="122"/>
      <c r="G41" s="123"/>
      <c r="H41" s="124"/>
      <c r="I41" s="125"/>
      <c r="J41" s="126"/>
      <c r="K41" s="38"/>
      <c r="L41" s="20" t="str">
        <f t="shared" si="2"/>
        <v>경고</v>
      </c>
      <c r="N41" s="24"/>
    </row>
    <row r="42" spans="1:14" s="22" customFormat="1" ht="25" customHeight="1" x14ac:dyDescent="0.45">
      <c r="A42" s="20"/>
      <c r="B42" s="37"/>
      <c r="C42" s="127">
        <v>15</v>
      </c>
      <c r="D42" s="128">
        <f t="shared" si="3"/>
        <v>44</v>
      </c>
      <c r="E42" s="128">
        <f t="shared" si="7"/>
        <v>6</v>
      </c>
      <c r="F42" s="102">
        <f t="shared" si="4"/>
        <v>34.159999999999997</v>
      </c>
      <c r="G42" s="103">
        <f>IF(D42=D41,"",_xlfn.IFNA(VLOOKUP(D42,'인원 입력 기능(사과탐)'!$A$177:$D$231,4,FALSE),0))</f>
        <v>1680</v>
      </c>
      <c r="H42" s="104">
        <f t="shared" si="1"/>
        <v>3.7831873353300155E-2</v>
      </c>
      <c r="I42" s="114">
        <f>SUM($G$7:G42)</f>
        <v>30076</v>
      </c>
      <c r="J42" s="106">
        <f t="shared" si="5"/>
        <v>0.67728060891300923</v>
      </c>
      <c r="K42" s="38"/>
      <c r="L42" s="20" t="str">
        <f t="shared" si="2"/>
        <v/>
      </c>
      <c r="N42" s="24"/>
    </row>
    <row r="43" spans="1:14" s="22" customFormat="1" ht="25" customHeight="1" x14ac:dyDescent="0.45">
      <c r="A43" s="20"/>
      <c r="B43" s="37"/>
      <c r="C43" s="169">
        <v>14</v>
      </c>
      <c r="D43" s="128">
        <f t="shared" si="3"/>
        <v>43</v>
      </c>
      <c r="E43" s="128">
        <f t="shared" si="7"/>
        <v>6</v>
      </c>
      <c r="F43" s="102">
        <f t="shared" si="4"/>
        <v>30.41</v>
      </c>
      <c r="G43" s="103">
        <f>IF(D43=D42,"",_xlfn.IFNA(VLOOKUP(D43,'인원 입력 기능(사과탐)'!$A$177:$D$231,4,FALSE),0))</f>
        <v>1655</v>
      </c>
      <c r="H43" s="104">
        <f t="shared" si="1"/>
        <v>3.7268899047447478E-2</v>
      </c>
      <c r="I43" s="114">
        <f>SUM($G$7:G43)</f>
        <v>31731</v>
      </c>
      <c r="J43" s="106">
        <f t="shared" si="5"/>
        <v>0.71454950796045669</v>
      </c>
      <c r="K43" s="38"/>
      <c r="L43" s="20" t="str">
        <f t="shared" si="2"/>
        <v/>
      </c>
      <c r="N43" s="24"/>
    </row>
    <row r="44" spans="1:14" s="22" customFormat="1" ht="25" customHeight="1" x14ac:dyDescent="0.45">
      <c r="A44" s="20"/>
      <c r="B44" s="37"/>
      <c r="C44" s="127">
        <v>13</v>
      </c>
      <c r="D44" s="128">
        <f t="shared" si="3"/>
        <v>42</v>
      </c>
      <c r="E44" s="128">
        <f t="shared" si="7"/>
        <v>6</v>
      </c>
      <c r="F44" s="102">
        <f t="shared" si="4"/>
        <v>26.78</v>
      </c>
      <c r="G44" s="103">
        <f>IF(D44=D43,"",_xlfn.IFNA(VLOOKUP(D44,'인원 입력 기능(사과탐)'!$A$177:$D$231,4,FALSE),0))</f>
        <v>1567</v>
      </c>
      <c r="H44" s="104">
        <f t="shared" si="1"/>
        <v>3.5287229490846041E-2</v>
      </c>
      <c r="I44" s="114">
        <f>SUM($G$7:G44)</f>
        <v>33298</v>
      </c>
      <c r="J44" s="106">
        <f t="shared" si="5"/>
        <v>0.74983673745130275</v>
      </c>
      <c r="K44" s="38"/>
      <c r="L44" s="20" t="str">
        <f t="shared" si="2"/>
        <v/>
      </c>
      <c r="N44" s="24"/>
    </row>
    <row r="45" spans="1:14" s="22" customFormat="1" ht="25" customHeight="1" x14ac:dyDescent="0.45">
      <c r="A45" s="20"/>
      <c r="B45" s="37"/>
      <c r="C45" s="169">
        <v>12</v>
      </c>
      <c r="D45" s="128">
        <f t="shared" si="3"/>
        <v>41</v>
      </c>
      <c r="E45" s="128">
        <f t="shared" si="7"/>
        <v>6</v>
      </c>
      <c r="F45" s="102">
        <f t="shared" si="4"/>
        <v>23.1</v>
      </c>
      <c r="G45" s="103">
        <f>IF(D45=D44,"",_xlfn.IFNA(VLOOKUP(D45,'인원 입력 기능(사과탐)'!$A$177:$D$231,4,FALSE),0))</f>
        <v>1698</v>
      </c>
      <c r="H45" s="104">
        <f t="shared" si="1"/>
        <v>3.8237214853514084E-2</v>
      </c>
      <c r="I45" s="114">
        <f>SUM($G$7:G45)</f>
        <v>34996</v>
      </c>
      <c r="J45" s="106">
        <f t="shared" si="5"/>
        <v>0.7880739523048168</v>
      </c>
      <c r="K45" s="38"/>
      <c r="L45" s="20" t="str">
        <f t="shared" si="2"/>
        <v/>
      </c>
      <c r="N45" s="24"/>
    </row>
    <row r="46" spans="1:14" s="22" customFormat="1" ht="25" customHeight="1" x14ac:dyDescent="0.45">
      <c r="A46" s="20"/>
      <c r="B46" s="37"/>
      <c r="C46" s="127">
        <v>11</v>
      </c>
      <c r="D46" s="130">
        <f t="shared" si="3"/>
        <v>40</v>
      </c>
      <c r="E46" s="130">
        <f t="shared" si="7"/>
        <v>7</v>
      </c>
      <c r="F46" s="116">
        <f t="shared" si="4"/>
        <v>15.89</v>
      </c>
      <c r="G46" s="117">
        <f>IF(D46=D45,"",_xlfn.IFNA(VLOOKUP(D46,'인원 입력 기능(사과탐)'!$A$177:$D$231,4,FALSE),0))</f>
        <v>4713</v>
      </c>
      <c r="H46" s="118">
        <f t="shared" si="1"/>
        <v>0.1061319161393474</v>
      </c>
      <c r="I46" s="119">
        <f>SUM($G$7:G46)</f>
        <v>39709</v>
      </c>
      <c r="J46" s="120">
        <f t="shared" si="5"/>
        <v>0.89420586844416416</v>
      </c>
      <c r="K46" s="38"/>
      <c r="L46" s="20" t="str">
        <f t="shared" si="2"/>
        <v/>
      </c>
      <c r="N46" s="24"/>
    </row>
    <row r="47" spans="1:14" s="22" customFormat="1" ht="25" customHeight="1" x14ac:dyDescent="0.45">
      <c r="A47" s="20"/>
      <c r="B47" s="37"/>
      <c r="C47" s="169">
        <v>10</v>
      </c>
      <c r="D47" s="132"/>
      <c r="E47" s="132"/>
      <c r="F47" s="122"/>
      <c r="G47" s="123"/>
      <c r="H47" s="124"/>
      <c r="I47" s="125"/>
      <c r="J47" s="126"/>
      <c r="K47" s="38"/>
      <c r="L47" s="20" t="str">
        <f t="shared" si="2"/>
        <v>경고</v>
      </c>
      <c r="N47" s="24"/>
    </row>
    <row r="48" spans="1:14" s="22" customFormat="1" ht="25" customHeight="1" x14ac:dyDescent="0.45">
      <c r="A48" s="20"/>
      <c r="B48" s="37"/>
      <c r="C48" s="127">
        <v>9</v>
      </c>
      <c r="D48" s="128">
        <f t="shared" si="3"/>
        <v>39</v>
      </c>
      <c r="E48" s="128">
        <f t="shared" si="7"/>
        <v>8</v>
      </c>
      <c r="F48" s="102">
        <f t="shared" si="4"/>
        <v>9.02</v>
      </c>
      <c r="G48" s="103">
        <f>IF(D48=D47,"",_xlfn.IFNA(VLOOKUP(D48,'인원 입력 기능(사과탐)'!$A$177:$D$231,4,FALSE),0))</f>
        <v>1387</v>
      </c>
      <c r="H48" s="104">
        <f t="shared" si="1"/>
        <v>3.1233814488706737E-2</v>
      </c>
      <c r="I48" s="114">
        <f>SUM($G$7:G48)</f>
        <v>41096</v>
      </c>
      <c r="J48" s="106">
        <f t="shared" si="5"/>
        <v>0.92543968293287093</v>
      </c>
      <c r="K48" s="38"/>
      <c r="L48" s="20" t="str">
        <f t="shared" si="2"/>
        <v/>
      </c>
      <c r="N48" s="24"/>
    </row>
    <row r="49" spans="1:14" s="22" customFormat="1" ht="25" customHeight="1" x14ac:dyDescent="0.45">
      <c r="A49" s="20"/>
      <c r="B49" s="37"/>
      <c r="C49" s="169">
        <v>8</v>
      </c>
      <c r="D49" s="128">
        <f t="shared" si="3"/>
        <v>38</v>
      </c>
      <c r="E49" s="128">
        <f t="shared" si="7"/>
        <v>8</v>
      </c>
      <c r="F49" s="102">
        <f t="shared" si="4"/>
        <v>6.41</v>
      </c>
      <c r="G49" s="103">
        <f>IF(D49=D48,"",_xlfn.IFNA(VLOOKUP(D49,'인원 입력 기능(사과탐)'!$A$177:$D$231,4,FALSE),0))</f>
        <v>929</v>
      </c>
      <c r="H49" s="104">
        <f t="shared" si="1"/>
        <v>2.0920125205485623E-2</v>
      </c>
      <c r="I49" s="114">
        <f>SUM($G$7:G49)</f>
        <v>42025</v>
      </c>
      <c r="J49" s="106">
        <f t="shared" si="5"/>
        <v>0.94635980813835652</v>
      </c>
      <c r="K49" s="38"/>
      <c r="L49" s="20" t="str">
        <f t="shared" si="2"/>
        <v/>
      </c>
      <c r="N49" s="24"/>
    </row>
    <row r="50" spans="1:14" s="22" customFormat="1" ht="25" customHeight="1" x14ac:dyDescent="0.45">
      <c r="A50" s="20"/>
      <c r="B50" s="37"/>
      <c r="C50" s="127">
        <v>7</v>
      </c>
      <c r="D50" s="128">
        <f t="shared" si="3"/>
        <v>37</v>
      </c>
      <c r="E50" s="128">
        <f t="shared" si="7"/>
        <v>8</v>
      </c>
      <c r="F50" s="102">
        <f t="shared" si="4"/>
        <v>4.41</v>
      </c>
      <c r="G50" s="103">
        <f>IF(D50=D49,"",_xlfn.IFNA(VLOOKUP(D50,'인원 입력 기능(사과탐)'!$A$177:$D$231,4,FALSE),0))</f>
        <v>847</v>
      </c>
      <c r="H50" s="104">
        <f t="shared" si="1"/>
        <v>1.9073569482288829E-2</v>
      </c>
      <c r="I50" s="114">
        <f>SUM($G$7:G50)</f>
        <v>42872</v>
      </c>
      <c r="J50" s="106">
        <f t="shared" si="5"/>
        <v>0.96543337762064541</v>
      </c>
      <c r="K50" s="38"/>
      <c r="L50" s="20" t="str">
        <f t="shared" si="2"/>
        <v/>
      </c>
      <c r="N50" s="24"/>
    </row>
    <row r="51" spans="1:14" s="22" customFormat="1" ht="25" customHeight="1" x14ac:dyDescent="0.45">
      <c r="A51" s="20"/>
      <c r="B51" s="37"/>
      <c r="C51" s="169">
        <v>6</v>
      </c>
      <c r="D51" s="130">
        <f t="shared" si="3"/>
        <v>36</v>
      </c>
      <c r="E51" s="130">
        <f t="shared" si="7"/>
        <v>9</v>
      </c>
      <c r="F51" s="116">
        <f t="shared" si="4"/>
        <v>2.4700000000000002</v>
      </c>
      <c r="G51" s="117">
        <f>IF(D51=D50,"",_xlfn.IFNA(VLOOKUP(D51,'인원 입력 기능(사과탐)'!$A$177:$D$231,4,FALSE),0))</f>
        <v>875</v>
      </c>
      <c r="H51" s="118">
        <f t="shared" si="1"/>
        <v>1.9704100704843831E-2</v>
      </c>
      <c r="I51" s="119">
        <f>SUM($G$7:G51)</f>
        <v>43747</v>
      </c>
      <c r="J51" s="120">
        <f t="shared" si="5"/>
        <v>0.98513747832548926</v>
      </c>
      <c r="K51" s="38"/>
      <c r="L51" s="20" t="str">
        <f t="shared" si="2"/>
        <v/>
      </c>
      <c r="N51" s="24"/>
    </row>
    <row r="52" spans="1:14" s="22" customFormat="1" ht="25" customHeight="1" x14ac:dyDescent="0.45">
      <c r="A52" s="20"/>
      <c r="B52" s="37"/>
      <c r="C52" s="127">
        <v>5</v>
      </c>
      <c r="D52" s="132"/>
      <c r="E52" s="132"/>
      <c r="F52" s="122"/>
      <c r="G52" s="123"/>
      <c r="H52" s="124"/>
      <c r="I52" s="125"/>
      <c r="J52" s="126"/>
      <c r="K52" s="38"/>
      <c r="L52" s="20" t="str">
        <f t="shared" si="2"/>
        <v>경고</v>
      </c>
      <c r="N52" s="24"/>
    </row>
    <row r="53" spans="1:14" s="22" customFormat="1" ht="25" customHeight="1" x14ac:dyDescent="0.45">
      <c r="A53" s="20"/>
      <c r="B53" s="37"/>
      <c r="C53" s="169">
        <v>4</v>
      </c>
      <c r="D53" s="101">
        <f t="shared" si="3"/>
        <v>35</v>
      </c>
      <c r="E53" s="101">
        <f t="shared" si="7"/>
        <v>9</v>
      </c>
      <c r="F53" s="102">
        <f t="shared" si="4"/>
        <v>1.1499999999999999</v>
      </c>
      <c r="G53" s="103">
        <f>IF(D53=D52,"",_xlfn.IFNA(VLOOKUP(D53,'인원 입력 기능(사과탐)'!$A$177:$D$231,4,FALSE),0))</f>
        <v>298</v>
      </c>
      <c r="H53" s="104">
        <f t="shared" si="1"/>
        <v>6.7106537257639563E-3</v>
      </c>
      <c r="I53" s="114">
        <f>SUM($G$7:G53)</f>
        <v>44045</v>
      </c>
      <c r="J53" s="106">
        <f t="shared" si="5"/>
        <v>0.99184813205125322</v>
      </c>
      <c r="K53" s="38"/>
      <c r="L53" s="20" t="str">
        <f t="shared" si="2"/>
        <v/>
      </c>
      <c r="N53" s="24"/>
    </row>
    <row r="54" spans="1:14" s="22" customFormat="1" ht="25" customHeight="1" x14ac:dyDescent="0.45">
      <c r="A54" s="20"/>
      <c r="B54" s="37"/>
      <c r="C54" s="107">
        <v>3</v>
      </c>
      <c r="D54" s="101">
        <f t="shared" si="3"/>
        <v>34</v>
      </c>
      <c r="E54" s="101">
        <f t="shared" si="7"/>
        <v>9</v>
      </c>
      <c r="F54" s="102">
        <f t="shared" si="4"/>
        <v>0.67</v>
      </c>
      <c r="G54" s="103">
        <f>IF(D54=D53,"",_xlfn.IFNA(VLOOKUP(D54,'인원 입력 기능(사과탐)'!$A$177:$D$231,4,FALSE),0))</f>
        <v>132</v>
      </c>
      <c r="H54" s="104">
        <f t="shared" si="1"/>
        <v>2.972504334902155E-3</v>
      </c>
      <c r="I54" s="114">
        <f>SUM($G$7:G54)</f>
        <v>44177</v>
      </c>
      <c r="J54" s="106">
        <f t="shared" si="5"/>
        <v>0.99482063638615537</v>
      </c>
      <c r="K54" s="38"/>
      <c r="L54" s="20" t="str">
        <f t="shared" si="2"/>
        <v/>
      </c>
      <c r="N54" s="24"/>
    </row>
    <row r="55" spans="1:14" s="22" customFormat="1" ht="25" customHeight="1" x14ac:dyDescent="0.45">
      <c r="A55" s="20"/>
      <c r="B55" s="37"/>
      <c r="C55" s="100">
        <v>2</v>
      </c>
      <c r="D55" s="101">
        <f t="shared" si="3"/>
        <v>33</v>
      </c>
      <c r="E55" s="101">
        <f t="shared" si="7"/>
        <v>9</v>
      </c>
      <c r="F55" s="102">
        <f t="shared" si="4"/>
        <v>0.32</v>
      </c>
      <c r="G55" s="103">
        <f>IF(D55=D54,"",_xlfn.IFNA(VLOOKUP(D55,'인원 입력 기능(사과탐)'!$A$177:$D$231,4,FALSE),0))</f>
        <v>178</v>
      </c>
      <c r="H55" s="104">
        <f t="shared" si="1"/>
        <v>4.008377057671088E-3</v>
      </c>
      <c r="I55" s="114">
        <f>SUM($G$7:G55)</f>
        <v>44355</v>
      </c>
      <c r="J55" s="106">
        <f t="shared" si="5"/>
        <v>0.99882901344382646</v>
      </c>
      <c r="K55" s="38"/>
      <c r="L55" s="20" t="str">
        <f t="shared" si="2"/>
        <v/>
      </c>
      <c r="N55" s="24"/>
    </row>
    <row r="56" spans="1:14" s="22" customFormat="1" ht="25" customHeight="1" x14ac:dyDescent="0.45">
      <c r="A56" s="20"/>
      <c r="B56" s="37"/>
      <c r="C56" s="107">
        <v>1</v>
      </c>
      <c r="D56" s="108" t="s">
        <v>54</v>
      </c>
      <c r="E56" s="108"/>
      <c r="F56" s="109"/>
      <c r="G56" s="170"/>
      <c r="H56" s="168"/>
      <c r="I56" s="134"/>
      <c r="J56" s="113"/>
      <c r="K56" s="38"/>
      <c r="L56" s="20"/>
      <c r="N56" s="24"/>
    </row>
    <row r="57" spans="1:14" s="22" customFormat="1" ht="25" customHeight="1" thickBot="1" x14ac:dyDescent="0.5">
      <c r="A57" s="20"/>
      <c r="B57" s="37"/>
      <c r="C57" s="171">
        <v>0</v>
      </c>
      <c r="D57" s="136">
        <f>ROUND(10*(C57-$H$3)/$H$4+50,0)</f>
        <v>31</v>
      </c>
      <c r="E57" s="172">
        <f t="shared" si="7"/>
        <v>9</v>
      </c>
      <c r="F57" s="137">
        <f>IF(I55=0,ROUND(100*(1-(I54+I57)/2/$J$3),2),ROUND(100*(1-(I55+I57)/2/$J$3),2))</f>
        <v>0.06</v>
      </c>
      <c r="G57" s="173">
        <f>_xlfn.IFNA(VLOOKUP(D57,'인원 입력 기능(사과탐)'!$A$177:$D$231,4,FALSE),0)</f>
        <v>52</v>
      </c>
      <c r="H57" s="139">
        <f>G57/$J$3</f>
        <v>1.1709865561735763E-3</v>
      </c>
      <c r="I57" s="140">
        <f>SUM($G$7:G57)</f>
        <v>44407</v>
      </c>
      <c r="J57" s="174">
        <f>I57/$J$3</f>
        <v>1</v>
      </c>
      <c r="K57" s="38"/>
      <c r="L57" s="20" t="str">
        <f t="shared" si="2"/>
        <v/>
      </c>
      <c r="N57" s="24"/>
    </row>
    <row r="58" spans="1:14" ht="6" customHeight="1" x14ac:dyDescent="0.45">
      <c r="A58" s="5"/>
      <c r="B58" s="34"/>
      <c r="C58" s="35"/>
      <c r="D58" s="35"/>
      <c r="E58" s="35"/>
      <c r="F58" s="35"/>
      <c r="G58" s="35"/>
      <c r="H58" s="35"/>
      <c r="I58" s="35"/>
      <c r="J58" s="35"/>
      <c r="K58" s="36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58">
    <mergeCell ref="I46:I47"/>
    <mergeCell ref="J46:J47"/>
    <mergeCell ref="D51:D52"/>
    <mergeCell ref="E51:E52"/>
    <mergeCell ref="F51:F52"/>
    <mergeCell ref="G51:G52"/>
    <mergeCell ref="H51:H52"/>
    <mergeCell ref="I51:I52"/>
    <mergeCell ref="J51:J52"/>
    <mergeCell ref="D46:D47"/>
    <mergeCell ref="E46:E47"/>
    <mergeCell ref="F46:F47"/>
    <mergeCell ref="G46:G47"/>
    <mergeCell ref="H46:H47"/>
    <mergeCell ref="I35:I36"/>
    <mergeCell ref="J35:J36"/>
    <mergeCell ref="D40:D41"/>
    <mergeCell ref="E40:E41"/>
    <mergeCell ref="F40:F41"/>
    <mergeCell ref="G40:G41"/>
    <mergeCell ref="H40:H41"/>
    <mergeCell ref="I40:I41"/>
    <mergeCell ref="J40:J41"/>
    <mergeCell ref="D35:D36"/>
    <mergeCell ref="E35:E36"/>
    <mergeCell ref="F35:F36"/>
    <mergeCell ref="G35:G36"/>
    <mergeCell ref="H35:H36"/>
    <mergeCell ref="I23:I24"/>
    <mergeCell ref="J23:J24"/>
    <mergeCell ref="D29:D30"/>
    <mergeCell ref="E29:E30"/>
    <mergeCell ref="F29:F30"/>
    <mergeCell ref="G29:G30"/>
    <mergeCell ref="H29:H30"/>
    <mergeCell ref="I29:I30"/>
    <mergeCell ref="J29:J30"/>
    <mergeCell ref="D23:D24"/>
    <mergeCell ref="E23:E24"/>
    <mergeCell ref="F23:F24"/>
    <mergeCell ref="G23:G24"/>
    <mergeCell ref="H23:H24"/>
    <mergeCell ref="G12:G13"/>
    <mergeCell ref="H12:H13"/>
    <mergeCell ref="I12:I13"/>
    <mergeCell ref="J12:J13"/>
    <mergeCell ref="D18:D19"/>
    <mergeCell ref="E18:E19"/>
    <mergeCell ref="F18:F19"/>
    <mergeCell ref="G18:G19"/>
    <mergeCell ref="H18:H19"/>
    <mergeCell ref="I18:I19"/>
    <mergeCell ref="J18:J19"/>
    <mergeCell ref="D3:F3"/>
    <mergeCell ref="D4:F4"/>
    <mergeCell ref="D12:D13"/>
    <mergeCell ref="E12:E13"/>
    <mergeCell ref="F12:F13"/>
  </mergeCells>
  <phoneticPr fontId="1" type="noConversion"/>
  <conditionalFormatting sqref="D7:G12 I7:J12 D14:G18 I14:J18 D20:G23 I20:J23 D25:G29 I25:J29 D31:G35 I31:J35 D37:G40 I37:J40 D42:G46 I42:J46 D48:G51 I48:J51 D53:G57 I53:J57">
    <cfRule type="expression" dxfId="15" priority="4">
      <formula>OR($D7=$Q$7:$Q$14)</formula>
    </cfRule>
  </conditionalFormatting>
  <conditionalFormatting sqref="C7:C57">
    <cfRule type="expression" dxfId="14" priority="3">
      <formula>OR(AND($D7=0,OR($D6=$Q$7:$Q$14)),AND($D8&gt;0,OR($D7=$Q$7:$Q$14)))</formula>
    </cfRule>
  </conditionalFormatting>
  <conditionalFormatting sqref="D7:D12 D14:D18 D20:D23 D25:D29 D31:D35 D37:D40 D42:D46 D48:D51 D53:D57">
    <cfRule type="expression" dxfId="13" priority="2">
      <formula>$D7=$D8</formula>
    </cfRule>
  </conditionalFormatting>
  <conditionalFormatting sqref="H7:H12 H14:H18 H20:H23 H25:H29 H31:H35 H37:H40 H42:H46 H48:H51 H53:H57">
    <cfRule type="expression" dxfId="12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68BF7-AFD5-474A-95FA-3D74AEB9D3B3}">
  <sheetPr codeName="Sheet20"/>
  <dimension ref="A1:Q105"/>
  <sheetViews>
    <sheetView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5" t="s">
        <v>6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37"/>
      <c r="C3" s="84" t="s">
        <v>122</v>
      </c>
      <c r="D3" s="85" t="s">
        <v>67</v>
      </c>
      <c r="E3" s="86"/>
      <c r="F3" s="87"/>
      <c r="G3" s="84" t="s">
        <v>123</v>
      </c>
      <c r="H3" s="88" t="str">
        <f>'통계 및 응시자 수 입력 기능'!D18</f>
        <v>24.30</v>
      </c>
      <c r="I3" s="21" t="s">
        <v>124</v>
      </c>
      <c r="J3" s="89">
        <f>'통계 및 응시자 수 입력 기능'!C18</f>
        <v>64777</v>
      </c>
      <c r="K3" s="38"/>
      <c r="L3" s="20"/>
    </row>
    <row r="4" spans="1:17" s="22" customFormat="1" ht="25" customHeight="1" thickBot="1" x14ac:dyDescent="0.5">
      <c r="A4" s="20"/>
      <c r="B4" s="37"/>
      <c r="C4" s="90" t="s">
        <v>125</v>
      </c>
      <c r="D4" s="91" t="s">
        <v>148</v>
      </c>
      <c r="E4" s="92"/>
      <c r="F4" s="93"/>
      <c r="G4" s="94" t="s">
        <v>127</v>
      </c>
      <c r="H4" s="95" t="str">
        <f>'통계 및 응시자 수 입력 기능'!E18</f>
        <v>10.32</v>
      </c>
      <c r="I4" s="39"/>
      <c r="J4" s="40"/>
      <c r="K4" s="38"/>
      <c r="L4" s="20"/>
    </row>
    <row r="5" spans="1:17" s="22" customFormat="1" ht="25" customHeight="1" thickBot="1" x14ac:dyDescent="0.5">
      <c r="A5" s="20"/>
      <c r="B5" s="37"/>
      <c r="C5" s="32"/>
      <c r="D5" s="32"/>
      <c r="E5" s="32"/>
      <c r="F5" s="32"/>
      <c r="G5" s="32"/>
      <c r="H5" s="33"/>
      <c r="I5" s="33"/>
      <c r="J5" s="33"/>
      <c r="K5" s="38"/>
      <c r="L5" s="20"/>
    </row>
    <row r="6" spans="1:17" s="22" customFormat="1" ht="25" customHeight="1" thickBot="1" x14ac:dyDescent="0.5">
      <c r="A6" s="20"/>
      <c r="B6" s="37"/>
      <c r="C6" s="96" t="s">
        <v>129</v>
      </c>
      <c r="D6" s="97" t="s">
        <v>130</v>
      </c>
      <c r="E6" s="97" t="s">
        <v>131</v>
      </c>
      <c r="F6" s="97" t="s">
        <v>132</v>
      </c>
      <c r="G6" s="97" t="s">
        <v>133</v>
      </c>
      <c r="H6" s="97" t="s">
        <v>134</v>
      </c>
      <c r="I6" s="98" t="s">
        <v>135</v>
      </c>
      <c r="J6" s="99" t="s">
        <v>136</v>
      </c>
      <c r="K6" s="38"/>
      <c r="L6" s="19" t="s">
        <v>62</v>
      </c>
      <c r="M6" s="19"/>
      <c r="N6" s="23"/>
    </row>
    <row r="7" spans="1:17" s="22" customFormat="1" ht="25" customHeight="1" x14ac:dyDescent="0.45">
      <c r="A7" s="20"/>
      <c r="B7" s="37"/>
      <c r="C7" s="100">
        <v>50</v>
      </c>
      <c r="D7" s="101">
        <f>ROUND(10*(C7-$H$3)/$H$4+50,0)</f>
        <v>75</v>
      </c>
      <c r="E7" s="101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102">
        <f>ROUND(100*(1-(0+I7)/2/$J$3),2)</f>
        <v>99.62</v>
      </c>
      <c r="G7" s="103">
        <f>_xlfn.IFNA(VLOOKUP(D7,'인원 입력 기능(사과탐)'!$F$177:$I$231,4,FALSE),0)</f>
        <v>488</v>
      </c>
      <c r="H7" s="104">
        <f>G7/$J$3</f>
        <v>7.5335381385368263E-3</v>
      </c>
      <c r="I7" s="105">
        <f>G7</f>
        <v>488</v>
      </c>
      <c r="J7" s="106">
        <f>I7/$J$3</f>
        <v>7.5335381385368263E-3</v>
      </c>
      <c r="K7" s="38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기능'!C130</f>
        <v>69</v>
      </c>
    </row>
    <row r="8" spans="1:17" s="22" customFormat="1" ht="25" customHeight="1" x14ac:dyDescent="0.45">
      <c r="A8" s="20"/>
      <c r="B8" s="37"/>
      <c r="C8" s="107">
        <v>49</v>
      </c>
      <c r="D8" s="108" t="s">
        <v>54</v>
      </c>
      <c r="E8" s="108"/>
      <c r="F8" s="109"/>
      <c r="G8" s="110"/>
      <c r="H8" s="168"/>
      <c r="I8" s="112"/>
      <c r="J8" s="113"/>
      <c r="K8" s="38"/>
      <c r="L8" s="20"/>
      <c r="N8" s="24"/>
      <c r="P8" s="24">
        <v>2</v>
      </c>
      <c r="Q8" s="24">
        <f>'표점등급&amp;절평인원 입력 기능'!C131</f>
        <v>64</v>
      </c>
    </row>
    <row r="9" spans="1:17" s="22" customFormat="1" ht="25" customHeight="1" x14ac:dyDescent="0.45">
      <c r="A9" s="20"/>
      <c r="B9" s="37"/>
      <c r="C9" s="100">
        <v>48</v>
      </c>
      <c r="D9" s="101">
        <f>ROUND(10*(C9-$H$3)/$H$4+50,0)</f>
        <v>73</v>
      </c>
      <c r="E9" s="101">
        <f t="shared" si="0"/>
        <v>1</v>
      </c>
      <c r="F9" s="102">
        <f>IF(I8=0,ROUND(100*(1-(I7+I9)/2/$J$3),2),ROUND(100*(1-(I8+I9)/2/$J$3),2))</f>
        <v>98.94</v>
      </c>
      <c r="G9" s="103">
        <f>_xlfn.IFNA(VLOOKUP(D9,'인원 입력 기능(사과탐)'!$F$177:$I$231,4,FALSE),0)</f>
        <v>397</v>
      </c>
      <c r="H9" s="104">
        <f t="shared" ref="H9:H55" si="1">G9/$J$3</f>
        <v>6.1287185266375409E-3</v>
      </c>
      <c r="I9" s="114">
        <f>SUM($G$7:G9)</f>
        <v>885</v>
      </c>
      <c r="J9" s="106">
        <f>I9/$J$3</f>
        <v>1.3662256665174368E-2</v>
      </c>
      <c r="K9" s="38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기능'!C132</f>
        <v>57</v>
      </c>
    </row>
    <row r="10" spans="1:17" s="22" customFormat="1" ht="25" customHeight="1" x14ac:dyDescent="0.45">
      <c r="A10" s="20"/>
      <c r="B10" s="37"/>
      <c r="C10" s="107">
        <v>47</v>
      </c>
      <c r="D10" s="101">
        <f t="shared" ref="D10:D55" si="3">ROUND(10*(C10-$H$3)/$H$4+50,0)</f>
        <v>72</v>
      </c>
      <c r="E10" s="101">
        <f t="shared" si="0"/>
        <v>1</v>
      </c>
      <c r="F10" s="102">
        <f t="shared" ref="F10:F55" si="4">IF(I9=0,ROUND(100*(1-(I8+I10)/2/$J$3),2),ROUND(100*(1-(I9+I10)/2/$J$3),2))</f>
        <v>98.16</v>
      </c>
      <c r="G10" s="103">
        <f>IF(D10=D9,"",_xlfn.IFNA(VLOOKUP(D10,'인원 입력 기능(사과탐)'!$F$177:$I$231,4,FALSE),0))</f>
        <v>608</v>
      </c>
      <c r="H10" s="104">
        <f t="shared" si="1"/>
        <v>9.3860475168655536E-3</v>
      </c>
      <c r="I10" s="114">
        <f>SUM($G$7:G10)</f>
        <v>1493</v>
      </c>
      <c r="J10" s="106">
        <f t="shared" ref="J10:J55" si="5">I10/$J$3</f>
        <v>2.304830418203992E-2</v>
      </c>
      <c r="K10" s="38"/>
      <c r="L10" s="20" t="str">
        <f t="shared" si="2"/>
        <v/>
      </c>
      <c r="N10" s="24"/>
      <c r="P10" s="24">
        <v>4</v>
      </c>
      <c r="Q10" s="24">
        <f>'표점등급&amp;절평인원 입력 기능'!C133</f>
        <v>52</v>
      </c>
    </row>
    <row r="11" spans="1:17" s="22" customFormat="1" ht="25" customHeight="1" x14ac:dyDescent="0.45">
      <c r="A11" s="20"/>
      <c r="B11" s="37"/>
      <c r="C11" s="100">
        <v>46</v>
      </c>
      <c r="D11" s="101">
        <f t="shared" si="3"/>
        <v>71</v>
      </c>
      <c r="E11" s="101">
        <f t="shared" si="0"/>
        <v>1</v>
      </c>
      <c r="F11" s="102">
        <f t="shared" si="4"/>
        <v>97.58</v>
      </c>
      <c r="G11" s="103">
        <f>IF(D11=D10,"",_xlfn.IFNA(VLOOKUP(D11,'인원 입력 기능(사과탐)'!$F$177:$I$231,4,FALSE),0))</f>
        <v>150</v>
      </c>
      <c r="H11" s="104">
        <f t="shared" si="1"/>
        <v>2.3156367229109098E-3</v>
      </c>
      <c r="I11" s="114">
        <f>SUM($G$7:G11)</f>
        <v>1643</v>
      </c>
      <c r="J11" s="106">
        <f t="shared" si="5"/>
        <v>2.5363940904950831E-2</v>
      </c>
      <c r="K11" s="38"/>
      <c r="L11" s="20" t="str">
        <f t="shared" si="2"/>
        <v/>
      </c>
      <c r="N11" s="24"/>
      <c r="P11" s="24">
        <v>5</v>
      </c>
      <c r="Q11" s="24">
        <f>'표점등급&amp;절평인원 입력 기능'!C134</f>
        <v>46</v>
      </c>
    </row>
    <row r="12" spans="1:17" s="22" customFormat="1" ht="25" customHeight="1" x14ac:dyDescent="0.45">
      <c r="A12" s="20"/>
      <c r="B12" s="37"/>
      <c r="C12" s="107">
        <v>45</v>
      </c>
      <c r="D12" s="101">
        <f t="shared" si="3"/>
        <v>70</v>
      </c>
      <c r="E12" s="101">
        <f t="shared" si="0"/>
        <v>1</v>
      </c>
      <c r="F12" s="102">
        <f t="shared" si="4"/>
        <v>96.87</v>
      </c>
      <c r="G12" s="103">
        <f>IF(D12=D11,"",_xlfn.IFNA(VLOOKUP(D12,'인원 입력 기능(사과탐)'!$F$177:$I$231,4,FALSE),0))</f>
        <v>764</v>
      </c>
      <c r="H12" s="104">
        <f t="shared" si="1"/>
        <v>1.1794309708692901E-2</v>
      </c>
      <c r="I12" s="114">
        <f>SUM($G$7:G12)</f>
        <v>2407</v>
      </c>
      <c r="J12" s="106">
        <f t="shared" si="5"/>
        <v>3.715825061364373E-2</v>
      </c>
      <c r="K12" s="38"/>
      <c r="L12" s="20" t="str">
        <f t="shared" si="2"/>
        <v/>
      </c>
      <c r="N12" s="24"/>
      <c r="P12" s="24">
        <v>6</v>
      </c>
      <c r="Q12" s="24">
        <f>'표점등급&amp;절평인원 입력 기능'!C135</f>
        <v>42</v>
      </c>
    </row>
    <row r="13" spans="1:17" s="22" customFormat="1" ht="25" customHeight="1" x14ac:dyDescent="0.45">
      <c r="A13" s="20"/>
      <c r="B13" s="37"/>
      <c r="C13" s="100">
        <v>44</v>
      </c>
      <c r="D13" s="101">
        <f t="shared" si="3"/>
        <v>69</v>
      </c>
      <c r="E13" s="101">
        <f t="shared" si="0"/>
        <v>1</v>
      </c>
      <c r="F13" s="102">
        <f t="shared" si="4"/>
        <v>95.78</v>
      </c>
      <c r="G13" s="103">
        <f>IF(D13=D12,"",_xlfn.IFNA(VLOOKUP(D13,'인원 입력 기능(사과탐)'!$F$177:$I$231,4,FALSE),0))</f>
        <v>651</v>
      </c>
      <c r="H13" s="104">
        <f t="shared" si="1"/>
        <v>1.0049863377433348E-2</v>
      </c>
      <c r="I13" s="114">
        <f>SUM($G$7:G13)</f>
        <v>3058</v>
      </c>
      <c r="J13" s="106">
        <f t="shared" si="5"/>
        <v>4.7208113991077078E-2</v>
      </c>
      <c r="K13" s="38"/>
      <c r="L13" s="20" t="str">
        <f t="shared" si="2"/>
        <v/>
      </c>
      <c r="N13" s="24"/>
      <c r="P13" s="24">
        <v>7</v>
      </c>
      <c r="Q13" s="24">
        <f>'표점등급&amp;절평인원 입력 기능'!C136</f>
        <v>38</v>
      </c>
    </row>
    <row r="14" spans="1:17" s="22" customFormat="1" ht="25" customHeight="1" x14ac:dyDescent="0.45">
      <c r="A14" s="20"/>
      <c r="B14" s="37"/>
      <c r="C14" s="107">
        <v>43</v>
      </c>
      <c r="D14" s="101">
        <f t="shared" si="3"/>
        <v>68</v>
      </c>
      <c r="E14" s="101">
        <f t="shared" si="0"/>
        <v>2</v>
      </c>
      <c r="F14" s="102">
        <f t="shared" si="4"/>
        <v>94.87</v>
      </c>
      <c r="G14" s="103">
        <f>IF(D14=D13,"",_xlfn.IFNA(VLOOKUP(D14,'인원 입력 기능(사과탐)'!$F$177:$I$231,4,FALSE),0))</f>
        <v>531</v>
      </c>
      <c r="H14" s="104">
        <f t="shared" si="1"/>
        <v>8.1973539991046212E-3</v>
      </c>
      <c r="I14" s="114">
        <f>SUM($G$7:G14)</f>
        <v>3589</v>
      </c>
      <c r="J14" s="106">
        <f t="shared" si="5"/>
        <v>5.54054679901817E-2</v>
      </c>
      <c r="K14" s="38"/>
      <c r="L14" s="20" t="str">
        <f t="shared" si="2"/>
        <v/>
      </c>
      <c r="N14" s="24"/>
      <c r="P14" s="24">
        <v>8</v>
      </c>
      <c r="Q14" s="24">
        <f>'표점등급&amp;절평인원 입력 기능'!C137</f>
        <v>35</v>
      </c>
    </row>
    <row r="15" spans="1:17" s="22" customFormat="1" ht="25" customHeight="1" x14ac:dyDescent="0.45">
      <c r="A15" s="20"/>
      <c r="B15" s="37"/>
      <c r="C15" s="100">
        <v>42</v>
      </c>
      <c r="D15" s="101">
        <f t="shared" si="3"/>
        <v>67</v>
      </c>
      <c r="E15" s="101">
        <f t="shared" si="0"/>
        <v>2</v>
      </c>
      <c r="F15" s="102">
        <f t="shared" si="4"/>
        <v>93.64</v>
      </c>
      <c r="G15" s="103">
        <f>IF(D15=D14,"",_xlfn.IFNA(VLOOKUP(D15,'인원 입력 기능(사과탐)'!$F$177:$I$231,4,FALSE),0))</f>
        <v>1062</v>
      </c>
      <c r="H15" s="104">
        <f t="shared" si="1"/>
        <v>1.6394707998209242E-2</v>
      </c>
      <c r="I15" s="114">
        <f>SUM($G$7:G15)</f>
        <v>4651</v>
      </c>
      <c r="J15" s="106">
        <f t="shared" si="5"/>
        <v>7.1800175988390946E-2</v>
      </c>
      <c r="K15" s="38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7"/>
      <c r="C16" s="107">
        <v>41</v>
      </c>
      <c r="D16" s="101">
        <f t="shared" si="3"/>
        <v>66</v>
      </c>
      <c r="E16" s="101">
        <f t="shared" si="0"/>
        <v>2</v>
      </c>
      <c r="F16" s="102">
        <f t="shared" si="4"/>
        <v>92.35</v>
      </c>
      <c r="G16" s="103">
        <f>IF(D16=D15,"",_xlfn.IFNA(VLOOKUP(D16,'인원 입력 기능(사과탐)'!$F$177:$I$231,4,FALSE),0))</f>
        <v>604</v>
      </c>
      <c r="H16" s="104">
        <f t="shared" si="1"/>
        <v>9.3242972042545964E-3</v>
      </c>
      <c r="I16" s="114">
        <f>SUM($G$7:G16)</f>
        <v>5255</v>
      </c>
      <c r="J16" s="106">
        <f t="shared" si="5"/>
        <v>8.1124473192645541E-2</v>
      </c>
      <c r="K16" s="38"/>
      <c r="L16" s="20" t="str">
        <f t="shared" si="2"/>
        <v/>
      </c>
      <c r="N16" s="24"/>
    </row>
    <row r="17" spans="1:17" s="22" customFormat="1" ht="25" customHeight="1" x14ac:dyDescent="0.45">
      <c r="A17" s="20"/>
      <c r="B17" s="37"/>
      <c r="C17" s="100">
        <v>40</v>
      </c>
      <c r="D17" s="101">
        <f t="shared" si="3"/>
        <v>65</v>
      </c>
      <c r="E17" s="101">
        <f t="shared" si="0"/>
        <v>2</v>
      </c>
      <c r="F17" s="102">
        <f t="shared" si="4"/>
        <v>91.12</v>
      </c>
      <c r="G17" s="103">
        <f>IF(D17=D16,"",_xlfn.IFNA(VLOOKUP(D17,'인원 입력 기능(사과탐)'!$F$177:$I$231,4,FALSE),0))</f>
        <v>989</v>
      </c>
      <c r="H17" s="104">
        <f t="shared" si="1"/>
        <v>1.5267764793059265E-2</v>
      </c>
      <c r="I17" s="114">
        <f>SUM($G$7:G17)</f>
        <v>6244</v>
      </c>
      <c r="J17" s="106">
        <f t="shared" si="5"/>
        <v>9.6392237985704801E-2</v>
      </c>
      <c r="K17" s="38"/>
      <c r="L17" s="20" t="str">
        <f t="shared" si="2"/>
        <v/>
      </c>
      <c r="N17" s="24"/>
      <c r="Q17" s="24">
        <f>Q7*H3*H4*J3*IFERROR(IF(J57=1, 1, 0), 0)</f>
        <v>1120871669.6880002</v>
      </c>
    </row>
    <row r="18" spans="1:17" s="22" customFormat="1" ht="25" customHeight="1" x14ac:dyDescent="0.45">
      <c r="A18" s="20"/>
      <c r="B18" s="37"/>
      <c r="C18" s="107">
        <v>39</v>
      </c>
      <c r="D18" s="101">
        <f t="shared" si="3"/>
        <v>64</v>
      </c>
      <c r="E18" s="101">
        <f t="shared" si="0"/>
        <v>2</v>
      </c>
      <c r="F18" s="102">
        <f t="shared" si="4"/>
        <v>89.51</v>
      </c>
      <c r="G18" s="103">
        <f>IF(D18=D17,"",_xlfn.IFNA(VLOOKUP(D18,'인원 입력 기능(사과탐)'!$F$177:$I$231,4,FALSE),0))</f>
        <v>1108</v>
      </c>
      <c r="H18" s="104">
        <f t="shared" si="1"/>
        <v>1.7104836593235254E-2</v>
      </c>
      <c r="I18" s="114">
        <f>SUM($G$7:G18)</f>
        <v>7352</v>
      </c>
      <c r="J18" s="106">
        <f t="shared" si="5"/>
        <v>0.11349707457894005</v>
      </c>
      <c r="K18" s="38"/>
      <c r="L18" s="20" t="str">
        <f t="shared" si="2"/>
        <v/>
      </c>
      <c r="N18" s="24"/>
    </row>
    <row r="19" spans="1:17" s="22" customFormat="1" ht="25" customHeight="1" x14ac:dyDescent="0.45">
      <c r="A19" s="20"/>
      <c r="B19" s="37"/>
      <c r="C19" s="100">
        <v>38</v>
      </c>
      <c r="D19" s="101">
        <f t="shared" si="3"/>
        <v>63</v>
      </c>
      <c r="E19" s="101">
        <f t="shared" si="0"/>
        <v>3</v>
      </c>
      <c r="F19" s="102">
        <f t="shared" si="4"/>
        <v>88.01</v>
      </c>
      <c r="G19" s="103">
        <f>IF(D19=D18,"",_xlfn.IFNA(VLOOKUP(D19,'인원 입력 기능(사과탐)'!$F$177:$I$231,4,FALSE),0))</f>
        <v>826</v>
      </c>
      <c r="H19" s="104">
        <f t="shared" si="1"/>
        <v>1.2751439554162743E-2</v>
      </c>
      <c r="I19" s="114">
        <f>SUM($G$7:G19)</f>
        <v>8178</v>
      </c>
      <c r="J19" s="106">
        <f t="shared" si="5"/>
        <v>0.12624851413310281</v>
      </c>
      <c r="K19" s="38"/>
      <c r="L19" s="20" t="str">
        <f t="shared" si="2"/>
        <v/>
      </c>
      <c r="N19" s="24"/>
    </row>
    <row r="20" spans="1:17" s="22" customFormat="1" ht="25" customHeight="1" x14ac:dyDescent="0.45">
      <c r="A20" s="20"/>
      <c r="B20" s="37"/>
      <c r="C20" s="107">
        <v>37</v>
      </c>
      <c r="D20" s="101">
        <f t="shared" si="3"/>
        <v>62</v>
      </c>
      <c r="E20" s="101">
        <f t="shared" si="0"/>
        <v>3</v>
      </c>
      <c r="F20" s="102">
        <f t="shared" si="4"/>
        <v>86.33</v>
      </c>
      <c r="G20" s="103">
        <f>IF(D20=D19,"",_xlfn.IFNA(VLOOKUP(D20,'인원 입력 기능(사과탐)'!$F$177:$I$231,4,FALSE),0))</f>
        <v>1360</v>
      </c>
      <c r="H20" s="104">
        <f t="shared" si="1"/>
        <v>2.0995106287725582E-2</v>
      </c>
      <c r="I20" s="114">
        <f>SUM($G$7:G20)</f>
        <v>9538</v>
      </c>
      <c r="J20" s="106">
        <f t="shared" si="5"/>
        <v>0.14724362042082839</v>
      </c>
      <c r="K20" s="38"/>
      <c r="L20" s="20" t="str">
        <f t="shared" si="2"/>
        <v/>
      </c>
      <c r="N20" s="24"/>
    </row>
    <row r="21" spans="1:17" s="22" customFormat="1" ht="25" customHeight="1" x14ac:dyDescent="0.45">
      <c r="A21" s="20"/>
      <c r="B21" s="37"/>
      <c r="C21" s="169">
        <v>36</v>
      </c>
      <c r="D21" s="128">
        <f t="shared" si="3"/>
        <v>61</v>
      </c>
      <c r="E21" s="128">
        <f t="shared" si="0"/>
        <v>3</v>
      </c>
      <c r="F21" s="102">
        <f t="shared" si="4"/>
        <v>84.44</v>
      </c>
      <c r="G21" s="103">
        <f>IF(D21=D20,"",_xlfn.IFNA(VLOOKUP(D21,'인원 입력 기능(사과탐)'!$F$177:$I$231,4,FALSE),0))</f>
        <v>1078</v>
      </c>
      <c r="H21" s="104">
        <f t="shared" si="1"/>
        <v>1.6641709248653071E-2</v>
      </c>
      <c r="I21" s="114">
        <f>SUM($G$7:G21)</f>
        <v>10616</v>
      </c>
      <c r="J21" s="106">
        <f t="shared" si="5"/>
        <v>0.16388532966948144</v>
      </c>
      <c r="K21" s="38"/>
      <c r="L21" s="20" t="str">
        <f t="shared" si="2"/>
        <v/>
      </c>
      <c r="N21" s="24"/>
    </row>
    <row r="22" spans="1:17" s="22" customFormat="1" ht="25" customHeight="1" x14ac:dyDescent="0.45">
      <c r="A22" s="20"/>
      <c r="B22" s="37"/>
      <c r="C22" s="127">
        <v>35</v>
      </c>
      <c r="D22" s="128">
        <f t="shared" si="3"/>
        <v>60</v>
      </c>
      <c r="E22" s="128">
        <f t="shared" si="0"/>
        <v>3</v>
      </c>
      <c r="F22" s="102">
        <f t="shared" si="4"/>
        <v>82.68</v>
      </c>
      <c r="G22" s="103">
        <f>IF(D22=D21,"",_xlfn.IFNA(VLOOKUP(D22,'인원 입력 기능(사과탐)'!$F$177:$I$231,4,FALSE),0))</f>
        <v>1213</v>
      </c>
      <c r="H22" s="104">
        <f t="shared" si="1"/>
        <v>1.8725782299272891E-2</v>
      </c>
      <c r="I22" s="114">
        <f>SUM($G$7:G22)</f>
        <v>11829</v>
      </c>
      <c r="J22" s="106">
        <f t="shared" si="5"/>
        <v>0.18261111196875435</v>
      </c>
      <c r="K22" s="38"/>
      <c r="L22" s="20" t="str">
        <f t="shared" si="2"/>
        <v/>
      </c>
      <c r="N22" s="24"/>
    </row>
    <row r="23" spans="1:17" s="22" customFormat="1" ht="25" customHeight="1" x14ac:dyDescent="0.45">
      <c r="A23" s="20"/>
      <c r="B23" s="37"/>
      <c r="C23" s="169">
        <v>34</v>
      </c>
      <c r="D23" s="128">
        <f t="shared" si="3"/>
        <v>59</v>
      </c>
      <c r="E23" s="128">
        <f t="shared" si="0"/>
        <v>3</v>
      </c>
      <c r="F23" s="102">
        <f t="shared" si="4"/>
        <v>80.599999999999994</v>
      </c>
      <c r="G23" s="103">
        <f>IF(D23=D22,"",_xlfn.IFNA(VLOOKUP(D23,'인원 입력 기능(사과탐)'!$F$177:$I$231,4,FALSE),0))</f>
        <v>1478</v>
      </c>
      <c r="H23" s="104">
        <f t="shared" si="1"/>
        <v>2.2816740509748832E-2</v>
      </c>
      <c r="I23" s="114">
        <f>SUM($G$7:G23)</f>
        <v>13307</v>
      </c>
      <c r="J23" s="106">
        <f t="shared" si="5"/>
        <v>0.20542785247850318</v>
      </c>
      <c r="K23" s="38"/>
      <c r="L23" s="20" t="str">
        <f t="shared" si="2"/>
        <v/>
      </c>
      <c r="N23" s="24"/>
    </row>
    <row r="24" spans="1:17" s="22" customFormat="1" ht="25" customHeight="1" x14ac:dyDescent="0.45">
      <c r="A24" s="20"/>
      <c r="B24" s="37"/>
      <c r="C24" s="127">
        <v>33</v>
      </c>
      <c r="D24" s="128">
        <f t="shared" si="3"/>
        <v>58</v>
      </c>
      <c r="E24" s="128">
        <f t="shared" si="0"/>
        <v>3</v>
      </c>
      <c r="F24" s="102">
        <f t="shared" si="4"/>
        <v>78.56</v>
      </c>
      <c r="G24" s="103">
        <f>IF(D24=D23,"",_xlfn.IFNA(VLOOKUP(D24,'인원 입력 기능(사과탐)'!$F$177:$I$231,4,FALSE),0))</f>
        <v>1162</v>
      </c>
      <c r="H24" s="104">
        <f t="shared" si="1"/>
        <v>1.7938465813483181E-2</v>
      </c>
      <c r="I24" s="114">
        <f>SUM($G$7:G24)</f>
        <v>14469</v>
      </c>
      <c r="J24" s="106">
        <f t="shared" si="5"/>
        <v>0.22336631829198636</v>
      </c>
      <c r="K24" s="38"/>
      <c r="L24" s="20" t="str">
        <f t="shared" si="2"/>
        <v/>
      </c>
      <c r="N24" s="24"/>
    </row>
    <row r="25" spans="1:17" s="22" customFormat="1" ht="25" customHeight="1" x14ac:dyDescent="0.45">
      <c r="A25" s="20"/>
      <c r="B25" s="37"/>
      <c r="C25" s="169">
        <v>32</v>
      </c>
      <c r="D25" s="128">
        <f t="shared" si="3"/>
        <v>57</v>
      </c>
      <c r="E25" s="128">
        <f t="shared" si="0"/>
        <v>3</v>
      </c>
      <c r="F25" s="102">
        <f t="shared" si="4"/>
        <v>76.36</v>
      </c>
      <c r="G25" s="103">
        <f>IF(D25=D24,"",_xlfn.IFNA(VLOOKUP(D25,'인원 입력 기능(사과탐)'!$F$177:$I$231,4,FALSE),0))</f>
        <v>1694</v>
      </c>
      <c r="H25" s="104">
        <f t="shared" si="1"/>
        <v>2.6151257390740541E-2</v>
      </c>
      <c r="I25" s="114">
        <f>SUM($G$7:G25)</f>
        <v>16163</v>
      </c>
      <c r="J25" s="106">
        <f t="shared" si="5"/>
        <v>0.24951757568272689</v>
      </c>
      <c r="K25" s="38"/>
      <c r="L25" s="20" t="str">
        <f t="shared" si="2"/>
        <v/>
      </c>
      <c r="N25" s="24"/>
    </row>
    <row r="26" spans="1:17" s="22" customFormat="1" ht="25" customHeight="1" x14ac:dyDescent="0.45">
      <c r="A26" s="20"/>
      <c r="B26" s="37"/>
      <c r="C26" s="127">
        <v>31</v>
      </c>
      <c r="D26" s="130">
        <f t="shared" si="3"/>
        <v>56</v>
      </c>
      <c r="E26" s="130">
        <f t="shared" si="0"/>
        <v>4</v>
      </c>
      <c r="F26" s="116">
        <f t="shared" si="4"/>
        <v>72.650000000000006</v>
      </c>
      <c r="G26" s="117">
        <f>IF(D26=D25,"",_xlfn.IFNA(VLOOKUP(D26,'인원 입력 기능(사과탐)'!$F$177:$I$231,4,FALSE),0))</f>
        <v>3106</v>
      </c>
      <c r="H26" s="118">
        <f t="shared" si="1"/>
        <v>4.7949117742408572E-2</v>
      </c>
      <c r="I26" s="119">
        <f>SUM($G$7:G26)</f>
        <v>19269</v>
      </c>
      <c r="J26" s="120">
        <f t="shared" si="5"/>
        <v>0.29746669342513549</v>
      </c>
      <c r="K26" s="38"/>
      <c r="L26" s="20" t="str">
        <f t="shared" si="2"/>
        <v>경고</v>
      </c>
      <c r="N26" s="24"/>
    </row>
    <row r="27" spans="1:17" s="22" customFormat="1" ht="25" customHeight="1" x14ac:dyDescent="0.45">
      <c r="A27" s="20"/>
      <c r="B27" s="37"/>
      <c r="C27" s="169">
        <v>30</v>
      </c>
      <c r="D27" s="132"/>
      <c r="E27" s="132"/>
      <c r="F27" s="122"/>
      <c r="G27" s="123"/>
      <c r="H27" s="124"/>
      <c r="I27" s="125"/>
      <c r="J27" s="126"/>
      <c r="K27" s="38"/>
      <c r="L27" s="20" t="str">
        <f t="shared" si="2"/>
        <v>경고</v>
      </c>
      <c r="N27" s="24"/>
    </row>
    <row r="28" spans="1:17" s="22" customFormat="1" ht="25" customHeight="1" x14ac:dyDescent="0.45">
      <c r="A28" s="20"/>
      <c r="B28" s="37"/>
      <c r="C28" s="127">
        <v>29</v>
      </c>
      <c r="D28" s="128">
        <f t="shared" si="3"/>
        <v>55</v>
      </c>
      <c r="E28" s="128">
        <f t="shared" si="0"/>
        <v>4</v>
      </c>
      <c r="F28" s="102">
        <f t="shared" si="4"/>
        <v>68.75</v>
      </c>
      <c r="G28" s="103">
        <f>IF(D28=D27,"",_xlfn.IFNA(VLOOKUP(D28,'인원 입력 기능(사과탐)'!$F$177:$I$231,4,FALSE),0))</f>
        <v>1945</v>
      </c>
      <c r="H28" s="104">
        <f t="shared" si="1"/>
        <v>3.0026089507078128E-2</v>
      </c>
      <c r="I28" s="114">
        <f>SUM($G$7:G28)</f>
        <v>21214</v>
      </c>
      <c r="J28" s="106">
        <f t="shared" si="5"/>
        <v>0.32749278293221362</v>
      </c>
      <c r="K28" s="38"/>
      <c r="L28" s="20" t="str">
        <f t="shared" si="2"/>
        <v/>
      </c>
      <c r="N28" s="24"/>
    </row>
    <row r="29" spans="1:17" s="22" customFormat="1" ht="25" customHeight="1" x14ac:dyDescent="0.45">
      <c r="A29" s="20"/>
      <c r="B29" s="37"/>
      <c r="C29" s="169">
        <v>28</v>
      </c>
      <c r="D29" s="128">
        <f t="shared" si="3"/>
        <v>54</v>
      </c>
      <c r="E29" s="128">
        <f t="shared" si="0"/>
        <v>4</v>
      </c>
      <c r="F29" s="102">
        <f t="shared" si="4"/>
        <v>65.92</v>
      </c>
      <c r="G29" s="103">
        <f>IF(D29=D28,"",_xlfn.IFNA(VLOOKUP(D29,'인원 입력 기능(사과탐)'!$F$177:$I$231,4,FALSE),0))</f>
        <v>1730</v>
      </c>
      <c r="H29" s="104">
        <f t="shared" si="1"/>
        <v>2.670701020423916E-2</v>
      </c>
      <c r="I29" s="114">
        <f>SUM($G$7:G29)</f>
        <v>22944</v>
      </c>
      <c r="J29" s="106">
        <f t="shared" si="5"/>
        <v>0.35419979313645278</v>
      </c>
      <c r="K29" s="38"/>
      <c r="L29" s="20" t="str">
        <f t="shared" si="2"/>
        <v/>
      </c>
      <c r="N29" s="24"/>
    </row>
    <row r="30" spans="1:17" s="22" customFormat="1" ht="25" customHeight="1" x14ac:dyDescent="0.45">
      <c r="A30" s="20"/>
      <c r="B30" s="37"/>
      <c r="C30" s="127">
        <v>27</v>
      </c>
      <c r="D30" s="128">
        <f t="shared" si="3"/>
        <v>53</v>
      </c>
      <c r="E30" s="128">
        <f t="shared" si="0"/>
        <v>4</v>
      </c>
      <c r="F30" s="102">
        <f t="shared" si="4"/>
        <v>62.91</v>
      </c>
      <c r="G30" s="103">
        <f>IF(D30=D29,"",_xlfn.IFNA(VLOOKUP(D30,'인원 입력 기능(사과탐)'!$F$177:$I$231,4,FALSE),0))</f>
        <v>2164</v>
      </c>
      <c r="H30" s="104">
        <f t="shared" si="1"/>
        <v>3.3406919122528057E-2</v>
      </c>
      <c r="I30" s="114">
        <f>SUM($G$7:G30)</f>
        <v>25108</v>
      </c>
      <c r="J30" s="106">
        <f t="shared" si="5"/>
        <v>0.3876067122589808</v>
      </c>
      <c r="K30" s="38"/>
      <c r="L30" s="20" t="str">
        <f t="shared" si="2"/>
        <v/>
      </c>
      <c r="N30" s="24"/>
    </row>
    <row r="31" spans="1:17" s="22" customFormat="1" ht="25" customHeight="1" x14ac:dyDescent="0.45">
      <c r="A31" s="20"/>
      <c r="B31" s="37"/>
      <c r="C31" s="169">
        <v>26</v>
      </c>
      <c r="D31" s="128">
        <f t="shared" si="3"/>
        <v>52</v>
      </c>
      <c r="E31" s="128">
        <f t="shared" si="0"/>
        <v>4</v>
      </c>
      <c r="F31" s="102">
        <f t="shared" si="4"/>
        <v>59.68</v>
      </c>
      <c r="G31" s="103">
        <f>IF(D31=D30,"",_xlfn.IFNA(VLOOKUP(D31,'인원 입력 기능(사과탐)'!$F$177:$I$231,4,FALSE),0))</f>
        <v>2025</v>
      </c>
      <c r="H31" s="104">
        <f t="shared" si="1"/>
        <v>3.126109575929728E-2</v>
      </c>
      <c r="I31" s="114">
        <f>SUM($G$7:G31)</f>
        <v>27133</v>
      </c>
      <c r="J31" s="106">
        <f t="shared" si="5"/>
        <v>0.41886780801827811</v>
      </c>
      <c r="K31" s="38"/>
      <c r="L31" s="20" t="str">
        <f t="shared" si="2"/>
        <v/>
      </c>
      <c r="N31" s="24"/>
    </row>
    <row r="32" spans="1:17" s="22" customFormat="1" ht="25" customHeight="1" x14ac:dyDescent="0.45">
      <c r="A32" s="20"/>
      <c r="B32" s="37"/>
      <c r="C32" s="127">
        <v>25</v>
      </c>
      <c r="D32" s="128">
        <f t="shared" si="3"/>
        <v>51</v>
      </c>
      <c r="E32" s="128">
        <f t="shared" si="0"/>
        <v>5</v>
      </c>
      <c r="F32" s="102">
        <f t="shared" si="4"/>
        <v>56.53</v>
      </c>
      <c r="G32" s="103">
        <f>IF(D32=D31,"",_xlfn.IFNA(VLOOKUP(D32,'인원 입력 기능(사과탐)'!$F$177:$I$231,4,FALSE),0))</f>
        <v>2046</v>
      </c>
      <c r="H32" s="104">
        <f t="shared" si="1"/>
        <v>3.1585284900504808E-2</v>
      </c>
      <c r="I32" s="114">
        <f>SUM($G$7:G32)</f>
        <v>29179</v>
      </c>
      <c r="J32" s="106">
        <f t="shared" si="5"/>
        <v>0.45045309291878288</v>
      </c>
      <c r="K32" s="38"/>
      <c r="L32" s="20" t="str">
        <f t="shared" si="2"/>
        <v/>
      </c>
      <c r="N32" s="24"/>
    </row>
    <row r="33" spans="1:14" s="22" customFormat="1" ht="25" customHeight="1" x14ac:dyDescent="0.45">
      <c r="A33" s="20"/>
      <c r="B33" s="37"/>
      <c r="C33" s="169">
        <v>24</v>
      </c>
      <c r="D33" s="128">
        <f t="shared" si="3"/>
        <v>50</v>
      </c>
      <c r="E33" s="128">
        <f t="shared" si="0"/>
        <v>5</v>
      </c>
      <c r="F33" s="102">
        <f t="shared" si="4"/>
        <v>53.04</v>
      </c>
      <c r="G33" s="103">
        <f>IF(D33=D32,"",_xlfn.IFNA(VLOOKUP(D33,'인원 입력 기능(사과탐)'!$F$177:$I$231,4,FALSE),0))</f>
        <v>2480</v>
      </c>
      <c r="H33" s="104">
        <f t="shared" si="1"/>
        <v>3.8285193818793709E-2</v>
      </c>
      <c r="I33" s="114">
        <f>SUM($G$7:G33)</f>
        <v>31659</v>
      </c>
      <c r="J33" s="106">
        <f t="shared" si="5"/>
        <v>0.48873828673757663</v>
      </c>
      <c r="K33" s="38"/>
      <c r="L33" s="20" t="str">
        <f t="shared" si="2"/>
        <v/>
      </c>
      <c r="N33" s="24"/>
    </row>
    <row r="34" spans="1:14" s="22" customFormat="1" ht="25" customHeight="1" x14ac:dyDescent="0.45">
      <c r="A34" s="20"/>
      <c r="B34" s="37"/>
      <c r="C34" s="127">
        <v>23</v>
      </c>
      <c r="D34" s="128">
        <f t="shared" si="3"/>
        <v>49</v>
      </c>
      <c r="E34" s="128">
        <f t="shared" si="0"/>
        <v>5</v>
      </c>
      <c r="F34" s="102">
        <f t="shared" si="4"/>
        <v>49.52</v>
      </c>
      <c r="G34" s="103">
        <f>IF(D34=D33,"",_xlfn.IFNA(VLOOKUP(D34,'인원 입력 기능(사과탐)'!$F$177:$I$231,4,FALSE),0))</f>
        <v>2075</v>
      </c>
      <c r="H34" s="104">
        <f t="shared" si="1"/>
        <v>3.203297466693425E-2</v>
      </c>
      <c r="I34" s="114">
        <f>SUM($G$7:G34)</f>
        <v>33734</v>
      </c>
      <c r="J34" s="106">
        <f t="shared" si="5"/>
        <v>0.52077126140451091</v>
      </c>
      <c r="K34" s="38"/>
      <c r="L34" s="20" t="str">
        <f t="shared" si="2"/>
        <v/>
      </c>
      <c r="N34" s="24"/>
    </row>
    <row r="35" spans="1:14" s="22" customFormat="1" ht="25" customHeight="1" x14ac:dyDescent="0.45">
      <c r="A35" s="20"/>
      <c r="B35" s="37"/>
      <c r="C35" s="169">
        <v>22</v>
      </c>
      <c r="D35" s="128">
        <f t="shared" si="3"/>
        <v>48</v>
      </c>
      <c r="E35" s="128">
        <f t="shared" si="0"/>
        <v>5</v>
      </c>
      <c r="F35" s="102">
        <f t="shared" si="4"/>
        <v>45.93</v>
      </c>
      <c r="G35" s="103">
        <f>IF(D35=D34,"",_xlfn.IFNA(VLOOKUP(D35,'인원 입력 기능(사과탐)'!$F$177:$I$231,4,FALSE),0))</f>
        <v>2581</v>
      </c>
      <c r="H35" s="104">
        <f t="shared" si="1"/>
        <v>3.9844389212220388E-2</v>
      </c>
      <c r="I35" s="114">
        <f>SUM($G$7:G35)</f>
        <v>36315</v>
      </c>
      <c r="J35" s="106">
        <f t="shared" si="5"/>
        <v>0.56061565061673124</v>
      </c>
      <c r="K35" s="38"/>
      <c r="L35" s="20" t="str">
        <f t="shared" si="2"/>
        <v/>
      </c>
      <c r="N35" s="24"/>
    </row>
    <row r="36" spans="1:14" s="22" customFormat="1" ht="25" customHeight="1" x14ac:dyDescent="0.45">
      <c r="A36" s="20"/>
      <c r="B36" s="37"/>
      <c r="C36" s="127">
        <v>21</v>
      </c>
      <c r="D36" s="128">
        <f t="shared" si="3"/>
        <v>47</v>
      </c>
      <c r="E36" s="128">
        <f t="shared" si="0"/>
        <v>5</v>
      </c>
      <c r="F36" s="102">
        <f t="shared" si="4"/>
        <v>42.19</v>
      </c>
      <c r="G36" s="103">
        <f>IF(D36=D35,"",_xlfn.IFNA(VLOOKUP(D36,'인원 입력 기능(사과탐)'!$F$177:$I$231,4,FALSE),0))</f>
        <v>2268</v>
      </c>
      <c r="H36" s="104">
        <f t="shared" si="1"/>
        <v>3.5012427250412953E-2</v>
      </c>
      <c r="I36" s="114">
        <f>SUM($G$7:G36)</f>
        <v>38583</v>
      </c>
      <c r="J36" s="106">
        <f t="shared" si="5"/>
        <v>0.59562807786714422</v>
      </c>
      <c r="K36" s="38"/>
      <c r="L36" s="20" t="str">
        <f t="shared" si="2"/>
        <v/>
      </c>
      <c r="N36" s="24"/>
    </row>
    <row r="37" spans="1:14" s="22" customFormat="1" ht="25" customHeight="1" x14ac:dyDescent="0.45">
      <c r="A37" s="20"/>
      <c r="B37" s="37"/>
      <c r="C37" s="169">
        <v>20</v>
      </c>
      <c r="D37" s="128">
        <f t="shared" si="3"/>
        <v>46</v>
      </c>
      <c r="E37" s="128">
        <f t="shared" si="0"/>
        <v>5</v>
      </c>
      <c r="F37" s="102">
        <f t="shared" si="4"/>
        <v>38.58</v>
      </c>
      <c r="G37" s="103">
        <f>IF(D37=D36,"",_xlfn.IFNA(VLOOKUP(D37,'인원 입력 기능(사과탐)'!$F$177:$I$231,4,FALSE),0))</f>
        <v>2404</v>
      </c>
      <c r="H37" s="104">
        <f t="shared" si="1"/>
        <v>3.7111937879185514E-2</v>
      </c>
      <c r="I37" s="114">
        <f>SUM($G$7:G37)</f>
        <v>40987</v>
      </c>
      <c r="J37" s="106">
        <f t="shared" si="5"/>
        <v>0.63274001574632976</v>
      </c>
      <c r="K37" s="38"/>
      <c r="L37" s="20" t="str">
        <f t="shared" si="2"/>
        <v/>
      </c>
      <c r="N37" s="24"/>
    </row>
    <row r="38" spans="1:14" s="22" customFormat="1" ht="25" customHeight="1" x14ac:dyDescent="0.45">
      <c r="A38" s="20"/>
      <c r="B38" s="37"/>
      <c r="C38" s="127">
        <v>19</v>
      </c>
      <c r="D38" s="128">
        <f t="shared" si="3"/>
        <v>45</v>
      </c>
      <c r="E38" s="128">
        <f t="shared" si="0"/>
        <v>6</v>
      </c>
      <c r="F38" s="102">
        <f t="shared" si="4"/>
        <v>34.700000000000003</v>
      </c>
      <c r="G38" s="103">
        <f>IF(D38=D37,"",_xlfn.IFNA(VLOOKUP(D38,'인원 입력 기능(사과탐)'!$F$177:$I$231,4,FALSE),0))</f>
        <v>2619</v>
      </c>
      <c r="H38" s="104">
        <f t="shared" si="1"/>
        <v>4.0431017182024485E-2</v>
      </c>
      <c r="I38" s="114">
        <f>SUM($G$7:G38)</f>
        <v>43606</v>
      </c>
      <c r="J38" s="106">
        <f t="shared" si="5"/>
        <v>0.67317103292835423</v>
      </c>
      <c r="K38" s="38"/>
      <c r="L38" s="20" t="str">
        <f t="shared" si="2"/>
        <v/>
      </c>
      <c r="N38" s="24"/>
    </row>
    <row r="39" spans="1:14" s="22" customFormat="1" ht="25" customHeight="1" x14ac:dyDescent="0.45">
      <c r="A39" s="20"/>
      <c r="B39" s="37"/>
      <c r="C39" s="169">
        <v>18</v>
      </c>
      <c r="D39" s="128">
        <f t="shared" si="3"/>
        <v>44</v>
      </c>
      <c r="E39" s="128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6</v>
      </c>
      <c r="F39" s="102">
        <f t="shared" si="4"/>
        <v>31.04</v>
      </c>
      <c r="G39" s="103">
        <f>IF(D39=D38,"",_xlfn.IFNA(VLOOKUP(D39,'인원 입력 기능(사과탐)'!$F$177:$I$231,4,FALSE),0))</f>
        <v>2133</v>
      </c>
      <c r="H39" s="104">
        <f t="shared" si="1"/>
        <v>3.2928354199793133E-2</v>
      </c>
      <c r="I39" s="114">
        <f>SUM($G$7:G39)</f>
        <v>45739</v>
      </c>
      <c r="J39" s="106">
        <f t="shared" si="5"/>
        <v>0.70609938712814735</v>
      </c>
      <c r="K39" s="38"/>
      <c r="L39" s="20" t="str">
        <f t="shared" si="2"/>
        <v/>
      </c>
      <c r="N39" s="24"/>
    </row>
    <row r="40" spans="1:14" s="22" customFormat="1" ht="25" customHeight="1" x14ac:dyDescent="0.45">
      <c r="A40" s="20"/>
      <c r="B40" s="37"/>
      <c r="C40" s="127">
        <v>17</v>
      </c>
      <c r="D40" s="128">
        <f t="shared" si="3"/>
        <v>43</v>
      </c>
      <c r="E40" s="128">
        <f t="shared" si="6"/>
        <v>6</v>
      </c>
      <c r="F40" s="102">
        <f t="shared" si="4"/>
        <v>27.41</v>
      </c>
      <c r="G40" s="103">
        <f>IF(D40=D39,"",_xlfn.IFNA(VLOOKUP(D40,'인원 입력 기능(사과탐)'!$F$177:$I$231,4,FALSE),0))</f>
        <v>2564</v>
      </c>
      <c r="H40" s="104">
        <f t="shared" si="1"/>
        <v>3.9581950383623818E-2</v>
      </c>
      <c r="I40" s="114">
        <f>SUM($G$7:G40)</f>
        <v>48303</v>
      </c>
      <c r="J40" s="106">
        <f t="shared" si="5"/>
        <v>0.74568133751177113</v>
      </c>
      <c r="K40" s="38"/>
      <c r="L40" s="20" t="str">
        <f t="shared" si="2"/>
        <v/>
      </c>
      <c r="N40" s="24"/>
    </row>
    <row r="41" spans="1:14" s="22" customFormat="1" ht="25" customHeight="1" x14ac:dyDescent="0.45">
      <c r="A41" s="20"/>
      <c r="B41" s="37"/>
      <c r="C41" s="169">
        <v>16</v>
      </c>
      <c r="D41" s="128">
        <f t="shared" si="3"/>
        <v>42</v>
      </c>
      <c r="E41" s="128">
        <f t="shared" si="6"/>
        <v>6</v>
      </c>
      <c r="F41" s="102">
        <f t="shared" si="4"/>
        <v>23.78</v>
      </c>
      <c r="G41" s="103">
        <f>IF(D41=D40,"",_xlfn.IFNA(VLOOKUP(D41,'인원 입력 기능(사과탐)'!$F$177:$I$231,4,FALSE),0))</f>
        <v>2135</v>
      </c>
      <c r="H41" s="104">
        <f t="shared" si="1"/>
        <v>3.2959229356098615E-2</v>
      </c>
      <c r="I41" s="114">
        <f>SUM($G$7:G41)</f>
        <v>50438</v>
      </c>
      <c r="J41" s="106">
        <f t="shared" si="5"/>
        <v>0.77864056686786975</v>
      </c>
      <c r="K41" s="38"/>
      <c r="L41" s="20" t="str">
        <f t="shared" si="2"/>
        <v/>
      </c>
      <c r="N41" s="24"/>
    </row>
    <row r="42" spans="1:14" s="22" customFormat="1" ht="25" customHeight="1" x14ac:dyDescent="0.45">
      <c r="A42" s="20"/>
      <c r="B42" s="37"/>
      <c r="C42" s="127">
        <v>15</v>
      </c>
      <c r="D42" s="128">
        <f t="shared" si="3"/>
        <v>41</v>
      </c>
      <c r="E42" s="128">
        <f t="shared" si="6"/>
        <v>7</v>
      </c>
      <c r="F42" s="102">
        <f t="shared" si="4"/>
        <v>20.53</v>
      </c>
      <c r="G42" s="103">
        <f>IF(D42=D41,"",_xlfn.IFNA(VLOOKUP(D42,'인원 입력 기능(사과탐)'!$F$177:$I$231,4,FALSE),0))</f>
        <v>2076</v>
      </c>
      <c r="H42" s="104">
        <f t="shared" si="1"/>
        <v>3.2048412245086991E-2</v>
      </c>
      <c r="I42" s="114">
        <f>SUM($G$7:G42)</f>
        <v>52514</v>
      </c>
      <c r="J42" s="106">
        <f t="shared" si="5"/>
        <v>0.81068897911295679</v>
      </c>
      <c r="K42" s="38"/>
      <c r="L42" s="20" t="str">
        <f t="shared" si="2"/>
        <v/>
      </c>
      <c r="N42" s="24"/>
    </row>
    <row r="43" spans="1:14" s="22" customFormat="1" ht="25" customHeight="1" x14ac:dyDescent="0.45">
      <c r="A43" s="20"/>
      <c r="B43" s="37"/>
      <c r="C43" s="169">
        <v>14</v>
      </c>
      <c r="D43" s="128">
        <f t="shared" si="3"/>
        <v>40</v>
      </c>
      <c r="E43" s="128">
        <f t="shared" si="6"/>
        <v>7</v>
      </c>
      <c r="F43" s="102">
        <f t="shared" si="4"/>
        <v>17.37</v>
      </c>
      <c r="G43" s="103">
        <f>IF(D43=D42,"",_xlfn.IFNA(VLOOKUP(D43,'인원 입력 기능(사과탐)'!$F$177:$I$231,4,FALSE),0))</f>
        <v>2023</v>
      </c>
      <c r="H43" s="104">
        <f t="shared" si="1"/>
        <v>3.1230220602991802E-2</v>
      </c>
      <c r="I43" s="114">
        <f>SUM($G$7:G43)</f>
        <v>54537</v>
      </c>
      <c r="J43" s="106">
        <f t="shared" si="5"/>
        <v>0.84191919971594853</v>
      </c>
      <c r="K43" s="38"/>
      <c r="L43" s="20" t="str">
        <f t="shared" si="2"/>
        <v/>
      </c>
      <c r="N43" s="24"/>
    </row>
    <row r="44" spans="1:14" s="22" customFormat="1" ht="25" customHeight="1" x14ac:dyDescent="0.45">
      <c r="A44" s="20"/>
      <c r="B44" s="37"/>
      <c r="C44" s="127">
        <v>13</v>
      </c>
      <c r="D44" s="128">
        <f t="shared" si="3"/>
        <v>39</v>
      </c>
      <c r="E44" s="128">
        <f t="shared" si="6"/>
        <v>7</v>
      </c>
      <c r="F44" s="102">
        <f t="shared" si="4"/>
        <v>13.88</v>
      </c>
      <c r="G44" s="103">
        <f>IF(D44=D43,"",_xlfn.IFNA(VLOOKUP(D44,'인원 입력 기능(사과탐)'!$F$177:$I$231,4,FALSE),0))</f>
        <v>2501</v>
      </c>
      <c r="H44" s="104">
        <f t="shared" si="1"/>
        <v>3.8609382960001236E-2</v>
      </c>
      <c r="I44" s="114">
        <f>SUM($G$7:G44)</f>
        <v>57038</v>
      </c>
      <c r="J44" s="106">
        <f t="shared" si="5"/>
        <v>0.8805285826759498</v>
      </c>
      <c r="K44" s="38"/>
      <c r="L44" s="20" t="str">
        <f t="shared" si="2"/>
        <v/>
      </c>
      <c r="N44" s="24"/>
    </row>
    <row r="45" spans="1:14" s="22" customFormat="1" ht="25" customHeight="1" x14ac:dyDescent="0.45">
      <c r="A45" s="20"/>
      <c r="B45" s="37"/>
      <c r="C45" s="169">
        <v>12</v>
      </c>
      <c r="D45" s="128">
        <f t="shared" si="3"/>
        <v>38</v>
      </c>
      <c r="E45" s="128">
        <f t="shared" si="6"/>
        <v>7</v>
      </c>
      <c r="F45" s="102">
        <f t="shared" si="4"/>
        <v>10.68</v>
      </c>
      <c r="G45" s="103">
        <f>IF(D45=D44,"",_xlfn.IFNA(VLOOKUP(D45,'인원 입력 기능(사과탐)'!$F$177:$I$231,4,FALSE),0))</f>
        <v>1645</v>
      </c>
      <c r="H45" s="104">
        <f t="shared" si="1"/>
        <v>2.539481606125631E-2</v>
      </c>
      <c r="I45" s="114">
        <f>SUM($G$7:G45)</f>
        <v>58683</v>
      </c>
      <c r="J45" s="106">
        <f t="shared" si="5"/>
        <v>0.90592339873720606</v>
      </c>
      <c r="K45" s="38"/>
      <c r="L45" s="20" t="str">
        <f t="shared" si="2"/>
        <v/>
      </c>
      <c r="N45" s="24"/>
    </row>
    <row r="46" spans="1:14" s="22" customFormat="1" ht="25" customHeight="1" x14ac:dyDescent="0.45">
      <c r="A46" s="20"/>
      <c r="B46" s="37"/>
      <c r="C46" s="127">
        <v>11</v>
      </c>
      <c r="D46" s="128">
        <f t="shared" si="3"/>
        <v>37</v>
      </c>
      <c r="E46" s="128">
        <f t="shared" si="6"/>
        <v>8</v>
      </c>
      <c r="F46" s="102">
        <f t="shared" si="4"/>
        <v>8.4600000000000009</v>
      </c>
      <c r="G46" s="103">
        <f>IF(D46=D45,"",_xlfn.IFNA(VLOOKUP(D46,'인원 입력 기능(사과탐)'!$F$177:$I$231,4,FALSE),0))</f>
        <v>1230</v>
      </c>
      <c r="H46" s="104">
        <f t="shared" si="1"/>
        <v>1.8988221127869461E-2</v>
      </c>
      <c r="I46" s="114">
        <f>SUM($G$7:G46)</f>
        <v>59913</v>
      </c>
      <c r="J46" s="106">
        <f t="shared" si="5"/>
        <v>0.92491161986507553</v>
      </c>
      <c r="K46" s="38"/>
      <c r="L46" s="20" t="str">
        <f t="shared" si="2"/>
        <v/>
      </c>
      <c r="N46" s="24"/>
    </row>
    <row r="47" spans="1:14" s="22" customFormat="1" ht="25" customHeight="1" x14ac:dyDescent="0.45">
      <c r="A47" s="20"/>
      <c r="B47" s="37"/>
      <c r="C47" s="169">
        <v>10</v>
      </c>
      <c r="D47" s="128">
        <f t="shared" si="3"/>
        <v>36</v>
      </c>
      <c r="E47" s="128">
        <f t="shared" si="6"/>
        <v>8</v>
      </c>
      <c r="F47" s="102">
        <f t="shared" si="4"/>
        <v>6.29</v>
      </c>
      <c r="G47" s="103">
        <f>IF(D47=D46,"",_xlfn.IFNA(VLOOKUP(D47,'인원 입력 기능(사과탐)'!$F$177:$I$231,4,FALSE),0))</f>
        <v>1584</v>
      </c>
      <c r="H47" s="104">
        <f t="shared" si="1"/>
        <v>2.4453123793939206E-2</v>
      </c>
      <c r="I47" s="114">
        <f>SUM($G$7:G47)</f>
        <v>61497</v>
      </c>
      <c r="J47" s="106">
        <f t="shared" si="5"/>
        <v>0.9493647436590148</v>
      </c>
      <c r="K47" s="38"/>
      <c r="L47" s="20" t="str">
        <f t="shared" si="2"/>
        <v/>
      </c>
      <c r="N47" s="24"/>
    </row>
    <row r="48" spans="1:14" s="22" customFormat="1" ht="25" customHeight="1" x14ac:dyDescent="0.45">
      <c r="A48" s="20"/>
      <c r="B48" s="37"/>
      <c r="C48" s="127">
        <v>9</v>
      </c>
      <c r="D48" s="128">
        <f t="shared" si="3"/>
        <v>35</v>
      </c>
      <c r="E48" s="128">
        <f t="shared" si="6"/>
        <v>8</v>
      </c>
      <c r="F48" s="102">
        <f t="shared" si="4"/>
        <v>4.32</v>
      </c>
      <c r="G48" s="103">
        <f>IF(D48=D47,"",_xlfn.IFNA(VLOOKUP(D48,'인원 입력 기능(사과탐)'!$F$177:$I$231,4,FALSE),0))</f>
        <v>963</v>
      </c>
      <c r="H48" s="104">
        <f t="shared" si="1"/>
        <v>1.486638776108804E-2</v>
      </c>
      <c r="I48" s="114">
        <f>SUM($G$7:G48)</f>
        <v>62460</v>
      </c>
      <c r="J48" s="106">
        <f t="shared" si="5"/>
        <v>0.96423113142010286</v>
      </c>
      <c r="K48" s="38"/>
      <c r="L48" s="20" t="str">
        <f t="shared" si="2"/>
        <v/>
      </c>
      <c r="N48" s="24"/>
    </row>
    <row r="49" spans="1:14" s="22" customFormat="1" ht="25" customHeight="1" x14ac:dyDescent="0.45">
      <c r="A49" s="20"/>
      <c r="B49" s="37"/>
      <c r="C49" s="169">
        <v>8</v>
      </c>
      <c r="D49" s="128">
        <f t="shared" si="3"/>
        <v>34</v>
      </c>
      <c r="E49" s="128">
        <f t="shared" si="6"/>
        <v>9</v>
      </c>
      <c r="F49" s="102">
        <f t="shared" si="4"/>
        <v>3.1</v>
      </c>
      <c r="G49" s="103">
        <f>IF(D49=D48,"",_xlfn.IFNA(VLOOKUP(D49,'인원 입력 기능(사과탐)'!$F$177:$I$231,4,FALSE),0))</f>
        <v>614</v>
      </c>
      <c r="H49" s="104">
        <f t="shared" si="1"/>
        <v>9.4786729857819912E-3</v>
      </c>
      <c r="I49" s="114">
        <f>SUM($G$7:G49)</f>
        <v>63074</v>
      </c>
      <c r="J49" s="106">
        <f t="shared" si="5"/>
        <v>0.97370980440588484</v>
      </c>
      <c r="K49" s="38"/>
      <c r="L49" s="20" t="str">
        <f t="shared" si="2"/>
        <v/>
      </c>
      <c r="N49" s="24"/>
    </row>
    <row r="50" spans="1:14" s="22" customFormat="1" ht="25" customHeight="1" x14ac:dyDescent="0.45">
      <c r="A50" s="20"/>
      <c r="B50" s="37"/>
      <c r="C50" s="127">
        <v>7</v>
      </c>
      <c r="D50" s="128">
        <f t="shared" si="3"/>
        <v>33</v>
      </c>
      <c r="E50" s="128">
        <f t="shared" si="6"/>
        <v>9</v>
      </c>
      <c r="F50" s="102">
        <f t="shared" si="4"/>
        <v>2.2000000000000002</v>
      </c>
      <c r="G50" s="103">
        <f>IF(D50=D49,"",_xlfn.IFNA(VLOOKUP(D50,'인원 입력 기능(사과탐)'!$F$177:$I$231,4,FALSE),0))</f>
        <v>552</v>
      </c>
      <c r="H50" s="104">
        <f t="shared" si="1"/>
        <v>8.5215431403121485E-3</v>
      </c>
      <c r="I50" s="114">
        <f>SUM($G$7:G50)</f>
        <v>63626</v>
      </c>
      <c r="J50" s="106">
        <f t="shared" si="5"/>
        <v>0.9822313475461969</v>
      </c>
      <c r="K50" s="38"/>
      <c r="L50" s="20" t="str">
        <f t="shared" si="2"/>
        <v/>
      </c>
      <c r="N50" s="24"/>
    </row>
    <row r="51" spans="1:14" s="22" customFormat="1" ht="25" customHeight="1" x14ac:dyDescent="0.45">
      <c r="A51" s="20"/>
      <c r="B51" s="37"/>
      <c r="C51" s="169">
        <v>6</v>
      </c>
      <c r="D51" s="128">
        <f t="shared" si="3"/>
        <v>32</v>
      </c>
      <c r="E51" s="128">
        <f t="shared" si="6"/>
        <v>9</v>
      </c>
      <c r="F51" s="102">
        <f t="shared" si="4"/>
        <v>1.37</v>
      </c>
      <c r="G51" s="103">
        <f>IF(D51=D50,"",_xlfn.IFNA(VLOOKUP(D51,'인원 입력 기능(사과탐)'!$F$177:$I$231,4,FALSE),0))</f>
        <v>526</v>
      </c>
      <c r="H51" s="104">
        <f t="shared" si="1"/>
        <v>8.1201661083409229E-3</v>
      </c>
      <c r="I51" s="114">
        <f>SUM($G$7:G51)</f>
        <v>64152</v>
      </c>
      <c r="J51" s="106">
        <f t="shared" si="5"/>
        <v>0.99035151365453788</v>
      </c>
      <c r="K51" s="38"/>
      <c r="L51" s="20" t="str">
        <f t="shared" si="2"/>
        <v/>
      </c>
      <c r="N51" s="24"/>
    </row>
    <row r="52" spans="1:14" s="22" customFormat="1" ht="25" customHeight="1" x14ac:dyDescent="0.45">
      <c r="A52" s="20"/>
      <c r="B52" s="37"/>
      <c r="C52" s="127">
        <v>5</v>
      </c>
      <c r="D52" s="128">
        <f t="shared" si="3"/>
        <v>31</v>
      </c>
      <c r="E52" s="128">
        <f t="shared" si="6"/>
        <v>9</v>
      </c>
      <c r="F52" s="102">
        <f t="shared" si="4"/>
        <v>0.77</v>
      </c>
      <c r="G52" s="103">
        <f>IF(D52=D51,"",_xlfn.IFNA(VLOOKUP(D52,'인원 입력 기능(사과탐)'!$F$177:$I$231,4,FALSE),0))</f>
        <v>258</v>
      </c>
      <c r="H52" s="104">
        <f t="shared" si="1"/>
        <v>3.9828951634067649E-3</v>
      </c>
      <c r="I52" s="114">
        <f>SUM($G$7:G52)</f>
        <v>64410</v>
      </c>
      <c r="J52" s="106">
        <f t="shared" si="5"/>
        <v>0.99433440881794466</v>
      </c>
      <c r="K52" s="38"/>
      <c r="L52" s="20" t="str">
        <f t="shared" si="2"/>
        <v/>
      </c>
      <c r="N52" s="24"/>
    </row>
    <row r="53" spans="1:14" s="22" customFormat="1" ht="25" customHeight="1" x14ac:dyDescent="0.45">
      <c r="A53" s="20"/>
      <c r="B53" s="37"/>
      <c r="C53" s="100">
        <v>4</v>
      </c>
      <c r="D53" s="101">
        <f t="shared" si="3"/>
        <v>30</v>
      </c>
      <c r="E53" s="101">
        <f t="shared" si="6"/>
        <v>9</v>
      </c>
      <c r="F53" s="102">
        <f t="shared" si="4"/>
        <v>0.45</v>
      </c>
      <c r="G53" s="103">
        <f>IF(D53=D52,"",_xlfn.IFNA(VLOOKUP(D53,'인원 입력 기능(사과탐)'!$F$177:$I$231,4,FALSE),0))</f>
        <v>157</v>
      </c>
      <c r="H53" s="104">
        <f t="shared" si="1"/>
        <v>2.4236997699800854E-3</v>
      </c>
      <c r="I53" s="114">
        <f>SUM($G$7:G53)</f>
        <v>64567</v>
      </c>
      <c r="J53" s="106">
        <f t="shared" si="5"/>
        <v>0.99675810858792468</v>
      </c>
      <c r="K53" s="38"/>
      <c r="L53" s="20" t="str">
        <f t="shared" si="2"/>
        <v/>
      </c>
      <c r="N53" s="24"/>
    </row>
    <row r="54" spans="1:14" s="22" customFormat="1" ht="25" customHeight="1" x14ac:dyDescent="0.45">
      <c r="A54" s="20"/>
      <c r="B54" s="37"/>
      <c r="C54" s="107">
        <v>3</v>
      </c>
      <c r="D54" s="101">
        <f t="shared" si="3"/>
        <v>29</v>
      </c>
      <c r="E54" s="101">
        <f t="shared" si="6"/>
        <v>9</v>
      </c>
      <c r="F54" s="102">
        <f t="shared" si="4"/>
        <v>0.25</v>
      </c>
      <c r="G54" s="103">
        <f>IF(D54=D53,"",_xlfn.IFNA(VLOOKUP(D54,'인원 입력 기능(사과탐)'!$F$177:$I$231,4,FALSE),0))</f>
        <v>91</v>
      </c>
      <c r="H54" s="104">
        <f t="shared" si="1"/>
        <v>1.4048196118992852E-3</v>
      </c>
      <c r="I54" s="114">
        <f>SUM($G$7:G54)</f>
        <v>64658</v>
      </c>
      <c r="J54" s="106">
        <f t="shared" si="5"/>
        <v>0.998162928199824</v>
      </c>
      <c r="K54" s="38"/>
      <c r="L54" s="20" t="str">
        <f t="shared" si="2"/>
        <v/>
      </c>
      <c r="N54" s="24"/>
    </row>
    <row r="55" spans="1:14" s="22" customFormat="1" ht="25" customHeight="1" x14ac:dyDescent="0.45">
      <c r="A55" s="20"/>
      <c r="B55" s="37"/>
      <c r="C55" s="100">
        <v>2</v>
      </c>
      <c r="D55" s="101">
        <f t="shared" si="3"/>
        <v>28</v>
      </c>
      <c r="E55" s="101">
        <f t="shared" si="6"/>
        <v>9</v>
      </c>
      <c r="F55" s="102">
        <f t="shared" si="4"/>
        <v>0.12</v>
      </c>
      <c r="G55" s="103">
        <f>IF(D55=D54,"",_xlfn.IFNA(VLOOKUP(D55,'인원 입력 기능(사과탐)'!$F$177:$I$231,4,FALSE),0))</f>
        <v>82</v>
      </c>
      <c r="H55" s="104">
        <f t="shared" si="1"/>
        <v>1.2658814085246307E-3</v>
      </c>
      <c r="I55" s="114">
        <f>SUM($G$7:G55)</f>
        <v>64740</v>
      </c>
      <c r="J55" s="106">
        <f t="shared" si="5"/>
        <v>0.99942880960834868</v>
      </c>
      <c r="K55" s="38"/>
      <c r="L55" s="20" t="str">
        <f t="shared" si="2"/>
        <v/>
      </c>
      <c r="N55" s="24"/>
    </row>
    <row r="56" spans="1:14" s="22" customFormat="1" ht="25" customHeight="1" x14ac:dyDescent="0.45">
      <c r="A56" s="20"/>
      <c r="B56" s="37"/>
      <c r="C56" s="107">
        <v>1</v>
      </c>
      <c r="D56" s="108" t="s">
        <v>54</v>
      </c>
      <c r="E56" s="108"/>
      <c r="F56" s="109"/>
      <c r="G56" s="170"/>
      <c r="H56" s="168"/>
      <c r="I56" s="134"/>
      <c r="J56" s="113"/>
      <c r="K56" s="38"/>
      <c r="L56" s="20"/>
      <c r="N56" s="24"/>
    </row>
    <row r="57" spans="1:14" s="22" customFormat="1" ht="25" customHeight="1" thickBot="1" x14ac:dyDescent="0.5">
      <c r="A57" s="20"/>
      <c r="B57" s="37"/>
      <c r="C57" s="171">
        <v>0</v>
      </c>
      <c r="D57" s="136">
        <f>ROUND(10*(C57-$H$3)/$H$4+50,0)</f>
        <v>26</v>
      </c>
      <c r="E57" s="172">
        <f t="shared" si="6"/>
        <v>9</v>
      </c>
      <c r="F57" s="137">
        <f>IF(I55=0,ROUND(100*(1-(I54+I57)/2/$J$3),2),ROUND(100*(1-(I55+I57)/2/$J$3),2))</f>
        <v>0.03</v>
      </c>
      <c r="G57" s="173">
        <f>_xlfn.IFNA(VLOOKUP(D57,'인원 입력 기능(사과탐)'!$F$177:$I$231,4,FALSE),0)</f>
        <v>37</v>
      </c>
      <c r="H57" s="139">
        <f>G57/$J$3</f>
        <v>5.7119039165135779E-4</v>
      </c>
      <c r="I57" s="140">
        <f>SUM($G$7:G57)</f>
        <v>64777</v>
      </c>
      <c r="J57" s="174">
        <f>I57/$J$3</f>
        <v>1</v>
      </c>
      <c r="K57" s="38"/>
      <c r="L57" s="20" t="str">
        <f t="shared" si="2"/>
        <v/>
      </c>
      <c r="N57" s="24"/>
    </row>
    <row r="58" spans="1:14" ht="6" customHeight="1" x14ac:dyDescent="0.45">
      <c r="A58" s="5"/>
      <c r="B58" s="34"/>
      <c r="C58" s="35"/>
      <c r="D58" s="35"/>
      <c r="E58" s="35"/>
      <c r="F58" s="35"/>
      <c r="G58" s="35"/>
      <c r="H58" s="35"/>
      <c r="I58" s="35"/>
      <c r="J58" s="35"/>
      <c r="K58" s="36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9">
    <mergeCell ref="G26:G27"/>
    <mergeCell ref="H26:H27"/>
    <mergeCell ref="I26:I27"/>
    <mergeCell ref="J26:J27"/>
    <mergeCell ref="D3:F3"/>
    <mergeCell ref="D4:F4"/>
    <mergeCell ref="D26:D27"/>
    <mergeCell ref="E26:E27"/>
    <mergeCell ref="F26:F27"/>
  </mergeCells>
  <phoneticPr fontId="1" type="noConversion"/>
  <conditionalFormatting sqref="D7:G26 I7:J26 D28:G57 I28:J57">
    <cfRule type="expression" dxfId="11" priority="4">
      <formula>OR($D7=$Q$7:$Q$14)</formula>
    </cfRule>
  </conditionalFormatting>
  <conditionalFormatting sqref="C7:C57">
    <cfRule type="expression" dxfId="10" priority="3">
      <formula>OR(AND($D7=0,OR($D6=$Q$7:$Q$14)),AND($D8&gt;0,OR($D7=$Q$7:$Q$14)))</formula>
    </cfRule>
  </conditionalFormatting>
  <conditionalFormatting sqref="D7:D26 D28:D57">
    <cfRule type="expression" dxfId="9" priority="2">
      <formula>$D7=$D8</formula>
    </cfRule>
  </conditionalFormatting>
  <conditionalFormatting sqref="H7:H26 H28:H57">
    <cfRule type="expression" dxfId="8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0621C-2B94-40D9-B1DB-0AF1E77398CC}">
  <sheetPr codeName="Sheet21"/>
  <dimension ref="A1:Q105"/>
  <sheetViews>
    <sheetView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5" t="s">
        <v>6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37"/>
      <c r="C3" s="84" t="s">
        <v>122</v>
      </c>
      <c r="D3" s="85" t="s">
        <v>67</v>
      </c>
      <c r="E3" s="86"/>
      <c r="F3" s="87"/>
      <c r="G3" s="84" t="s">
        <v>123</v>
      </c>
      <c r="H3" s="88" t="str">
        <f>'통계 및 응시자 수 입력 기능'!D19</f>
        <v>22.01</v>
      </c>
      <c r="I3" s="21" t="s">
        <v>124</v>
      </c>
      <c r="J3" s="89">
        <f>'통계 및 응시자 수 입력 기능'!C19</f>
        <v>95599</v>
      </c>
      <c r="K3" s="38"/>
      <c r="L3" s="20"/>
    </row>
    <row r="4" spans="1:17" s="22" customFormat="1" ht="25" customHeight="1" thickBot="1" x14ac:dyDescent="0.5">
      <c r="A4" s="20"/>
      <c r="B4" s="37"/>
      <c r="C4" s="90" t="s">
        <v>125</v>
      </c>
      <c r="D4" s="91" t="s">
        <v>147</v>
      </c>
      <c r="E4" s="92"/>
      <c r="F4" s="93"/>
      <c r="G4" s="94" t="s">
        <v>127</v>
      </c>
      <c r="H4" s="95" t="str">
        <f>'통계 및 응시자 수 입력 기능'!E19</f>
        <v>10.33</v>
      </c>
      <c r="I4" s="39"/>
      <c r="J4" s="40"/>
      <c r="K4" s="38"/>
      <c r="L4" s="20"/>
    </row>
    <row r="5" spans="1:17" s="22" customFormat="1" ht="25" customHeight="1" thickBot="1" x14ac:dyDescent="0.5">
      <c r="A5" s="20"/>
      <c r="B5" s="37"/>
      <c r="C5" s="32"/>
      <c r="D5" s="32"/>
      <c r="E5" s="32"/>
      <c r="F5" s="32"/>
      <c r="G5" s="32"/>
      <c r="H5" s="33"/>
      <c r="I5" s="33"/>
      <c r="J5" s="33"/>
      <c r="K5" s="38"/>
      <c r="L5" s="20"/>
    </row>
    <row r="6" spans="1:17" s="22" customFormat="1" ht="25" customHeight="1" thickBot="1" x14ac:dyDescent="0.5">
      <c r="A6" s="20"/>
      <c r="B6" s="37"/>
      <c r="C6" s="96" t="s">
        <v>129</v>
      </c>
      <c r="D6" s="97" t="s">
        <v>130</v>
      </c>
      <c r="E6" s="97" t="s">
        <v>131</v>
      </c>
      <c r="F6" s="97" t="s">
        <v>132</v>
      </c>
      <c r="G6" s="97" t="s">
        <v>133</v>
      </c>
      <c r="H6" s="97" t="s">
        <v>134</v>
      </c>
      <c r="I6" s="98" t="s">
        <v>135</v>
      </c>
      <c r="J6" s="99" t="s">
        <v>136</v>
      </c>
      <c r="K6" s="38"/>
      <c r="L6" s="19" t="s">
        <v>62</v>
      </c>
      <c r="M6" s="19"/>
      <c r="N6" s="23"/>
    </row>
    <row r="7" spans="1:17" s="22" customFormat="1" ht="25" customHeight="1" x14ac:dyDescent="0.45">
      <c r="A7" s="20"/>
      <c r="B7" s="37"/>
      <c r="C7" s="100">
        <v>50</v>
      </c>
      <c r="D7" s="101">
        <f>ROUND(10*(C7-$H$3)/$H$4+50,0)</f>
        <v>77</v>
      </c>
      <c r="E7" s="101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102">
        <f>ROUND(100*(1-(0+I7)/2/$J$3),2)</f>
        <v>99.66</v>
      </c>
      <c r="G7" s="103">
        <f>_xlfn.IFNA(VLOOKUP(D7,'인원 입력 기능(사과탐)'!$K$177:$N$231,4,FALSE),0)</f>
        <v>657</v>
      </c>
      <c r="H7" s="104">
        <f>G7/$J$3</f>
        <v>6.8724568248621845E-3</v>
      </c>
      <c r="I7" s="105">
        <f>G7</f>
        <v>657</v>
      </c>
      <c r="J7" s="106">
        <f>I7/$J$3</f>
        <v>6.8724568248621845E-3</v>
      </c>
      <c r="K7" s="38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기능'!C139</f>
        <v>71</v>
      </c>
    </row>
    <row r="8" spans="1:17" s="22" customFormat="1" ht="25" customHeight="1" x14ac:dyDescent="0.45">
      <c r="A8" s="20"/>
      <c r="B8" s="37"/>
      <c r="C8" s="107">
        <v>49</v>
      </c>
      <c r="D8" s="108" t="s">
        <v>54</v>
      </c>
      <c r="E8" s="108"/>
      <c r="F8" s="109"/>
      <c r="G8" s="110"/>
      <c r="H8" s="168"/>
      <c r="I8" s="112"/>
      <c r="J8" s="113"/>
      <c r="K8" s="38"/>
      <c r="L8" s="20"/>
      <c r="N8" s="24"/>
      <c r="P8" s="24">
        <v>2</v>
      </c>
      <c r="Q8" s="24">
        <f>'표점등급&amp;절평인원 입력 기능'!C140</f>
        <v>64</v>
      </c>
    </row>
    <row r="9" spans="1:17" s="22" customFormat="1" ht="25" customHeight="1" x14ac:dyDescent="0.45">
      <c r="A9" s="20"/>
      <c r="B9" s="37"/>
      <c r="C9" s="100">
        <v>48</v>
      </c>
      <c r="D9" s="101">
        <f>ROUND(10*(C9-$H$3)/$H$4+50,0)</f>
        <v>75</v>
      </c>
      <c r="E9" s="101">
        <f t="shared" si="0"/>
        <v>1</v>
      </c>
      <c r="F9" s="102">
        <f>IF(I8=0,ROUND(100*(1-(I7+I9)/2/$J$3),2),ROUND(100*(1-(I8+I9)/2/$J$3),2))</f>
        <v>99.2</v>
      </c>
      <c r="G9" s="103">
        <f>_xlfn.IFNA(VLOOKUP(D9,'인원 입력 기능(사과탐)'!$K$177:$N$231,4,FALSE),0)</f>
        <v>215</v>
      </c>
      <c r="H9" s="104">
        <f t="shared" ref="H9:H55" si="1">G9/$J$3</f>
        <v>2.2489774997646421E-3</v>
      </c>
      <c r="I9" s="114">
        <f>SUM($G$7:G9)</f>
        <v>872</v>
      </c>
      <c r="J9" s="106">
        <f>I9/$J$3</f>
        <v>9.1214343246268266E-3</v>
      </c>
      <c r="K9" s="38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기능'!C141</f>
        <v>57</v>
      </c>
    </row>
    <row r="10" spans="1:17" s="22" customFormat="1" ht="25" customHeight="1" x14ac:dyDescent="0.45">
      <c r="A10" s="20"/>
      <c r="B10" s="37"/>
      <c r="C10" s="107">
        <v>47</v>
      </c>
      <c r="D10" s="101">
        <f t="shared" ref="D10:D55" si="3">ROUND(10*(C10-$H$3)/$H$4+50,0)</f>
        <v>74</v>
      </c>
      <c r="E10" s="101">
        <f t="shared" si="0"/>
        <v>1</v>
      </c>
      <c r="F10" s="102">
        <f t="shared" ref="F10:F55" si="4">IF(I9=0,ROUND(100*(1-(I8+I10)/2/$J$3),2),ROUND(100*(1-(I9+I10)/2/$J$3),2))</f>
        <v>98.48</v>
      </c>
      <c r="G10" s="103">
        <f>IF(D10=D9,"",_xlfn.IFNA(VLOOKUP(D10,'인원 입력 기능(사과탐)'!$K$177:$N$231,4,FALSE),0))</f>
        <v>1161</v>
      </c>
      <c r="H10" s="104">
        <f t="shared" si="1"/>
        <v>1.2144478498729067E-2</v>
      </c>
      <c r="I10" s="114">
        <f>SUM($G$7:G10)</f>
        <v>2033</v>
      </c>
      <c r="J10" s="106">
        <f t="shared" ref="J10:J55" si="5">I10/$J$3</f>
        <v>2.1265912823355892E-2</v>
      </c>
      <c r="K10" s="38"/>
      <c r="L10" s="20" t="str">
        <f t="shared" si="2"/>
        <v/>
      </c>
      <c r="N10" s="24"/>
      <c r="P10" s="24">
        <v>4</v>
      </c>
      <c r="Q10" s="24">
        <f>'표점등급&amp;절평인원 입력 기능'!C142</f>
        <v>51</v>
      </c>
    </row>
    <row r="11" spans="1:17" s="22" customFormat="1" ht="25" customHeight="1" x14ac:dyDescent="0.45">
      <c r="A11" s="20"/>
      <c r="B11" s="37"/>
      <c r="C11" s="100">
        <v>46</v>
      </c>
      <c r="D11" s="101">
        <f t="shared" si="3"/>
        <v>73</v>
      </c>
      <c r="E11" s="101">
        <f t="shared" si="0"/>
        <v>1</v>
      </c>
      <c r="F11" s="102">
        <f t="shared" si="4"/>
        <v>97.84</v>
      </c>
      <c r="G11" s="103">
        <f>IF(D11=D10,"",_xlfn.IFNA(VLOOKUP(D11,'인원 입력 기능(사과탐)'!$K$177:$N$231,4,FALSE),0))</f>
        <v>61</v>
      </c>
      <c r="H11" s="104">
        <f t="shared" si="1"/>
        <v>6.3808198830531701E-4</v>
      </c>
      <c r="I11" s="114">
        <f>SUM($G$7:G11)</f>
        <v>2094</v>
      </c>
      <c r="J11" s="106">
        <f t="shared" si="5"/>
        <v>2.190399481166121E-2</v>
      </c>
      <c r="K11" s="38"/>
      <c r="L11" s="20" t="str">
        <f t="shared" si="2"/>
        <v/>
      </c>
      <c r="N11" s="24"/>
      <c r="P11" s="24">
        <v>5</v>
      </c>
      <c r="Q11" s="24">
        <f>'표점등급&amp;절평인원 입력 기능'!C143</f>
        <v>46</v>
      </c>
    </row>
    <row r="12" spans="1:17" s="22" customFormat="1" ht="25" customHeight="1" x14ac:dyDescent="0.45">
      <c r="A12" s="20"/>
      <c r="B12" s="37"/>
      <c r="C12" s="107">
        <v>45</v>
      </c>
      <c r="D12" s="101">
        <f t="shared" si="3"/>
        <v>72</v>
      </c>
      <c r="E12" s="101">
        <f t="shared" si="0"/>
        <v>1</v>
      </c>
      <c r="F12" s="102">
        <f t="shared" si="4"/>
        <v>97.5</v>
      </c>
      <c r="G12" s="103">
        <f>IF(D12=D11,"",_xlfn.IFNA(VLOOKUP(D12,'인원 입력 기능(사과탐)'!$K$177:$N$231,4,FALSE),0))</f>
        <v>598</v>
      </c>
      <c r="H12" s="104">
        <f t="shared" si="1"/>
        <v>6.2552955574849108E-3</v>
      </c>
      <c r="I12" s="114">
        <f>SUM($G$7:G12)</f>
        <v>2692</v>
      </c>
      <c r="J12" s="106">
        <f t="shared" si="5"/>
        <v>2.815929036914612E-2</v>
      </c>
      <c r="K12" s="38"/>
      <c r="L12" s="20" t="str">
        <f t="shared" si="2"/>
        <v/>
      </c>
      <c r="N12" s="24"/>
      <c r="P12" s="24">
        <v>6</v>
      </c>
      <c r="Q12" s="24">
        <f>'표점등급&amp;절평인원 입력 기능'!C144</f>
        <v>41</v>
      </c>
    </row>
    <row r="13" spans="1:17" s="22" customFormat="1" ht="25" customHeight="1" x14ac:dyDescent="0.45">
      <c r="A13" s="20"/>
      <c r="B13" s="37"/>
      <c r="C13" s="100">
        <v>44</v>
      </c>
      <c r="D13" s="101">
        <f t="shared" si="3"/>
        <v>71</v>
      </c>
      <c r="E13" s="101">
        <f t="shared" si="0"/>
        <v>1</v>
      </c>
      <c r="F13" s="102">
        <f t="shared" si="4"/>
        <v>96.5</v>
      </c>
      <c r="G13" s="103">
        <f>IF(D13=D12,"",_xlfn.IFNA(VLOOKUP(D13,'인원 입력 기능(사과탐)'!$K$177:$N$231,4,FALSE),0))</f>
        <v>1307</v>
      </c>
      <c r="H13" s="104">
        <f t="shared" si="1"/>
        <v>1.3671691126476218E-2</v>
      </c>
      <c r="I13" s="114">
        <f>SUM($G$7:G13)</f>
        <v>3999</v>
      </c>
      <c r="J13" s="106">
        <f t="shared" si="5"/>
        <v>4.1830981495622338E-2</v>
      </c>
      <c r="K13" s="38"/>
      <c r="L13" s="20" t="str">
        <f t="shared" si="2"/>
        <v/>
      </c>
      <c r="N13" s="24"/>
      <c r="P13" s="24">
        <v>7</v>
      </c>
      <c r="Q13" s="24">
        <f>'표점등급&amp;절평인원 입력 기능'!C145</f>
        <v>38</v>
      </c>
    </row>
    <row r="14" spans="1:17" s="22" customFormat="1" ht="25" customHeight="1" x14ac:dyDescent="0.45">
      <c r="A14" s="20"/>
      <c r="B14" s="37"/>
      <c r="C14" s="107">
        <v>43</v>
      </c>
      <c r="D14" s="101">
        <f t="shared" si="3"/>
        <v>70</v>
      </c>
      <c r="E14" s="101">
        <f t="shared" si="0"/>
        <v>2</v>
      </c>
      <c r="F14" s="102">
        <f t="shared" si="4"/>
        <v>95.69</v>
      </c>
      <c r="G14" s="103">
        <f>IF(D14=D13,"",_xlfn.IFNA(VLOOKUP(D14,'인원 입력 기능(사과탐)'!$K$177:$N$231,4,FALSE),0))</f>
        <v>234</v>
      </c>
      <c r="H14" s="104">
        <f t="shared" si="1"/>
        <v>2.4477243485810521E-3</v>
      </c>
      <c r="I14" s="114">
        <f>SUM($G$7:G14)</f>
        <v>4233</v>
      </c>
      <c r="J14" s="106">
        <f t="shared" si="5"/>
        <v>4.4278705844203389E-2</v>
      </c>
      <c r="K14" s="38"/>
      <c r="L14" s="20" t="str">
        <f t="shared" si="2"/>
        <v/>
      </c>
      <c r="N14" s="24"/>
      <c r="P14" s="24">
        <v>8</v>
      </c>
      <c r="Q14" s="24">
        <f>'표점등급&amp;절평인원 입력 기능'!C146</f>
        <v>36</v>
      </c>
    </row>
    <row r="15" spans="1:17" s="22" customFormat="1" ht="25" customHeight="1" x14ac:dyDescent="0.45">
      <c r="A15" s="20"/>
      <c r="B15" s="37"/>
      <c r="C15" s="100">
        <v>42</v>
      </c>
      <c r="D15" s="101">
        <f t="shared" si="3"/>
        <v>69</v>
      </c>
      <c r="E15" s="101">
        <f t="shared" si="0"/>
        <v>2</v>
      </c>
      <c r="F15" s="102">
        <f t="shared" si="4"/>
        <v>95.05</v>
      </c>
      <c r="G15" s="103">
        <f>IF(D15=D14,"",_xlfn.IFNA(VLOOKUP(D15,'인원 입력 기능(사과탐)'!$K$177:$N$231,4,FALSE),0))</f>
        <v>1003</v>
      </c>
      <c r="H15" s="104">
        <f t="shared" si="1"/>
        <v>1.0491741545413656E-2</v>
      </c>
      <c r="I15" s="114">
        <f>SUM($G$7:G15)</f>
        <v>5236</v>
      </c>
      <c r="J15" s="106">
        <f t="shared" si="5"/>
        <v>5.4770447389617047E-2</v>
      </c>
      <c r="K15" s="38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7"/>
      <c r="C16" s="107">
        <v>41</v>
      </c>
      <c r="D16" s="101">
        <f t="shared" si="3"/>
        <v>68</v>
      </c>
      <c r="E16" s="101">
        <f t="shared" si="0"/>
        <v>2</v>
      </c>
      <c r="F16" s="102">
        <f t="shared" si="4"/>
        <v>93.87</v>
      </c>
      <c r="G16" s="103">
        <f>IF(D16=D15,"",_xlfn.IFNA(VLOOKUP(D16,'인원 입력 기능(사과탐)'!$K$177:$N$231,4,FALSE),0))</f>
        <v>1254</v>
      </c>
      <c r="H16" s="104">
        <f t="shared" si="1"/>
        <v>1.3117292021883074E-2</v>
      </c>
      <c r="I16" s="114">
        <f>SUM($G$7:G16)</f>
        <v>6490</v>
      </c>
      <c r="J16" s="106">
        <f t="shared" si="5"/>
        <v>6.7887739411500114E-2</v>
      </c>
      <c r="K16" s="38"/>
      <c r="L16" s="20" t="str">
        <f t="shared" si="2"/>
        <v/>
      </c>
      <c r="N16" s="24"/>
    </row>
    <row r="17" spans="1:17" s="22" customFormat="1" ht="25" customHeight="1" x14ac:dyDescent="0.45">
      <c r="A17" s="20"/>
      <c r="B17" s="37"/>
      <c r="C17" s="100">
        <v>40</v>
      </c>
      <c r="D17" s="101">
        <f t="shared" si="3"/>
        <v>67</v>
      </c>
      <c r="E17" s="101">
        <f t="shared" si="0"/>
        <v>2</v>
      </c>
      <c r="F17" s="102">
        <f t="shared" si="4"/>
        <v>92.94</v>
      </c>
      <c r="G17" s="103">
        <f>IF(D17=D16,"",_xlfn.IFNA(VLOOKUP(D17,'인원 입력 기능(사과탐)'!$K$177:$N$231,4,FALSE),0))</f>
        <v>523</v>
      </c>
      <c r="H17" s="104">
        <f t="shared" si="1"/>
        <v>5.4707685226832916E-3</v>
      </c>
      <c r="I17" s="114">
        <f>SUM($G$7:G17)</f>
        <v>7013</v>
      </c>
      <c r="J17" s="106">
        <f t="shared" si="5"/>
        <v>7.3358507934183415E-2</v>
      </c>
      <c r="K17" s="38"/>
      <c r="L17" s="20" t="str">
        <f t="shared" si="2"/>
        <v/>
      </c>
      <c r="N17" s="24"/>
      <c r="Q17" s="24">
        <f>Q7*H3*H4*J3*IFERROR(IF(J57=1, 1, 0), 0)</f>
        <v>1543234992.2857001</v>
      </c>
    </row>
    <row r="18" spans="1:17" s="22" customFormat="1" ht="25" customHeight="1" x14ac:dyDescent="0.45">
      <c r="A18" s="20"/>
      <c r="B18" s="37"/>
      <c r="C18" s="107">
        <v>39</v>
      </c>
      <c r="D18" s="101">
        <f t="shared" si="3"/>
        <v>66</v>
      </c>
      <c r="E18" s="101">
        <f t="shared" si="0"/>
        <v>2</v>
      </c>
      <c r="F18" s="102">
        <f t="shared" si="4"/>
        <v>91.94</v>
      </c>
      <c r="G18" s="103">
        <f>IF(D18=D17,"",_xlfn.IFNA(VLOOKUP(D18,'인원 입력 기능(사과탐)'!$K$177:$N$231,4,FALSE),0))</f>
        <v>1381</v>
      </c>
      <c r="H18" s="104">
        <f t="shared" si="1"/>
        <v>1.4445757800813816E-2</v>
      </c>
      <c r="I18" s="114">
        <f>SUM($G$7:G18)</f>
        <v>8394</v>
      </c>
      <c r="J18" s="106">
        <f t="shared" si="5"/>
        <v>8.7804265734997222E-2</v>
      </c>
      <c r="K18" s="38"/>
      <c r="L18" s="20" t="str">
        <f t="shared" si="2"/>
        <v/>
      </c>
      <c r="N18" s="24"/>
    </row>
    <row r="19" spans="1:17" s="22" customFormat="1" ht="25" customHeight="1" x14ac:dyDescent="0.45">
      <c r="A19" s="20"/>
      <c r="B19" s="37"/>
      <c r="C19" s="100">
        <v>38</v>
      </c>
      <c r="D19" s="115">
        <f t="shared" si="3"/>
        <v>65</v>
      </c>
      <c r="E19" s="115">
        <f t="shared" si="0"/>
        <v>2</v>
      </c>
      <c r="F19" s="116">
        <f t="shared" si="4"/>
        <v>90.16</v>
      </c>
      <c r="G19" s="117">
        <f>IF(D19=D18,"",_xlfn.IFNA(VLOOKUP(D19,'인원 입력 기능(사과탐)'!$K$177:$N$231,4,FALSE),0))</f>
        <v>2027</v>
      </c>
      <c r="H19" s="118">
        <f t="shared" si="1"/>
        <v>2.1203150660571764E-2</v>
      </c>
      <c r="I19" s="119">
        <f>SUM($G$7:G19)</f>
        <v>10421</v>
      </c>
      <c r="J19" s="120">
        <f t="shared" si="5"/>
        <v>0.10900741639556899</v>
      </c>
      <c r="K19" s="38"/>
      <c r="L19" s="20" t="str">
        <f t="shared" si="2"/>
        <v/>
      </c>
      <c r="N19" s="24"/>
    </row>
    <row r="20" spans="1:17" s="22" customFormat="1" ht="25" customHeight="1" x14ac:dyDescent="0.45">
      <c r="A20" s="20"/>
      <c r="B20" s="37"/>
      <c r="C20" s="107">
        <v>37</v>
      </c>
      <c r="D20" s="121"/>
      <c r="E20" s="121"/>
      <c r="F20" s="122"/>
      <c r="G20" s="123"/>
      <c r="H20" s="124"/>
      <c r="I20" s="125"/>
      <c r="J20" s="126"/>
      <c r="K20" s="38"/>
      <c r="L20" s="20" t="str">
        <f t="shared" si="2"/>
        <v>경고</v>
      </c>
      <c r="N20" s="24"/>
    </row>
    <row r="21" spans="1:17" s="22" customFormat="1" ht="25" customHeight="1" x14ac:dyDescent="0.45">
      <c r="A21" s="20"/>
      <c r="B21" s="37"/>
      <c r="C21" s="169">
        <v>36</v>
      </c>
      <c r="D21" s="128">
        <f t="shared" si="3"/>
        <v>64</v>
      </c>
      <c r="E21" s="128">
        <f t="shared" si="0"/>
        <v>2</v>
      </c>
      <c r="F21" s="102">
        <f t="shared" si="4"/>
        <v>88.27</v>
      </c>
      <c r="G21" s="103">
        <f>IF(D21=D20,"",_xlfn.IFNA(VLOOKUP(D21,'인원 입력 기능(사과탐)'!$K$177:$N$231,4,FALSE),0))</f>
        <v>1579</v>
      </c>
      <c r="H21" s="104">
        <f t="shared" si="1"/>
        <v>1.6516909172690091E-2</v>
      </c>
      <c r="I21" s="114">
        <f>SUM($G$7:G21)</f>
        <v>12000</v>
      </c>
      <c r="J21" s="106">
        <f t="shared" si="5"/>
        <v>0.12552432556825907</v>
      </c>
      <c r="K21" s="38"/>
      <c r="L21" s="20" t="str">
        <f t="shared" si="2"/>
        <v/>
      </c>
      <c r="N21" s="24"/>
    </row>
    <row r="22" spans="1:17" s="22" customFormat="1" ht="25" customHeight="1" x14ac:dyDescent="0.45">
      <c r="A22" s="20"/>
      <c r="B22" s="37"/>
      <c r="C22" s="127">
        <v>35</v>
      </c>
      <c r="D22" s="128">
        <f t="shared" si="3"/>
        <v>63</v>
      </c>
      <c r="E22" s="128">
        <f t="shared" si="0"/>
        <v>3</v>
      </c>
      <c r="F22" s="102">
        <f t="shared" si="4"/>
        <v>86.78</v>
      </c>
      <c r="G22" s="103">
        <f>IF(D22=D21,"",_xlfn.IFNA(VLOOKUP(D22,'인원 입력 기능(사과탐)'!$K$177:$N$231,4,FALSE),0))</f>
        <v>1284</v>
      </c>
      <c r="H22" s="104">
        <f t="shared" si="1"/>
        <v>1.3431102835803722E-2</v>
      </c>
      <c r="I22" s="114">
        <f>SUM($G$7:G22)</f>
        <v>13284</v>
      </c>
      <c r="J22" s="106">
        <f t="shared" si="5"/>
        <v>0.1389554284040628</v>
      </c>
      <c r="K22" s="38"/>
      <c r="L22" s="20" t="str">
        <f t="shared" si="2"/>
        <v/>
      </c>
      <c r="N22" s="24"/>
    </row>
    <row r="23" spans="1:17" s="22" customFormat="1" ht="25" customHeight="1" x14ac:dyDescent="0.45">
      <c r="A23" s="20"/>
      <c r="B23" s="37"/>
      <c r="C23" s="169">
        <v>34</v>
      </c>
      <c r="D23" s="128">
        <f t="shared" si="3"/>
        <v>62</v>
      </c>
      <c r="E23" s="128">
        <f t="shared" si="0"/>
        <v>3</v>
      </c>
      <c r="F23" s="102">
        <f t="shared" si="4"/>
        <v>85.35</v>
      </c>
      <c r="G23" s="103">
        <f>IF(D23=D22,"",_xlfn.IFNA(VLOOKUP(D23,'인원 입력 기능(사과탐)'!$K$177:$N$231,4,FALSE),0))</f>
        <v>1449</v>
      </c>
      <c r="H23" s="104">
        <f t="shared" si="1"/>
        <v>1.5157062312367284E-2</v>
      </c>
      <c r="I23" s="114">
        <f>SUM($G$7:G23)</f>
        <v>14733</v>
      </c>
      <c r="J23" s="106">
        <f t="shared" si="5"/>
        <v>0.1541124907164301</v>
      </c>
      <c r="K23" s="38"/>
      <c r="L23" s="20" t="str">
        <f t="shared" si="2"/>
        <v/>
      </c>
      <c r="N23" s="24"/>
    </row>
    <row r="24" spans="1:17" s="22" customFormat="1" ht="25" customHeight="1" x14ac:dyDescent="0.45">
      <c r="A24" s="20"/>
      <c r="B24" s="37"/>
      <c r="C24" s="127">
        <v>33</v>
      </c>
      <c r="D24" s="128">
        <f t="shared" si="3"/>
        <v>61</v>
      </c>
      <c r="E24" s="128">
        <f t="shared" si="0"/>
        <v>3</v>
      </c>
      <c r="F24" s="102">
        <f t="shared" si="4"/>
        <v>83.67</v>
      </c>
      <c r="G24" s="103">
        <f>IF(D24=D23,"",_xlfn.IFNA(VLOOKUP(D24,'인원 입력 기능(사과탐)'!$K$177:$N$231,4,FALSE),0))</f>
        <v>1753</v>
      </c>
      <c r="H24" s="104">
        <f t="shared" si="1"/>
        <v>1.8337011893429848E-2</v>
      </c>
      <c r="I24" s="114">
        <f>SUM($G$7:G24)</f>
        <v>16486</v>
      </c>
      <c r="J24" s="106">
        <f t="shared" si="5"/>
        <v>0.17244950260985994</v>
      </c>
      <c r="K24" s="38"/>
      <c r="L24" s="20" t="str">
        <f t="shared" si="2"/>
        <v/>
      </c>
      <c r="N24" s="24"/>
    </row>
    <row r="25" spans="1:17" s="22" customFormat="1" ht="25" customHeight="1" x14ac:dyDescent="0.45">
      <c r="A25" s="20"/>
      <c r="B25" s="37"/>
      <c r="C25" s="169">
        <v>32</v>
      </c>
      <c r="D25" s="128">
        <f t="shared" si="3"/>
        <v>60</v>
      </c>
      <c r="E25" s="128">
        <f t="shared" si="0"/>
        <v>3</v>
      </c>
      <c r="F25" s="102">
        <f t="shared" si="4"/>
        <v>81.98</v>
      </c>
      <c r="G25" s="103">
        <f>IF(D25=D24,"",_xlfn.IFNA(VLOOKUP(D25,'인원 입력 기능(사과탐)'!$K$177:$N$231,4,FALSE),0))</f>
        <v>1479</v>
      </c>
      <c r="H25" s="104">
        <f t="shared" si="1"/>
        <v>1.5470873126287931E-2</v>
      </c>
      <c r="I25" s="114">
        <f>SUM($G$7:G25)</f>
        <v>17965</v>
      </c>
      <c r="J25" s="106">
        <f t="shared" si="5"/>
        <v>0.18792037573614787</v>
      </c>
      <c r="K25" s="38"/>
      <c r="L25" s="20" t="str">
        <f t="shared" si="2"/>
        <v/>
      </c>
      <c r="N25" s="24"/>
    </row>
    <row r="26" spans="1:17" s="22" customFormat="1" ht="25" customHeight="1" x14ac:dyDescent="0.45">
      <c r="A26" s="20"/>
      <c r="B26" s="37"/>
      <c r="C26" s="127">
        <v>31</v>
      </c>
      <c r="D26" s="128">
        <f t="shared" si="3"/>
        <v>59</v>
      </c>
      <c r="E26" s="128">
        <f t="shared" si="0"/>
        <v>3</v>
      </c>
      <c r="F26" s="102">
        <f t="shared" si="4"/>
        <v>80.17</v>
      </c>
      <c r="G26" s="103">
        <f>IF(D26=D25,"",_xlfn.IFNA(VLOOKUP(D26,'인원 입력 기능(사과탐)'!$K$177:$N$231,4,FALSE),0))</f>
        <v>1986</v>
      </c>
      <c r="H26" s="104">
        <f t="shared" si="1"/>
        <v>2.0774275881546879E-2</v>
      </c>
      <c r="I26" s="114">
        <f>SUM($G$7:G26)</f>
        <v>19951</v>
      </c>
      <c r="J26" s="106">
        <f t="shared" si="5"/>
        <v>0.20869465161769474</v>
      </c>
      <c r="K26" s="38"/>
      <c r="L26" s="20" t="str">
        <f t="shared" si="2"/>
        <v/>
      </c>
      <c r="N26" s="24"/>
    </row>
    <row r="27" spans="1:17" s="22" customFormat="1" ht="25" customHeight="1" x14ac:dyDescent="0.45">
      <c r="A27" s="20"/>
      <c r="B27" s="37"/>
      <c r="C27" s="169">
        <v>30</v>
      </c>
      <c r="D27" s="128">
        <f t="shared" si="3"/>
        <v>58</v>
      </c>
      <c r="E27" s="128">
        <f t="shared" si="0"/>
        <v>3</v>
      </c>
      <c r="F27" s="102">
        <f t="shared" si="4"/>
        <v>78.11</v>
      </c>
      <c r="G27" s="103">
        <f>IF(D27=D26,"",_xlfn.IFNA(VLOOKUP(D27,'인원 입력 기능(사과탐)'!$K$177:$N$231,4,FALSE),0))</f>
        <v>1957</v>
      </c>
      <c r="H27" s="104">
        <f t="shared" si="1"/>
        <v>2.0470925428090252E-2</v>
      </c>
      <c r="I27" s="114">
        <f>SUM($G$7:G27)</f>
        <v>21908</v>
      </c>
      <c r="J27" s="106">
        <f t="shared" si="5"/>
        <v>0.229165577045785</v>
      </c>
      <c r="K27" s="38"/>
      <c r="L27" s="20" t="str">
        <f t="shared" si="2"/>
        <v/>
      </c>
      <c r="N27" s="24"/>
    </row>
    <row r="28" spans="1:17" s="22" customFormat="1" ht="25" customHeight="1" x14ac:dyDescent="0.45">
      <c r="A28" s="20"/>
      <c r="B28" s="37"/>
      <c r="C28" s="127">
        <v>29</v>
      </c>
      <c r="D28" s="128">
        <f t="shared" si="3"/>
        <v>57</v>
      </c>
      <c r="E28" s="128">
        <f t="shared" si="0"/>
        <v>3</v>
      </c>
      <c r="F28" s="102">
        <f t="shared" si="4"/>
        <v>76.010000000000005</v>
      </c>
      <c r="G28" s="103">
        <f>IF(D28=D27,"",_xlfn.IFNA(VLOOKUP(D28,'인원 입력 기능(사과탐)'!$K$177:$N$231,4,FALSE),0))</f>
        <v>2045</v>
      </c>
      <c r="H28" s="104">
        <f t="shared" si="1"/>
        <v>2.1391437148924154E-2</v>
      </c>
      <c r="I28" s="114">
        <f>SUM($G$7:G28)</f>
        <v>23953</v>
      </c>
      <c r="J28" s="106">
        <f t="shared" si="5"/>
        <v>0.25055701419470916</v>
      </c>
      <c r="K28" s="38"/>
      <c r="L28" s="20" t="str">
        <f t="shared" si="2"/>
        <v/>
      </c>
      <c r="N28" s="24"/>
    </row>
    <row r="29" spans="1:17" s="22" customFormat="1" ht="25" customHeight="1" x14ac:dyDescent="0.45">
      <c r="A29" s="20"/>
      <c r="B29" s="37"/>
      <c r="C29" s="169">
        <v>28</v>
      </c>
      <c r="D29" s="128">
        <f t="shared" si="3"/>
        <v>56</v>
      </c>
      <c r="E29" s="128">
        <f t="shared" si="0"/>
        <v>4</v>
      </c>
      <c r="F29" s="102">
        <f t="shared" si="4"/>
        <v>73.67</v>
      </c>
      <c r="G29" s="103">
        <f>IF(D29=D28,"",_xlfn.IFNA(VLOOKUP(D29,'인원 입력 기능(사과탐)'!$K$177:$N$231,4,FALSE),0))</f>
        <v>2431</v>
      </c>
      <c r="H29" s="104">
        <f t="shared" si="1"/>
        <v>2.5429136288036485E-2</v>
      </c>
      <c r="I29" s="114">
        <f>SUM($G$7:G29)</f>
        <v>26384</v>
      </c>
      <c r="J29" s="106">
        <f t="shared" si="5"/>
        <v>0.27598615048274566</v>
      </c>
      <c r="K29" s="38"/>
      <c r="L29" s="20" t="str">
        <f t="shared" si="2"/>
        <v/>
      </c>
      <c r="N29" s="24"/>
    </row>
    <row r="30" spans="1:17" s="22" customFormat="1" ht="25" customHeight="1" x14ac:dyDescent="0.45">
      <c r="A30" s="20"/>
      <c r="B30" s="37"/>
      <c r="C30" s="127">
        <v>27</v>
      </c>
      <c r="D30" s="128">
        <f t="shared" si="3"/>
        <v>55</v>
      </c>
      <c r="E30" s="128">
        <f t="shared" si="0"/>
        <v>4</v>
      </c>
      <c r="F30" s="102">
        <f t="shared" si="4"/>
        <v>71.180000000000007</v>
      </c>
      <c r="G30" s="103">
        <f>IF(D30=D29,"",_xlfn.IFNA(VLOOKUP(D30,'인원 입력 기능(사과탐)'!$K$177:$N$231,4,FALSE),0))</f>
        <v>2335</v>
      </c>
      <c r="H30" s="104">
        <f t="shared" si="1"/>
        <v>2.4424941683490412E-2</v>
      </c>
      <c r="I30" s="114">
        <f>SUM($G$7:G30)</f>
        <v>28719</v>
      </c>
      <c r="J30" s="106">
        <f t="shared" si="5"/>
        <v>0.30041109216623607</v>
      </c>
      <c r="K30" s="38"/>
      <c r="L30" s="20" t="str">
        <f t="shared" si="2"/>
        <v/>
      </c>
      <c r="N30" s="24"/>
    </row>
    <row r="31" spans="1:17" s="22" customFormat="1" ht="25" customHeight="1" x14ac:dyDescent="0.45">
      <c r="A31" s="20"/>
      <c r="B31" s="37"/>
      <c r="C31" s="169">
        <v>26</v>
      </c>
      <c r="D31" s="128">
        <f t="shared" si="3"/>
        <v>54</v>
      </c>
      <c r="E31" s="128">
        <f t="shared" si="0"/>
        <v>4</v>
      </c>
      <c r="F31" s="102">
        <f t="shared" si="4"/>
        <v>68.52</v>
      </c>
      <c r="G31" s="103">
        <f>IF(D31=D30,"",_xlfn.IFNA(VLOOKUP(D31,'인원 입력 기능(사과탐)'!$K$177:$N$231,4,FALSE),0))</f>
        <v>2747</v>
      </c>
      <c r="H31" s="104">
        <f t="shared" si="1"/>
        <v>2.8734610194667307E-2</v>
      </c>
      <c r="I31" s="114">
        <f>SUM($G$7:G31)</f>
        <v>31466</v>
      </c>
      <c r="J31" s="106">
        <f t="shared" si="5"/>
        <v>0.32914570236090335</v>
      </c>
      <c r="K31" s="38"/>
      <c r="L31" s="20" t="str">
        <f t="shared" si="2"/>
        <v/>
      </c>
      <c r="N31" s="24"/>
    </row>
    <row r="32" spans="1:17" s="22" customFormat="1" ht="25" customHeight="1" x14ac:dyDescent="0.45">
      <c r="A32" s="20"/>
      <c r="B32" s="37"/>
      <c r="C32" s="127">
        <v>25</v>
      </c>
      <c r="D32" s="128">
        <f t="shared" si="3"/>
        <v>53</v>
      </c>
      <c r="E32" s="128">
        <f t="shared" si="0"/>
        <v>4</v>
      </c>
      <c r="F32" s="102">
        <f t="shared" si="4"/>
        <v>65.64</v>
      </c>
      <c r="G32" s="103">
        <f>IF(D32=D31,"",_xlfn.IFNA(VLOOKUP(D32,'인원 입력 기능(사과탐)'!$K$177:$N$231,4,FALSE),0))</f>
        <v>2771</v>
      </c>
      <c r="H32" s="104">
        <f t="shared" si="1"/>
        <v>2.8985658845803827E-2</v>
      </c>
      <c r="I32" s="114">
        <f>SUM($G$7:G32)</f>
        <v>34237</v>
      </c>
      <c r="J32" s="106">
        <f t="shared" si="5"/>
        <v>0.35813136120670719</v>
      </c>
      <c r="K32" s="38"/>
      <c r="L32" s="20" t="str">
        <f t="shared" si="2"/>
        <v/>
      </c>
      <c r="N32" s="24"/>
    </row>
    <row r="33" spans="1:14" s="22" customFormat="1" ht="25" customHeight="1" x14ac:dyDescent="0.45">
      <c r="A33" s="20"/>
      <c r="B33" s="37"/>
      <c r="C33" s="169">
        <v>24</v>
      </c>
      <c r="D33" s="128">
        <f t="shared" si="3"/>
        <v>52</v>
      </c>
      <c r="E33" s="128">
        <f t="shared" si="0"/>
        <v>4</v>
      </c>
      <c r="F33" s="102">
        <f t="shared" si="4"/>
        <v>62.65</v>
      </c>
      <c r="G33" s="103">
        <f>IF(D33=D32,"",_xlfn.IFNA(VLOOKUP(D33,'인원 입력 기능(사과탐)'!$K$177:$N$231,4,FALSE),0))</f>
        <v>2929</v>
      </c>
      <c r="H33" s="104">
        <f t="shared" si="1"/>
        <v>3.0638395799119238E-2</v>
      </c>
      <c r="I33" s="114">
        <f>SUM($G$7:G33)</f>
        <v>37166</v>
      </c>
      <c r="J33" s="106">
        <f t="shared" si="5"/>
        <v>0.38876975700582644</v>
      </c>
      <c r="K33" s="38"/>
      <c r="L33" s="20" t="str">
        <f t="shared" si="2"/>
        <v/>
      </c>
      <c r="N33" s="24"/>
    </row>
    <row r="34" spans="1:14" s="22" customFormat="1" ht="25" customHeight="1" x14ac:dyDescent="0.45">
      <c r="A34" s="20"/>
      <c r="B34" s="37"/>
      <c r="C34" s="127">
        <v>23</v>
      </c>
      <c r="D34" s="128">
        <f t="shared" si="3"/>
        <v>51</v>
      </c>
      <c r="E34" s="128">
        <f t="shared" si="0"/>
        <v>4</v>
      </c>
      <c r="F34" s="102">
        <f t="shared" si="4"/>
        <v>59.34</v>
      </c>
      <c r="G34" s="103">
        <f>IF(D34=D33,"",_xlfn.IFNA(VLOOKUP(D34,'인원 입력 기능(사과탐)'!$K$177:$N$231,4,FALSE),0))</f>
        <v>3405</v>
      </c>
      <c r="H34" s="104">
        <f t="shared" si="1"/>
        <v>3.5617527379993512E-2</v>
      </c>
      <c r="I34" s="114">
        <f>SUM($G$7:G34)</f>
        <v>40571</v>
      </c>
      <c r="J34" s="106">
        <f t="shared" si="5"/>
        <v>0.42438728438581996</v>
      </c>
      <c r="K34" s="38"/>
      <c r="L34" s="20" t="str">
        <f t="shared" si="2"/>
        <v/>
      </c>
      <c r="N34" s="24"/>
    </row>
    <row r="35" spans="1:14" s="22" customFormat="1" ht="25" customHeight="1" x14ac:dyDescent="0.45">
      <c r="A35" s="20"/>
      <c r="B35" s="37"/>
      <c r="C35" s="169">
        <v>22</v>
      </c>
      <c r="D35" s="128">
        <f t="shared" si="3"/>
        <v>50</v>
      </c>
      <c r="E35" s="128">
        <f t="shared" si="0"/>
        <v>5</v>
      </c>
      <c r="F35" s="102">
        <f t="shared" si="4"/>
        <v>55.92</v>
      </c>
      <c r="G35" s="103">
        <f>IF(D35=D34,"",_xlfn.IFNA(VLOOKUP(D35,'인원 입력 기능(사과탐)'!$K$177:$N$231,4,FALSE),0))</f>
        <v>3136</v>
      </c>
      <c r="H35" s="104">
        <f t="shared" si="1"/>
        <v>3.2803690415171706E-2</v>
      </c>
      <c r="I35" s="114">
        <f>SUM($G$7:G35)</f>
        <v>43707</v>
      </c>
      <c r="J35" s="106">
        <f t="shared" si="5"/>
        <v>0.45719097480099163</v>
      </c>
      <c r="K35" s="38"/>
      <c r="L35" s="20" t="str">
        <f t="shared" si="2"/>
        <v/>
      </c>
      <c r="N35" s="24"/>
    </row>
    <row r="36" spans="1:14" s="22" customFormat="1" ht="25" customHeight="1" x14ac:dyDescent="0.45">
      <c r="A36" s="20"/>
      <c r="B36" s="37"/>
      <c r="C36" s="127">
        <v>21</v>
      </c>
      <c r="D36" s="128">
        <f t="shared" si="3"/>
        <v>49</v>
      </c>
      <c r="E36" s="128">
        <f t="shared" si="0"/>
        <v>5</v>
      </c>
      <c r="F36" s="102">
        <f t="shared" si="4"/>
        <v>52.43</v>
      </c>
      <c r="G36" s="103">
        <f>IF(D36=D35,"",_xlfn.IFNA(VLOOKUP(D36,'인원 입력 기능(사과탐)'!$K$177:$N$231,4,FALSE),0))</f>
        <v>3542</v>
      </c>
      <c r="H36" s="104">
        <f t="shared" si="1"/>
        <v>3.7050596763564474E-2</v>
      </c>
      <c r="I36" s="114">
        <f>SUM($G$7:G36)</f>
        <v>47249</v>
      </c>
      <c r="J36" s="106">
        <f t="shared" si="5"/>
        <v>0.49424157156455611</v>
      </c>
      <c r="K36" s="38"/>
      <c r="L36" s="20" t="str">
        <f t="shared" si="2"/>
        <v/>
      </c>
      <c r="N36" s="24"/>
    </row>
    <row r="37" spans="1:14" s="22" customFormat="1" ht="25" customHeight="1" x14ac:dyDescent="0.45">
      <c r="A37" s="20"/>
      <c r="B37" s="37"/>
      <c r="C37" s="169">
        <v>20</v>
      </c>
      <c r="D37" s="128">
        <f t="shared" si="3"/>
        <v>48</v>
      </c>
      <c r="E37" s="128">
        <f t="shared" si="0"/>
        <v>5</v>
      </c>
      <c r="F37" s="102">
        <f t="shared" si="4"/>
        <v>48.73</v>
      </c>
      <c r="G37" s="103">
        <f>IF(D37=D36,"",_xlfn.IFNA(VLOOKUP(D37,'인원 입력 기능(사과탐)'!$K$177:$N$231,4,FALSE),0))</f>
        <v>3520</v>
      </c>
      <c r="H37" s="104">
        <f t="shared" si="1"/>
        <v>3.6820468833355997E-2</v>
      </c>
      <c r="I37" s="114">
        <f>SUM($G$7:G37)</f>
        <v>50769</v>
      </c>
      <c r="J37" s="106">
        <f t="shared" si="5"/>
        <v>0.53106204039791216</v>
      </c>
      <c r="K37" s="38"/>
      <c r="L37" s="20" t="str">
        <f t="shared" si="2"/>
        <v/>
      </c>
      <c r="N37" s="24"/>
    </row>
    <row r="38" spans="1:14" s="22" customFormat="1" ht="25" customHeight="1" x14ac:dyDescent="0.45">
      <c r="A38" s="20"/>
      <c r="B38" s="37"/>
      <c r="C38" s="127">
        <v>19</v>
      </c>
      <c r="D38" s="128">
        <f t="shared" si="3"/>
        <v>47</v>
      </c>
      <c r="E38" s="128">
        <f t="shared" si="0"/>
        <v>5</v>
      </c>
      <c r="F38" s="102">
        <f t="shared" si="4"/>
        <v>44.98</v>
      </c>
      <c r="G38" s="103">
        <f>IF(D38=D37,"",_xlfn.IFNA(VLOOKUP(D38,'인원 입력 기능(사과탐)'!$K$177:$N$231,4,FALSE),0))</f>
        <v>3652</v>
      </c>
      <c r="H38" s="104">
        <f t="shared" si="1"/>
        <v>3.8201236414606848E-2</v>
      </c>
      <c r="I38" s="114">
        <f>SUM($G$7:G38)</f>
        <v>54421</v>
      </c>
      <c r="J38" s="106">
        <f t="shared" si="5"/>
        <v>0.56926327681251898</v>
      </c>
      <c r="K38" s="38"/>
      <c r="L38" s="20" t="str">
        <f t="shared" si="2"/>
        <v/>
      </c>
      <c r="N38" s="24"/>
    </row>
    <row r="39" spans="1:14" s="22" customFormat="1" ht="25" customHeight="1" x14ac:dyDescent="0.45">
      <c r="A39" s="20"/>
      <c r="B39" s="37"/>
      <c r="C39" s="169">
        <v>18</v>
      </c>
      <c r="D39" s="128">
        <f t="shared" si="3"/>
        <v>46</v>
      </c>
      <c r="E39" s="128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5</v>
      </c>
      <c r="F39" s="102">
        <f t="shared" si="4"/>
        <v>41.04</v>
      </c>
      <c r="G39" s="103">
        <f>IF(D39=D38,"",_xlfn.IFNA(VLOOKUP(D39,'인원 입력 기능(사과탐)'!$K$177:$N$231,4,FALSE),0))</f>
        <v>3887</v>
      </c>
      <c r="H39" s="104">
        <f t="shared" si="1"/>
        <v>4.0659421123651923E-2</v>
      </c>
      <c r="I39" s="114">
        <f>SUM($G$7:G39)</f>
        <v>58308</v>
      </c>
      <c r="J39" s="106">
        <f t="shared" si="5"/>
        <v>0.60992269793617093</v>
      </c>
      <c r="K39" s="38"/>
      <c r="L39" s="20" t="str">
        <f t="shared" si="2"/>
        <v/>
      </c>
      <c r="N39" s="24"/>
    </row>
    <row r="40" spans="1:14" s="22" customFormat="1" ht="25" customHeight="1" x14ac:dyDescent="0.45">
      <c r="A40" s="20"/>
      <c r="B40" s="37"/>
      <c r="C40" s="127">
        <v>17</v>
      </c>
      <c r="D40" s="128">
        <f t="shared" si="3"/>
        <v>45</v>
      </c>
      <c r="E40" s="128">
        <f t="shared" si="6"/>
        <v>6</v>
      </c>
      <c r="F40" s="102">
        <f t="shared" si="4"/>
        <v>37.14</v>
      </c>
      <c r="G40" s="103">
        <f>IF(D40=D39,"",_xlfn.IFNA(VLOOKUP(D40,'인원 입력 기능(사과탐)'!$K$177:$N$231,4,FALSE),0))</f>
        <v>3567</v>
      </c>
      <c r="H40" s="104">
        <f t="shared" si="1"/>
        <v>3.7312105775165014E-2</v>
      </c>
      <c r="I40" s="114">
        <f>SUM($G$7:G40)</f>
        <v>61875</v>
      </c>
      <c r="J40" s="106">
        <f t="shared" si="5"/>
        <v>0.6472348037113359</v>
      </c>
      <c r="K40" s="38"/>
      <c r="L40" s="20" t="str">
        <f t="shared" si="2"/>
        <v/>
      </c>
      <c r="N40" s="24"/>
    </row>
    <row r="41" spans="1:14" s="22" customFormat="1" ht="25" customHeight="1" x14ac:dyDescent="0.45">
      <c r="A41" s="20"/>
      <c r="B41" s="37"/>
      <c r="C41" s="169">
        <v>16</v>
      </c>
      <c r="D41" s="128">
        <f t="shared" si="3"/>
        <v>44</v>
      </c>
      <c r="E41" s="128">
        <f t="shared" si="6"/>
        <v>6</v>
      </c>
      <c r="F41" s="102">
        <f t="shared" si="4"/>
        <v>33.119999999999997</v>
      </c>
      <c r="G41" s="103">
        <f>IF(D41=D40,"",_xlfn.IFNA(VLOOKUP(D41,'인원 입력 기능(사과탐)'!$K$177:$N$231,4,FALSE),0))</f>
        <v>4124</v>
      </c>
      <c r="H41" s="104">
        <f t="shared" si="1"/>
        <v>4.3138526553625038E-2</v>
      </c>
      <c r="I41" s="114">
        <f>SUM($G$7:G41)</f>
        <v>65999</v>
      </c>
      <c r="J41" s="106">
        <f t="shared" si="5"/>
        <v>0.69037333026496095</v>
      </c>
      <c r="K41" s="38"/>
      <c r="L41" s="20" t="str">
        <f t="shared" si="2"/>
        <v/>
      </c>
      <c r="N41" s="24"/>
    </row>
    <row r="42" spans="1:14" s="22" customFormat="1" ht="25" customHeight="1" x14ac:dyDescent="0.45">
      <c r="A42" s="20"/>
      <c r="B42" s="37"/>
      <c r="C42" s="127">
        <v>15</v>
      </c>
      <c r="D42" s="128">
        <f t="shared" si="3"/>
        <v>43</v>
      </c>
      <c r="E42" s="128">
        <f t="shared" si="6"/>
        <v>6</v>
      </c>
      <c r="F42" s="102">
        <f t="shared" si="4"/>
        <v>29.16</v>
      </c>
      <c r="G42" s="103">
        <f>IF(D42=D41,"",_xlfn.IFNA(VLOOKUP(D42,'인원 입력 기능(사과탐)'!$K$177:$N$231,4,FALSE),0))</f>
        <v>3446</v>
      </c>
      <c r="H42" s="104">
        <f t="shared" si="1"/>
        <v>3.6046402159018401E-2</v>
      </c>
      <c r="I42" s="114">
        <f>SUM($G$7:G42)</f>
        <v>69445</v>
      </c>
      <c r="J42" s="106">
        <f t="shared" si="5"/>
        <v>0.72641973242397928</v>
      </c>
      <c r="K42" s="38"/>
      <c r="L42" s="20" t="str">
        <f t="shared" si="2"/>
        <v/>
      </c>
      <c r="N42" s="24"/>
    </row>
    <row r="43" spans="1:14" s="22" customFormat="1" ht="25" customHeight="1" x14ac:dyDescent="0.45">
      <c r="A43" s="20"/>
      <c r="B43" s="37"/>
      <c r="C43" s="169">
        <v>14</v>
      </c>
      <c r="D43" s="128">
        <f t="shared" si="3"/>
        <v>42</v>
      </c>
      <c r="E43" s="128">
        <f t="shared" si="6"/>
        <v>6</v>
      </c>
      <c r="F43" s="102">
        <f t="shared" si="4"/>
        <v>25.32</v>
      </c>
      <c r="G43" s="103">
        <f>IF(D43=D42,"",_xlfn.IFNA(VLOOKUP(D43,'인원 입력 기능(사과탐)'!$K$177:$N$231,4,FALSE),0))</f>
        <v>3895</v>
      </c>
      <c r="H43" s="104">
        <f t="shared" si="1"/>
        <v>4.0743104007364091E-2</v>
      </c>
      <c r="I43" s="114">
        <f>SUM($G$7:G43)</f>
        <v>73340</v>
      </c>
      <c r="J43" s="106">
        <f t="shared" si="5"/>
        <v>0.76716283643134342</v>
      </c>
      <c r="K43" s="38"/>
      <c r="L43" s="20" t="str">
        <f t="shared" si="2"/>
        <v/>
      </c>
      <c r="N43" s="24"/>
    </row>
    <row r="44" spans="1:14" s="22" customFormat="1" ht="25" customHeight="1" x14ac:dyDescent="0.45">
      <c r="A44" s="20"/>
      <c r="B44" s="37"/>
      <c r="C44" s="127">
        <v>13</v>
      </c>
      <c r="D44" s="128">
        <f t="shared" si="3"/>
        <v>41</v>
      </c>
      <c r="E44" s="128">
        <f t="shared" si="6"/>
        <v>6</v>
      </c>
      <c r="F44" s="102">
        <f t="shared" si="4"/>
        <v>21.56</v>
      </c>
      <c r="G44" s="103">
        <f>IF(D44=D43,"",_xlfn.IFNA(VLOOKUP(D44,'인원 입력 기능(사과탐)'!$K$177:$N$231,4,FALSE),0))</f>
        <v>3293</v>
      </c>
      <c r="H44" s="104">
        <f t="shared" si="1"/>
        <v>3.4445967008023097E-2</v>
      </c>
      <c r="I44" s="114">
        <f>SUM($G$7:G44)</f>
        <v>76633</v>
      </c>
      <c r="J44" s="106">
        <f t="shared" si="5"/>
        <v>0.80160880343936647</v>
      </c>
      <c r="K44" s="38"/>
      <c r="L44" s="20" t="str">
        <f t="shared" si="2"/>
        <v/>
      </c>
      <c r="N44" s="24"/>
    </row>
    <row r="45" spans="1:14" s="22" customFormat="1" ht="25" customHeight="1" x14ac:dyDescent="0.45">
      <c r="A45" s="20"/>
      <c r="B45" s="37"/>
      <c r="C45" s="169">
        <v>12</v>
      </c>
      <c r="D45" s="128">
        <f t="shared" si="3"/>
        <v>40</v>
      </c>
      <c r="E45" s="128">
        <f t="shared" si="6"/>
        <v>7</v>
      </c>
      <c r="F45" s="102">
        <f t="shared" si="4"/>
        <v>17.989999999999998</v>
      </c>
      <c r="G45" s="103">
        <f>IF(D45=D44,"",_xlfn.IFNA(VLOOKUP(D45,'인원 입력 기능(사과탐)'!$K$177:$N$231,4,FALSE),0))</f>
        <v>3542</v>
      </c>
      <c r="H45" s="104">
        <f t="shared" si="1"/>
        <v>3.7050596763564474E-2</v>
      </c>
      <c r="I45" s="114">
        <f>SUM($G$7:G45)</f>
        <v>80175</v>
      </c>
      <c r="J45" s="106">
        <f t="shared" si="5"/>
        <v>0.83865940020293095</v>
      </c>
      <c r="K45" s="38"/>
      <c r="L45" s="20" t="str">
        <f t="shared" si="2"/>
        <v/>
      </c>
      <c r="N45" s="24"/>
    </row>
    <row r="46" spans="1:14" s="22" customFormat="1" ht="25" customHeight="1" x14ac:dyDescent="0.45">
      <c r="A46" s="20"/>
      <c r="B46" s="37"/>
      <c r="C46" s="127">
        <v>11</v>
      </c>
      <c r="D46" s="128">
        <f t="shared" si="3"/>
        <v>39</v>
      </c>
      <c r="E46" s="128">
        <f t="shared" si="6"/>
        <v>7</v>
      </c>
      <c r="F46" s="102">
        <f t="shared" si="4"/>
        <v>14.41</v>
      </c>
      <c r="G46" s="103">
        <f>IF(D46=D45,"",_xlfn.IFNA(VLOOKUP(D46,'인원 입력 기능(사과탐)'!$K$177:$N$231,4,FALSE),0))</f>
        <v>3298</v>
      </c>
      <c r="H46" s="104">
        <f t="shared" si="1"/>
        <v>3.4498268810343208E-2</v>
      </c>
      <c r="I46" s="114">
        <f>SUM($G$7:G46)</f>
        <v>83473</v>
      </c>
      <c r="J46" s="106">
        <f t="shared" si="5"/>
        <v>0.87315766901327418</v>
      </c>
      <c r="K46" s="38"/>
      <c r="L46" s="20" t="str">
        <f t="shared" si="2"/>
        <v/>
      </c>
      <c r="N46" s="24"/>
    </row>
    <row r="47" spans="1:14" s="22" customFormat="1" ht="25" customHeight="1" x14ac:dyDescent="0.45">
      <c r="A47" s="20"/>
      <c r="B47" s="37"/>
      <c r="C47" s="169">
        <v>10</v>
      </c>
      <c r="D47" s="128">
        <f t="shared" si="3"/>
        <v>38</v>
      </c>
      <c r="E47" s="128">
        <f t="shared" si="6"/>
        <v>7</v>
      </c>
      <c r="F47" s="102">
        <f t="shared" si="4"/>
        <v>9.9600000000000009</v>
      </c>
      <c r="G47" s="103">
        <f>IF(D47=D46,"",_xlfn.IFNA(VLOOKUP(D47,'인원 입력 기능(사과탐)'!$K$177:$N$231,4,FALSE),0))</f>
        <v>5207</v>
      </c>
      <c r="H47" s="104">
        <f t="shared" si="1"/>
        <v>5.446709693616042E-2</v>
      </c>
      <c r="I47" s="114">
        <f>SUM($G$7:G47)</f>
        <v>88680</v>
      </c>
      <c r="J47" s="106">
        <f t="shared" si="5"/>
        <v>0.92762476594943466</v>
      </c>
      <c r="K47" s="38"/>
      <c r="L47" s="20" t="str">
        <f t="shared" si="2"/>
        <v/>
      </c>
      <c r="N47" s="24"/>
    </row>
    <row r="48" spans="1:14" s="22" customFormat="1" ht="25" customHeight="1" x14ac:dyDescent="0.45">
      <c r="A48" s="20"/>
      <c r="B48" s="37"/>
      <c r="C48" s="127">
        <v>9</v>
      </c>
      <c r="D48" s="128">
        <f t="shared" si="3"/>
        <v>37</v>
      </c>
      <c r="E48" s="128">
        <f t="shared" si="6"/>
        <v>8</v>
      </c>
      <c r="F48" s="102">
        <f t="shared" si="4"/>
        <v>6.12</v>
      </c>
      <c r="G48" s="103">
        <f>IF(D48=D47,"",_xlfn.IFNA(VLOOKUP(D48,'인원 입력 기능(사과탐)'!$K$177:$N$231,4,FALSE),0))</f>
        <v>2135</v>
      </c>
      <c r="H48" s="104">
        <f t="shared" si="1"/>
        <v>2.2332869590686096E-2</v>
      </c>
      <c r="I48" s="114">
        <f>SUM($G$7:G48)</f>
        <v>90815</v>
      </c>
      <c r="J48" s="106">
        <f t="shared" si="5"/>
        <v>0.94995763554012069</v>
      </c>
      <c r="K48" s="38"/>
      <c r="L48" s="20" t="str">
        <f t="shared" si="2"/>
        <v/>
      </c>
      <c r="N48" s="24"/>
    </row>
    <row r="49" spans="1:14" s="22" customFormat="1" ht="25" customHeight="1" x14ac:dyDescent="0.45">
      <c r="A49" s="20"/>
      <c r="B49" s="37"/>
      <c r="C49" s="169">
        <v>8</v>
      </c>
      <c r="D49" s="128">
        <f t="shared" si="3"/>
        <v>36</v>
      </c>
      <c r="E49" s="128">
        <f t="shared" si="6"/>
        <v>8</v>
      </c>
      <c r="F49" s="102">
        <f t="shared" si="4"/>
        <v>4.25</v>
      </c>
      <c r="G49" s="103">
        <f>IF(D49=D48,"",_xlfn.IFNA(VLOOKUP(D49,'인원 입력 기능(사과탐)'!$K$177:$N$231,4,FALSE),0))</f>
        <v>1443</v>
      </c>
      <c r="H49" s="104">
        <f t="shared" si="1"/>
        <v>1.5094300149583155E-2</v>
      </c>
      <c r="I49" s="114">
        <f>SUM($G$7:G49)</f>
        <v>92258</v>
      </c>
      <c r="J49" s="106">
        <f t="shared" si="5"/>
        <v>0.96505193568970382</v>
      </c>
      <c r="K49" s="38"/>
      <c r="L49" s="20" t="str">
        <f t="shared" si="2"/>
        <v/>
      </c>
      <c r="N49" s="24"/>
    </row>
    <row r="50" spans="1:14" s="22" customFormat="1" ht="25" customHeight="1" x14ac:dyDescent="0.45">
      <c r="A50" s="20"/>
      <c r="B50" s="37"/>
      <c r="C50" s="127">
        <v>7</v>
      </c>
      <c r="D50" s="130">
        <f t="shared" si="3"/>
        <v>35</v>
      </c>
      <c r="E50" s="130">
        <f t="shared" si="6"/>
        <v>9</v>
      </c>
      <c r="F50" s="116">
        <f t="shared" si="4"/>
        <v>2.4500000000000002</v>
      </c>
      <c r="G50" s="117">
        <f>IF(D50=D49,"",_xlfn.IFNA(VLOOKUP(D50,'인원 입력 기능(사과탐)'!$K$177:$N$231,4,FALSE),0))</f>
        <v>1998</v>
      </c>
      <c r="H50" s="118">
        <f t="shared" si="1"/>
        <v>2.0899800207115137E-2</v>
      </c>
      <c r="I50" s="119">
        <f>SUM($G$7:G50)</f>
        <v>94256</v>
      </c>
      <c r="J50" s="120">
        <f t="shared" si="5"/>
        <v>0.98595173589681906</v>
      </c>
      <c r="K50" s="38"/>
      <c r="L50" s="20" t="str">
        <f t="shared" si="2"/>
        <v/>
      </c>
      <c r="N50" s="24"/>
    </row>
    <row r="51" spans="1:14" s="22" customFormat="1" ht="25" customHeight="1" x14ac:dyDescent="0.45">
      <c r="A51" s="20"/>
      <c r="B51" s="37"/>
      <c r="C51" s="169">
        <v>6</v>
      </c>
      <c r="D51" s="132"/>
      <c r="E51" s="132"/>
      <c r="F51" s="122"/>
      <c r="G51" s="123"/>
      <c r="H51" s="124"/>
      <c r="I51" s="125"/>
      <c r="J51" s="126"/>
      <c r="K51" s="38"/>
      <c r="L51" s="20" t="str">
        <f t="shared" si="2"/>
        <v>경고</v>
      </c>
      <c r="N51" s="24"/>
    </row>
    <row r="52" spans="1:14" s="22" customFormat="1" ht="25" customHeight="1" x14ac:dyDescent="0.45">
      <c r="A52" s="20"/>
      <c r="B52" s="37"/>
      <c r="C52" s="127">
        <v>5</v>
      </c>
      <c r="D52" s="128">
        <f t="shared" si="3"/>
        <v>34</v>
      </c>
      <c r="E52" s="128">
        <f t="shared" si="6"/>
        <v>9</v>
      </c>
      <c r="F52" s="102">
        <f t="shared" si="4"/>
        <v>1.1299999999999999</v>
      </c>
      <c r="G52" s="103">
        <f>IF(D52=D51,"",_xlfn.IFNA(VLOOKUP(D52,'인원 입력 기능(사과탐)'!$K$177:$N$231,4,FALSE),0))</f>
        <v>516</v>
      </c>
      <c r="H52" s="104">
        <f t="shared" si="1"/>
        <v>5.3975459994351407E-3</v>
      </c>
      <c r="I52" s="114">
        <f>SUM($G$7:G52)</f>
        <v>94772</v>
      </c>
      <c r="J52" s="106">
        <f t="shared" si="5"/>
        <v>0.99134928189625415</v>
      </c>
      <c r="K52" s="38"/>
      <c r="L52" s="20" t="str">
        <f t="shared" si="2"/>
        <v/>
      </c>
      <c r="N52" s="24"/>
    </row>
    <row r="53" spans="1:14" s="22" customFormat="1" ht="25" customHeight="1" x14ac:dyDescent="0.45">
      <c r="A53" s="20"/>
      <c r="B53" s="37"/>
      <c r="C53" s="100">
        <v>4</v>
      </c>
      <c r="D53" s="101">
        <f t="shared" si="3"/>
        <v>33</v>
      </c>
      <c r="E53" s="101">
        <f t="shared" si="6"/>
        <v>9</v>
      </c>
      <c r="F53" s="102">
        <f t="shared" si="4"/>
        <v>0.63</v>
      </c>
      <c r="G53" s="103">
        <f>IF(D53=D52,"",_xlfn.IFNA(VLOOKUP(D53,'인원 입력 기능(사과탐)'!$K$177:$N$231,4,FALSE),0))</f>
        <v>458</v>
      </c>
      <c r="H53" s="104">
        <f t="shared" si="1"/>
        <v>4.7908450925218879E-3</v>
      </c>
      <c r="I53" s="114">
        <f>SUM($G$7:G53)</f>
        <v>95230</v>
      </c>
      <c r="J53" s="106">
        <f t="shared" si="5"/>
        <v>0.99614012698877608</v>
      </c>
      <c r="K53" s="38"/>
      <c r="L53" s="20" t="str">
        <f t="shared" si="2"/>
        <v/>
      </c>
      <c r="N53" s="24"/>
    </row>
    <row r="54" spans="1:14" s="22" customFormat="1" ht="25" customHeight="1" x14ac:dyDescent="0.45">
      <c r="A54" s="20"/>
      <c r="B54" s="37"/>
      <c r="C54" s="107">
        <v>3</v>
      </c>
      <c r="D54" s="101">
        <f t="shared" si="3"/>
        <v>32</v>
      </c>
      <c r="E54" s="101">
        <f t="shared" si="6"/>
        <v>9</v>
      </c>
      <c r="F54" s="102">
        <f t="shared" si="4"/>
        <v>0.33</v>
      </c>
      <c r="G54" s="103">
        <f>IF(D54=D53,"",_xlfn.IFNA(VLOOKUP(D54,'인원 입력 기능(사과탐)'!$K$177:$N$231,4,FALSE),0))</f>
        <v>108</v>
      </c>
      <c r="H54" s="104">
        <f t="shared" si="1"/>
        <v>1.1297189301143317E-3</v>
      </c>
      <c r="I54" s="114">
        <f>SUM($G$7:G54)</f>
        <v>95338</v>
      </c>
      <c r="J54" s="106">
        <f t="shared" si="5"/>
        <v>0.99726984591889034</v>
      </c>
      <c r="K54" s="38"/>
      <c r="L54" s="20" t="str">
        <f t="shared" si="2"/>
        <v/>
      </c>
      <c r="N54" s="24"/>
    </row>
    <row r="55" spans="1:14" s="22" customFormat="1" ht="25" customHeight="1" x14ac:dyDescent="0.45">
      <c r="A55" s="20"/>
      <c r="B55" s="37"/>
      <c r="C55" s="100">
        <v>2</v>
      </c>
      <c r="D55" s="101">
        <f t="shared" si="3"/>
        <v>31</v>
      </c>
      <c r="E55" s="101">
        <f t="shared" si="6"/>
        <v>9</v>
      </c>
      <c r="F55" s="102">
        <f t="shared" si="4"/>
        <v>0.17</v>
      </c>
      <c r="G55" s="103">
        <f>IF(D55=D54,"",_xlfn.IFNA(VLOOKUP(D55,'인원 입력 기능(사과탐)'!$K$177:$N$231,4,FALSE),0))</f>
        <v>199</v>
      </c>
      <c r="H55" s="104">
        <f t="shared" si="1"/>
        <v>2.0816117323402966E-3</v>
      </c>
      <c r="I55" s="114">
        <f>SUM($G$7:G55)</f>
        <v>95537</v>
      </c>
      <c r="J55" s="106">
        <f t="shared" si="5"/>
        <v>0.99935145765123068</v>
      </c>
      <c r="K55" s="38"/>
      <c r="L55" s="20" t="str">
        <f t="shared" si="2"/>
        <v/>
      </c>
      <c r="N55" s="24"/>
    </row>
    <row r="56" spans="1:14" s="22" customFormat="1" ht="25" customHeight="1" x14ac:dyDescent="0.45">
      <c r="A56" s="20"/>
      <c r="B56" s="37"/>
      <c r="C56" s="107">
        <v>1</v>
      </c>
      <c r="D56" s="108" t="s">
        <v>54</v>
      </c>
      <c r="E56" s="108"/>
      <c r="F56" s="109"/>
      <c r="G56" s="170"/>
      <c r="H56" s="168"/>
      <c r="I56" s="134"/>
      <c r="J56" s="113"/>
      <c r="K56" s="38"/>
      <c r="L56" s="20"/>
      <c r="N56" s="24"/>
    </row>
    <row r="57" spans="1:14" s="22" customFormat="1" ht="25" customHeight="1" thickBot="1" x14ac:dyDescent="0.5">
      <c r="A57" s="20"/>
      <c r="B57" s="37"/>
      <c r="C57" s="171">
        <v>0</v>
      </c>
      <c r="D57" s="136">
        <f>ROUND(10*(C57-$H$3)/$H$4+50,0)</f>
        <v>29</v>
      </c>
      <c r="E57" s="172">
        <f t="shared" si="6"/>
        <v>9</v>
      </c>
      <c r="F57" s="137">
        <f>IF(I55=0,ROUND(100*(1-(I54+I57)/2/$J$3),2),ROUND(100*(1-(I55+I57)/2/$J$3),2))</f>
        <v>0.03</v>
      </c>
      <c r="G57" s="173">
        <f>_xlfn.IFNA(VLOOKUP(D57,'인원 입력 기능(사과탐)'!$K$177:$N$231,4,FALSE),0)</f>
        <v>62</v>
      </c>
      <c r="H57" s="139">
        <f>G57/$J$3</f>
        <v>6.485423487693386E-4</v>
      </c>
      <c r="I57" s="140">
        <f>SUM($G$7:G57)</f>
        <v>95599</v>
      </c>
      <c r="J57" s="174">
        <f>I57/$J$3</f>
        <v>1</v>
      </c>
      <c r="K57" s="38"/>
      <c r="L57" s="20" t="str">
        <f t="shared" si="2"/>
        <v/>
      </c>
      <c r="N57" s="24"/>
    </row>
    <row r="58" spans="1:14" ht="6" customHeight="1" x14ac:dyDescent="0.45">
      <c r="A58" s="5"/>
      <c r="B58" s="34"/>
      <c r="C58" s="35"/>
      <c r="D58" s="35"/>
      <c r="E58" s="35"/>
      <c r="F58" s="35"/>
      <c r="G58" s="35"/>
      <c r="H58" s="35"/>
      <c r="I58" s="35"/>
      <c r="J58" s="35"/>
      <c r="K58" s="36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16">
    <mergeCell ref="G19:G20"/>
    <mergeCell ref="H19:H20"/>
    <mergeCell ref="I19:I20"/>
    <mergeCell ref="J19:J20"/>
    <mergeCell ref="D50:D51"/>
    <mergeCell ref="E50:E51"/>
    <mergeCell ref="F50:F51"/>
    <mergeCell ref="G50:G51"/>
    <mergeCell ref="H50:H51"/>
    <mergeCell ref="I50:I51"/>
    <mergeCell ref="J50:J51"/>
    <mergeCell ref="D3:F3"/>
    <mergeCell ref="D4:F4"/>
    <mergeCell ref="D19:D20"/>
    <mergeCell ref="E19:E20"/>
    <mergeCell ref="F19:F20"/>
  </mergeCells>
  <phoneticPr fontId="1" type="noConversion"/>
  <conditionalFormatting sqref="D7:G19 I7:J19 D21:G50 I21:J50 D52:G57 I52:J57">
    <cfRule type="expression" dxfId="7" priority="5">
      <formula>OR($D7=$Q$7:$Q$14)</formula>
    </cfRule>
  </conditionalFormatting>
  <conditionalFormatting sqref="C7:C57">
    <cfRule type="expression" dxfId="6" priority="4">
      <formula>OR(AND($D7=0,OR($D6=$Q$7:$Q$14)),AND($D8&gt;0,OR($D7=$Q$7:$Q$14)))</formula>
    </cfRule>
  </conditionalFormatting>
  <conditionalFormatting sqref="D7:D19 D21:D50 D52:D57">
    <cfRule type="expression" dxfId="5" priority="2">
      <formula>$D7=$D8</formula>
    </cfRule>
  </conditionalFormatting>
  <conditionalFormatting sqref="H7:H19 H21:H50 H52:H57">
    <cfRule type="expression" dxfId="4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ADD5B-C474-4501-A149-318FD835DF8F}">
  <sheetPr codeName="Sheet22"/>
  <dimension ref="A1:Q105"/>
  <sheetViews>
    <sheetView topLeftCell="A16"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5" t="s">
        <v>6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37"/>
      <c r="C3" s="84" t="s">
        <v>122</v>
      </c>
      <c r="D3" s="85" t="s">
        <v>67</v>
      </c>
      <c r="E3" s="86"/>
      <c r="F3" s="87"/>
      <c r="G3" s="84" t="s">
        <v>123</v>
      </c>
      <c r="H3" s="88" t="str">
        <f>'통계 및 응시자 수 입력 기능'!D20</f>
        <v>23.96</v>
      </c>
      <c r="I3" s="21" t="s">
        <v>124</v>
      </c>
      <c r="J3" s="89">
        <f>'통계 및 응시자 수 입력 기능'!C20</f>
        <v>58651</v>
      </c>
      <c r="K3" s="38"/>
      <c r="L3" s="20"/>
    </row>
    <row r="4" spans="1:17" s="22" customFormat="1" ht="25" customHeight="1" thickBot="1" x14ac:dyDescent="0.5">
      <c r="A4" s="20"/>
      <c r="B4" s="37"/>
      <c r="C4" s="90" t="s">
        <v>125</v>
      </c>
      <c r="D4" s="91" t="s">
        <v>146</v>
      </c>
      <c r="E4" s="92"/>
      <c r="F4" s="93"/>
      <c r="G4" s="94" t="s">
        <v>127</v>
      </c>
      <c r="H4" s="95" t="str">
        <f>'통계 및 응시자 수 입력 기능'!E20</f>
        <v>11.96</v>
      </c>
      <c r="I4" s="39"/>
      <c r="J4" s="40"/>
      <c r="K4" s="38"/>
      <c r="L4" s="20"/>
    </row>
    <row r="5" spans="1:17" s="22" customFormat="1" ht="25" customHeight="1" thickBot="1" x14ac:dyDescent="0.5">
      <c r="A5" s="20"/>
      <c r="B5" s="37"/>
      <c r="C5" s="32"/>
      <c r="D5" s="32"/>
      <c r="E5" s="32"/>
      <c r="F5" s="32"/>
      <c r="G5" s="32"/>
      <c r="H5" s="33"/>
      <c r="I5" s="33"/>
      <c r="J5" s="33"/>
      <c r="K5" s="38"/>
      <c r="L5" s="20"/>
    </row>
    <row r="6" spans="1:17" s="22" customFormat="1" ht="25" customHeight="1" thickBot="1" x14ac:dyDescent="0.5">
      <c r="A6" s="20"/>
      <c r="B6" s="37"/>
      <c r="C6" s="96" t="s">
        <v>129</v>
      </c>
      <c r="D6" s="97" t="s">
        <v>130</v>
      </c>
      <c r="E6" s="97" t="s">
        <v>131</v>
      </c>
      <c r="F6" s="97" t="s">
        <v>132</v>
      </c>
      <c r="G6" s="97" t="s">
        <v>133</v>
      </c>
      <c r="H6" s="97" t="s">
        <v>134</v>
      </c>
      <c r="I6" s="98" t="s">
        <v>135</v>
      </c>
      <c r="J6" s="99" t="s">
        <v>136</v>
      </c>
      <c r="K6" s="38"/>
      <c r="L6" s="19" t="s">
        <v>62</v>
      </c>
      <c r="M6" s="19"/>
      <c r="N6" s="23"/>
    </row>
    <row r="7" spans="1:17" s="22" customFormat="1" ht="25" customHeight="1" x14ac:dyDescent="0.45">
      <c r="A7" s="20"/>
      <c r="B7" s="37"/>
      <c r="C7" s="100">
        <v>50</v>
      </c>
      <c r="D7" s="101">
        <f>ROUND(10*(C7-$H$3)/$H$4+50,0)</f>
        <v>72</v>
      </c>
      <c r="E7" s="101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102">
        <f>ROUND(100*(1-(0+I7)/2/$J$3),2)</f>
        <v>99.23</v>
      </c>
      <c r="G7" s="103">
        <f>_xlfn.IFNA(VLOOKUP(D7,'인원 입력 기능(사과탐)'!$P$177:$S$231,4,FALSE),0)</f>
        <v>899</v>
      </c>
      <c r="H7" s="104">
        <f>G7/$J$3</f>
        <v>1.5327956897580604E-2</v>
      </c>
      <c r="I7" s="105">
        <f>G7</f>
        <v>899</v>
      </c>
      <c r="J7" s="106">
        <f>I7/$J$3</f>
        <v>1.5327956897580604E-2</v>
      </c>
      <c r="K7" s="38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기능'!C148</f>
        <v>68</v>
      </c>
    </row>
    <row r="8" spans="1:17" s="22" customFormat="1" ht="25" customHeight="1" x14ac:dyDescent="0.45">
      <c r="A8" s="20"/>
      <c r="B8" s="37"/>
      <c r="C8" s="107">
        <v>49</v>
      </c>
      <c r="D8" s="108" t="s">
        <v>54</v>
      </c>
      <c r="E8" s="108"/>
      <c r="F8" s="109"/>
      <c r="G8" s="110"/>
      <c r="H8" s="168"/>
      <c r="I8" s="112"/>
      <c r="J8" s="113"/>
      <c r="K8" s="38"/>
      <c r="L8" s="20"/>
      <c r="N8" s="24"/>
      <c r="P8" s="24">
        <v>2</v>
      </c>
      <c r="Q8" s="24">
        <f>'표점등급&amp;절평인원 입력 기능'!C149</f>
        <v>64</v>
      </c>
    </row>
    <row r="9" spans="1:17" s="22" customFormat="1" ht="25" customHeight="1" x14ac:dyDescent="0.45">
      <c r="A9" s="20"/>
      <c r="B9" s="37"/>
      <c r="C9" s="100">
        <v>48</v>
      </c>
      <c r="D9" s="101">
        <f>ROUND(10*(C9-$H$3)/$H$4+50,0)</f>
        <v>70</v>
      </c>
      <c r="E9" s="101">
        <f t="shared" si="0"/>
        <v>1</v>
      </c>
      <c r="F9" s="102">
        <f>IF(I8=0,ROUND(100*(1-(I7+I9)/2/$J$3),2),ROUND(100*(1-(I8+I9)/2/$J$3),2))</f>
        <v>97.8</v>
      </c>
      <c r="G9" s="103">
        <f>_xlfn.IFNA(VLOOKUP(D9,'인원 입력 기능(사과탐)'!$P$177:$S$231,4,FALSE),0)</f>
        <v>780</v>
      </c>
      <c r="H9" s="104">
        <f t="shared" ref="H9:H54" si="1">G9/$J$3</f>
        <v>1.3299005984552694E-2</v>
      </c>
      <c r="I9" s="114">
        <f>SUM($G$7:G9)</f>
        <v>1679</v>
      </c>
      <c r="J9" s="106">
        <f>I9/$J$3</f>
        <v>2.8626962882133296E-2</v>
      </c>
      <c r="K9" s="38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기능'!C150</f>
        <v>58</v>
      </c>
    </row>
    <row r="10" spans="1:17" s="22" customFormat="1" ht="25" customHeight="1" x14ac:dyDescent="0.45">
      <c r="A10" s="20"/>
      <c r="B10" s="37"/>
      <c r="C10" s="107">
        <v>47</v>
      </c>
      <c r="D10" s="101">
        <f t="shared" ref="D10:D54" si="3">ROUND(10*(C10-$H$3)/$H$4+50,0)</f>
        <v>69</v>
      </c>
      <c r="E10" s="101">
        <f t="shared" si="0"/>
        <v>1</v>
      </c>
      <c r="F10" s="102">
        <f t="shared" ref="F10:F54" si="4">IF(I9=0,ROUND(100*(1-(I8+I10)/2/$J$3),2),ROUND(100*(1-(I9+I10)/2/$J$3),2))</f>
        <v>96.61</v>
      </c>
      <c r="G10" s="103">
        <f>IF(D10=D9,"",_xlfn.IFNA(VLOOKUP(D10,'인원 입력 기능(사과탐)'!$P$177:$S$231,4,FALSE),0))</f>
        <v>619</v>
      </c>
      <c r="H10" s="104">
        <f t="shared" si="1"/>
        <v>1.0553954749279637E-2</v>
      </c>
      <c r="I10" s="114">
        <f>SUM($G$7:G10)</f>
        <v>2298</v>
      </c>
      <c r="J10" s="106">
        <f t="shared" ref="J10:J54" si="5">I10/$J$3</f>
        <v>3.9180917631412931E-2</v>
      </c>
      <c r="K10" s="38"/>
      <c r="L10" s="20" t="str">
        <f t="shared" si="2"/>
        <v/>
      </c>
      <c r="N10" s="24"/>
      <c r="P10" s="24">
        <v>4</v>
      </c>
      <c r="Q10" s="24">
        <f>'표점등급&amp;절평인원 입력 기능'!C151</f>
        <v>52</v>
      </c>
    </row>
    <row r="11" spans="1:17" s="22" customFormat="1" ht="25" customHeight="1" x14ac:dyDescent="0.45">
      <c r="A11" s="20"/>
      <c r="B11" s="37"/>
      <c r="C11" s="100">
        <v>46</v>
      </c>
      <c r="D11" s="115">
        <f t="shared" si="3"/>
        <v>68</v>
      </c>
      <c r="E11" s="115">
        <f t="shared" si="0"/>
        <v>1</v>
      </c>
      <c r="F11" s="116">
        <f t="shared" si="4"/>
        <v>94.89</v>
      </c>
      <c r="G11" s="117">
        <f>IF(D11=D10,"",_xlfn.IFNA(VLOOKUP(D11,'인원 입력 기능(사과탐)'!$P$177:$S$231,4,FALSE),0))</f>
        <v>1401</v>
      </c>
      <c r="H11" s="118">
        <f t="shared" si="1"/>
        <v>2.3887060749177336E-2</v>
      </c>
      <c r="I11" s="119">
        <f>SUM($G$7:G11)</f>
        <v>3699</v>
      </c>
      <c r="J11" s="120">
        <f t="shared" si="5"/>
        <v>6.3067978380590264E-2</v>
      </c>
      <c r="K11" s="38"/>
      <c r="L11" s="20" t="str">
        <f t="shared" si="2"/>
        <v/>
      </c>
      <c r="N11" s="24"/>
      <c r="P11" s="24">
        <v>5</v>
      </c>
      <c r="Q11" s="24">
        <f>'표점등급&amp;절평인원 입력 기능'!C152</f>
        <v>46</v>
      </c>
    </row>
    <row r="12" spans="1:17" s="22" customFormat="1" ht="25" customHeight="1" x14ac:dyDescent="0.45">
      <c r="A12" s="20"/>
      <c r="B12" s="37"/>
      <c r="C12" s="107">
        <v>45</v>
      </c>
      <c r="D12" s="121"/>
      <c r="E12" s="121"/>
      <c r="F12" s="122"/>
      <c r="G12" s="123"/>
      <c r="H12" s="124"/>
      <c r="I12" s="125"/>
      <c r="J12" s="126"/>
      <c r="K12" s="38"/>
      <c r="L12" s="20" t="str">
        <f t="shared" si="2"/>
        <v>경고</v>
      </c>
      <c r="N12" s="24"/>
      <c r="P12" s="24">
        <v>6</v>
      </c>
      <c r="Q12" s="24">
        <f>'표점등급&amp;절평인원 입력 기능'!C153</f>
        <v>41</v>
      </c>
    </row>
    <row r="13" spans="1:17" s="22" customFormat="1" ht="25" customHeight="1" x14ac:dyDescent="0.45">
      <c r="A13" s="20"/>
      <c r="B13" s="37"/>
      <c r="C13" s="100">
        <v>44</v>
      </c>
      <c r="D13" s="101">
        <f t="shared" si="3"/>
        <v>67</v>
      </c>
      <c r="E13" s="101">
        <f t="shared" si="0"/>
        <v>2</v>
      </c>
      <c r="F13" s="102">
        <f t="shared" si="4"/>
        <v>93.2</v>
      </c>
      <c r="G13" s="103">
        <f>IF(D13=D12,"",_xlfn.IFNA(VLOOKUP(D13,'인원 입력 기능(사과탐)'!$P$177:$S$231,4,FALSE),0))</f>
        <v>584</v>
      </c>
      <c r="H13" s="104">
        <f t="shared" si="1"/>
        <v>9.9572044807420164E-3</v>
      </c>
      <c r="I13" s="114">
        <f>SUM($G$7:G13)</f>
        <v>4283</v>
      </c>
      <c r="J13" s="106">
        <f t="shared" si="5"/>
        <v>7.3025182861332291E-2</v>
      </c>
      <c r="K13" s="38"/>
      <c r="L13" s="20" t="str">
        <f t="shared" si="2"/>
        <v/>
      </c>
      <c r="N13" s="24"/>
      <c r="P13" s="24">
        <v>7</v>
      </c>
      <c r="Q13" s="24">
        <f>'표점등급&amp;절평인원 입력 기능'!C154</f>
        <v>38</v>
      </c>
    </row>
    <row r="14" spans="1:17" s="22" customFormat="1" ht="25" customHeight="1" x14ac:dyDescent="0.45">
      <c r="A14" s="20"/>
      <c r="B14" s="37"/>
      <c r="C14" s="107">
        <v>43</v>
      </c>
      <c r="D14" s="101">
        <f t="shared" si="3"/>
        <v>66</v>
      </c>
      <c r="E14" s="101">
        <f t="shared" si="0"/>
        <v>2</v>
      </c>
      <c r="F14" s="102">
        <f t="shared" si="4"/>
        <v>92.06</v>
      </c>
      <c r="G14" s="103">
        <f>IF(D14=D13,"",_xlfn.IFNA(VLOOKUP(D14,'인원 입력 기능(사과탐)'!$P$177:$S$231,4,FALSE),0))</f>
        <v>747</v>
      </c>
      <c r="H14" s="104">
        <f t="shared" si="1"/>
        <v>1.273635573136008E-2</v>
      </c>
      <c r="I14" s="114">
        <f>SUM($G$7:G14)</f>
        <v>5030</v>
      </c>
      <c r="J14" s="106">
        <f t="shared" si="5"/>
        <v>8.5761538592692366E-2</v>
      </c>
      <c r="K14" s="38"/>
      <c r="L14" s="20" t="str">
        <f t="shared" si="2"/>
        <v/>
      </c>
      <c r="N14" s="24"/>
      <c r="P14" s="24">
        <v>8</v>
      </c>
      <c r="Q14" s="24">
        <f>'표점등급&amp;절평인원 입력 기능'!C155</f>
        <v>36</v>
      </c>
    </row>
    <row r="15" spans="1:17" s="22" customFormat="1" ht="25" customHeight="1" x14ac:dyDescent="0.45">
      <c r="A15" s="20"/>
      <c r="B15" s="37"/>
      <c r="C15" s="100">
        <v>42</v>
      </c>
      <c r="D15" s="101">
        <f t="shared" si="3"/>
        <v>65</v>
      </c>
      <c r="E15" s="101">
        <f t="shared" si="0"/>
        <v>2</v>
      </c>
      <c r="F15" s="102">
        <f t="shared" si="4"/>
        <v>90.64</v>
      </c>
      <c r="G15" s="103">
        <f>IF(D15=D14,"",_xlfn.IFNA(VLOOKUP(D15,'인원 입력 기능(사과탐)'!$P$177:$S$231,4,FALSE),0))</f>
        <v>924</v>
      </c>
      <c r="H15" s="104">
        <f t="shared" si="1"/>
        <v>1.575420708939319E-2</v>
      </c>
      <c r="I15" s="114">
        <f>SUM($G$7:G15)</f>
        <v>5954</v>
      </c>
      <c r="J15" s="106">
        <f t="shared" si="5"/>
        <v>0.10151574568208556</v>
      </c>
      <c r="K15" s="38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7"/>
      <c r="C16" s="107">
        <v>41</v>
      </c>
      <c r="D16" s="101">
        <f t="shared" si="3"/>
        <v>64</v>
      </c>
      <c r="E16" s="101">
        <f t="shared" si="0"/>
        <v>2</v>
      </c>
      <c r="F16" s="102">
        <f t="shared" si="4"/>
        <v>89.23</v>
      </c>
      <c r="G16" s="103">
        <f>IF(D16=D15,"",_xlfn.IFNA(VLOOKUP(D16,'인원 입력 기능(사과탐)'!$P$177:$S$231,4,FALSE),0))</f>
        <v>725</v>
      </c>
      <c r="H16" s="104">
        <f t="shared" si="1"/>
        <v>1.2361255562565003E-2</v>
      </c>
      <c r="I16" s="114">
        <f>SUM($G$7:G16)</f>
        <v>6679</v>
      </c>
      <c r="J16" s="106">
        <f t="shared" si="5"/>
        <v>0.11387700124465056</v>
      </c>
      <c r="K16" s="38"/>
      <c r="L16" s="20" t="str">
        <f t="shared" si="2"/>
        <v/>
      </c>
      <c r="N16" s="24"/>
    </row>
    <row r="17" spans="1:17" s="22" customFormat="1" ht="25" customHeight="1" x14ac:dyDescent="0.45">
      <c r="A17" s="20"/>
      <c r="B17" s="37"/>
      <c r="C17" s="100">
        <v>40</v>
      </c>
      <c r="D17" s="115">
        <f t="shared" si="3"/>
        <v>63</v>
      </c>
      <c r="E17" s="115">
        <f t="shared" si="0"/>
        <v>3</v>
      </c>
      <c r="F17" s="116">
        <f t="shared" si="4"/>
        <v>86.94</v>
      </c>
      <c r="G17" s="117">
        <f>IF(D17=D16,"",_xlfn.IFNA(VLOOKUP(D17,'인원 입력 기능(사과탐)'!$P$177:$S$231,4,FALSE),0))</f>
        <v>1957</v>
      </c>
      <c r="H17" s="118">
        <f t="shared" si="1"/>
        <v>3.3366865015089259E-2</v>
      </c>
      <c r="I17" s="119">
        <f>SUM($G$7:G17)</f>
        <v>8636</v>
      </c>
      <c r="J17" s="120">
        <f t="shared" si="5"/>
        <v>0.14724386625973981</v>
      </c>
      <c r="K17" s="38"/>
      <c r="L17" s="20" t="str">
        <f t="shared" si="2"/>
        <v/>
      </c>
      <c r="N17" s="24"/>
      <c r="Q17" s="24">
        <f>Q7*H3*H4*J3*IFERROR(IF(J57=1, 1, 0), 0)</f>
        <v>1142884459.3088</v>
      </c>
    </row>
    <row r="18" spans="1:17" s="22" customFormat="1" ht="25" customHeight="1" x14ac:dyDescent="0.45">
      <c r="A18" s="20"/>
      <c r="B18" s="37"/>
      <c r="C18" s="107">
        <v>39</v>
      </c>
      <c r="D18" s="121"/>
      <c r="E18" s="121"/>
      <c r="F18" s="122"/>
      <c r="G18" s="123"/>
      <c r="H18" s="124"/>
      <c r="I18" s="125"/>
      <c r="J18" s="126"/>
      <c r="K18" s="38"/>
      <c r="L18" s="20" t="str">
        <f t="shared" si="2"/>
        <v>경고</v>
      </c>
      <c r="N18" s="24"/>
    </row>
    <row r="19" spans="1:17" s="22" customFormat="1" ht="25" customHeight="1" x14ac:dyDescent="0.45">
      <c r="A19" s="20"/>
      <c r="B19" s="37"/>
      <c r="C19" s="100">
        <v>38</v>
      </c>
      <c r="D19" s="101">
        <f t="shared" si="3"/>
        <v>62</v>
      </c>
      <c r="E19" s="101">
        <f t="shared" si="0"/>
        <v>3</v>
      </c>
      <c r="F19" s="102">
        <f t="shared" si="4"/>
        <v>84.48</v>
      </c>
      <c r="G19" s="103">
        <f>IF(D19=D18,"",_xlfn.IFNA(VLOOKUP(D19,'인원 입력 기능(사과탐)'!$P$177:$S$231,4,FALSE),0))</f>
        <v>933</v>
      </c>
      <c r="H19" s="104">
        <f t="shared" si="1"/>
        <v>1.590765715844572E-2</v>
      </c>
      <c r="I19" s="114">
        <f>SUM($G$7:G19)</f>
        <v>9569</v>
      </c>
      <c r="J19" s="106">
        <f t="shared" si="5"/>
        <v>0.16315152341818553</v>
      </c>
      <c r="K19" s="38"/>
      <c r="L19" s="20" t="str">
        <f t="shared" si="2"/>
        <v/>
      </c>
      <c r="N19" s="24"/>
    </row>
    <row r="20" spans="1:17" s="22" customFormat="1" ht="25" customHeight="1" x14ac:dyDescent="0.45">
      <c r="A20" s="20"/>
      <c r="B20" s="37"/>
      <c r="C20" s="107">
        <v>37</v>
      </c>
      <c r="D20" s="101">
        <f t="shared" si="3"/>
        <v>61</v>
      </c>
      <c r="E20" s="101">
        <f t="shared" si="0"/>
        <v>3</v>
      </c>
      <c r="F20" s="102">
        <f t="shared" si="4"/>
        <v>82.71</v>
      </c>
      <c r="G20" s="103">
        <f>IF(D20=D19,"",_xlfn.IFNA(VLOOKUP(D20,'인원 입력 기능(사과탐)'!$P$177:$S$231,4,FALSE),0))</f>
        <v>1145</v>
      </c>
      <c r="H20" s="104">
        <f t="shared" si="1"/>
        <v>1.9522258785016452E-2</v>
      </c>
      <c r="I20" s="114">
        <f>SUM($G$7:G20)</f>
        <v>10714</v>
      </c>
      <c r="J20" s="106">
        <f t="shared" si="5"/>
        <v>0.18267378220320199</v>
      </c>
      <c r="K20" s="38"/>
      <c r="L20" s="20" t="str">
        <f t="shared" si="2"/>
        <v/>
      </c>
      <c r="N20" s="24"/>
    </row>
    <row r="21" spans="1:17" s="22" customFormat="1" ht="25" customHeight="1" x14ac:dyDescent="0.45">
      <c r="A21" s="20"/>
      <c r="B21" s="37"/>
      <c r="C21" s="169">
        <v>36</v>
      </c>
      <c r="D21" s="128">
        <f t="shared" si="3"/>
        <v>60</v>
      </c>
      <c r="E21" s="128">
        <f t="shared" si="0"/>
        <v>3</v>
      </c>
      <c r="F21" s="102">
        <f t="shared" si="4"/>
        <v>80.89</v>
      </c>
      <c r="G21" s="103">
        <f>IF(D21=D20,"",_xlfn.IFNA(VLOOKUP(D21,'인원 입력 기능(사과탐)'!$P$177:$S$231,4,FALSE),0))</f>
        <v>983</v>
      </c>
      <c r="H21" s="104">
        <f t="shared" si="1"/>
        <v>1.6760157542070893E-2</v>
      </c>
      <c r="I21" s="114">
        <f>SUM($G$7:G21)</f>
        <v>11697</v>
      </c>
      <c r="J21" s="106">
        <f t="shared" si="5"/>
        <v>0.19943393974527288</v>
      </c>
      <c r="K21" s="38"/>
      <c r="L21" s="20" t="str">
        <f t="shared" si="2"/>
        <v/>
      </c>
      <c r="N21" s="24"/>
    </row>
    <row r="22" spans="1:17" s="22" customFormat="1" ht="25" customHeight="1" x14ac:dyDescent="0.45">
      <c r="A22" s="20"/>
      <c r="B22" s="37"/>
      <c r="C22" s="127">
        <v>35</v>
      </c>
      <c r="D22" s="128">
        <f t="shared" si="3"/>
        <v>59</v>
      </c>
      <c r="E22" s="128">
        <f t="shared" si="0"/>
        <v>3</v>
      </c>
      <c r="F22" s="102">
        <f t="shared" si="4"/>
        <v>79.05</v>
      </c>
      <c r="G22" s="103">
        <f>IF(D22=D21,"",_xlfn.IFNA(VLOOKUP(D22,'인원 입력 기능(사과탐)'!$P$177:$S$231,4,FALSE),0))</f>
        <v>1185</v>
      </c>
      <c r="H22" s="104">
        <f t="shared" si="1"/>
        <v>2.0204259091916591E-2</v>
      </c>
      <c r="I22" s="114">
        <f>SUM($G$7:G22)</f>
        <v>12882</v>
      </c>
      <c r="J22" s="106">
        <f t="shared" si="5"/>
        <v>0.21963819883718946</v>
      </c>
      <c r="K22" s="38"/>
      <c r="L22" s="20" t="str">
        <f t="shared" si="2"/>
        <v/>
      </c>
      <c r="N22" s="24"/>
    </row>
    <row r="23" spans="1:17" s="22" customFormat="1" ht="25" customHeight="1" x14ac:dyDescent="0.45">
      <c r="A23" s="20"/>
      <c r="B23" s="37"/>
      <c r="C23" s="169">
        <v>34</v>
      </c>
      <c r="D23" s="130">
        <f t="shared" si="3"/>
        <v>58</v>
      </c>
      <c r="E23" s="130">
        <f t="shared" si="0"/>
        <v>3</v>
      </c>
      <c r="F23" s="116">
        <f t="shared" si="4"/>
        <v>76.150000000000006</v>
      </c>
      <c r="G23" s="117">
        <f>IF(D23=D22,"",_xlfn.IFNA(VLOOKUP(D23,'인원 입력 기능(사과탐)'!$P$177:$S$231,4,FALSE),0))</f>
        <v>2207</v>
      </c>
      <c r="H23" s="118">
        <f t="shared" si="1"/>
        <v>3.7629366933215121E-2</v>
      </c>
      <c r="I23" s="119">
        <f>SUM($G$7:G23)</f>
        <v>15089</v>
      </c>
      <c r="J23" s="120">
        <f t="shared" si="5"/>
        <v>0.2572675657704046</v>
      </c>
      <c r="K23" s="38"/>
      <c r="L23" s="20" t="str">
        <f t="shared" si="2"/>
        <v/>
      </c>
      <c r="N23" s="24"/>
    </row>
    <row r="24" spans="1:17" s="22" customFormat="1" ht="25" customHeight="1" x14ac:dyDescent="0.45">
      <c r="A24" s="20"/>
      <c r="B24" s="37"/>
      <c r="C24" s="127">
        <v>33</v>
      </c>
      <c r="D24" s="132"/>
      <c r="E24" s="132"/>
      <c r="F24" s="122"/>
      <c r="G24" s="123"/>
      <c r="H24" s="124"/>
      <c r="I24" s="125"/>
      <c r="J24" s="126"/>
      <c r="K24" s="38"/>
      <c r="L24" s="20" t="str">
        <f t="shared" si="2"/>
        <v>경고</v>
      </c>
      <c r="N24" s="24"/>
    </row>
    <row r="25" spans="1:17" s="22" customFormat="1" ht="25" customHeight="1" x14ac:dyDescent="0.45">
      <c r="A25" s="20"/>
      <c r="B25" s="37"/>
      <c r="C25" s="169">
        <v>32</v>
      </c>
      <c r="D25" s="128">
        <f t="shared" si="3"/>
        <v>57</v>
      </c>
      <c r="E25" s="128">
        <f t="shared" si="0"/>
        <v>4</v>
      </c>
      <c r="F25" s="102">
        <f t="shared" si="4"/>
        <v>73.13</v>
      </c>
      <c r="G25" s="103">
        <f>IF(D25=D24,"",_xlfn.IFNA(VLOOKUP(D25,'인원 입력 기능(사과탐)'!$P$177:$S$231,4,FALSE),0))</f>
        <v>1339</v>
      </c>
      <c r="H25" s="104">
        <f t="shared" si="1"/>
        <v>2.2829960273482122E-2</v>
      </c>
      <c r="I25" s="114">
        <f>SUM($G$7:G25)</f>
        <v>16428</v>
      </c>
      <c r="J25" s="106">
        <f t="shared" si="5"/>
        <v>0.28009752604388671</v>
      </c>
      <c r="K25" s="38"/>
      <c r="L25" s="20" t="str">
        <f t="shared" si="2"/>
        <v/>
      </c>
      <c r="N25" s="24"/>
    </row>
    <row r="26" spans="1:17" s="22" customFormat="1" ht="25" customHeight="1" x14ac:dyDescent="0.45">
      <c r="A26" s="20"/>
      <c r="B26" s="37"/>
      <c r="C26" s="127">
        <v>31</v>
      </c>
      <c r="D26" s="128">
        <f t="shared" si="3"/>
        <v>56</v>
      </c>
      <c r="E26" s="128">
        <f t="shared" si="0"/>
        <v>4</v>
      </c>
      <c r="F26" s="102">
        <f t="shared" si="4"/>
        <v>70.98</v>
      </c>
      <c r="G26" s="103">
        <f>IF(D26=D25,"",_xlfn.IFNA(VLOOKUP(D26,'인원 입력 기능(사과탐)'!$P$177:$S$231,4,FALSE),0))</f>
        <v>1183</v>
      </c>
      <c r="H26" s="104">
        <f t="shared" si="1"/>
        <v>2.0170159076571586E-2</v>
      </c>
      <c r="I26" s="114">
        <f>SUM($G$7:G26)</f>
        <v>17611</v>
      </c>
      <c r="J26" s="106">
        <f t="shared" si="5"/>
        <v>0.30026768512045832</v>
      </c>
      <c r="K26" s="38"/>
      <c r="L26" s="20" t="str">
        <f t="shared" si="2"/>
        <v/>
      </c>
      <c r="N26" s="24"/>
    </row>
    <row r="27" spans="1:17" s="22" customFormat="1" ht="25" customHeight="1" x14ac:dyDescent="0.45">
      <c r="A27" s="20"/>
      <c r="B27" s="37"/>
      <c r="C27" s="169">
        <v>30</v>
      </c>
      <c r="D27" s="128">
        <f t="shared" si="3"/>
        <v>55</v>
      </c>
      <c r="E27" s="128">
        <f t="shared" si="0"/>
        <v>4</v>
      </c>
      <c r="F27" s="102">
        <f t="shared" si="4"/>
        <v>68.8</v>
      </c>
      <c r="G27" s="103">
        <f>IF(D27=D26,"",_xlfn.IFNA(VLOOKUP(D27,'인원 입력 기능(사과탐)'!$P$177:$S$231,4,FALSE),0))</f>
        <v>1374</v>
      </c>
      <c r="H27" s="104">
        <f t="shared" si="1"/>
        <v>2.3426710542019745E-2</v>
      </c>
      <c r="I27" s="114">
        <f>SUM($G$7:G27)</f>
        <v>18985</v>
      </c>
      <c r="J27" s="106">
        <f t="shared" si="5"/>
        <v>0.32369439566247804</v>
      </c>
      <c r="K27" s="38"/>
      <c r="L27" s="20" t="str">
        <f t="shared" si="2"/>
        <v/>
      </c>
      <c r="N27" s="24"/>
    </row>
    <row r="28" spans="1:17" s="22" customFormat="1" ht="25" customHeight="1" x14ac:dyDescent="0.45">
      <c r="A28" s="20"/>
      <c r="B28" s="37"/>
      <c r="C28" s="127">
        <v>29</v>
      </c>
      <c r="D28" s="128">
        <f t="shared" si="3"/>
        <v>54</v>
      </c>
      <c r="E28" s="128">
        <f t="shared" si="0"/>
        <v>4</v>
      </c>
      <c r="F28" s="102">
        <f t="shared" si="4"/>
        <v>66.430000000000007</v>
      </c>
      <c r="G28" s="103">
        <f>IF(D28=D27,"",_xlfn.IFNA(VLOOKUP(D28,'인원 입력 기능(사과탐)'!$P$177:$S$231,4,FALSE),0))</f>
        <v>1404</v>
      </c>
      <c r="H28" s="104">
        <f t="shared" si="1"/>
        <v>2.3938210772194848E-2</v>
      </c>
      <c r="I28" s="114">
        <f>SUM($G$7:G28)</f>
        <v>20389</v>
      </c>
      <c r="J28" s="106">
        <f t="shared" si="5"/>
        <v>0.34763260643467292</v>
      </c>
      <c r="K28" s="38"/>
      <c r="L28" s="20" t="str">
        <f t="shared" si="2"/>
        <v/>
      </c>
      <c r="N28" s="24"/>
    </row>
    <row r="29" spans="1:17" s="22" customFormat="1" ht="25" customHeight="1" x14ac:dyDescent="0.45">
      <c r="A29" s="20"/>
      <c r="B29" s="37"/>
      <c r="C29" s="169">
        <v>28</v>
      </c>
      <c r="D29" s="130">
        <f t="shared" si="3"/>
        <v>53</v>
      </c>
      <c r="E29" s="130">
        <f t="shared" si="0"/>
        <v>4</v>
      </c>
      <c r="F29" s="116">
        <f t="shared" si="4"/>
        <v>62.7</v>
      </c>
      <c r="G29" s="117">
        <f>IF(D29=D28,"",_xlfn.IFNA(VLOOKUP(D29,'인원 입력 기능(사과탐)'!$P$177:$S$231,4,FALSE),0))</f>
        <v>2980</v>
      </c>
      <c r="H29" s="118">
        <f t="shared" si="1"/>
        <v>5.0809022864060291E-2</v>
      </c>
      <c r="I29" s="119">
        <f>SUM($G$7:G29)</f>
        <v>23369</v>
      </c>
      <c r="J29" s="120">
        <f t="shared" si="5"/>
        <v>0.39844162929873317</v>
      </c>
      <c r="K29" s="38"/>
      <c r="L29" s="20" t="str">
        <f t="shared" si="2"/>
        <v/>
      </c>
      <c r="N29" s="24"/>
    </row>
    <row r="30" spans="1:17" s="22" customFormat="1" ht="25" customHeight="1" x14ac:dyDescent="0.45">
      <c r="A30" s="20"/>
      <c r="B30" s="37"/>
      <c r="C30" s="127">
        <v>27</v>
      </c>
      <c r="D30" s="132"/>
      <c r="E30" s="132"/>
      <c r="F30" s="122"/>
      <c r="G30" s="123"/>
      <c r="H30" s="124"/>
      <c r="I30" s="125"/>
      <c r="J30" s="126"/>
      <c r="K30" s="38"/>
      <c r="L30" s="20" t="str">
        <f t="shared" si="2"/>
        <v>경고</v>
      </c>
      <c r="N30" s="24"/>
    </row>
    <row r="31" spans="1:17" s="22" customFormat="1" ht="25" customHeight="1" x14ac:dyDescent="0.45">
      <c r="A31" s="20"/>
      <c r="B31" s="37"/>
      <c r="C31" s="169">
        <v>26</v>
      </c>
      <c r="D31" s="128">
        <f t="shared" si="3"/>
        <v>52</v>
      </c>
      <c r="E31" s="128">
        <f t="shared" si="0"/>
        <v>4</v>
      </c>
      <c r="F31" s="102">
        <f t="shared" si="4"/>
        <v>58.91</v>
      </c>
      <c r="G31" s="103">
        <f>IF(D31=D30,"",_xlfn.IFNA(VLOOKUP(D31,'인원 입력 기능(사과탐)'!$P$177:$S$231,4,FALSE),0))</f>
        <v>1460</v>
      </c>
      <c r="H31" s="104">
        <f t="shared" si="1"/>
        <v>2.4893011201855039E-2</v>
      </c>
      <c r="I31" s="114">
        <f>SUM($G$7:G31)</f>
        <v>24829</v>
      </c>
      <c r="J31" s="106">
        <f t="shared" si="5"/>
        <v>0.42333464050058822</v>
      </c>
      <c r="K31" s="38"/>
      <c r="L31" s="20" t="str">
        <f t="shared" si="2"/>
        <v/>
      </c>
      <c r="N31" s="24"/>
    </row>
    <row r="32" spans="1:17" s="22" customFormat="1" ht="25" customHeight="1" x14ac:dyDescent="0.45">
      <c r="A32" s="20"/>
      <c r="B32" s="37"/>
      <c r="C32" s="127">
        <v>25</v>
      </c>
      <c r="D32" s="128">
        <f t="shared" si="3"/>
        <v>51</v>
      </c>
      <c r="E32" s="128">
        <f t="shared" si="0"/>
        <v>5</v>
      </c>
      <c r="F32" s="102">
        <f t="shared" si="4"/>
        <v>56.34</v>
      </c>
      <c r="G32" s="103">
        <f>IF(D32=D31,"",_xlfn.IFNA(VLOOKUP(D32,'인원 입력 기능(사과탐)'!$P$177:$S$231,4,FALSE),0))</f>
        <v>1559</v>
      </c>
      <c r="H32" s="104">
        <f t="shared" si="1"/>
        <v>2.6580961961432881E-2</v>
      </c>
      <c r="I32" s="114">
        <f>SUM($G$7:G32)</f>
        <v>26388</v>
      </c>
      <c r="J32" s="106">
        <f t="shared" si="5"/>
        <v>0.44991560246202111</v>
      </c>
      <c r="K32" s="38"/>
      <c r="L32" s="20" t="str">
        <f t="shared" si="2"/>
        <v/>
      </c>
      <c r="N32" s="24"/>
    </row>
    <row r="33" spans="1:14" s="22" customFormat="1" ht="25" customHeight="1" x14ac:dyDescent="0.45">
      <c r="A33" s="20"/>
      <c r="B33" s="37"/>
      <c r="C33" s="169">
        <v>24</v>
      </c>
      <c r="D33" s="128">
        <f t="shared" si="3"/>
        <v>50</v>
      </c>
      <c r="E33" s="128">
        <f t="shared" si="0"/>
        <v>5</v>
      </c>
      <c r="F33" s="102">
        <f t="shared" si="4"/>
        <v>53.63</v>
      </c>
      <c r="G33" s="103">
        <f>IF(D33=D32,"",_xlfn.IFNA(VLOOKUP(D33,'인원 입력 기능(사과탐)'!$P$177:$S$231,4,FALSE),0))</f>
        <v>1615</v>
      </c>
      <c r="H33" s="104">
        <f t="shared" si="1"/>
        <v>2.7535762391093076E-2</v>
      </c>
      <c r="I33" s="114">
        <f>SUM($G$7:G33)</f>
        <v>28003</v>
      </c>
      <c r="J33" s="106">
        <f t="shared" si="5"/>
        <v>0.47745136485311418</v>
      </c>
      <c r="K33" s="38"/>
      <c r="L33" s="20" t="str">
        <f t="shared" si="2"/>
        <v/>
      </c>
      <c r="N33" s="24"/>
    </row>
    <row r="34" spans="1:14" s="22" customFormat="1" ht="25" customHeight="1" x14ac:dyDescent="0.45">
      <c r="A34" s="20"/>
      <c r="B34" s="37"/>
      <c r="C34" s="127">
        <v>23</v>
      </c>
      <c r="D34" s="128">
        <f t="shared" si="3"/>
        <v>49</v>
      </c>
      <c r="E34" s="128">
        <f t="shared" si="0"/>
        <v>5</v>
      </c>
      <c r="F34" s="102">
        <f t="shared" si="4"/>
        <v>50.96</v>
      </c>
      <c r="G34" s="103">
        <f>IF(D34=D33,"",_xlfn.IFNA(VLOOKUP(D34,'인원 입력 기능(사과탐)'!$P$177:$S$231,4,FALSE),0))</f>
        <v>1514</v>
      </c>
      <c r="H34" s="104">
        <f t="shared" si="1"/>
        <v>2.5813711616170226E-2</v>
      </c>
      <c r="I34" s="114">
        <f>SUM($G$7:G34)</f>
        <v>29517</v>
      </c>
      <c r="J34" s="106">
        <f t="shared" si="5"/>
        <v>0.50326507646928442</v>
      </c>
      <c r="K34" s="38"/>
      <c r="L34" s="20" t="str">
        <f t="shared" si="2"/>
        <v/>
      </c>
      <c r="N34" s="24"/>
    </row>
    <row r="35" spans="1:14" s="22" customFormat="1" ht="25" customHeight="1" x14ac:dyDescent="0.45">
      <c r="A35" s="20"/>
      <c r="B35" s="37"/>
      <c r="C35" s="169">
        <v>22</v>
      </c>
      <c r="D35" s="130">
        <f t="shared" si="3"/>
        <v>48</v>
      </c>
      <c r="E35" s="130">
        <f t="shared" si="0"/>
        <v>5</v>
      </c>
      <c r="F35" s="116">
        <f t="shared" si="4"/>
        <v>46.66</v>
      </c>
      <c r="G35" s="117">
        <f>IF(D35=D34,"",_xlfn.IFNA(VLOOKUP(D35,'인원 입력 기능(사과탐)'!$P$177:$S$231,4,FALSE),0))</f>
        <v>3536</v>
      </c>
      <c r="H35" s="118">
        <f t="shared" si="1"/>
        <v>6.028882712997221E-2</v>
      </c>
      <c r="I35" s="119">
        <f>SUM($G$7:G35)</f>
        <v>33053</v>
      </c>
      <c r="J35" s="120">
        <f t="shared" si="5"/>
        <v>0.56355390359925661</v>
      </c>
      <c r="K35" s="38"/>
      <c r="L35" s="20" t="str">
        <f t="shared" si="2"/>
        <v/>
      </c>
      <c r="N35" s="24"/>
    </row>
    <row r="36" spans="1:14" s="22" customFormat="1" ht="25" customHeight="1" x14ac:dyDescent="0.45">
      <c r="A36" s="20"/>
      <c r="B36" s="37"/>
      <c r="C36" s="127">
        <v>21</v>
      </c>
      <c r="D36" s="132"/>
      <c r="E36" s="132"/>
      <c r="F36" s="122"/>
      <c r="G36" s="123"/>
      <c r="H36" s="124"/>
      <c r="I36" s="125"/>
      <c r="J36" s="126"/>
      <c r="K36" s="38"/>
      <c r="L36" s="20" t="str">
        <f t="shared" si="2"/>
        <v>경고</v>
      </c>
      <c r="N36" s="24"/>
    </row>
    <row r="37" spans="1:14" s="22" customFormat="1" ht="25" customHeight="1" x14ac:dyDescent="0.45">
      <c r="A37" s="20"/>
      <c r="B37" s="37"/>
      <c r="C37" s="169">
        <v>20</v>
      </c>
      <c r="D37" s="128">
        <f t="shared" si="3"/>
        <v>47</v>
      </c>
      <c r="E37" s="128">
        <f t="shared" si="0"/>
        <v>5</v>
      </c>
      <c r="F37" s="102">
        <f t="shared" si="4"/>
        <v>42.28</v>
      </c>
      <c r="G37" s="103">
        <f>IF(D37=D36,"",_xlfn.IFNA(VLOOKUP(D37,'인원 입력 기능(사과탐)'!$P$177:$S$231,4,FALSE),0))</f>
        <v>1606</v>
      </c>
      <c r="H37" s="104">
        <f t="shared" si="1"/>
        <v>2.7382312322040546E-2</v>
      </c>
      <c r="I37" s="114">
        <f>SUM($G$7:G37)</f>
        <v>34659</v>
      </c>
      <c r="J37" s="106">
        <f t="shared" si="5"/>
        <v>0.59093621592129719</v>
      </c>
      <c r="K37" s="38"/>
      <c r="L37" s="20" t="str">
        <f t="shared" si="2"/>
        <v/>
      </c>
      <c r="N37" s="24"/>
    </row>
    <row r="38" spans="1:14" s="22" customFormat="1" ht="25" customHeight="1" x14ac:dyDescent="0.45">
      <c r="A38" s="20"/>
      <c r="B38" s="37"/>
      <c r="C38" s="127">
        <v>19</v>
      </c>
      <c r="D38" s="128">
        <f t="shared" si="3"/>
        <v>46</v>
      </c>
      <c r="E38" s="128">
        <f t="shared" si="0"/>
        <v>5</v>
      </c>
      <c r="F38" s="102">
        <f t="shared" si="4"/>
        <v>39.47</v>
      </c>
      <c r="G38" s="103">
        <f>IF(D38=D37,"",_xlfn.IFNA(VLOOKUP(D38,'인원 입력 기능(사과탐)'!$P$177:$S$231,4,FALSE),0))</f>
        <v>1682</v>
      </c>
      <c r="H38" s="104">
        <f t="shared" si="1"/>
        <v>2.8678112905150807E-2</v>
      </c>
      <c r="I38" s="114">
        <f>SUM($G$7:G38)</f>
        <v>36341</v>
      </c>
      <c r="J38" s="106">
        <f t="shared" si="5"/>
        <v>0.61961432882644796</v>
      </c>
      <c r="K38" s="38"/>
      <c r="L38" s="20" t="str">
        <f t="shared" si="2"/>
        <v/>
      </c>
      <c r="N38" s="24"/>
    </row>
    <row r="39" spans="1:14" s="22" customFormat="1" ht="25" customHeight="1" x14ac:dyDescent="0.45">
      <c r="A39" s="20"/>
      <c r="B39" s="37"/>
      <c r="C39" s="169">
        <v>18</v>
      </c>
      <c r="D39" s="128">
        <f t="shared" si="3"/>
        <v>45</v>
      </c>
      <c r="E39" s="128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6</v>
      </c>
      <c r="F39" s="102">
        <f t="shared" si="4"/>
        <v>36.67</v>
      </c>
      <c r="G39" s="103">
        <f>IF(D39=D38,"",_xlfn.IFNA(VLOOKUP(D39,'인원 입력 기능(사과탐)'!$P$177:$S$231,4,FALSE),0))</f>
        <v>1604</v>
      </c>
      <c r="H39" s="104">
        <f t="shared" si="1"/>
        <v>2.7348212306695537E-2</v>
      </c>
      <c r="I39" s="114">
        <f>SUM($G$7:G39)</f>
        <v>37945</v>
      </c>
      <c r="J39" s="106">
        <f t="shared" si="5"/>
        <v>0.64696254113314355</v>
      </c>
      <c r="K39" s="38"/>
      <c r="L39" s="20" t="str">
        <f t="shared" si="2"/>
        <v/>
      </c>
      <c r="N39" s="24"/>
    </row>
    <row r="40" spans="1:14" s="22" customFormat="1" ht="25" customHeight="1" x14ac:dyDescent="0.45">
      <c r="A40" s="20"/>
      <c r="B40" s="37"/>
      <c r="C40" s="127">
        <v>17</v>
      </c>
      <c r="D40" s="128">
        <f t="shared" si="3"/>
        <v>44</v>
      </c>
      <c r="E40" s="128">
        <f t="shared" si="6"/>
        <v>6</v>
      </c>
      <c r="F40" s="102">
        <f t="shared" si="4"/>
        <v>33.85</v>
      </c>
      <c r="G40" s="103">
        <f>IF(D40=D39,"",_xlfn.IFNA(VLOOKUP(D40,'인원 입력 기능(사과탐)'!$P$177:$S$231,4,FALSE),0))</f>
        <v>1709</v>
      </c>
      <c r="H40" s="104">
        <f t="shared" si="1"/>
        <v>2.9138463112308402E-2</v>
      </c>
      <c r="I40" s="114">
        <f>SUM($G$7:G40)</f>
        <v>39654</v>
      </c>
      <c r="J40" s="106">
        <f t="shared" si="5"/>
        <v>0.67610100424545194</v>
      </c>
      <c r="K40" s="38"/>
      <c r="L40" s="20" t="str">
        <f t="shared" si="2"/>
        <v/>
      </c>
      <c r="N40" s="24"/>
    </row>
    <row r="41" spans="1:14" s="22" customFormat="1" ht="25" customHeight="1" x14ac:dyDescent="0.45">
      <c r="A41" s="20"/>
      <c r="B41" s="37"/>
      <c r="C41" s="169">
        <v>16</v>
      </c>
      <c r="D41" s="130">
        <f t="shared" si="3"/>
        <v>43</v>
      </c>
      <c r="E41" s="130">
        <f t="shared" si="6"/>
        <v>6</v>
      </c>
      <c r="F41" s="116">
        <f t="shared" si="4"/>
        <v>29.6</v>
      </c>
      <c r="G41" s="117">
        <f>IF(D41=D40,"",_xlfn.IFNA(VLOOKUP(D41,'인원 입력 기능(사과탐)'!$P$177:$S$231,4,FALSE),0))</f>
        <v>3274</v>
      </c>
      <c r="H41" s="118">
        <f t="shared" si="1"/>
        <v>5.5821725119776303E-2</v>
      </c>
      <c r="I41" s="119">
        <f>SUM($G$7:G41)</f>
        <v>42928</v>
      </c>
      <c r="J41" s="120">
        <f t="shared" si="5"/>
        <v>0.73192272936522818</v>
      </c>
      <c r="K41" s="38"/>
      <c r="L41" s="20" t="str">
        <f t="shared" si="2"/>
        <v/>
      </c>
      <c r="N41" s="24"/>
    </row>
    <row r="42" spans="1:14" s="22" customFormat="1" ht="25" customHeight="1" x14ac:dyDescent="0.45">
      <c r="A42" s="20"/>
      <c r="B42" s="37"/>
      <c r="C42" s="127">
        <v>15</v>
      </c>
      <c r="D42" s="132"/>
      <c r="E42" s="132"/>
      <c r="F42" s="122"/>
      <c r="G42" s="123"/>
      <c r="H42" s="124"/>
      <c r="I42" s="125"/>
      <c r="J42" s="126"/>
      <c r="K42" s="38"/>
      <c r="L42" s="20" t="str">
        <f t="shared" si="2"/>
        <v>경고</v>
      </c>
      <c r="N42" s="24"/>
    </row>
    <row r="43" spans="1:14" s="22" customFormat="1" ht="25" customHeight="1" x14ac:dyDescent="0.45">
      <c r="A43" s="20"/>
      <c r="B43" s="37"/>
      <c r="C43" s="169">
        <v>14</v>
      </c>
      <c r="D43" s="128">
        <f t="shared" si="3"/>
        <v>42</v>
      </c>
      <c r="E43" s="128">
        <f t="shared" si="6"/>
        <v>6</v>
      </c>
      <c r="F43" s="102">
        <f t="shared" si="4"/>
        <v>25.4</v>
      </c>
      <c r="G43" s="103">
        <f>IF(D43=D42,"",_xlfn.IFNA(VLOOKUP(D43,'인원 입력 기능(사과탐)'!$P$177:$S$231,4,FALSE),0))</f>
        <v>1655</v>
      </c>
      <c r="H43" s="104">
        <f t="shared" si="1"/>
        <v>2.8217762697993216E-2</v>
      </c>
      <c r="I43" s="114">
        <f>SUM($G$7:G43)</f>
        <v>44583</v>
      </c>
      <c r="J43" s="106">
        <f t="shared" si="5"/>
        <v>0.76014049206322143</v>
      </c>
      <c r="K43" s="38"/>
      <c r="L43" s="20" t="str">
        <f t="shared" si="2"/>
        <v/>
      </c>
      <c r="N43" s="24"/>
    </row>
    <row r="44" spans="1:14" s="22" customFormat="1" ht="25" customHeight="1" x14ac:dyDescent="0.45">
      <c r="A44" s="20"/>
      <c r="B44" s="37"/>
      <c r="C44" s="127">
        <v>13</v>
      </c>
      <c r="D44" s="128">
        <f t="shared" si="3"/>
        <v>41</v>
      </c>
      <c r="E44" s="128">
        <f t="shared" si="6"/>
        <v>6</v>
      </c>
      <c r="F44" s="102">
        <f t="shared" si="4"/>
        <v>22.69</v>
      </c>
      <c r="G44" s="103">
        <f>IF(D44=D43,"",_xlfn.IFNA(VLOOKUP(D44,'인원 입력 기능(사과탐)'!$P$177:$S$231,4,FALSE),0))</f>
        <v>1520</v>
      </c>
      <c r="H44" s="104">
        <f t="shared" si="1"/>
        <v>2.5916011662205248E-2</v>
      </c>
      <c r="I44" s="114">
        <f>SUM($G$7:G44)</f>
        <v>46103</v>
      </c>
      <c r="J44" s="106">
        <f t="shared" si="5"/>
        <v>0.78605650372542668</v>
      </c>
      <c r="K44" s="38"/>
      <c r="L44" s="20" t="str">
        <f t="shared" si="2"/>
        <v/>
      </c>
      <c r="N44" s="24"/>
    </row>
    <row r="45" spans="1:14" s="22" customFormat="1" ht="25" customHeight="1" x14ac:dyDescent="0.45">
      <c r="A45" s="20"/>
      <c r="B45" s="37"/>
      <c r="C45" s="169">
        <v>12</v>
      </c>
      <c r="D45" s="128">
        <f t="shared" si="3"/>
        <v>40</v>
      </c>
      <c r="E45" s="128">
        <f t="shared" si="6"/>
        <v>7</v>
      </c>
      <c r="F45" s="102">
        <f t="shared" si="4"/>
        <v>20.13</v>
      </c>
      <c r="G45" s="103">
        <f>IF(D45=D44,"",_xlfn.IFNA(VLOOKUP(D45,'인원 입력 기능(사과탐)'!$P$177:$S$231,4,FALSE),0))</f>
        <v>1486</v>
      </c>
      <c r="H45" s="104">
        <f t="shared" si="1"/>
        <v>2.5336311401340132E-2</v>
      </c>
      <c r="I45" s="114">
        <f>SUM($G$7:G45)</f>
        <v>47589</v>
      </c>
      <c r="J45" s="106">
        <f t="shared" si="5"/>
        <v>0.81139281512676675</v>
      </c>
      <c r="K45" s="38"/>
      <c r="L45" s="20" t="str">
        <f t="shared" si="2"/>
        <v/>
      </c>
      <c r="N45" s="24"/>
    </row>
    <row r="46" spans="1:14" s="22" customFormat="1" ht="25" customHeight="1" x14ac:dyDescent="0.45">
      <c r="A46" s="20"/>
      <c r="B46" s="37"/>
      <c r="C46" s="127">
        <v>11</v>
      </c>
      <c r="D46" s="128">
        <f t="shared" si="3"/>
        <v>39</v>
      </c>
      <c r="E46" s="128">
        <f t="shared" si="6"/>
        <v>7</v>
      </c>
      <c r="F46" s="102">
        <f t="shared" si="4"/>
        <v>15.76</v>
      </c>
      <c r="G46" s="103">
        <f>IF(D46=D45,"",_xlfn.IFNA(VLOOKUP(D46,'인원 입력 기능(사과탐)'!$P$177:$S$231,4,FALSE),0))</f>
        <v>3641</v>
      </c>
      <c r="H46" s="104">
        <f t="shared" si="1"/>
        <v>6.2079077935585071E-2</v>
      </c>
      <c r="I46" s="114">
        <f>SUM($G$7:G46)</f>
        <v>51230</v>
      </c>
      <c r="J46" s="106">
        <f t="shared" si="5"/>
        <v>0.87347189306235185</v>
      </c>
      <c r="K46" s="38"/>
      <c r="L46" s="20" t="str">
        <f t="shared" si="2"/>
        <v/>
      </c>
      <c r="N46" s="24"/>
    </row>
    <row r="47" spans="1:14" s="22" customFormat="1" ht="25" customHeight="1" x14ac:dyDescent="0.45">
      <c r="A47" s="20"/>
      <c r="B47" s="37"/>
      <c r="C47" s="169">
        <v>10</v>
      </c>
      <c r="D47" s="128">
        <f t="shared" si="3"/>
        <v>38</v>
      </c>
      <c r="E47" s="128">
        <f t="shared" si="6"/>
        <v>7</v>
      </c>
      <c r="F47" s="102">
        <f t="shared" si="4"/>
        <v>11.42</v>
      </c>
      <c r="G47" s="103">
        <f>IF(D47=D46,"",_xlfn.IFNA(VLOOKUP(D47,'인원 입력 기능(사과탐)'!$P$177:$S$231,4,FALSE),0))</f>
        <v>1451</v>
      </c>
      <c r="H47" s="104">
        <f t="shared" si="1"/>
        <v>2.4739561132802509E-2</v>
      </c>
      <c r="I47" s="114">
        <f>SUM($G$7:G47)</f>
        <v>52681</v>
      </c>
      <c r="J47" s="106">
        <f t="shared" si="5"/>
        <v>0.89821145419515436</v>
      </c>
      <c r="K47" s="38"/>
      <c r="L47" s="20" t="str">
        <f t="shared" si="2"/>
        <v/>
      </c>
      <c r="N47" s="24"/>
    </row>
    <row r="48" spans="1:14" s="22" customFormat="1" ht="25" customHeight="1" x14ac:dyDescent="0.45">
      <c r="A48" s="20"/>
      <c r="B48" s="37"/>
      <c r="C48" s="127">
        <v>9</v>
      </c>
      <c r="D48" s="130">
        <f t="shared" si="3"/>
        <v>37</v>
      </c>
      <c r="E48" s="130">
        <f t="shared" si="6"/>
        <v>8</v>
      </c>
      <c r="F48" s="116">
        <f t="shared" si="4"/>
        <v>8.4</v>
      </c>
      <c r="G48" s="117">
        <f>IF(D48=D47,"",_xlfn.IFNA(VLOOKUP(D48,'인원 입력 기능(사과탐)'!$P$177:$S$231,4,FALSE),0))</f>
        <v>2087</v>
      </c>
      <c r="H48" s="118">
        <f t="shared" si="1"/>
        <v>3.5583366012514703E-2</v>
      </c>
      <c r="I48" s="119">
        <f>SUM($G$7:G48)</f>
        <v>54768</v>
      </c>
      <c r="J48" s="120">
        <f t="shared" si="5"/>
        <v>0.93379482020766913</v>
      </c>
      <c r="K48" s="38"/>
      <c r="L48" s="20" t="str">
        <f t="shared" si="2"/>
        <v>경고</v>
      </c>
      <c r="N48" s="24"/>
    </row>
    <row r="49" spans="1:14" s="22" customFormat="1" ht="25" customHeight="1" x14ac:dyDescent="0.45">
      <c r="A49" s="20"/>
      <c r="B49" s="37"/>
      <c r="C49" s="169">
        <v>8</v>
      </c>
      <c r="D49" s="132"/>
      <c r="E49" s="132"/>
      <c r="F49" s="122"/>
      <c r="G49" s="123"/>
      <c r="H49" s="124"/>
      <c r="I49" s="125"/>
      <c r="J49" s="126"/>
      <c r="K49" s="38"/>
      <c r="L49" s="20" t="str">
        <f t="shared" si="2"/>
        <v>경고</v>
      </c>
      <c r="N49" s="24"/>
    </row>
    <row r="50" spans="1:14" s="22" customFormat="1" ht="25" customHeight="1" x14ac:dyDescent="0.45">
      <c r="A50" s="20"/>
      <c r="B50" s="37"/>
      <c r="C50" s="127">
        <v>7</v>
      </c>
      <c r="D50" s="128">
        <f t="shared" si="3"/>
        <v>36</v>
      </c>
      <c r="E50" s="128">
        <f t="shared" si="6"/>
        <v>8</v>
      </c>
      <c r="F50" s="102">
        <f t="shared" si="4"/>
        <v>4.96</v>
      </c>
      <c r="G50" s="103">
        <f>IF(D50=D49,"",_xlfn.IFNA(VLOOKUP(D50,'인원 입력 기능(사과탐)'!$P$177:$S$231,4,FALSE),0))</f>
        <v>1944</v>
      </c>
      <c r="H50" s="104">
        <f t="shared" si="1"/>
        <v>3.3145214915346714E-2</v>
      </c>
      <c r="I50" s="114">
        <f>SUM($G$7:G50)</f>
        <v>56712</v>
      </c>
      <c r="J50" s="106">
        <f t="shared" si="5"/>
        <v>0.96694003512301585</v>
      </c>
      <c r="K50" s="38"/>
      <c r="L50" s="20" t="str">
        <f t="shared" si="2"/>
        <v/>
      </c>
      <c r="N50" s="24"/>
    </row>
    <row r="51" spans="1:14" s="22" customFormat="1" ht="25" customHeight="1" x14ac:dyDescent="0.45">
      <c r="A51" s="20"/>
      <c r="B51" s="37"/>
      <c r="C51" s="169">
        <v>6</v>
      </c>
      <c r="D51" s="128">
        <f t="shared" si="3"/>
        <v>35</v>
      </c>
      <c r="E51" s="128">
        <f t="shared" si="6"/>
        <v>9</v>
      </c>
      <c r="F51" s="102">
        <f t="shared" si="4"/>
        <v>2.86</v>
      </c>
      <c r="G51" s="103">
        <f>IF(D51=D50,"",_xlfn.IFNA(VLOOKUP(D51,'인원 입력 기능(사과탐)'!$P$177:$S$231,4,FALSE),0))</f>
        <v>526</v>
      </c>
      <c r="H51" s="104">
        <f t="shared" si="1"/>
        <v>8.9683040357368161E-3</v>
      </c>
      <c r="I51" s="114">
        <f>SUM($G$7:G51)</f>
        <v>57238</v>
      </c>
      <c r="J51" s="106">
        <f t="shared" si="5"/>
        <v>0.97590833915875264</v>
      </c>
      <c r="K51" s="38"/>
      <c r="L51" s="20" t="str">
        <f t="shared" si="2"/>
        <v/>
      </c>
      <c r="N51" s="24"/>
    </row>
    <row r="52" spans="1:14" s="22" customFormat="1" ht="25" customHeight="1" x14ac:dyDescent="0.45">
      <c r="A52" s="20"/>
      <c r="B52" s="37"/>
      <c r="C52" s="127">
        <v>5</v>
      </c>
      <c r="D52" s="128">
        <f t="shared" si="3"/>
        <v>34</v>
      </c>
      <c r="E52" s="128">
        <f t="shared" si="6"/>
        <v>9</v>
      </c>
      <c r="F52" s="102">
        <f t="shared" si="4"/>
        <v>1.81</v>
      </c>
      <c r="G52" s="103">
        <f>IF(D52=D51,"",_xlfn.IFNA(VLOOKUP(D52,'인원 입력 기능(사과탐)'!$P$177:$S$231,4,FALSE),0))</f>
        <v>698</v>
      </c>
      <c r="H52" s="104">
        <f t="shared" si="1"/>
        <v>1.190090535540741E-2</v>
      </c>
      <c r="I52" s="114">
        <f>SUM($G$7:G52)</f>
        <v>57936</v>
      </c>
      <c r="J52" s="106">
        <f t="shared" si="5"/>
        <v>0.98780924451416008</v>
      </c>
      <c r="K52" s="38"/>
      <c r="L52" s="20" t="str">
        <f t="shared" si="2"/>
        <v/>
      </c>
      <c r="N52" s="24"/>
    </row>
    <row r="53" spans="1:14" s="22" customFormat="1" ht="25" customHeight="1" x14ac:dyDescent="0.45">
      <c r="A53" s="20"/>
      <c r="B53" s="37"/>
      <c r="C53" s="100">
        <v>4</v>
      </c>
      <c r="D53" s="101">
        <f t="shared" si="3"/>
        <v>33</v>
      </c>
      <c r="E53" s="101">
        <f t="shared" si="6"/>
        <v>9</v>
      </c>
      <c r="F53" s="102">
        <f t="shared" si="4"/>
        <v>1</v>
      </c>
      <c r="G53" s="103">
        <f>IF(D53=D52,"",_xlfn.IFNA(VLOOKUP(D53,'인원 입력 기능(사과탐)'!$P$177:$S$231,4,FALSE),0))</f>
        <v>257</v>
      </c>
      <c r="H53" s="104">
        <f t="shared" si="1"/>
        <v>4.3818519718333872E-3</v>
      </c>
      <c r="I53" s="114">
        <f>SUM($G$7:G53)</f>
        <v>58193</v>
      </c>
      <c r="J53" s="106">
        <f t="shared" si="5"/>
        <v>0.99219109648599346</v>
      </c>
      <c r="K53" s="38"/>
      <c r="L53" s="20" t="str">
        <f t="shared" si="2"/>
        <v/>
      </c>
      <c r="N53" s="24"/>
    </row>
    <row r="54" spans="1:14" s="22" customFormat="1" ht="25" customHeight="1" x14ac:dyDescent="0.45">
      <c r="A54" s="20"/>
      <c r="B54" s="37"/>
      <c r="C54" s="107">
        <v>3</v>
      </c>
      <c r="D54" s="115">
        <f t="shared" si="3"/>
        <v>32</v>
      </c>
      <c r="E54" s="115">
        <f t="shared" si="6"/>
        <v>9</v>
      </c>
      <c r="F54" s="116">
        <f t="shared" si="4"/>
        <v>0.46</v>
      </c>
      <c r="G54" s="117">
        <f>IF(D54=D53,"",_xlfn.IFNA(VLOOKUP(D54,'인원 입력 기능(사과탐)'!$P$177:$S$231,4,FALSE),0))</f>
        <v>382</v>
      </c>
      <c r="H54" s="118">
        <f t="shared" si="1"/>
        <v>6.513102930896319E-3</v>
      </c>
      <c r="I54" s="119">
        <f>SUM($G$7:G54)</f>
        <v>58575</v>
      </c>
      <c r="J54" s="120">
        <f t="shared" si="5"/>
        <v>0.9987041994168897</v>
      </c>
      <c r="K54" s="38"/>
      <c r="L54" s="20" t="str">
        <f t="shared" si="2"/>
        <v/>
      </c>
      <c r="N54" s="24"/>
    </row>
    <row r="55" spans="1:14" s="22" customFormat="1" ht="25" customHeight="1" x14ac:dyDescent="0.45">
      <c r="A55" s="20"/>
      <c r="B55" s="37"/>
      <c r="C55" s="100">
        <v>2</v>
      </c>
      <c r="D55" s="121"/>
      <c r="E55" s="121"/>
      <c r="F55" s="122"/>
      <c r="G55" s="123"/>
      <c r="H55" s="124"/>
      <c r="I55" s="125"/>
      <c r="J55" s="126"/>
      <c r="K55" s="38"/>
      <c r="L55" s="20" t="str">
        <f t="shared" si="2"/>
        <v>경고</v>
      </c>
      <c r="N55" s="24"/>
    </row>
    <row r="56" spans="1:14" s="22" customFormat="1" ht="25" customHeight="1" x14ac:dyDescent="0.45">
      <c r="A56" s="20"/>
      <c r="B56" s="37"/>
      <c r="C56" s="107">
        <v>1</v>
      </c>
      <c r="D56" s="108" t="s">
        <v>54</v>
      </c>
      <c r="E56" s="108"/>
      <c r="F56" s="109"/>
      <c r="G56" s="170"/>
      <c r="H56" s="168"/>
      <c r="I56" s="134"/>
      <c r="J56" s="113"/>
      <c r="K56" s="38"/>
      <c r="L56" s="20"/>
      <c r="N56" s="24"/>
    </row>
    <row r="57" spans="1:14" s="22" customFormat="1" ht="25" customHeight="1" thickBot="1" x14ac:dyDescent="0.5">
      <c r="A57" s="20"/>
      <c r="B57" s="37"/>
      <c r="C57" s="171">
        <v>0</v>
      </c>
      <c r="D57" s="136">
        <f>ROUND(10*(C57-$H$3)/$H$4+50,0)</f>
        <v>30</v>
      </c>
      <c r="E57" s="172">
        <f t="shared" si="6"/>
        <v>9</v>
      </c>
      <c r="F57" s="137">
        <f>IF(I55=0,ROUND(100*(1-(I54+I57)/2/$J$3),2),ROUND(100*(1-(I55+I57)/2/$J$3),2))</f>
        <v>0.06</v>
      </c>
      <c r="G57" s="173">
        <f>_xlfn.IFNA(VLOOKUP(D57,'인원 입력 기능(사과탐)'!$P$177:$S$231,4,FALSE),0)</f>
        <v>76</v>
      </c>
      <c r="H57" s="139">
        <f>G57/$J$3</f>
        <v>1.2958005831102625E-3</v>
      </c>
      <c r="I57" s="140">
        <f>SUM($G$7:G57)</f>
        <v>58651</v>
      </c>
      <c r="J57" s="174">
        <f>I57/$J$3</f>
        <v>1</v>
      </c>
      <c r="K57" s="38"/>
      <c r="L57" s="20" t="str">
        <f t="shared" si="2"/>
        <v/>
      </c>
      <c r="N57" s="24"/>
    </row>
    <row r="58" spans="1:14" ht="6" customHeight="1" x14ac:dyDescent="0.45">
      <c r="A58" s="5"/>
      <c r="B58" s="34"/>
      <c r="C58" s="35"/>
      <c r="D58" s="35"/>
      <c r="E58" s="35"/>
      <c r="F58" s="35"/>
      <c r="G58" s="35"/>
      <c r="H58" s="35"/>
      <c r="I58" s="35"/>
      <c r="J58" s="35"/>
      <c r="K58" s="36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58">
    <mergeCell ref="I48:I49"/>
    <mergeCell ref="J48:J49"/>
    <mergeCell ref="D54:D55"/>
    <mergeCell ref="E54:E55"/>
    <mergeCell ref="F54:F55"/>
    <mergeCell ref="G54:G55"/>
    <mergeCell ref="H54:H55"/>
    <mergeCell ref="I54:I55"/>
    <mergeCell ref="J54:J55"/>
    <mergeCell ref="D48:D49"/>
    <mergeCell ref="E48:E49"/>
    <mergeCell ref="F48:F49"/>
    <mergeCell ref="G48:G49"/>
    <mergeCell ref="H48:H49"/>
    <mergeCell ref="I35:I36"/>
    <mergeCell ref="J35:J36"/>
    <mergeCell ref="D41:D42"/>
    <mergeCell ref="E41:E42"/>
    <mergeCell ref="F41:F42"/>
    <mergeCell ref="G41:G42"/>
    <mergeCell ref="H41:H42"/>
    <mergeCell ref="I41:I42"/>
    <mergeCell ref="J41:J42"/>
    <mergeCell ref="D35:D36"/>
    <mergeCell ref="E35:E36"/>
    <mergeCell ref="F35:F36"/>
    <mergeCell ref="G35:G36"/>
    <mergeCell ref="H35:H36"/>
    <mergeCell ref="I23:I24"/>
    <mergeCell ref="J23:J24"/>
    <mergeCell ref="D29:D30"/>
    <mergeCell ref="E29:E30"/>
    <mergeCell ref="F29:F30"/>
    <mergeCell ref="G29:G30"/>
    <mergeCell ref="H29:H30"/>
    <mergeCell ref="I29:I30"/>
    <mergeCell ref="J29:J30"/>
    <mergeCell ref="D23:D24"/>
    <mergeCell ref="E23:E24"/>
    <mergeCell ref="F23:F24"/>
    <mergeCell ref="G23:G24"/>
    <mergeCell ref="H23:H24"/>
    <mergeCell ref="G11:G12"/>
    <mergeCell ref="H11:H12"/>
    <mergeCell ref="I11:I12"/>
    <mergeCell ref="J11:J12"/>
    <mergeCell ref="D17:D18"/>
    <mergeCell ref="E17:E18"/>
    <mergeCell ref="F17:F18"/>
    <mergeCell ref="G17:G18"/>
    <mergeCell ref="H17:H18"/>
    <mergeCell ref="I17:I18"/>
    <mergeCell ref="J17:J18"/>
    <mergeCell ref="D3:F3"/>
    <mergeCell ref="D4:F4"/>
    <mergeCell ref="D11:D12"/>
    <mergeCell ref="E11:E12"/>
    <mergeCell ref="F11:F12"/>
  </mergeCells>
  <phoneticPr fontId="1" type="noConversion"/>
  <conditionalFormatting sqref="D7:G11 I7:J11 D13:G17 I13:J17 D19:G23 I19:J23 D25:G29 I25:J29 D31:G35 I31:J35 D37:G41 I37:J41 D43:G48 I43:J48 D50:G54 I50:J54 D56:G57 I56:J57">
    <cfRule type="expression" dxfId="3" priority="4">
      <formula>OR($D7=$Q$7:$Q$14)</formula>
    </cfRule>
  </conditionalFormatting>
  <conditionalFormatting sqref="C7:C57">
    <cfRule type="expression" dxfId="2" priority="3">
      <formula>OR(AND($D7=0,OR($D6=$Q$7:$Q$14)),AND($D8&gt;0,OR($D7=$Q$7:$Q$14)))</formula>
    </cfRule>
  </conditionalFormatting>
  <conditionalFormatting sqref="D7:D11 D13:D17 D19:D23 D25:D29 D31:D35 D37:D41 D43:D48 D50:D54 D56:D57">
    <cfRule type="expression" dxfId="1" priority="2">
      <formula>$D7=$D8</formula>
    </cfRule>
  </conditionalFormatting>
  <conditionalFormatting sqref="H7:H11 H13:H17 H19:H23 H25:H29 H31:H35 H37:H41 H43:H48 H50:H54 H56:H57">
    <cfRule type="expression" dxfId="0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C053E8-AF8B-41CE-8FC2-7AB369CF160E}">
  <sheetPr codeName="Sheet29">
    <tabColor rgb="FF00B050"/>
    <pageSetUpPr fitToPage="1"/>
  </sheetPr>
  <dimension ref="A1:M40"/>
  <sheetViews>
    <sheetView zoomScale="85" zoomScaleNormal="85" workbookViewId="0">
      <selection activeCell="H13" sqref="H13"/>
    </sheetView>
  </sheetViews>
  <sheetFormatPr defaultRowHeight="17" x14ac:dyDescent="0.45"/>
  <cols>
    <col min="1" max="1" width="8.6640625" style="5"/>
    <col min="2" max="2" width="1" customWidth="1"/>
    <col min="3" max="3" width="11.4140625" style="18" customWidth="1"/>
    <col min="4" max="11" width="12.4140625" style="1" customWidth="1"/>
    <col min="12" max="12" width="12.4140625" customWidth="1"/>
    <col min="13" max="13" width="1" customWidth="1"/>
  </cols>
  <sheetData>
    <row r="1" spans="1:13" s="5" customFormat="1" x14ac:dyDescent="0.45">
      <c r="A1" s="5" t="s">
        <v>66</v>
      </c>
      <c r="C1" s="17"/>
      <c r="D1" s="3"/>
      <c r="E1" s="3"/>
      <c r="F1" s="3"/>
      <c r="G1" s="3"/>
      <c r="H1" s="3"/>
      <c r="I1" s="3"/>
      <c r="J1" s="3"/>
      <c r="K1" s="3"/>
    </row>
    <row r="2" spans="1:13" x14ac:dyDescent="0.45">
      <c r="B2" s="5"/>
      <c r="C2" s="17"/>
      <c r="D2" s="3"/>
      <c r="E2" s="3"/>
      <c r="F2" s="3"/>
      <c r="G2" s="3"/>
      <c r="H2" s="3"/>
      <c r="I2" s="3"/>
      <c r="J2" s="3"/>
      <c r="K2" s="3"/>
      <c r="L2" s="5"/>
      <c r="M2" s="5"/>
    </row>
    <row r="3" spans="1:13" ht="6" customHeight="1" thickBot="1" x14ac:dyDescent="0.5">
      <c r="B3" s="27"/>
      <c r="C3" s="41"/>
      <c r="D3" s="42"/>
      <c r="E3" s="42"/>
      <c r="F3" s="42"/>
      <c r="G3" s="42"/>
      <c r="H3" s="42"/>
      <c r="I3" s="42"/>
      <c r="J3" s="42"/>
      <c r="K3" s="42"/>
      <c r="L3" s="28"/>
      <c r="M3" s="29"/>
    </row>
    <row r="4" spans="1:13" ht="25" customHeight="1" x14ac:dyDescent="0.45">
      <c r="B4" s="30"/>
      <c r="C4" s="84" t="s">
        <v>122</v>
      </c>
      <c r="D4" s="176" t="s">
        <v>67</v>
      </c>
      <c r="E4" s="176"/>
      <c r="F4" s="176"/>
      <c r="G4" s="177"/>
      <c r="H4" s="32"/>
      <c r="I4" s="32"/>
      <c r="J4" s="32"/>
      <c r="K4" s="32"/>
      <c r="L4" s="33"/>
      <c r="M4" s="31"/>
    </row>
    <row r="5" spans="1:13" ht="25" customHeight="1" thickBot="1" x14ac:dyDescent="0.5">
      <c r="B5" s="30"/>
      <c r="C5" s="90" t="s">
        <v>158</v>
      </c>
      <c r="D5" s="178" t="s">
        <v>159</v>
      </c>
      <c r="E5" s="178"/>
      <c r="F5" s="178"/>
      <c r="G5" s="179"/>
      <c r="H5" s="32"/>
      <c r="I5" s="32"/>
      <c r="J5" s="32"/>
      <c r="K5" s="32"/>
      <c r="L5" s="33"/>
      <c r="M5" s="31"/>
    </row>
    <row r="6" spans="1:13" ht="25" customHeight="1" x14ac:dyDescent="0.45">
      <c r="B6" s="30"/>
      <c r="C6" s="32"/>
      <c r="D6" s="32"/>
      <c r="E6" s="32"/>
      <c r="F6" s="32"/>
      <c r="G6" s="32"/>
      <c r="H6" s="32"/>
      <c r="I6" s="32"/>
      <c r="J6" s="32"/>
      <c r="K6" s="32"/>
      <c r="L6" s="33"/>
      <c r="M6" s="31"/>
    </row>
    <row r="7" spans="1:13" ht="25" customHeight="1" thickBot="1" x14ac:dyDescent="0.5">
      <c r="B7" s="30"/>
      <c r="C7" s="32"/>
      <c r="D7" s="32"/>
      <c r="E7" s="32"/>
      <c r="F7" s="32"/>
      <c r="G7" s="32"/>
      <c r="H7" s="32"/>
      <c r="I7" s="32"/>
      <c r="J7" s="32"/>
      <c r="K7" s="32"/>
      <c r="L7" s="33"/>
      <c r="M7" s="31"/>
    </row>
    <row r="8" spans="1:13" s="26" customFormat="1" ht="25" customHeight="1" thickBot="1" x14ac:dyDescent="0.5">
      <c r="A8" s="25"/>
      <c r="B8" s="43"/>
      <c r="C8" s="180" t="s">
        <v>160</v>
      </c>
      <c r="D8" s="181" t="s">
        <v>161</v>
      </c>
      <c r="E8" s="182" t="s">
        <v>162</v>
      </c>
      <c r="F8" s="183"/>
      <c r="G8" s="183"/>
      <c r="H8" s="183"/>
      <c r="I8" s="183"/>
      <c r="J8" s="183"/>
      <c r="K8" s="183"/>
      <c r="L8" s="184"/>
      <c r="M8" s="44"/>
    </row>
    <row r="9" spans="1:13" s="26" customFormat="1" ht="25" customHeight="1" x14ac:dyDescent="0.45">
      <c r="A9" s="25"/>
      <c r="B9" s="43"/>
      <c r="C9" s="185" t="s">
        <v>163</v>
      </c>
      <c r="D9" s="186">
        <f>ROUNDUP((국어!$Q7-0.5-100)/20*국어!$H$4+국어!$H$3, 0)</f>
        <v>91</v>
      </c>
      <c r="E9" s="187">
        <f>ROUNDUP((수학!$Q7-0.5-100)/20*수학!$H$4+수학!$H$3, 0)</f>
        <v>84</v>
      </c>
      <c r="F9" s="183"/>
      <c r="G9" s="183"/>
      <c r="H9" s="183"/>
      <c r="I9" s="183"/>
      <c r="J9" s="183"/>
      <c r="K9" s="183"/>
      <c r="L9" s="184"/>
      <c r="M9" s="44"/>
    </row>
    <row r="10" spans="1:13" s="26" customFormat="1" ht="25" customHeight="1" x14ac:dyDescent="0.45">
      <c r="A10" s="25"/>
      <c r="B10" s="43"/>
      <c r="C10" s="188" t="s">
        <v>164</v>
      </c>
      <c r="D10" s="169">
        <f>ROUNDUP((국어!$Q8-0.5-100)/20*국어!$H$4+국어!$H$3, 0)</f>
        <v>83</v>
      </c>
      <c r="E10" s="189">
        <f>ROUNDUP((수학!$Q8-0.5-100)/20*수학!$H$4+수학!$H$3, 0)</f>
        <v>74</v>
      </c>
      <c r="F10" s="183"/>
      <c r="G10" s="183"/>
      <c r="H10" s="183"/>
      <c r="I10" s="183"/>
      <c r="J10" s="183"/>
      <c r="K10" s="183"/>
      <c r="L10" s="184"/>
      <c r="M10" s="44"/>
    </row>
    <row r="11" spans="1:13" s="26" customFormat="1" ht="25" customHeight="1" x14ac:dyDescent="0.45">
      <c r="A11" s="25"/>
      <c r="B11" s="43"/>
      <c r="C11" s="188" t="s">
        <v>165</v>
      </c>
      <c r="D11" s="169">
        <f>ROUNDUP((국어!$Q9-0.5-100)/20*국어!$H$4+국어!$H$3, 0)</f>
        <v>73</v>
      </c>
      <c r="E11" s="189">
        <f>ROUNDUP((수학!$Q9-0.5-100)/20*수학!$H$4+수학!$H$3, 0)</f>
        <v>63</v>
      </c>
      <c r="F11" s="183"/>
      <c r="G11" s="183"/>
      <c r="H11" s="183"/>
      <c r="I11" s="183"/>
      <c r="J11" s="183"/>
      <c r="K11" s="183"/>
      <c r="L11" s="184"/>
      <c r="M11" s="44"/>
    </row>
    <row r="12" spans="1:13" s="26" customFormat="1" ht="25" customHeight="1" x14ac:dyDescent="0.45">
      <c r="A12" s="25"/>
      <c r="B12" s="43"/>
      <c r="C12" s="188" t="s">
        <v>166</v>
      </c>
      <c r="D12" s="169">
        <f>ROUNDUP((국어!$Q10-0.5-100)/20*국어!$H$4+국어!$H$3, 0)</f>
        <v>61</v>
      </c>
      <c r="E12" s="189">
        <f>ROUNDUP((수학!$Q10-0.5-100)/20*수학!$H$4+수학!$H$3, 0)</f>
        <v>49</v>
      </c>
      <c r="F12" s="183"/>
      <c r="G12" s="183"/>
      <c r="H12" s="183"/>
      <c r="I12" s="183"/>
      <c r="J12" s="183"/>
      <c r="K12" s="183"/>
      <c r="L12" s="184"/>
      <c r="M12" s="44"/>
    </row>
    <row r="13" spans="1:13" s="26" customFormat="1" ht="25" customHeight="1" x14ac:dyDescent="0.45">
      <c r="A13" s="25"/>
      <c r="B13" s="43"/>
      <c r="C13" s="188" t="s">
        <v>167</v>
      </c>
      <c r="D13" s="169">
        <f>ROUNDUP((국어!$Q11-0.5-100)/20*국어!$H$4+국어!$H$3, 0)</f>
        <v>46</v>
      </c>
      <c r="E13" s="189">
        <f>ROUNDUP((수학!$Q11-0.5-100)/20*수학!$H$4+수학!$H$3, 0)</f>
        <v>31</v>
      </c>
      <c r="F13" s="183"/>
      <c r="G13" s="183"/>
      <c r="H13" s="183"/>
      <c r="I13" s="183"/>
      <c r="J13" s="183"/>
      <c r="K13" s="183"/>
      <c r="L13" s="184"/>
      <c r="M13" s="44"/>
    </row>
    <row r="14" spans="1:13" s="26" customFormat="1" ht="25" customHeight="1" x14ac:dyDescent="0.45">
      <c r="A14" s="25"/>
      <c r="B14" s="43"/>
      <c r="C14" s="188" t="s">
        <v>168</v>
      </c>
      <c r="D14" s="169">
        <f>ROUNDUP((국어!$Q12-0.5-100)/20*국어!$H$4+국어!$H$3, 0)</f>
        <v>32</v>
      </c>
      <c r="E14" s="189">
        <f>ROUNDUP((수학!$Q12-0.5-100)/20*수학!$H$4+수학!$H$3, 0)</f>
        <v>16</v>
      </c>
      <c r="F14" s="183"/>
      <c r="G14" s="183"/>
      <c r="H14" s="183"/>
      <c r="I14" s="183"/>
      <c r="J14" s="183"/>
      <c r="K14" s="183"/>
      <c r="L14" s="184"/>
      <c r="M14" s="44"/>
    </row>
    <row r="15" spans="1:13" s="26" customFormat="1" ht="25" customHeight="1" x14ac:dyDescent="0.45">
      <c r="A15" s="25"/>
      <c r="B15" s="43"/>
      <c r="C15" s="188" t="s">
        <v>169</v>
      </c>
      <c r="D15" s="169">
        <f>ROUNDUP((국어!$Q13-0.5-100)/20*국어!$H$4+국어!$H$3, 0)</f>
        <v>21</v>
      </c>
      <c r="E15" s="189">
        <f>ROUNDUP((수학!$Q13-0.5-100)/20*수학!$H$4+수학!$H$3, 0)</f>
        <v>13</v>
      </c>
      <c r="F15" s="183"/>
      <c r="G15" s="183"/>
      <c r="H15" s="183"/>
      <c r="I15" s="183"/>
      <c r="J15" s="183"/>
      <c r="K15" s="183"/>
      <c r="L15" s="184"/>
      <c r="M15" s="44"/>
    </row>
    <row r="16" spans="1:13" s="26" customFormat="1" ht="25" customHeight="1" thickBot="1" x14ac:dyDescent="0.5">
      <c r="A16" s="25"/>
      <c r="B16" s="43"/>
      <c r="C16" s="190" t="s">
        <v>170</v>
      </c>
      <c r="D16" s="191">
        <f>ROUNDUP((국어!$Q14-0.5-100)/20*국어!$H$4+국어!$H$3, 0)</f>
        <v>18</v>
      </c>
      <c r="E16" s="192">
        <f>ROUNDUP((수학!$Q14-0.5-100)/20*수학!$H$4+수학!$H$3, 0)</f>
        <v>9</v>
      </c>
      <c r="F16" s="183"/>
      <c r="G16" s="183"/>
      <c r="H16" s="183"/>
      <c r="I16" s="183"/>
      <c r="J16" s="183"/>
      <c r="K16" s="183"/>
      <c r="L16" s="184"/>
      <c r="M16" s="44"/>
    </row>
    <row r="17" spans="1:13" s="26" customFormat="1" ht="25" customHeight="1" x14ac:dyDescent="0.45">
      <c r="A17" s="25"/>
      <c r="B17" s="43"/>
      <c r="C17" s="183"/>
      <c r="D17" s="183"/>
      <c r="E17" s="183"/>
      <c r="F17" s="183"/>
      <c r="G17" s="183"/>
      <c r="H17" s="183"/>
      <c r="I17" s="183"/>
      <c r="J17" s="183"/>
      <c r="K17" s="183"/>
      <c r="L17" s="184"/>
      <c r="M17" s="44"/>
    </row>
    <row r="18" spans="1:13" s="26" customFormat="1" ht="25" customHeight="1" thickBot="1" x14ac:dyDescent="0.5">
      <c r="A18" s="25"/>
      <c r="B18" s="43"/>
      <c r="C18" s="183"/>
      <c r="D18" s="183"/>
      <c r="E18" s="183"/>
      <c r="F18" s="183"/>
      <c r="G18" s="183"/>
      <c r="H18" s="183"/>
      <c r="I18" s="183"/>
      <c r="J18" s="183"/>
      <c r="K18" s="183"/>
      <c r="L18" s="184"/>
      <c r="M18" s="44"/>
    </row>
    <row r="19" spans="1:13" s="26" customFormat="1" ht="25" customHeight="1" thickBot="1" x14ac:dyDescent="0.5">
      <c r="A19" s="25"/>
      <c r="B19" s="43"/>
      <c r="C19" s="193" t="s">
        <v>171</v>
      </c>
      <c r="D19" s="194" t="s">
        <v>172</v>
      </c>
      <c r="E19" s="195" t="s">
        <v>173</v>
      </c>
      <c r="F19" s="195" t="s">
        <v>174</v>
      </c>
      <c r="G19" s="195" t="s">
        <v>175</v>
      </c>
      <c r="H19" s="195" t="s">
        <v>176</v>
      </c>
      <c r="I19" s="195" t="s">
        <v>177</v>
      </c>
      <c r="J19" s="195" t="s">
        <v>178</v>
      </c>
      <c r="K19" s="195" t="s">
        <v>179</v>
      </c>
      <c r="L19" s="182" t="s">
        <v>180</v>
      </c>
      <c r="M19" s="44"/>
    </row>
    <row r="20" spans="1:13" s="26" customFormat="1" ht="25" customHeight="1" x14ac:dyDescent="0.45">
      <c r="A20" s="25"/>
      <c r="B20" s="43"/>
      <c r="C20" s="196" t="s">
        <v>163</v>
      </c>
      <c r="D20" s="169">
        <f>ROUNDUP(('생활과 윤리'!$Q7-0.5-50)/10*'생활과 윤리'!$H$4+'생활과 윤리'!$H$3, 0)</f>
        <v>43</v>
      </c>
      <c r="E20" s="128">
        <f>ROUNDUP(('윤리와 사상'!$Q7-0.5-50)/10*'윤리와 사상'!$H$4+'윤리와 사상'!$H$3, 0)</f>
        <v>45</v>
      </c>
      <c r="F20" s="128">
        <f>ROUNDUP((한국지리!$Q7-0.5-50)/10*한국지리!$H$4+한국지리!$H$3, 0)</f>
        <v>45</v>
      </c>
      <c r="G20" s="128">
        <f>ROUNDUP((세계지리!$Q7-0.5-50)/10*세계지리!$H$4+세계지리!$H$3, 0)</f>
        <v>41</v>
      </c>
      <c r="H20" s="128">
        <f>ROUNDUP((동아시아사!$Q7-0.5-50)/10*동아시아사!$H$4+동아시아사!$H$3, 0)</f>
        <v>47</v>
      </c>
      <c r="I20" s="128">
        <f>ROUNDUP((세계사!$Q7-0.5-50)/10*세계사!$H$4+세계사!$H$3, 0)</f>
        <v>47</v>
      </c>
      <c r="J20" s="128">
        <f>ROUNDUP((경제!$Q7-0.5-50)/10*경제!$H$4+경제!$H$3, 0)</f>
        <v>47</v>
      </c>
      <c r="K20" s="128">
        <f>ROUNDUP(('정치와 법'!$Q7-0.5-50)/10*'정치와 법'!$H$4+'정치와 법'!$H$3, 0)</f>
        <v>44</v>
      </c>
      <c r="L20" s="197">
        <f>ROUNDUP((사회∙문화!$Q7-0.5-50)/10*사회∙문화!$H$4+사회∙문화!$H$3, 0)</f>
        <v>48</v>
      </c>
      <c r="M20" s="44"/>
    </row>
    <row r="21" spans="1:13" s="26" customFormat="1" ht="25" customHeight="1" x14ac:dyDescent="0.45">
      <c r="A21" s="25"/>
      <c r="B21" s="43"/>
      <c r="C21" s="198" t="s">
        <v>164</v>
      </c>
      <c r="D21" s="127">
        <f>ROUNDUP(('생활과 윤리'!$Q8-0.5-50)/10*'생활과 윤리'!$H$4+'생활과 윤리'!$H$3, 0)</f>
        <v>38</v>
      </c>
      <c r="E21" s="199">
        <f>ROUNDUP(('윤리와 사상'!$Q8-0.5-50)/10*'윤리와 사상'!$H$4+'윤리와 사상'!$H$3, 0)</f>
        <v>41</v>
      </c>
      <c r="F21" s="199">
        <f>ROUNDUP((한국지리!$Q8-0.5-50)/10*한국지리!$H$4+한국지리!$H$3, 0)</f>
        <v>41</v>
      </c>
      <c r="G21" s="199">
        <f>ROUNDUP((세계지리!$Q8-0.5-50)/10*세계지리!$H$4+세계지리!$H$3, 0)</f>
        <v>35</v>
      </c>
      <c r="H21" s="199">
        <f>ROUNDUP((동아시아사!$Q8-0.5-50)/10*동아시아사!$H$4+동아시아사!$H$3, 0)</f>
        <v>42</v>
      </c>
      <c r="I21" s="199">
        <f>ROUNDUP((세계사!$Q8-0.5-50)/10*세계사!$H$4+세계사!$H$3, 0)</f>
        <v>40</v>
      </c>
      <c r="J21" s="199">
        <f>ROUNDUP((경제!$Q8-0.5-50)/10*경제!$H$4+경제!$H$3, 0)</f>
        <v>41</v>
      </c>
      <c r="K21" s="199">
        <f>ROUNDUP(('정치와 법'!$Q8-0.5-50)/10*'정치와 법'!$H$4+'정치와 법'!$H$3, 0)</f>
        <v>38</v>
      </c>
      <c r="L21" s="200">
        <f>ROUNDUP((사회∙문화!$Q8-0.5-50)/10*사회∙문화!$H$4+사회∙문화!$H$3, 0)</f>
        <v>44</v>
      </c>
      <c r="M21" s="44"/>
    </row>
    <row r="22" spans="1:13" s="26" customFormat="1" ht="25" customHeight="1" x14ac:dyDescent="0.45">
      <c r="A22" s="25"/>
      <c r="B22" s="43"/>
      <c r="C22" s="198" t="s">
        <v>165</v>
      </c>
      <c r="D22" s="127">
        <f>ROUNDUP(('생활과 윤리'!$Q9-0.5-50)/10*'생활과 윤리'!$H$4+'생활과 윤리'!$H$3, 0)</f>
        <v>34</v>
      </c>
      <c r="E22" s="199">
        <f>ROUNDUP(('윤리와 사상'!$Q9-0.5-50)/10*'윤리와 사상'!$H$4+'윤리와 사상'!$H$3, 0)</f>
        <v>35</v>
      </c>
      <c r="F22" s="199">
        <f>ROUNDUP((한국지리!$Q9-0.5-50)/10*한국지리!$H$4+한국지리!$H$3, 0)</f>
        <v>36</v>
      </c>
      <c r="G22" s="199">
        <f>ROUNDUP((세계지리!$Q9-0.5-50)/10*세계지리!$H$4+세계지리!$H$3, 0)</f>
        <v>29</v>
      </c>
      <c r="H22" s="199">
        <f>ROUNDUP((동아시아사!$Q9-0.5-50)/10*동아시아사!$H$4+동아시아사!$H$3, 0)</f>
        <v>34</v>
      </c>
      <c r="I22" s="199">
        <f>ROUNDUP((세계사!$Q9-0.5-50)/10*세계사!$H$4+세계사!$H$3, 0)</f>
        <v>31</v>
      </c>
      <c r="J22" s="199">
        <f>ROUNDUP((경제!$Q9-0.5-50)/10*경제!$H$4+경제!$H$3, 0)</f>
        <v>34</v>
      </c>
      <c r="K22" s="199">
        <f>ROUNDUP(('정치와 법'!$Q9-0.5-50)/10*'정치와 법'!$H$4+'정치와 법'!$H$3, 0)</f>
        <v>31</v>
      </c>
      <c r="L22" s="200">
        <f>ROUNDUP((사회∙문화!$Q9-0.5-50)/10*사회∙문화!$H$4+사회∙문화!$H$3, 0)</f>
        <v>38</v>
      </c>
      <c r="M22" s="44"/>
    </row>
    <row r="23" spans="1:13" s="26" customFormat="1" ht="25" customHeight="1" x14ac:dyDescent="0.45">
      <c r="A23" s="25"/>
      <c r="B23" s="43"/>
      <c r="C23" s="198" t="s">
        <v>166</v>
      </c>
      <c r="D23" s="127">
        <f>ROUNDUP(('생활과 윤리'!$Q10-0.5-50)/10*'생활과 윤리'!$H$4+'생활과 윤리'!$H$3, 0)</f>
        <v>29</v>
      </c>
      <c r="E23" s="199">
        <f>ROUNDUP(('윤리와 사상'!$Q10-0.5-50)/10*'윤리와 사상'!$H$4+'윤리와 사상'!$H$3, 0)</f>
        <v>28</v>
      </c>
      <c r="F23" s="199">
        <f>ROUNDUP((한국지리!$Q10-0.5-50)/10*한국지리!$H$4+한국지리!$H$3, 0)</f>
        <v>30</v>
      </c>
      <c r="G23" s="199">
        <f>ROUNDUP((세계지리!$Q10-0.5-50)/10*세계지리!$H$4+세계지리!$H$3, 0)</f>
        <v>23</v>
      </c>
      <c r="H23" s="199">
        <f>ROUNDUP((동아시아사!$Q10-0.5-50)/10*동아시아사!$H$4+동아시아사!$H$3, 0)</f>
        <v>25</v>
      </c>
      <c r="I23" s="199">
        <f>ROUNDUP((세계사!$Q10-0.5-50)/10*세계사!$H$4+세계사!$H$3, 0)</f>
        <v>21</v>
      </c>
      <c r="J23" s="199">
        <f>ROUNDUP((경제!$Q10-0.5-50)/10*경제!$H$4+경제!$H$3, 0)</f>
        <v>27</v>
      </c>
      <c r="K23" s="199">
        <f>ROUNDUP(('정치와 법'!$Q10-0.5-50)/10*'정치와 법'!$H$4+'정치와 법'!$H$3, 0)</f>
        <v>25</v>
      </c>
      <c r="L23" s="200">
        <f>ROUNDUP((사회∙문화!$Q10-0.5-50)/10*사회∙문화!$H$4+사회∙문화!$H$3, 0)</f>
        <v>30</v>
      </c>
      <c r="M23" s="44"/>
    </row>
    <row r="24" spans="1:13" s="26" customFormat="1" ht="25" customHeight="1" x14ac:dyDescent="0.45">
      <c r="A24" s="25"/>
      <c r="B24" s="43"/>
      <c r="C24" s="198" t="s">
        <v>167</v>
      </c>
      <c r="D24" s="127">
        <f>ROUNDUP(('생활과 윤리'!$Q11-0.5-50)/10*'생활과 윤리'!$H$4+'생활과 윤리'!$H$3, 0)</f>
        <v>23</v>
      </c>
      <c r="E24" s="199">
        <f>ROUNDUP(('윤리와 사상'!$Q11-0.5-50)/10*'윤리와 사상'!$H$4+'윤리와 사상'!$H$3, 0)</f>
        <v>20</v>
      </c>
      <c r="F24" s="199">
        <f>ROUNDUP((한국지리!$Q11-0.5-50)/10*한국지리!$H$4+한국지리!$H$3, 0)</f>
        <v>22</v>
      </c>
      <c r="G24" s="199">
        <f>ROUNDUP((세계지리!$Q11-0.5-50)/10*세계지리!$H$4+세계지리!$H$3, 0)</f>
        <v>17</v>
      </c>
      <c r="H24" s="199">
        <f>ROUNDUP((동아시아사!$Q11-0.5-50)/10*동아시아사!$H$4+동아시아사!$H$3, 0)</f>
        <v>16</v>
      </c>
      <c r="I24" s="199">
        <f>ROUNDUP((세계사!$Q11-0.5-50)/10*세계사!$H$4+세계사!$H$3, 0)</f>
        <v>15</v>
      </c>
      <c r="J24" s="199">
        <f>ROUNDUP((경제!$Q11-0.5-50)/10*경제!$H$4+경제!$H$3, 0)</f>
        <v>19</v>
      </c>
      <c r="K24" s="199">
        <f>ROUNDUP(('정치와 법'!$Q11-0.5-50)/10*'정치와 법'!$H$4+'정치와 법'!$H$3, 0)</f>
        <v>19</v>
      </c>
      <c r="L24" s="200">
        <f>ROUNDUP((사회∙문화!$Q11-0.5-50)/10*사회∙문화!$H$4+사회∙문화!$H$3, 0)</f>
        <v>23</v>
      </c>
      <c r="M24" s="44"/>
    </row>
    <row r="25" spans="1:13" s="26" customFormat="1" ht="25" customHeight="1" x14ac:dyDescent="0.45">
      <c r="A25" s="25"/>
      <c r="B25" s="43"/>
      <c r="C25" s="198" t="s">
        <v>168</v>
      </c>
      <c r="D25" s="127">
        <f>ROUNDUP(('생활과 윤리'!$Q12-0.5-50)/10*'생활과 윤리'!$H$4+'생활과 윤리'!$H$3, 0)</f>
        <v>14</v>
      </c>
      <c r="E25" s="199">
        <f>ROUNDUP(('윤리와 사상'!$Q12-0.5-50)/10*'윤리와 사상'!$H$4+'윤리와 사상'!$H$3, 0)</f>
        <v>12</v>
      </c>
      <c r="F25" s="199">
        <f>ROUNDUP((한국지리!$Q12-0.5-50)/10*한국지리!$H$4+한국지리!$H$3, 0)</f>
        <v>15</v>
      </c>
      <c r="G25" s="199">
        <f>ROUNDUP((세계지리!$Q12-0.5-50)/10*세계지리!$H$4+세계지리!$H$3, 0)</f>
        <v>12</v>
      </c>
      <c r="H25" s="199">
        <f>ROUNDUP((동아시아사!$Q12-0.5-50)/10*동아시아사!$H$4+동아시아사!$H$3, 0)</f>
        <v>12</v>
      </c>
      <c r="I25" s="199">
        <f>ROUNDUP((세계사!$Q12-0.5-50)/10*세계사!$H$4+세계사!$H$3, 0)</f>
        <v>11</v>
      </c>
      <c r="J25" s="199">
        <f>ROUNDUP((경제!$Q12-0.5-50)/10*경제!$H$4+경제!$H$3, 0)</f>
        <v>12</v>
      </c>
      <c r="K25" s="199">
        <f>ROUNDUP(('정치와 법'!$Q12-0.5-50)/10*'정치와 법'!$H$4+'정치와 법'!$H$3, 0)</f>
        <v>14</v>
      </c>
      <c r="L25" s="200">
        <f>ROUNDUP((사회∙문화!$Q12-0.5-50)/10*사회∙문화!$H$4+사회∙문화!$H$3, 0)</f>
        <v>14</v>
      </c>
      <c r="M25" s="44"/>
    </row>
    <row r="26" spans="1:13" s="26" customFormat="1" ht="25" customHeight="1" x14ac:dyDescent="0.45">
      <c r="A26" s="25"/>
      <c r="B26" s="43"/>
      <c r="C26" s="198" t="s">
        <v>169</v>
      </c>
      <c r="D26" s="127">
        <f>ROUNDUP(('생활과 윤리'!$Q13-0.5-50)/10*'생활과 윤리'!$H$4+'생활과 윤리'!$H$3, 0)</f>
        <v>9</v>
      </c>
      <c r="E26" s="199">
        <f>ROUNDUP(('윤리와 사상'!$Q13-0.5-50)/10*'윤리와 사상'!$H$4+'윤리와 사상'!$H$3, 0)</f>
        <v>10</v>
      </c>
      <c r="F26" s="199">
        <f>ROUNDUP((한국지리!$Q13-0.5-50)/10*한국지리!$H$4+한국지리!$H$3, 0)</f>
        <v>11</v>
      </c>
      <c r="G26" s="199">
        <f>ROUNDUP((세계지리!$Q13-0.5-50)/10*세계지리!$H$4+세계지리!$H$3, 0)</f>
        <v>8</v>
      </c>
      <c r="H26" s="199">
        <f>ROUNDUP((동아시아사!$Q13-0.5-50)/10*동아시아사!$H$4+동아시아사!$H$3, 0)</f>
        <v>7</v>
      </c>
      <c r="I26" s="199">
        <f>ROUNDUP((세계사!$Q13-0.5-50)/10*세계사!$H$4+세계사!$H$3, 0)</f>
        <v>8</v>
      </c>
      <c r="J26" s="199">
        <f>ROUNDUP((경제!$Q13-0.5-50)/10*경제!$H$4+경제!$H$3, 0)</f>
        <v>8</v>
      </c>
      <c r="K26" s="199">
        <f>ROUNDUP(('정치와 법'!$Q13-0.5-50)/10*'정치와 법'!$H$4+'정치와 법'!$H$3, 0)</f>
        <v>10</v>
      </c>
      <c r="L26" s="200">
        <f>ROUNDUP((사회∙문화!$Q13-0.5-50)/10*사회∙문화!$H$4+사회∙문화!$H$3, 0)</f>
        <v>11</v>
      </c>
      <c r="M26" s="44"/>
    </row>
    <row r="27" spans="1:13" s="26" customFormat="1" ht="25" customHeight="1" thickBot="1" x14ac:dyDescent="0.5">
      <c r="A27" s="25"/>
      <c r="B27" s="43"/>
      <c r="C27" s="201" t="s">
        <v>170</v>
      </c>
      <c r="D27" s="202">
        <f>ROUNDUP(('생활과 윤리'!$Q14-0.5-50)/10*'생활과 윤리'!$H$4+'생활과 윤리'!$H$3, 0)</f>
        <v>7</v>
      </c>
      <c r="E27" s="203">
        <f>ROUNDUP(('윤리와 사상'!$Q14-0.5-50)/10*'윤리와 사상'!$H$4+'윤리와 사상'!$H$3, 0)</f>
        <v>6</v>
      </c>
      <c r="F27" s="203">
        <f>ROUNDUP((한국지리!$Q14-0.5-50)/10*한국지리!$H$4+한국지리!$H$3, 0)</f>
        <v>7</v>
      </c>
      <c r="G27" s="203">
        <f>ROUNDUP((세계지리!$Q14-0.5-50)/10*세계지리!$H$4+세계지리!$H$3, 0)</f>
        <v>6</v>
      </c>
      <c r="H27" s="203">
        <f>ROUNDUP((동아시아사!$Q14-0.5-50)/10*동아시아사!$H$4+동아시아사!$H$3, 0)</f>
        <v>6</v>
      </c>
      <c r="I27" s="203">
        <f>ROUNDUP((세계사!$Q14-0.5-50)/10*세계사!$H$4+세계사!$H$3, 0)</f>
        <v>6</v>
      </c>
      <c r="J27" s="203">
        <f>ROUNDUP((경제!$Q14-0.5-50)/10*경제!$H$4+경제!$H$3, 0)</f>
        <v>5</v>
      </c>
      <c r="K27" s="203">
        <f>ROUNDUP(('정치와 법'!$Q14-0.5-50)/10*'정치와 법'!$H$4+'정치와 법'!$H$3, 0)</f>
        <v>7</v>
      </c>
      <c r="L27" s="204">
        <f>ROUNDUP((사회∙문화!$Q14-0.5-50)/10*사회∙문화!$H$4+사회∙문화!$H$3, 0)</f>
        <v>8</v>
      </c>
      <c r="M27" s="44"/>
    </row>
    <row r="28" spans="1:13" s="26" customFormat="1" ht="25" customHeight="1" x14ac:dyDescent="0.45">
      <c r="A28" s="25"/>
      <c r="B28" s="43"/>
      <c r="C28" s="183"/>
      <c r="D28" s="183"/>
      <c r="E28" s="183"/>
      <c r="F28" s="183"/>
      <c r="G28" s="183"/>
      <c r="H28" s="183"/>
      <c r="I28" s="183"/>
      <c r="J28" s="183"/>
      <c r="K28" s="183"/>
      <c r="L28" s="184"/>
      <c r="M28" s="44"/>
    </row>
    <row r="29" spans="1:13" s="26" customFormat="1" ht="25" customHeight="1" thickBot="1" x14ac:dyDescent="0.5">
      <c r="A29" s="25"/>
      <c r="B29" s="43"/>
      <c r="C29" s="183"/>
      <c r="D29" s="183"/>
      <c r="E29" s="183"/>
      <c r="F29" s="183"/>
      <c r="G29" s="183"/>
      <c r="H29" s="183"/>
      <c r="I29" s="183"/>
      <c r="J29" s="183"/>
      <c r="K29" s="183"/>
      <c r="L29" s="184"/>
      <c r="M29" s="44"/>
    </row>
    <row r="30" spans="1:13" s="26" customFormat="1" ht="25" customHeight="1" thickBot="1" x14ac:dyDescent="0.5">
      <c r="A30" s="25"/>
      <c r="B30" s="43"/>
      <c r="C30" s="180" t="s">
        <v>181</v>
      </c>
      <c r="D30" s="181" t="s">
        <v>182</v>
      </c>
      <c r="E30" s="195" t="s">
        <v>183</v>
      </c>
      <c r="F30" s="181" t="s">
        <v>184</v>
      </c>
      <c r="G30" s="182" t="s">
        <v>185</v>
      </c>
      <c r="H30" s="183"/>
      <c r="I30" s="183"/>
      <c r="J30" s="184"/>
      <c r="K30" s="184"/>
      <c r="L30" s="184"/>
      <c r="M30" s="44"/>
    </row>
    <row r="31" spans="1:13" s="26" customFormat="1" ht="25" customHeight="1" x14ac:dyDescent="0.45">
      <c r="A31" s="25"/>
      <c r="B31" s="43"/>
      <c r="C31" s="185" t="s">
        <v>163</v>
      </c>
      <c r="D31" s="205">
        <f>ROUNDUP((물리학Ⅰ!$Q7-0.5-50)/10*물리학Ⅰ!$H$4+물리학Ⅰ!$H$3, 0)</f>
        <v>47</v>
      </c>
      <c r="E31" s="205">
        <f>ROUNDUP((화학Ⅰ!$Q7-0.5-50)/10*화학Ⅰ!$H$4+화학Ⅰ!$H$3, 0)</f>
        <v>44</v>
      </c>
      <c r="F31" s="205">
        <f>ROUNDUP((생명과학Ⅰ!$Q7-0.5-50)/10*생명과학Ⅰ!$H$4+생명과학Ⅰ!$H$3, 0)</f>
        <v>44</v>
      </c>
      <c r="G31" s="187">
        <f>ROUNDUP((지구과학Ⅰ!$Q7-0.5-50)/10*지구과학Ⅰ!$H$4+지구과학Ⅰ!$H$3, 0)</f>
        <v>45</v>
      </c>
      <c r="H31" s="183"/>
      <c r="I31" s="183"/>
      <c r="J31" s="184"/>
      <c r="K31" s="184"/>
      <c r="L31" s="184"/>
      <c r="M31" s="44"/>
    </row>
    <row r="32" spans="1:13" s="26" customFormat="1" ht="25" customHeight="1" x14ac:dyDescent="0.45">
      <c r="A32" s="25"/>
      <c r="B32" s="43"/>
      <c r="C32" s="188" t="s">
        <v>164</v>
      </c>
      <c r="D32" s="206">
        <f>ROUNDUP((물리학Ⅰ!$Q8-0.5-50)/10*물리학Ⅰ!$H$4+물리학Ⅰ!$H$3, 0)</f>
        <v>41</v>
      </c>
      <c r="E32" s="206">
        <f>ROUNDUP((화학Ⅰ!$Q8-0.5-50)/10*화학Ⅰ!$H$4+화학Ⅰ!$H$3, 0)</f>
        <v>39</v>
      </c>
      <c r="F32" s="206">
        <f>ROUNDUP((생명과학Ⅰ!$Q8-0.5-50)/10*생명과학Ⅰ!$H$4+생명과학Ⅰ!$H$3, 0)</f>
        <v>36</v>
      </c>
      <c r="G32" s="189">
        <f>ROUNDUP((지구과학Ⅰ!$Q8-0.5-50)/10*지구과학Ⅰ!$H$4+지구과학Ⅰ!$H$3, 0)</f>
        <v>41</v>
      </c>
      <c r="H32" s="183"/>
      <c r="I32" s="183"/>
      <c r="J32" s="184"/>
      <c r="K32" s="184"/>
      <c r="L32" s="184"/>
      <c r="M32" s="44"/>
    </row>
    <row r="33" spans="1:13" s="26" customFormat="1" ht="25" customHeight="1" x14ac:dyDescent="0.45">
      <c r="A33" s="25"/>
      <c r="B33" s="43"/>
      <c r="C33" s="188" t="s">
        <v>165</v>
      </c>
      <c r="D33" s="206">
        <f>ROUNDUP((물리학Ⅰ!$Q9-0.5-50)/10*물리학Ⅰ!$H$4+물리학Ⅰ!$H$3, 0)</f>
        <v>33</v>
      </c>
      <c r="E33" s="206">
        <f>ROUNDUP((화학Ⅰ!$Q9-0.5-50)/10*화학Ⅰ!$H$4+화학Ⅰ!$H$3, 0)</f>
        <v>32</v>
      </c>
      <c r="F33" s="206">
        <f>ROUNDUP((생명과학Ⅰ!$Q9-0.5-50)/10*생명과학Ⅰ!$H$4+생명과학Ⅰ!$H$3, 0)</f>
        <v>29</v>
      </c>
      <c r="G33" s="189">
        <f>ROUNDUP((지구과학Ⅰ!$Q9-0.5-50)/10*지구과학Ⅰ!$H$4+지구과학Ⅰ!$H$3, 0)</f>
        <v>33</v>
      </c>
      <c r="H33" s="183"/>
      <c r="I33" s="183"/>
      <c r="J33" s="184"/>
      <c r="K33" s="184"/>
      <c r="L33" s="184"/>
      <c r="M33" s="44"/>
    </row>
    <row r="34" spans="1:13" s="26" customFormat="1" ht="25" customHeight="1" x14ac:dyDescent="0.45">
      <c r="A34" s="25"/>
      <c r="B34" s="43"/>
      <c r="C34" s="188" t="s">
        <v>166</v>
      </c>
      <c r="D34" s="206">
        <f>ROUNDUP((물리학Ⅰ!$Q10-0.5-50)/10*물리학Ⅰ!$H$4+물리학Ⅰ!$H$3, 0)</f>
        <v>24</v>
      </c>
      <c r="E34" s="206">
        <f>ROUNDUP((화학Ⅰ!$Q10-0.5-50)/10*화학Ⅰ!$H$4+화학Ⅰ!$H$3, 0)</f>
        <v>26</v>
      </c>
      <c r="F34" s="206">
        <f>ROUNDUP((생명과학Ⅰ!$Q10-0.5-50)/10*생명과학Ⅰ!$H$4+생명과학Ⅰ!$H$3, 0)</f>
        <v>23</v>
      </c>
      <c r="G34" s="189">
        <f>ROUNDUP((지구과학Ⅰ!$Q10-0.5-50)/10*지구과학Ⅰ!$H$4+지구과학Ⅰ!$H$3, 0)</f>
        <v>26</v>
      </c>
      <c r="H34" s="183"/>
      <c r="I34" s="183"/>
      <c r="J34" s="184"/>
      <c r="K34" s="184"/>
      <c r="L34" s="184"/>
      <c r="M34" s="44"/>
    </row>
    <row r="35" spans="1:13" s="26" customFormat="1" ht="25" customHeight="1" x14ac:dyDescent="0.45">
      <c r="A35" s="25"/>
      <c r="B35" s="43"/>
      <c r="C35" s="188" t="s">
        <v>167</v>
      </c>
      <c r="D35" s="206">
        <f>ROUNDUP((물리학Ⅰ!$Q11-0.5-50)/10*물리학Ⅰ!$H$4+물리학Ⅰ!$H$3, 0)</f>
        <v>16</v>
      </c>
      <c r="E35" s="206">
        <f>ROUNDUP((화학Ⅰ!$Q11-0.5-50)/10*화학Ⅰ!$H$4+화학Ⅰ!$H$3, 0)</f>
        <v>20</v>
      </c>
      <c r="F35" s="206">
        <f>ROUNDUP((생명과학Ⅰ!$Q11-0.5-50)/10*생명과학Ⅰ!$H$4+생명과학Ⅰ!$H$3, 0)</f>
        <v>18</v>
      </c>
      <c r="G35" s="189">
        <f>ROUNDUP((지구과학Ⅰ!$Q11-0.5-50)/10*지구과학Ⅰ!$H$4+지구과학Ⅰ!$H$3, 0)</f>
        <v>19</v>
      </c>
      <c r="H35" s="183"/>
      <c r="I35" s="183"/>
      <c r="J35" s="184"/>
      <c r="K35" s="184"/>
      <c r="L35" s="184"/>
      <c r="M35" s="44"/>
    </row>
    <row r="36" spans="1:13" s="26" customFormat="1" ht="25" customHeight="1" x14ac:dyDescent="0.45">
      <c r="A36" s="25"/>
      <c r="B36" s="43"/>
      <c r="C36" s="188" t="s">
        <v>168</v>
      </c>
      <c r="D36" s="206">
        <f>ROUNDUP((물리학Ⅰ!$Q12-0.5-50)/10*물리학Ⅰ!$H$4+물리학Ⅰ!$H$3, 0)</f>
        <v>12</v>
      </c>
      <c r="E36" s="206">
        <f>ROUNDUP((화학Ⅰ!$Q12-0.5-50)/10*화학Ⅰ!$H$4+화학Ⅰ!$H$3, 0)</f>
        <v>16</v>
      </c>
      <c r="F36" s="206">
        <f>ROUNDUP((생명과학Ⅰ!$Q12-0.5-50)/10*생명과학Ⅰ!$H$4+생명과학Ⅰ!$H$3, 0)</f>
        <v>13</v>
      </c>
      <c r="G36" s="189">
        <f>ROUNDUP((지구과학Ⅰ!$Q12-0.5-50)/10*지구과학Ⅰ!$H$4+지구과학Ⅰ!$H$3, 0)</f>
        <v>13</v>
      </c>
      <c r="H36" s="183"/>
      <c r="I36" s="183"/>
      <c r="J36" s="184"/>
      <c r="K36" s="184"/>
      <c r="L36" s="184"/>
      <c r="M36" s="44"/>
    </row>
    <row r="37" spans="1:13" s="26" customFormat="1" ht="25" customHeight="1" x14ac:dyDescent="0.45">
      <c r="A37" s="25"/>
      <c r="B37" s="43"/>
      <c r="C37" s="188" t="s">
        <v>169</v>
      </c>
      <c r="D37" s="206">
        <f>ROUNDUP((물리학Ⅰ!$Q13-0.5-50)/10*물리학Ⅰ!$H$4+물리학Ⅰ!$H$3, 0)</f>
        <v>10</v>
      </c>
      <c r="E37" s="206">
        <f>ROUNDUP((화학Ⅰ!$Q13-0.5-50)/10*화학Ⅰ!$H$4+화학Ⅰ!$H$3, 0)</f>
        <v>12</v>
      </c>
      <c r="F37" s="206">
        <f>ROUNDUP((생명과학Ⅰ!$Q13-0.5-50)/10*생명과학Ⅰ!$H$4+생명과학Ⅰ!$H$3, 0)</f>
        <v>10</v>
      </c>
      <c r="G37" s="189">
        <f>ROUNDUP((지구과학Ⅰ!$Q13-0.5-50)/10*지구과학Ⅰ!$H$4+지구과학Ⅰ!$H$3, 0)</f>
        <v>10</v>
      </c>
      <c r="H37" s="183"/>
      <c r="I37" s="183"/>
      <c r="J37" s="184"/>
      <c r="K37" s="184"/>
      <c r="L37" s="184"/>
      <c r="M37" s="44"/>
    </row>
    <row r="38" spans="1:13" s="26" customFormat="1" ht="25" customHeight="1" thickBot="1" x14ac:dyDescent="0.5">
      <c r="A38" s="25"/>
      <c r="B38" s="43"/>
      <c r="C38" s="190" t="s">
        <v>170</v>
      </c>
      <c r="D38" s="207">
        <f>ROUNDUP((물리학Ⅰ!$Q14-0.5-50)/10*물리학Ⅰ!$H$4+물리학Ⅰ!$H$3, 0)</f>
        <v>7</v>
      </c>
      <c r="E38" s="207">
        <f>ROUNDUP((화학Ⅰ!$Q14-0.5-50)/10*화학Ⅰ!$H$4+화학Ⅰ!$H$3, 0)</f>
        <v>9</v>
      </c>
      <c r="F38" s="207">
        <f>ROUNDUP((생명과학Ⅰ!$Q14-0.5-50)/10*생명과학Ⅰ!$H$4+생명과학Ⅰ!$H$3, 0)</f>
        <v>8</v>
      </c>
      <c r="G38" s="192">
        <f>ROUNDUP((지구과학Ⅰ!$Q14-0.5-50)/10*지구과학Ⅰ!$H$4+지구과학Ⅰ!$H$3, 0)</f>
        <v>7</v>
      </c>
      <c r="H38" s="183"/>
      <c r="I38" s="183"/>
      <c r="J38" s="184"/>
      <c r="K38" s="184"/>
      <c r="L38" s="184"/>
      <c r="M38" s="44"/>
    </row>
    <row r="39" spans="1:13" s="26" customFormat="1" ht="6" customHeight="1" x14ac:dyDescent="0.45">
      <c r="A39" s="25"/>
      <c r="B39" s="45"/>
      <c r="C39" s="46"/>
      <c r="D39" s="46"/>
      <c r="E39" s="46"/>
      <c r="F39" s="46"/>
      <c r="G39" s="46"/>
      <c r="H39" s="46"/>
      <c r="I39" s="46"/>
      <c r="J39" s="46"/>
      <c r="K39" s="46"/>
      <c r="L39" s="47"/>
      <c r="M39" s="48"/>
    </row>
    <row r="40" spans="1:13" x14ac:dyDescent="0.45">
      <c r="B40" s="5"/>
      <c r="C40" s="17"/>
      <c r="D40" s="3"/>
      <c r="E40" s="3"/>
      <c r="F40" s="3"/>
      <c r="G40" s="3"/>
      <c r="H40" s="3"/>
      <c r="I40" s="3"/>
      <c r="J40" s="3"/>
      <c r="K40" s="3"/>
      <c r="L40" s="5"/>
      <c r="M40" s="5"/>
    </row>
  </sheetData>
  <mergeCells count="2">
    <mergeCell ref="D4:G4"/>
    <mergeCell ref="D5:G5"/>
  </mergeCells>
  <phoneticPr fontId="1" type="noConversion"/>
  <pageMargins left="0.7" right="0.7" top="0.75" bottom="0.75" header="0.3" footer="0.3"/>
  <pageSetup paperSize="9" scale="72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22</vt:i4>
      </vt:variant>
    </vt:vector>
  </HeadingPairs>
  <TitlesOfParts>
    <vt:vector size="22" baseType="lpstr">
      <vt:lpstr>통계 및 응시자 수 입력 기능</vt:lpstr>
      <vt:lpstr>표점등급&amp;절평인원 입력 기능</vt:lpstr>
      <vt:lpstr>인원 입력 기능(국수)</vt:lpstr>
      <vt:lpstr>인원 입력 기능(사과탐)</vt:lpstr>
      <vt:lpstr>국어</vt:lpstr>
      <vt:lpstr>수학</vt:lpstr>
      <vt:lpstr>영어</vt:lpstr>
      <vt:lpstr>한국사</vt:lpstr>
      <vt:lpstr>생활과 윤리</vt:lpstr>
      <vt:lpstr>윤리와 사상</vt:lpstr>
      <vt:lpstr>한국지리</vt:lpstr>
      <vt:lpstr>세계지리</vt:lpstr>
      <vt:lpstr>동아시아사</vt:lpstr>
      <vt:lpstr>세계사</vt:lpstr>
      <vt:lpstr>경제</vt:lpstr>
      <vt:lpstr>정치와 법</vt:lpstr>
      <vt:lpstr>사회∙문화</vt:lpstr>
      <vt:lpstr>물리학Ⅰ</vt:lpstr>
      <vt:lpstr>화학Ⅰ</vt:lpstr>
      <vt:lpstr>생명과학Ⅰ</vt:lpstr>
      <vt:lpstr>지구과학Ⅰ</vt:lpstr>
      <vt:lpstr>등급컷 모아보기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윤승혁</dc:creator>
  <cp:lastModifiedBy>환동</cp:lastModifiedBy>
  <dcterms:created xsi:type="dcterms:W3CDTF">2018-04-21T04:34:05Z</dcterms:created>
  <dcterms:modified xsi:type="dcterms:W3CDTF">2022-07-19T06:03:58Z</dcterms:modified>
</cp:coreProperties>
</file>