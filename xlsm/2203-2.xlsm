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대학/프로그래밍/개인프로젝트/계산기/xlsm/"/>
    </mc:Choice>
  </mc:AlternateContent>
  <xr:revisionPtr revIDLastSave="864" documentId="13_ncr:1_{EEE0D893-F82C-40B2-AA58-60893175EAF9}" xr6:coauthVersionLast="47" xr6:coauthVersionMax="47" xr10:uidLastSave="{89F3A35C-A59B-458C-AFE8-9B353F00312F}"/>
  <bookViews>
    <workbookView xWindow="-110" yWindow="-110" windowWidth="19420" windowHeight="11620" firstSheet="12" activeTab="20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L13" i="28" l="1"/>
  <c r="D14" i="28"/>
  <c r="L14" i="28" s="1"/>
  <c r="D15" i="28"/>
  <c r="L15" i="28" s="1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D22" i="28"/>
  <c r="L22" i="28" s="1"/>
  <c r="D23" i="28"/>
  <c r="L23" i="28" s="1"/>
  <c r="D24" i="28"/>
  <c r="L24" i="28" s="1"/>
  <c r="L25" i="28"/>
  <c r="D26" i="28"/>
  <c r="L26" i="28" s="1"/>
  <c r="D27" i="28"/>
  <c r="L27" i="28" s="1"/>
  <c r="D28" i="28"/>
  <c r="L28" i="28" s="1"/>
  <c r="D29" i="28"/>
  <c r="L29" i="28" s="1"/>
  <c r="D30" i="28"/>
  <c r="L30" i="28" s="1"/>
  <c r="D31" i="28"/>
  <c r="L31" i="28" s="1"/>
  <c r="D32" i="28"/>
  <c r="L32" i="28" s="1"/>
  <c r="D33" i="28"/>
  <c r="L33" i="28" s="1"/>
  <c r="D34" i="28"/>
  <c r="L34" i="28" s="1"/>
  <c r="D35" i="28"/>
  <c r="L35" i="28" s="1"/>
  <c r="L36" i="28"/>
  <c r="D37" i="28"/>
  <c r="L37" i="28" s="1"/>
  <c r="D38" i="28"/>
  <c r="L38" i="28" s="1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L48" i="28"/>
  <c r="D49" i="28"/>
  <c r="L49" i="28" s="1"/>
  <c r="D50" i="28"/>
  <c r="D51" i="28"/>
  <c r="L51" i="28" s="1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23" i="28"/>
  <c r="H23" i="28" s="1"/>
  <c r="G19" i="28"/>
  <c r="H19" i="28" s="1"/>
  <c r="G15" i="28"/>
  <c r="H15" i="28" s="1"/>
  <c r="G52" i="28"/>
  <c r="H52" i="28" s="1"/>
  <c r="G44" i="28"/>
  <c r="H44" i="28" s="1"/>
  <c r="G40" i="28"/>
  <c r="H40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8" i="28"/>
  <c r="H18" i="28" s="1"/>
  <c r="G14" i="28"/>
  <c r="H14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D49" i="37"/>
  <c r="L49" i="37" s="1"/>
  <c r="D48" i="37"/>
  <c r="D47" i="37"/>
  <c r="L47" i="37" s="1"/>
  <c r="D46" i="37"/>
  <c r="L46" i="37" s="1"/>
  <c r="D45" i="37"/>
  <c r="L45" i="37" s="1"/>
  <c r="D44" i="37"/>
  <c r="D43" i="37"/>
  <c r="L43" i="37" s="1"/>
  <c r="D42" i="37"/>
  <c r="L42" i="37" s="1"/>
  <c r="D41" i="37"/>
  <c r="L41" i="37" s="1"/>
  <c r="D40" i="37"/>
  <c r="L40" i="37" s="1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D28" i="37"/>
  <c r="L28" i="37" s="1"/>
  <c r="D27" i="37"/>
  <c r="L27" i="37" s="1"/>
  <c r="D26" i="37"/>
  <c r="L26" i="37" s="1"/>
  <c r="D25" i="37"/>
  <c r="L25" i="37" s="1"/>
  <c r="D24" i="37"/>
  <c r="L24" i="37" s="1"/>
  <c r="D23" i="37"/>
  <c r="L23" i="37" s="1"/>
  <c r="D22" i="37"/>
  <c r="L22" i="37" s="1"/>
  <c r="D21" i="37"/>
  <c r="L21" i="37" s="1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L52" i="36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L45" i="36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D38" i="36"/>
  <c r="L38" i="36" s="1"/>
  <c r="L37" i="36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L29" i="36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L22" i="36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D15" i="36"/>
  <c r="L15" i="36" s="1"/>
  <c r="L14" i="36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L46" i="35"/>
  <c r="L45" i="35"/>
  <c r="D44" i="35"/>
  <c r="L44" i="35" s="1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L33" i="35"/>
  <c r="D32" i="35"/>
  <c r="L32" i="35" s="1"/>
  <c r="D31" i="35"/>
  <c r="L31" i="35" s="1"/>
  <c r="D30" i="35"/>
  <c r="L30" i="35" s="1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L20" i="35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D45" i="34"/>
  <c r="L45" i="34" s="1"/>
  <c r="D44" i="34"/>
  <c r="L44" i="34" s="1"/>
  <c r="D43" i="34"/>
  <c r="L43" i="34" s="1"/>
  <c r="D42" i="34"/>
  <c r="L42" i="34" s="1"/>
  <c r="D41" i="34"/>
  <c r="L41" i="34" s="1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D33" i="34"/>
  <c r="L33" i="34" s="1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D22" i="34"/>
  <c r="L22" i="34" s="1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L53" i="33"/>
  <c r="D52" i="33"/>
  <c r="L52" i="33" s="1"/>
  <c r="D51" i="33"/>
  <c r="L51" i="33" s="1"/>
  <c r="D50" i="33"/>
  <c r="L50" i="33" s="1"/>
  <c r="D49" i="33"/>
  <c r="L49" i="33" s="1"/>
  <c r="D48" i="33"/>
  <c r="L48" i="33" s="1"/>
  <c r="D47" i="33"/>
  <c r="L47" i="33" s="1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D39" i="33"/>
  <c r="L39" i="33" s="1"/>
  <c r="D38" i="33"/>
  <c r="L38" i="33" s="1"/>
  <c r="D37" i="33"/>
  <c r="L37" i="33" s="1"/>
  <c r="D36" i="33"/>
  <c r="L36" i="33" s="1"/>
  <c r="D35" i="33"/>
  <c r="L35" i="33" s="1"/>
  <c r="D34" i="33"/>
  <c r="L34" i="33" s="1"/>
  <c r="L33" i="33"/>
  <c r="D32" i="33"/>
  <c r="L32" i="33" s="1"/>
  <c r="D31" i="33"/>
  <c r="L31" i="33" s="1"/>
  <c r="D30" i="33"/>
  <c r="L30" i="33" s="1"/>
  <c r="D29" i="33"/>
  <c r="L29" i="33" s="1"/>
  <c r="D28" i="33"/>
  <c r="L28" i="33" s="1"/>
  <c r="D27" i="33"/>
  <c r="L27" i="33" s="1"/>
  <c r="D26" i="33"/>
  <c r="L26" i="33" s="1"/>
  <c r="D25" i="33"/>
  <c r="L25" i="33" s="1"/>
  <c r="D24" i="33"/>
  <c r="L24" i="33" s="1"/>
  <c r="L23" i="33"/>
  <c r="D22" i="33"/>
  <c r="L22" i="33" s="1"/>
  <c r="D21" i="33"/>
  <c r="L21" i="33" s="1"/>
  <c r="D20" i="33"/>
  <c r="L20" i="33" s="1"/>
  <c r="D19" i="33"/>
  <c r="L19" i="33" s="1"/>
  <c r="D18" i="33"/>
  <c r="L18" i="33" s="1"/>
  <c r="D17" i="33"/>
  <c r="L17" i="33" s="1"/>
  <c r="D16" i="33"/>
  <c r="L16" i="33" s="1"/>
  <c r="D15" i="33"/>
  <c r="L15" i="33" s="1"/>
  <c r="D14" i="33"/>
  <c r="L14" i="33" s="1"/>
  <c r="L13" i="33"/>
  <c r="D12" i="33"/>
  <c r="L12" i="33" s="1"/>
  <c r="D11" i="33"/>
  <c r="L11" i="33" s="1"/>
  <c r="D10" i="33"/>
  <c r="L10" i="33" s="1"/>
  <c r="D9" i="33"/>
  <c r="D7" i="33"/>
  <c r="D57" i="32"/>
  <c r="D55" i="32"/>
  <c r="L55" i="32" s="1"/>
  <c r="L54" i="32"/>
  <c r="D53" i="32"/>
  <c r="L53" i="32" s="1"/>
  <c r="D52" i="32"/>
  <c r="L52" i="32" s="1"/>
  <c r="D51" i="32"/>
  <c r="L51" i="32" s="1"/>
  <c r="D50" i="32"/>
  <c r="L50" i="32" s="1"/>
  <c r="D49" i="32"/>
  <c r="L49" i="32" s="1"/>
  <c r="D48" i="32"/>
  <c r="L48" i="32" s="1"/>
  <c r="L47" i="32"/>
  <c r="D46" i="32"/>
  <c r="L46" i="32" s="1"/>
  <c r="D45" i="32"/>
  <c r="L45" i="32" s="1"/>
  <c r="D44" i="32"/>
  <c r="L44" i="32" s="1"/>
  <c r="D43" i="32"/>
  <c r="L43" i="32" s="1"/>
  <c r="D42" i="32"/>
  <c r="L42" i="32" s="1"/>
  <c r="D41" i="32"/>
  <c r="L41" i="32" s="1"/>
  <c r="D40" i="32"/>
  <c r="L40" i="32" s="1"/>
  <c r="L39" i="32"/>
  <c r="D38" i="32"/>
  <c r="L38" i="32" s="1"/>
  <c r="D37" i="32"/>
  <c r="L37" i="32" s="1"/>
  <c r="D36" i="32"/>
  <c r="L36" i="32" s="1"/>
  <c r="D35" i="32"/>
  <c r="L35" i="32" s="1"/>
  <c r="D34" i="32"/>
  <c r="L34" i="32" s="1"/>
  <c r="D33" i="32"/>
  <c r="L33" i="32" s="1"/>
  <c r="L32" i="32"/>
  <c r="D31" i="32"/>
  <c r="L31" i="32" s="1"/>
  <c r="D30" i="32"/>
  <c r="L30" i="32" s="1"/>
  <c r="D29" i="32"/>
  <c r="L29" i="32" s="1"/>
  <c r="D28" i="32"/>
  <c r="L28" i="32" s="1"/>
  <c r="D27" i="32"/>
  <c r="L27" i="32" s="1"/>
  <c r="D26" i="32"/>
  <c r="L26" i="32" s="1"/>
  <c r="D25" i="32"/>
  <c r="L25" i="32" s="1"/>
  <c r="L24" i="32"/>
  <c r="D23" i="32"/>
  <c r="L23" i="32" s="1"/>
  <c r="D22" i="32"/>
  <c r="L22" i="32" s="1"/>
  <c r="D21" i="32"/>
  <c r="L21" i="32" s="1"/>
  <c r="D20" i="32"/>
  <c r="L20" i="32" s="1"/>
  <c r="D19" i="32"/>
  <c r="L19" i="32" s="1"/>
  <c r="D18" i="32"/>
  <c r="L18" i="32" s="1"/>
  <c r="L17" i="32"/>
  <c r="D16" i="32"/>
  <c r="L16" i="32" s="1"/>
  <c r="D15" i="32"/>
  <c r="L15" i="32" s="1"/>
  <c r="D14" i="32"/>
  <c r="L14" i="32" s="1"/>
  <c r="D13" i="32"/>
  <c r="L13" i="32" s="1"/>
  <c r="D12" i="32"/>
  <c r="L12" i="32" s="1"/>
  <c r="D11" i="32"/>
  <c r="L11" i="32" s="1"/>
  <c r="D10" i="32"/>
  <c r="L10" i="32" s="1"/>
  <c r="D9" i="32"/>
  <c r="D7" i="32"/>
  <c r="D57" i="31"/>
  <c r="D55" i="31"/>
  <c r="L55" i="31" s="1"/>
  <c r="D54" i="31"/>
  <c r="L54" i="31" s="1"/>
  <c r="D53" i="31"/>
  <c r="L53" i="31" s="1"/>
  <c r="L52" i="3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D33" i="31"/>
  <c r="L33" i="31" s="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L21" i="31"/>
  <c r="D20" i="31"/>
  <c r="L20" i="31" s="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D44" i="30"/>
  <c r="L44" i="30" s="1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D33" i="30"/>
  <c r="L33" i="30" s="1"/>
  <c r="D32" i="30"/>
  <c r="L32" i="30" s="1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D22" i="30"/>
  <c r="L22" i="30" s="1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D52" i="29"/>
  <c r="L52" i="29" s="1"/>
  <c r="L51" i="29"/>
  <c r="D50" i="29"/>
  <c r="L50" i="29" s="1"/>
  <c r="D49" i="29"/>
  <c r="L49" i="29" s="1"/>
  <c r="D48" i="29"/>
  <c r="L48" i="29" s="1"/>
  <c r="D47" i="29"/>
  <c r="L47" i="29" s="1"/>
  <c r="D46" i="29"/>
  <c r="L46" i="29" s="1"/>
  <c r="D45" i="29"/>
  <c r="L45" i="29" s="1"/>
  <c r="D44" i="29"/>
  <c r="L44" i="29" s="1"/>
  <c r="D43" i="29"/>
  <c r="L43" i="29" s="1"/>
  <c r="D42" i="29"/>
  <c r="L42" i="29" s="1"/>
  <c r="D41" i="29"/>
  <c r="L41" i="29" s="1"/>
  <c r="D40" i="29"/>
  <c r="L40" i="29" s="1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D32" i="29"/>
  <c r="L32" i="29" s="1"/>
  <c r="D31" i="29"/>
  <c r="L31" i="29" s="1"/>
  <c r="D30" i="29"/>
  <c r="L30" i="29" s="1"/>
  <c r="D29" i="29"/>
  <c r="L29" i="29" s="1"/>
  <c r="D28" i="29"/>
  <c r="L28" i="29" s="1"/>
  <c r="D27" i="29"/>
  <c r="L27" i="29" s="1"/>
  <c r="D26" i="29"/>
  <c r="L26" i="29" s="1"/>
  <c r="D25" i="29"/>
  <c r="L25" i="29" s="1"/>
  <c r="D24" i="29"/>
  <c r="L24" i="29" s="1"/>
  <c r="D23" i="29"/>
  <c r="L23" i="29" s="1"/>
  <c r="D22" i="29"/>
  <c r="L22" i="29" s="1"/>
  <c r="L21" i="29"/>
  <c r="D20" i="29"/>
  <c r="L20" i="29" s="1"/>
  <c r="D19" i="29"/>
  <c r="L19" i="29" s="1"/>
  <c r="D18" i="29"/>
  <c r="L18" i="29" s="1"/>
  <c r="D17" i="29"/>
  <c r="L17" i="29" s="1"/>
  <c r="D16" i="29"/>
  <c r="L16" i="29" s="1"/>
  <c r="D15" i="29"/>
  <c r="L15" i="29" s="1"/>
  <c r="D14" i="29"/>
  <c r="L14" i="29" s="1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1" i="28"/>
  <c r="E50" i="28"/>
  <c r="E49" i="28"/>
  <c r="E47" i="28"/>
  <c r="E46" i="28"/>
  <c r="E45" i="28"/>
  <c r="E44" i="28"/>
  <c r="E43" i="28"/>
  <c r="E42" i="28"/>
  <c r="E41" i="28"/>
  <c r="E40" i="28"/>
  <c r="E39" i="28"/>
  <c r="E38" i="28"/>
  <c r="E37" i="28"/>
  <c r="E35" i="28"/>
  <c r="E34" i="28"/>
  <c r="E33" i="28"/>
  <c r="E32" i="28"/>
  <c r="E31" i="28"/>
  <c r="E30" i="28"/>
  <c r="E29" i="28"/>
  <c r="E28" i="28"/>
  <c r="E27" i="28"/>
  <c r="E26" i="28"/>
  <c r="E24" i="28"/>
  <c r="E23" i="28"/>
  <c r="E22" i="28"/>
  <c r="E21" i="28"/>
  <c r="E20" i="28"/>
  <c r="E19" i="28"/>
  <c r="E18" i="28"/>
  <c r="E17" i="28"/>
  <c r="E16" i="28"/>
  <c r="E15" i="28"/>
  <c r="E14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L41" i="27"/>
  <c r="L40" i="27"/>
  <c r="D39" i="27"/>
  <c r="L39" i="27" s="1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D31" i="27"/>
  <c r="L31" i="27" s="1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L24" i="27"/>
  <c r="D23" i="27"/>
  <c r="L23" i="27" s="1"/>
  <c r="D22" i="27"/>
  <c r="L22" i="27" s="1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D11" i="27"/>
  <c r="L11" i="27" s="1"/>
  <c r="D10" i="27"/>
  <c r="L10" i="27" s="1"/>
  <c r="D9" i="27"/>
  <c r="D7" i="27"/>
  <c r="D57" i="26"/>
  <c r="L55" i="26"/>
  <c r="D54" i="26"/>
  <c r="L54" i="26" s="1"/>
  <c r="D53" i="26"/>
  <c r="L53" i="26" s="1"/>
  <c r="D52" i="26"/>
  <c r="L52" i="26" s="1"/>
  <c r="L51" i="26"/>
  <c r="D50" i="26"/>
  <c r="L50" i="26" s="1"/>
  <c r="D49" i="26"/>
  <c r="L49" i="26" s="1"/>
  <c r="D48" i="26"/>
  <c r="L48" i="26" s="1"/>
  <c r="D47" i="26"/>
  <c r="L47" i="26" s="1"/>
  <c r="L46" i="26"/>
  <c r="D45" i="26"/>
  <c r="L45" i="26" s="1"/>
  <c r="D44" i="26"/>
  <c r="L44" i="26" s="1"/>
  <c r="D43" i="26"/>
  <c r="L43" i="26" s="1"/>
  <c r="L42" i="26"/>
  <c r="D41" i="26"/>
  <c r="L41" i="26" s="1"/>
  <c r="D40" i="26"/>
  <c r="L40" i="26" s="1"/>
  <c r="D39" i="26"/>
  <c r="L39" i="26" s="1"/>
  <c r="L38" i="26"/>
  <c r="D37" i="26"/>
  <c r="L37" i="26" s="1"/>
  <c r="D36" i="26"/>
  <c r="L36" i="26" s="1"/>
  <c r="D35" i="26"/>
  <c r="L35" i="26" s="1"/>
  <c r="D34" i="26"/>
  <c r="L34" i="26" s="1"/>
  <c r="L33" i="26"/>
  <c r="D32" i="26"/>
  <c r="L32" i="26" s="1"/>
  <c r="D31" i="26"/>
  <c r="L31" i="26" s="1"/>
  <c r="D30" i="26"/>
  <c r="L30" i="26" s="1"/>
  <c r="L29" i="26"/>
  <c r="D28" i="26"/>
  <c r="L28" i="26" s="1"/>
  <c r="D27" i="26"/>
  <c r="L27" i="26" s="1"/>
  <c r="D26" i="26"/>
  <c r="L26" i="26" s="1"/>
  <c r="D25" i="26"/>
  <c r="L25" i="26" s="1"/>
  <c r="L24" i="26"/>
  <c r="D23" i="26"/>
  <c r="L23" i="26" s="1"/>
  <c r="D22" i="26"/>
  <c r="L22" i="26" s="1"/>
  <c r="D21" i="26"/>
  <c r="L21" i="26" s="1"/>
  <c r="L20" i="26"/>
  <c r="D19" i="26"/>
  <c r="L19" i="26" s="1"/>
  <c r="D18" i="26"/>
  <c r="L18" i="26" s="1"/>
  <c r="D17" i="26"/>
  <c r="L17" i="26" s="1"/>
  <c r="D16" i="26"/>
  <c r="L16" i="26" s="1"/>
  <c r="L15" i="26"/>
  <c r="D14" i="26"/>
  <c r="L14" i="26" s="1"/>
  <c r="D13" i="26"/>
  <c r="L13" i="26" s="1"/>
  <c r="D12" i="26"/>
  <c r="L12" i="26" s="1"/>
  <c r="L11" i="26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2" i="35"/>
  <c r="H12" i="35" s="1"/>
  <c r="G16" i="35"/>
  <c r="H16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33" i="36"/>
  <c r="H33" i="36" s="1"/>
  <c r="G41" i="36"/>
  <c r="H41" i="36" s="1"/>
  <c r="G49" i="36"/>
  <c r="H49" i="36" s="1"/>
  <c r="G53" i="36"/>
  <c r="H53" i="36" s="1"/>
  <c r="G12" i="37"/>
  <c r="H12" i="37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40" i="37"/>
  <c r="H40" i="37" s="1"/>
  <c r="G52" i="37"/>
  <c r="H52" i="37" s="1"/>
  <c r="G12" i="27"/>
  <c r="H12" i="27" s="1"/>
  <c r="G16" i="27"/>
  <c r="H16" i="27" s="1"/>
  <c r="G20" i="27"/>
  <c r="H20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2" i="29"/>
  <c r="H22" i="29" s="1"/>
  <c r="G26" i="29"/>
  <c r="H26" i="29" s="1"/>
  <c r="G30" i="29"/>
  <c r="H30" i="29" s="1"/>
  <c r="G34" i="29"/>
  <c r="H34" i="29" s="1"/>
  <c r="G38" i="29"/>
  <c r="H38" i="29" s="1"/>
  <c r="G42" i="29"/>
  <c r="H42" i="29" s="1"/>
  <c r="G46" i="29"/>
  <c r="H46" i="29" s="1"/>
  <c r="G50" i="29"/>
  <c r="H50" i="29" s="1"/>
  <c r="G54" i="29"/>
  <c r="H54" i="29" s="1"/>
  <c r="G13" i="30"/>
  <c r="H13" i="30" s="1"/>
  <c r="G17" i="26"/>
  <c r="H17" i="26" s="1"/>
  <c r="G25" i="26"/>
  <c r="H25" i="26" s="1"/>
  <c r="G41" i="26"/>
  <c r="H41" i="26" s="1"/>
  <c r="G49" i="26"/>
  <c r="H49" i="26" s="1"/>
  <c r="G13" i="26"/>
  <c r="H13" i="26" s="1"/>
  <c r="G21" i="26"/>
  <c r="H21" i="26" s="1"/>
  <c r="G37" i="26"/>
  <c r="H37" i="26" s="1"/>
  <c r="G45" i="26"/>
  <c r="H45" i="26" s="1"/>
  <c r="G53" i="26"/>
  <c r="H53" i="26" s="1"/>
  <c r="G17" i="30"/>
  <c r="H17" i="30" s="1"/>
  <c r="G21" i="30"/>
  <c r="H21" i="30" s="1"/>
  <c r="G25" i="30"/>
  <c r="H25" i="30" s="1"/>
  <c r="G29" i="30"/>
  <c r="H29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11" i="32"/>
  <c r="H11" i="32" s="1"/>
  <c r="G15" i="32"/>
  <c r="H15" i="32" s="1"/>
  <c r="G19" i="32"/>
  <c r="H19" i="32" s="1"/>
  <c r="G23" i="32"/>
  <c r="H23" i="32" s="1"/>
  <c r="G27" i="32"/>
  <c r="H27" i="32" s="1"/>
  <c r="G31" i="32"/>
  <c r="H31" i="32" s="1"/>
  <c r="G35" i="32"/>
  <c r="H35" i="32" s="1"/>
  <c r="G43" i="32"/>
  <c r="H43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54" i="33"/>
  <c r="H54" i="33" s="1"/>
  <c r="G13" i="34"/>
  <c r="H13" i="34" s="1"/>
  <c r="G18" i="34"/>
  <c r="H18" i="34" s="1"/>
  <c r="G22" i="34"/>
  <c r="H22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47" i="37"/>
  <c r="H47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5" i="31"/>
  <c r="H25" i="31" s="1"/>
  <c r="G29" i="31"/>
  <c r="H29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0" i="32"/>
  <c r="H20" i="32" s="1"/>
  <c r="G28" i="32"/>
  <c r="H28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19" i="33"/>
  <c r="H19" i="33" s="1"/>
  <c r="G27" i="33"/>
  <c r="H27" i="33" s="1"/>
  <c r="G31" i="33"/>
  <c r="H31" i="33" s="1"/>
  <c r="G35" i="33"/>
  <c r="H35" i="33" s="1"/>
  <c r="G39" i="33"/>
  <c r="H39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47" i="26"/>
  <c r="H47" i="2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40" i="29"/>
  <c r="H40" i="29" s="1"/>
  <c r="G44" i="29"/>
  <c r="H44" i="29" s="1"/>
  <c r="G48" i="29"/>
  <c r="H48" i="29" s="1"/>
  <c r="G52" i="29"/>
  <c r="H52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49" i="32"/>
  <c r="H49" i="32" s="1"/>
  <c r="G53" i="32"/>
  <c r="H53" i="32" s="1"/>
  <c r="G12" i="33"/>
  <c r="H12" i="33" s="1"/>
  <c r="G16" i="33"/>
  <c r="H16" i="33" s="1"/>
  <c r="G20" i="33"/>
  <c r="H20" i="33" s="1"/>
  <c r="G24" i="33"/>
  <c r="H24" i="33" s="1"/>
  <c r="G28" i="33"/>
  <c r="H28" i="33" s="1"/>
  <c r="G32" i="33"/>
  <c r="H32" i="33" s="1"/>
  <c r="G36" i="33"/>
  <c r="H36" i="33" s="1"/>
  <c r="G40" i="33"/>
  <c r="H40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8" i="36"/>
  <c r="H18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49" i="37"/>
  <c r="H49" i="37" s="1"/>
  <c r="G53" i="37"/>
  <c r="H53" i="37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17" i="33"/>
  <c r="H17" i="33" s="1"/>
  <c r="G21" i="33"/>
  <c r="H21" i="33" s="1"/>
  <c r="G25" i="33"/>
  <c r="H25" i="33" s="1"/>
  <c r="G29" i="33"/>
  <c r="H29" i="33" s="1"/>
  <c r="G37" i="33"/>
  <c r="H37" i="33" s="1"/>
  <c r="G41" i="33"/>
  <c r="H41" i="33" s="1"/>
  <c r="G45" i="33"/>
  <c r="H45" i="33" s="1"/>
  <c r="G49" i="33"/>
  <c r="H49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1" i="34"/>
  <c r="H41" i="34" s="1"/>
  <c r="G45" i="34"/>
  <c r="H45" i="34" s="1"/>
  <c r="G49" i="34"/>
  <c r="H49" i="34" s="1"/>
  <c r="G53" i="34"/>
  <c r="H53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23" i="32"/>
  <c r="E13" i="32"/>
  <c r="E16" i="33"/>
  <c r="E32" i="33"/>
  <c r="E19" i="35"/>
  <c r="E51" i="35"/>
  <c r="E21" i="37"/>
  <c r="E37" i="37"/>
  <c r="E53" i="37"/>
  <c r="E21" i="26"/>
  <c r="E37" i="26"/>
  <c r="E53" i="26"/>
  <c r="E35" i="36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0" i="33"/>
  <c r="E16" i="36"/>
  <c r="E25" i="36"/>
  <c r="E53" i="36"/>
  <c r="E42" i="37"/>
  <c r="E7" i="31"/>
  <c r="E10" i="31"/>
  <c r="E14" i="31"/>
  <c r="E18" i="31"/>
  <c r="E22" i="31"/>
  <c r="E26" i="31"/>
  <c r="E30" i="31"/>
  <c r="E34" i="31"/>
  <c r="E38" i="31"/>
  <c r="E42" i="31"/>
  <c r="E46" i="31"/>
  <c r="E50" i="31"/>
  <c r="E54" i="31"/>
  <c r="E57" i="31"/>
  <c r="E9" i="32"/>
  <c r="E14" i="32"/>
  <c r="E20" i="32"/>
  <c r="E34" i="32"/>
  <c r="E36" i="32"/>
  <c r="E38" i="32"/>
  <c r="E49" i="32"/>
  <c r="E51" i="32"/>
  <c r="E53" i="32"/>
  <c r="E9" i="33"/>
  <c r="E14" i="33"/>
  <c r="E19" i="33"/>
  <c r="E24" i="33"/>
  <c r="E28" i="33"/>
  <c r="E36" i="33"/>
  <c r="E40" i="33"/>
  <c r="E46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8" i="32"/>
  <c r="E30" i="32"/>
  <c r="E43" i="32"/>
  <c r="E7" i="33"/>
  <c r="E15" i="33"/>
  <c r="E20" i="33"/>
  <c r="E44" i="33"/>
  <c r="E10" i="34"/>
  <c r="E33" i="34"/>
  <c r="E30" i="36"/>
  <c r="E44" i="36"/>
  <c r="E9" i="37"/>
  <c r="E9" i="31"/>
  <c r="E13" i="31"/>
  <c r="E17" i="31"/>
  <c r="E25" i="31"/>
  <c r="E29" i="31"/>
  <c r="E33" i="31"/>
  <c r="E37" i="31"/>
  <c r="E41" i="31"/>
  <c r="E45" i="31"/>
  <c r="E49" i="31"/>
  <c r="E53" i="31"/>
  <c r="E12" i="32"/>
  <c r="E19" i="32"/>
  <c r="E25" i="32"/>
  <c r="E27" i="32"/>
  <c r="E29" i="32"/>
  <c r="E40" i="32"/>
  <c r="E42" i="32"/>
  <c r="E44" i="32"/>
  <c r="E46" i="32"/>
  <c r="E57" i="32"/>
  <c r="E18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3" i="36"/>
  <c r="E10" i="37"/>
  <c r="E31" i="37"/>
  <c r="E36" i="37"/>
  <c r="E41" i="37"/>
  <c r="E11" i="31"/>
  <c r="E15" i="31"/>
  <c r="E19" i="31"/>
  <c r="E23" i="31"/>
  <c r="E55" i="31"/>
  <c r="E21" i="32"/>
  <c r="E26" i="32"/>
  <c r="E25" i="33"/>
  <c r="E29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11" i="32"/>
  <c r="E18" i="32"/>
  <c r="E22" i="32"/>
  <c r="E31" i="32"/>
  <c r="E33" i="32"/>
  <c r="E35" i="32"/>
  <c r="E37" i="32"/>
  <c r="E48" i="32"/>
  <c r="E50" i="32"/>
  <c r="E52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47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33" i="36"/>
  <c r="E38" i="36"/>
  <c r="E42" i="36"/>
  <c r="E47" i="36"/>
  <c r="E14" i="37"/>
  <c r="E19" i="37"/>
  <c r="E24" i="37"/>
  <c r="E30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0" i="35"/>
  <c r="E34" i="35"/>
  <c r="E35" i="35"/>
  <c r="E39" i="35"/>
  <c r="E44" i="35"/>
  <c r="E48" i="35"/>
  <c r="E53" i="35"/>
  <c r="E57" i="35"/>
  <c r="E9" i="36"/>
  <c r="E18" i="36"/>
  <c r="E19" i="36"/>
  <c r="E23" i="36"/>
  <c r="E28" i="36"/>
  <c r="E32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4" i="35"/>
  <c r="E29" i="35"/>
  <c r="E38" i="35"/>
  <c r="E42" i="35"/>
  <c r="E43" i="35"/>
  <c r="E47" i="35"/>
  <c r="E52" i="35"/>
  <c r="E13" i="36"/>
  <c r="E17" i="36"/>
  <c r="E26" i="36"/>
  <c r="E27" i="36"/>
  <c r="E31" i="36"/>
  <c r="E36" i="36"/>
  <c r="E40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14" i="29"/>
  <c r="E22" i="29"/>
  <c r="E30" i="29"/>
  <c r="E38" i="29"/>
  <c r="E42" i="29"/>
  <c r="E47" i="29"/>
  <c r="E7" i="30"/>
  <c r="E14" i="30"/>
  <c r="E18" i="30"/>
  <c r="E50" i="30"/>
  <c r="E54" i="30"/>
  <c r="E19" i="27"/>
  <c r="E35" i="27"/>
  <c r="E40" i="27"/>
  <c r="E46" i="27"/>
  <c r="E51" i="27"/>
  <c r="E13" i="29"/>
  <c r="E17" i="29"/>
  <c r="E25" i="29"/>
  <c r="E29" i="29"/>
  <c r="E33" i="29"/>
  <c r="E37" i="29"/>
  <c r="E41" i="29"/>
  <c r="E46" i="29"/>
  <c r="E50" i="29"/>
  <c r="E54" i="29"/>
  <c r="E57" i="29"/>
  <c r="E9" i="30"/>
  <c r="E17" i="30"/>
  <c r="E25" i="30"/>
  <c r="E33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32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4" i="30"/>
  <c r="E48" i="30"/>
  <c r="E52" i="30"/>
  <c r="E10" i="27"/>
  <c r="E20" i="27"/>
  <c r="E26" i="27"/>
  <c r="E31" i="27"/>
  <c r="E36" i="27"/>
  <c r="E42" i="27"/>
  <c r="E47" i="27"/>
  <c r="E52" i="27"/>
  <c r="E12" i="28"/>
  <c r="E9" i="29"/>
  <c r="E18" i="29"/>
  <c r="E26" i="29"/>
  <c r="E34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55" i="27"/>
  <c r="E7" i="28"/>
  <c r="E11" i="28"/>
  <c r="E13" i="30"/>
  <c r="E21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19" i="29"/>
  <c r="E23" i="29"/>
  <c r="E27" i="29"/>
  <c r="E31" i="29"/>
  <c r="E35" i="29"/>
  <c r="E39" i="29"/>
  <c r="E44" i="29"/>
  <c r="E48" i="29"/>
  <c r="E52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35" i="26"/>
  <c r="E40" i="26"/>
  <c r="E7" i="26"/>
  <c r="E12" i="26"/>
  <c r="E13" i="26"/>
  <c r="E18" i="26"/>
  <c r="E23" i="26"/>
  <c r="E28" i="26"/>
  <c r="E34" i="26"/>
  <c r="E39" i="26"/>
  <c r="E44" i="26"/>
  <c r="E45" i="26"/>
  <c r="E50" i="26"/>
  <c r="E16" i="26"/>
  <c r="E17" i="26"/>
  <c r="E22" i="26"/>
  <c r="E27" i="26"/>
  <c r="E32" i="26"/>
  <c r="E43" i="26"/>
  <c r="E48" i="26"/>
  <c r="E49" i="26"/>
  <c r="E54" i="26"/>
  <c r="E57" i="26"/>
  <c r="E14" i="26"/>
  <c r="E19" i="26"/>
  <c r="E10" i="26"/>
  <c r="E26" i="26"/>
  <c r="E31" i="26"/>
  <c r="E36" i="26"/>
  <c r="E47" i="26"/>
  <c r="E52" i="26"/>
  <c r="I38" i="29" l="1"/>
  <c r="J38" i="29"/>
  <c r="I35" i="29"/>
  <c r="I48" i="29"/>
  <c r="I54" i="29"/>
  <c r="I13" i="29"/>
  <c r="I39" i="29"/>
  <c r="I9" i="29"/>
  <c r="I12" i="29"/>
  <c r="I18" i="29"/>
  <c r="I20" i="29"/>
  <c r="I7" i="29"/>
  <c r="J7" i="29" s="1"/>
  <c r="I32" i="29"/>
  <c r="I24" i="29"/>
  <c r="I33" i="29"/>
  <c r="I25" i="29"/>
  <c r="I47" i="29"/>
  <c r="I37" i="29"/>
  <c r="I43" i="29"/>
  <c r="I44" i="29"/>
  <c r="I45" i="29"/>
  <c r="I28" i="29"/>
  <c r="I16" i="29"/>
  <c r="I50" i="29"/>
  <c r="I31" i="29"/>
  <c r="I34" i="29"/>
  <c r="I27" i="29"/>
  <c r="I22" i="29"/>
  <c r="I49" i="29"/>
  <c r="I57" i="29"/>
  <c r="J57" i="29" s="1"/>
  <c r="Q17" i="29" s="1"/>
  <c r="I41" i="29"/>
  <c r="I15" i="29"/>
  <c r="I26" i="29"/>
  <c r="J26" i="29" s="1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44" i="35"/>
  <c r="I39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24" i="35"/>
  <c r="I7" i="35"/>
  <c r="J7" i="35" s="1"/>
  <c r="I43" i="35"/>
  <c r="I38" i="35"/>
  <c r="I29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12" i="37"/>
  <c r="I7" i="37"/>
  <c r="J7" i="37" s="1"/>
  <c r="I51" i="37"/>
  <c r="I46" i="37"/>
  <c r="I41" i="37"/>
  <c r="I40" i="37"/>
  <c r="I35" i="37"/>
  <c r="I30" i="37"/>
  <c r="I25" i="37"/>
  <c r="I24" i="37"/>
  <c r="I19" i="37"/>
  <c r="I14" i="37"/>
  <c r="I9" i="37"/>
  <c r="I53" i="37"/>
  <c r="I52" i="37"/>
  <c r="I47" i="37"/>
  <c r="I42" i="37"/>
  <c r="I37" i="37"/>
  <c r="I36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41" i="31"/>
  <c r="I37" i="31"/>
  <c r="I33" i="31"/>
  <c r="I29" i="31"/>
  <c r="I25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48" i="31"/>
  <c r="I44" i="31"/>
  <c r="I40" i="31"/>
  <c r="I36" i="31"/>
  <c r="I32" i="31"/>
  <c r="I55" i="36"/>
  <c r="I51" i="36"/>
  <c r="I50" i="36"/>
  <c r="I46" i="36"/>
  <c r="I41" i="36"/>
  <c r="I32" i="36"/>
  <c r="I28" i="36"/>
  <c r="I23" i="36"/>
  <c r="I19" i="36"/>
  <c r="I18" i="36"/>
  <c r="I9" i="36"/>
  <c r="I47" i="36"/>
  <c r="I43" i="36"/>
  <c r="I42" i="36"/>
  <c r="I38" i="36"/>
  <c r="I33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36" i="36"/>
  <c r="I31" i="36"/>
  <c r="I26" i="36"/>
  <c r="I17" i="36"/>
  <c r="I57" i="36"/>
  <c r="J57" i="36" s="1"/>
  <c r="Q17" i="36" s="1"/>
  <c r="I27" i="36"/>
  <c r="I13" i="36"/>
  <c r="I49" i="36"/>
  <c r="I40" i="36"/>
  <c r="I19" i="32"/>
  <c r="I13" i="32"/>
  <c r="I12" i="32"/>
  <c r="I18" i="32"/>
  <c r="I20" i="32"/>
  <c r="I14" i="32"/>
  <c r="I9" i="32"/>
  <c r="I16" i="32"/>
  <c r="I15" i="32"/>
  <c r="I10" i="32"/>
  <c r="I7" i="32"/>
  <c r="J7" i="32" s="1"/>
  <c r="I11" i="32"/>
  <c r="I15" i="34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5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22" i="34"/>
  <c r="I51" i="34"/>
  <c r="I26" i="34"/>
  <c r="I57" i="33"/>
  <c r="J57" i="33" s="1"/>
  <c r="Q17" i="33" s="1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8" i="33"/>
  <c r="I54" i="33"/>
  <c r="I41" i="33"/>
  <c r="I38" i="33"/>
  <c r="I30" i="33"/>
  <c r="I46" i="33"/>
  <c r="I36" i="33"/>
  <c r="I28" i="33"/>
  <c r="I24" i="33"/>
  <c r="I19" i="33"/>
  <c r="I14" i="33"/>
  <c r="I9" i="33"/>
  <c r="I48" i="33"/>
  <c r="I21" i="33"/>
  <c r="I17" i="33"/>
  <c r="I12" i="33"/>
  <c r="I11" i="33"/>
  <c r="I50" i="33"/>
  <c r="I47" i="33"/>
  <c r="I3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9" i="30"/>
  <c r="I25" i="30"/>
  <c r="I21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5" i="28"/>
  <c r="I50" i="28"/>
  <c r="I46" i="28"/>
  <c r="I42" i="28"/>
  <c r="I38" i="28"/>
  <c r="I34" i="28"/>
  <c r="I30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52" i="28"/>
  <c r="I51" i="28"/>
  <c r="I47" i="28"/>
  <c r="I43" i="28"/>
  <c r="I39" i="28"/>
  <c r="I35" i="28"/>
  <c r="I31" i="28"/>
  <c r="I27" i="28"/>
  <c r="I23" i="28"/>
  <c r="I19" i="28"/>
  <c r="I15" i="28"/>
  <c r="I11" i="28"/>
  <c r="I7" i="28"/>
  <c r="J7" i="28" s="1"/>
  <c r="I53" i="28"/>
  <c r="I44" i="28"/>
  <c r="I40" i="28"/>
  <c r="I32" i="28"/>
  <c r="I28" i="28"/>
  <c r="I16" i="28"/>
  <c r="I57" i="28"/>
  <c r="J57" i="28" s="1"/>
  <c r="Q17" i="28" s="1"/>
  <c r="I54" i="28"/>
  <c r="I49" i="28"/>
  <c r="I41" i="28"/>
  <c r="I33" i="28"/>
  <c r="I17" i="28"/>
  <c r="I57" i="27"/>
  <c r="J57" i="27" s="1"/>
  <c r="Q17" i="27" s="1"/>
  <c r="I54" i="27"/>
  <c r="I50" i="27"/>
  <c r="I45" i="27"/>
  <c r="I44" i="27"/>
  <c r="I39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43" i="27"/>
  <c r="I38" i="27"/>
  <c r="I33" i="27"/>
  <c r="I32" i="27"/>
  <c r="I27" i="27"/>
  <c r="I22" i="27"/>
  <c r="I11" i="27"/>
  <c r="I55" i="27"/>
  <c r="I51" i="27"/>
  <c r="I46" i="27"/>
  <c r="I40" i="27"/>
  <c r="I35" i="27"/>
  <c r="I30" i="27"/>
  <c r="I25" i="27"/>
  <c r="I19" i="27"/>
  <c r="I14" i="27"/>
  <c r="I9" i="27"/>
  <c r="I52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2" i="26"/>
  <c r="I27" i="26"/>
  <c r="I22" i="26"/>
  <c r="I17" i="26"/>
  <c r="I16" i="26"/>
  <c r="I53" i="26"/>
  <c r="I52" i="26"/>
  <c r="I47" i="26"/>
  <c r="I26" i="26"/>
  <c r="I21" i="26"/>
  <c r="I50" i="26"/>
  <c r="I45" i="26"/>
  <c r="I44" i="26"/>
  <c r="I39" i="26"/>
  <c r="I34" i="26"/>
  <c r="I28" i="26"/>
  <c r="I23" i="26"/>
  <c r="I18" i="26"/>
  <c r="I13" i="26"/>
  <c r="I12" i="26"/>
  <c r="I7" i="26"/>
  <c r="J7" i="26" s="1"/>
  <c r="I41" i="26"/>
  <c r="I40" i="26"/>
  <c r="I35" i="26"/>
  <c r="I30" i="26"/>
  <c r="I25" i="26"/>
  <c r="I19" i="26"/>
  <c r="I14" i="26"/>
  <c r="I9" i="26"/>
  <c r="I37" i="26"/>
  <c r="I36" i="26"/>
  <c r="I31" i="26"/>
  <c r="I10" i="26"/>
  <c r="F39" i="29" l="1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F21" i="27"/>
  <c r="J20" i="27"/>
  <c r="F31" i="27"/>
  <c r="J30" i="27"/>
  <c r="F23" i="27"/>
  <c r="J22" i="27"/>
  <c r="F54" i="27"/>
  <c r="J53" i="27"/>
  <c r="F35" i="27"/>
  <c r="J34" i="27"/>
  <c r="F55" i="28"/>
  <c r="J54" i="28"/>
  <c r="J47" i="28"/>
  <c r="F32" i="26"/>
  <c r="J31" i="26"/>
  <c r="J14" i="26"/>
  <c r="F31" i="26"/>
  <c r="J30" i="26"/>
  <c r="F47" i="26"/>
  <c r="F14" i="26"/>
  <c r="J13" i="26"/>
  <c r="F30" i="26"/>
  <c r="J45" i="26"/>
  <c r="F21" i="26"/>
  <c r="F48" i="26"/>
  <c r="J47" i="26"/>
  <c r="F17" i="26"/>
  <c r="J16" i="26"/>
  <c r="J32" i="26"/>
  <c r="F49" i="26"/>
  <c r="J48" i="26"/>
  <c r="F17" i="27"/>
  <c r="J16" i="27"/>
  <c r="F27" i="27"/>
  <c r="J26" i="27"/>
  <c r="F53" i="27"/>
  <c r="J52" i="27"/>
  <c r="F25" i="27"/>
  <c r="J40" i="27"/>
  <c r="F57" i="27"/>
  <c r="J55" i="27"/>
  <c r="F33" i="27"/>
  <c r="J32" i="27"/>
  <c r="F49" i="27"/>
  <c r="J48" i="27"/>
  <c r="F16" i="27"/>
  <c r="J15" i="27"/>
  <c r="F13" i="27"/>
  <c r="J12" i="27"/>
  <c r="F29" i="27"/>
  <c r="J28" i="27"/>
  <c r="F45" i="27"/>
  <c r="J44" i="27"/>
  <c r="F42" i="28"/>
  <c r="J41" i="28"/>
  <c r="F17" i="28"/>
  <c r="J16" i="28"/>
  <c r="F41" i="28"/>
  <c r="J40" i="28"/>
  <c r="F24" i="28"/>
  <c r="J23" i="28"/>
  <c r="F40" i="28"/>
  <c r="J39" i="28"/>
  <c r="F53" i="28"/>
  <c r="J52" i="28"/>
  <c r="F38" i="28"/>
  <c r="J37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J44" i="30"/>
  <c r="F52" i="33"/>
  <c r="J51" i="33"/>
  <c r="F17" i="33"/>
  <c r="J16" i="33"/>
  <c r="F35" i="33"/>
  <c r="J34" i="33"/>
  <c r="F12" i="33"/>
  <c r="J11" i="33"/>
  <c r="F49" i="33"/>
  <c r="J48" i="33"/>
  <c r="F24" i="33"/>
  <c r="F37" i="33"/>
  <c r="J36" i="33"/>
  <c r="F39" i="33"/>
  <c r="J38" i="33"/>
  <c r="F19" i="33"/>
  <c r="J18" i="33"/>
  <c r="J32" i="33"/>
  <c r="F57" i="33"/>
  <c r="J55" i="33"/>
  <c r="F45" i="33"/>
  <c r="J44" i="33"/>
  <c r="F27" i="34"/>
  <c r="J26" i="34"/>
  <c r="F48" i="34"/>
  <c r="J47" i="34"/>
  <c r="F18" i="34"/>
  <c r="J17" i="34"/>
  <c r="F44" i="34"/>
  <c r="J43" i="34"/>
  <c r="F34" i="34"/>
  <c r="J33" i="34"/>
  <c r="F51" i="34"/>
  <c r="J50" i="34"/>
  <c r="F11" i="34"/>
  <c r="J10" i="34"/>
  <c r="F25" i="34"/>
  <c r="J24" i="34"/>
  <c r="F41" i="34"/>
  <c r="J40" i="34"/>
  <c r="F54" i="34"/>
  <c r="J53" i="34"/>
  <c r="F24" i="34"/>
  <c r="J23" i="34"/>
  <c r="F40" i="34"/>
  <c r="J39" i="34"/>
  <c r="F16" i="34"/>
  <c r="J15" i="34"/>
  <c r="F16" i="32"/>
  <c r="J15" i="32"/>
  <c r="J20" i="32"/>
  <c r="F14" i="32"/>
  <c r="J13" i="32"/>
  <c r="J13" i="36"/>
  <c r="F18" i="36"/>
  <c r="J17" i="36"/>
  <c r="F46" i="36"/>
  <c r="J21" i="36"/>
  <c r="F36" i="36"/>
  <c r="J35" i="36"/>
  <c r="F54" i="36"/>
  <c r="J53" i="36"/>
  <c r="F16" i="36"/>
  <c r="J15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F25" i="37"/>
  <c r="J24" i="37"/>
  <c r="F41" i="37"/>
  <c r="J40" i="37"/>
  <c r="F24" i="37"/>
  <c r="J23" i="37"/>
  <c r="F40" i="37"/>
  <c r="J39" i="37"/>
  <c r="F57" i="37"/>
  <c r="J55" i="37"/>
  <c r="F30" i="35"/>
  <c r="J29" i="35"/>
  <c r="F25" i="35"/>
  <c r="J24" i="35"/>
  <c r="F53" i="35"/>
  <c r="J52" i="35"/>
  <c r="F19" i="35"/>
  <c r="J18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J34" i="29"/>
  <c r="F29" i="29"/>
  <c r="J28" i="29"/>
  <c r="F44" i="29"/>
  <c r="J43" i="29"/>
  <c r="F26" i="29"/>
  <c r="J25" i="29"/>
  <c r="F10" i="29"/>
  <c r="J9" i="29"/>
  <c r="F49" i="29"/>
  <c r="J48" i="29"/>
  <c r="F52" i="26"/>
  <c r="F18" i="26"/>
  <c r="J17" i="26"/>
  <c r="F18" i="27"/>
  <c r="J17" i="27"/>
  <c r="F37" i="27"/>
  <c r="J36" i="27"/>
  <c r="F42" i="27"/>
  <c r="F12" i="27"/>
  <c r="J11" i="27"/>
  <c r="F34" i="27"/>
  <c r="J33" i="27"/>
  <c r="F50" i="27"/>
  <c r="J49" i="27"/>
  <c r="F32" i="27"/>
  <c r="J31" i="27"/>
  <c r="F14" i="27"/>
  <c r="J13" i="27"/>
  <c r="F30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F14" i="28"/>
  <c r="F46" i="28"/>
  <c r="J45" i="28"/>
  <c r="F10" i="28"/>
  <c r="J9" i="28"/>
  <c r="F23" i="28"/>
  <c r="J22" i="28"/>
  <c r="F39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F31" i="30"/>
  <c r="J30" i="30"/>
  <c r="F17" i="30"/>
  <c r="J16" i="30"/>
  <c r="F33" i="30"/>
  <c r="J32" i="30"/>
  <c r="F49" i="30"/>
  <c r="J48" i="30"/>
  <c r="F21" i="33"/>
  <c r="J20" i="33"/>
  <c r="F38" i="33"/>
  <c r="J37" i="33"/>
  <c r="J12" i="33"/>
  <c r="F10" i="33"/>
  <c r="J9" i="33"/>
  <c r="F25" i="33"/>
  <c r="J24" i="33"/>
  <c r="F44" i="33"/>
  <c r="F42" i="33"/>
  <c r="J41" i="33"/>
  <c r="J22" i="33"/>
  <c r="J42" i="33"/>
  <c r="F36" i="33"/>
  <c r="J35" i="33"/>
  <c r="F50" i="33"/>
  <c r="J49" i="33"/>
  <c r="F52" i="34"/>
  <c r="J51" i="34"/>
  <c r="F13" i="34"/>
  <c r="J12" i="34"/>
  <c r="F12" i="34"/>
  <c r="J11" i="34"/>
  <c r="F22" i="34"/>
  <c r="J21" i="34"/>
  <c r="F38" i="34"/>
  <c r="J37" i="34"/>
  <c r="F55" i="34"/>
  <c r="J54" i="34"/>
  <c r="F15" i="34"/>
  <c r="J14" i="34"/>
  <c r="F29" i="34"/>
  <c r="J28" i="34"/>
  <c r="F42" i="34"/>
  <c r="J41" i="34"/>
  <c r="F10" i="34"/>
  <c r="J9" i="34"/>
  <c r="F28" i="34"/>
  <c r="J27" i="34"/>
  <c r="F45" i="34"/>
  <c r="J44" i="34"/>
  <c r="F12" i="32"/>
  <c r="J11" i="32"/>
  <c r="J16" i="32"/>
  <c r="F18" i="32"/>
  <c r="F20" i="32"/>
  <c r="J19" i="32"/>
  <c r="F23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F20" i="36"/>
  <c r="J19" i="36"/>
  <c r="F38" i="36"/>
  <c r="J51" i="36"/>
  <c r="F41" i="31"/>
  <c r="J40" i="31"/>
  <c r="F12" i="31"/>
  <c r="J11" i="31"/>
  <c r="F28" i="31"/>
  <c r="J27" i="31"/>
  <c r="F44" i="31"/>
  <c r="J43" i="31"/>
  <c r="F29" i="31"/>
  <c r="J28" i="31"/>
  <c r="F19" i="31"/>
  <c r="J18" i="31"/>
  <c r="F35" i="31"/>
  <c r="J34" i="31"/>
  <c r="F51" i="31"/>
  <c r="J50" i="31"/>
  <c r="F17" i="31"/>
  <c r="J16" i="31"/>
  <c r="F14" i="31"/>
  <c r="J13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J41" i="37"/>
  <c r="F13" i="37"/>
  <c r="J12" i="37"/>
  <c r="F29" i="37"/>
  <c r="J28" i="37"/>
  <c r="F45" i="37"/>
  <c r="J44" i="37"/>
  <c r="F11" i="35"/>
  <c r="J10" i="35"/>
  <c r="F39" i="35"/>
  <c r="J38" i="35"/>
  <c r="F34" i="35"/>
  <c r="F12" i="35"/>
  <c r="J11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F54" i="29"/>
  <c r="J53" i="29"/>
  <c r="F16" i="29"/>
  <c r="J15" i="29"/>
  <c r="F50" i="29"/>
  <c r="J49" i="29"/>
  <c r="F32" i="29"/>
  <c r="J31" i="29"/>
  <c r="F37" i="29"/>
  <c r="F38" i="29"/>
  <c r="J37" i="29"/>
  <c r="F34" i="29"/>
  <c r="J33" i="29"/>
  <c r="J20" i="29"/>
  <c r="F40" i="29"/>
  <c r="J39" i="29"/>
  <c r="J35" i="29"/>
  <c r="F36" i="26"/>
  <c r="J35" i="26"/>
  <c r="J50" i="26"/>
  <c r="J37" i="26"/>
  <c r="F27" i="26"/>
  <c r="J26" i="26"/>
  <c r="F15" i="27"/>
  <c r="J14" i="27"/>
  <c r="F19" i="27"/>
  <c r="J18" i="27"/>
  <c r="F26" i="28"/>
  <c r="F49" i="28"/>
  <c r="F32" i="28"/>
  <c r="J31" i="28"/>
  <c r="F22" i="28"/>
  <c r="J21" i="28"/>
  <c r="J12" i="28"/>
  <c r="F11" i="28"/>
  <c r="J10" i="28"/>
  <c r="F27" i="28"/>
  <c r="J26" i="28"/>
  <c r="F43" i="28"/>
  <c r="J42" i="28"/>
  <c r="F16" i="30"/>
  <c r="J15" i="30"/>
  <c r="F35" i="30"/>
  <c r="J34" i="30"/>
  <c r="F22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J36" i="30"/>
  <c r="F53" i="30"/>
  <c r="J52" i="30"/>
  <c r="F11" i="33"/>
  <c r="J10" i="33"/>
  <c r="F26" i="33"/>
  <c r="J25" i="33"/>
  <c r="F48" i="33"/>
  <c r="J47" i="33"/>
  <c r="F18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F23" i="34"/>
  <c r="J22" i="34"/>
  <c r="F31" i="34"/>
  <c r="J30" i="34"/>
  <c r="F19" i="34"/>
  <c r="J18" i="34"/>
  <c r="F26" i="34"/>
  <c r="J25" i="34"/>
  <c r="F43" i="34"/>
  <c r="J42" i="34"/>
  <c r="F17" i="34"/>
  <c r="J16" i="34"/>
  <c r="F33" i="34"/>
  <c r="J32" i="34"/>
  <c r="F46" i="34"/>
  <c r="J45" i="34"/>
  <c r="F14" i="34"/>
  <c r="J13" i="34"/>
  <c r="F32" i="34"/>
  <c r="J31" i="34"/>
  <c r="F49" i="34"/>
  <c r="J48" i="34"/>
  <c r="F10" i="32"/>
  <c r="J9" i="32"/>
  <c r="F19" i="32"/>
  <c r="J18" i="32"/>
  <c r="F41" i="36"/>
  <c r="J40" i="36"/>
  <c r="F28" i="36"/>
  <c r="J27" i="36"/>
  <c r="F32" i="36"/>
  <c r="J31" i="36"/>
  <c r="F13" i="36"/>
  <c r="J12" i="36"/>
  <c r="F31" i="36"/>
  <c r="J30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J20" i="31"/>
  <c r="F18" i="31"/>
  <c r="J17" i="31"/>
  <c r="F34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J47" i="37"/>
  <c r="F15" i="37"/>
  <c r="J14" i="37"/>
  <c r="F31" i="37"/>
  <c r="J30" i="37"/>
  <c r="F47" i="37"/>
  <c r="J46" i="37"/>
  <c r="F14" i="37"/>
  <c r="J13" i="37"/>
  <c r="F30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J30" i="35"/>
  <c r="F45" i="35"/>
  <c r="J44" i="35"/>
  <c r="F11" i="29"/>
  <c r="J10" i="29"/>
  <c r="F30" i="29"/>
  <c r="J29" i="29"/>
  <c r="F22" i="29"/>
  <c r="F23" i="29"/>
  <c r="J22" i="29"/>
  <c r="J50" i="29"/>
  <c r="F46" i="29"/>
  <c r="J45" i="29"/>
  <c r="F48" i="29"/>
  <c r="J47" i="29"/>
  <c r="F25" i="29"/>
  <c r="J24" i="29"/>
  <c r="F19" i="29"/>
  <c r="J18" i="29"/>
  <c r="F14" i="29"/>
  <c r="J13" i="29"/>
  <c r="F37" i="26"/>
  <c r="J36" i="26"/>
  <c r="F19" i="26"/>
  <c r="J18" i="26"/>
  <c r="F22" i="26"/>
  <c r="J21" i="26"/>
  <c r="F34" i="26"/>
  <c r="F26" i="27"/>
  <c r="J25" i="27"/>
  <c r="F25" i="26"/>
  <c r="F41" i="26"/>
  <c r="J40" i="26"/>
  <c r="J23" i="26"/>
  <c r="F57" i="26"/>
  <c r="F23" i="26"/>
  <c r="J22" i="26"/>
  <c r="J54" i="26"/>
  <c r="F38" i="27"/>
  <c r="J37" i="27"/>
  <c r="F47" i="27"/>
  <c r="J46" i="27"/>
  <c r="F39" i="27"/>
  <c r="J38" i="27"/>
  <c r="F43" i="27"/>
  <c r="J42" i="27"/>
  <c r="F51" i="27"/>
  <c r="J50" i="27"/>
  <c r="F33" i="28"/>
  <c r="J32" i="28"/>
  <c r="F16" i="28"/>
  <c r="J15" i="28"/>
  <c r="J10" i="26"/>
  <c r="F10" i="26"/>
  <c r="J9" i="26"/>
  <c r="F26" i="26"/>
  <c r="J25" i="26"/>
  <c r="J41" i="26"/>
  <c r="F13" i="26"/>
  <c r="J12" i="26"/>
  <c r="J28" i="26"/>
  <c r="F45" i="26"/>
  <c r="J44" i="26"/>
  <c r="F16" i="26"/>
  <c r="F43" i="26"/>
  <c r="F12" i="26"/>
  <c r="F28" i="26"/>
  <c r="J27" i="26"/>
  <c r="F44" i="26"/>
  <c r="J43" i="26"/>
  <c r="F22" i="27"/>
  <c r="J21" i="27"/>
  <c r="F48" i="27"/>
  <c r="J47" i="27"/>
  <c r="F20" i="27"/>
  <c r="J19" i="27"/>
  <c r="F36" i="27"/>
  <c r="J35" i="27"/>
  <c r="F52" i="27"/>
  <c r="J51" i="27"/>
  <c r="F28" i="27"/>
  <c r="J27" i="27"/>
  <c r="F44" i="27"/>
  <c r="J43" i="27"/>
  <c r="F11" i="27"/>
  <c r="J10" i="27"/>
  <c r="J23" i="27"/>
  <c r="F40" i="27"/>
  <c r="J39" i="27"/>
  <c r="F55" i="27"/>
  <c r="J54" i="27"/>
  <c r="F34" i="28"/>
  <c r="J33" i="28"/>
  <c r="F37" i="28"/>
  <c r="F54" i="28"/>
  <c r="J53" i="28"/>
  <c r="F20" i="28"/>
  <c r="J19" i="28"/>
  <c r="J35" i="28"/>
  <c r="F52" i="28"/>
  <c r="J51" i="28"/>
  <c r="F30" i="28"/>
  <c r="J29" i="28"/>
  <c r="F21" i="28"/>
  <c r="J20" i="28"/>
  <c r="F15" i="28"/>
  <c r="J14" i="28"/>
  <c r="F31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J35" i="30"/>
  <c r="F15" i="30"/>
  <c r="J14" i="30"/>
  <c r="F47" i="30"/>
  <c r="J46" i="30"/>
  <c r="F25" i="30"/>
  <c r="J24" i="30"/>
  <c r="F41" i="30"/>
  <c r="J40" i="30"/>
  <c r="F27" i="33"/>
  <c r="J26" i="33"/>
  <c r="F16" i="33"/>
  <c r="J15" i="33"/>
  <c r="F30" i="33"/>
  <c r="J29" i="33"/>
  <c r="F51" i="33"/>
  <c r="J50" i="33"/>
  <c r="F22" i="33"/>
  <c r="J21" i="33"/>
  <c r="F20" i="33"/>
  <c r="J19" i="33"/>
  <c r="F34" i="33"/>
  <c r="F31" i="33"/>
  <c r="J30" i="33"/>
  <c r="F14" i="33"/>
  <c r="F32" i="33"/>
  <c r="J31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1" i="32"/>
  <c r="J10" i="32"/>
  <c r="F15" i="32"/>
  <c r="J14" i="32"/>
  <c r="F13" i="32"/>
  <c r="J12" i="32"/>
  <c r="F50" i="36"/>
  <c r="J49" i="36"/>
  <c r="J36" i="36"/>
  <c r="F17" i="36"/>
  <c r="J16" i="36"/>
  <c r="F35" i="36"/>
  <c r="J34" i="36"/>
  <c r="F49" i="36"/>
  <c r="J48" i="36"/>
  <c r="F12" i="36"/>
  <c r="J11" i="36"/>
  <c r="F30" i="36"/>
  <c r="F44" i="36"/>
  <c r="J43" i="36"/>
  <c r="F15" i="36"/>
  <c r="J28" i="36"/>
  <c r="F47" i="36"/>
  <c r="J46" i="36"/>
  <c r="F33" i="31"/>
  <c r="J32" i="31"/>
  <c r="F49" i="31"/>
  <c r="J48" i="31"/>
  <c r="F20" i="31"/>
  <c r="J19" i="31"/>
  <c r="F36" i="31"/>
  <c r="J35" i="31"/>
  <c r="J51" i="31"/>
  <c r="F11" i="31"/>
  <c r="J10" i="31"/>
  <c r="F27" i="31"/>
  <c r="J26" i="31"/>
  <c r="F43" i="31"/>
  <c r="J42" i="31"/>
  <c r="F25" i="31"/>
  <c r="J24" i="31"/>
  <c r="F22" i="31"/>
  <c r="F38" i="31"/>
  <c r="J37" i="31"/>
  <c r="F54" i="31"/>
  <c r="J53" i="31"/>
  <c r="F55" i="37"/>
  <c r="J54" i="37"/>
  <c r="F23" i="37"/>
  <c r="J22" i="37"/>
  <c r="F21" i="37"/>
  <c r="J20" i="37"/>
  <c r="F37" i="37"/>
  <c r="J36" i="37"/>
  <c r="F53" i="37"/>
  <c r="J52" i="37"/>
  <c r="F20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F48" i="35"/>
  <c r="J47" i="35"/>
  <c r="F15" i="35"/>
  <c r="J14" i="35"/>
  <c r="F29" i="35"/>
  <c r="J28" i="35"/>
  <c r="F47" i="35"/>
  <c r="F14" i="35"/>
  <c r="J13" i="35"/>
  <c r="F28" i="35"/>
  <c r="J27" i="35"/>
  <c r="J45" i="35"/>
  <c r="F17" i="35"/>
  <c r="J16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J41" i="29"/>
  <c r="F28" i="29"/>
  <c r="J27" i="29"/>
  <c r="F17" i="29"/>
  <c r="J16" i="29"/>
  <c r="F45" i="29"/>
  <c r="J44" i="29"/>
  <c r="F52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D12" i="3"/>
  <c r="L12" i="3" s="1"/>
  <c r="D13" i="3"/>
  <c r="L13" i="3" s="1"/>
  <c r="L14" i="3"/>
  <c r="D15" i="3"/>
  <c r="D16" i="3"/>
  <c r="L16" i="3" s="1"/>
  <c r="D17" i="3"/>
  <c r="L17" i="3" s="1"/>
  <c r="D18" i="3"/>
  <c r="L18" i="3" s="1"/>
  <c r="D19" i="3"/>
  <c r="L20" i="3"/>
  <c r="D21" i="3"/>
  <c r="L21" i="3" s="1"/>
  <c r="D22" i="3"/>
  <c r="L22" i="3" s="1"/>
  <c r="D23" i="3"/>
  <c r="D24" i="3"/>
  <c r="L24" i="3" s="1"/>
  <c r="L25" i="3"/>
  <c r="D26" i="3"/>
  <c r="L26" i="3" s="1"/>
  <c r="D27" i="3"/>
  <c r="D28" i="3"/>
  <c r="L28" i="3" s="1"/>
  <c r="D29" i="3"/>
  <c r="L29" i="3" s="1"/>
  <c r="D30" i="3"/>
  <c r="L30" i="3" s="1"/>
  <c r="D32" i="3"/>
  <c r="L32" i="3" s="1"/>
  <c r="D33" i="3"/>
  <c r="L33" i="3" s="1"/>
  <c r="D34" i="3"/>
  <c r="L34" i="3" s="1"/>
  <c r="D35" i="3"/>
  <c r="D36" i="3"/>
  <c r="L36" i="3" s="1"/>
  <c r="L37" i="3"/>
  <c r="D38" i="3"/>
  <c r="L38" i="3" s="1"/>
  <c r="D39" i="3"/>
  <c r="D40" i="3"/>
  <c r="L40" i="3" s="1"/>
  <c r="D41" i="3"/>
  <c r="L41" i="3" s="1"/>
  <c r="L42" i="3"/>
  <c r="D43" i="3"/>
  <c r="D44" i="3"/>
  <c r="L44" i="3" s="1"/>
  <c r="D45" i="3"/>
  <c r="L45" i="3" s="1"/>
  <c r="D46" i="3"/>
  <c r="L46" i="3" s="1"/>
  <c r="D47" i="3"/>
  <c r="L48" i="3"/>
  <c r="D49" i="3"/>
  <c r="L49" i="3" s="1"/>
  <c r="D50" i="3"/>
  <c r="L50" i="3" s="1"/>
  <c r="D51" i="3"/>
  <c r="D52" i="3"/>
  <c r="L52" i="3" s="1"/>
  <c r="D53" i="3"/>
  <c r="L53" i="3" s="1"/>
  <c r="L54" i="3"/>
  <c r="D55" i="3"/>
  <c r="D9" i="3"/>
  <c r="D7" i="3"/>
  <c r="D107" i="5"/>
  <c r="D10" i="5"/>
  <c r="L10" i="5" s="1"/>
  <c r="D11" i="5"/>
  <c r="L11" i="5" s="1"/>
  <c r="D12" i="5"/>
  <c r="L12" i="5" s="1"/>
  <c r="L13" i="5"/>
  <c r="D14" i="5"/>
  <c r="L14" i="5" s="1"/>
  <c r="D15" i="5"/>
  <c r="L15" i="5" s="1"/>
  <c r="D16" i="5"/>
  <c r="L16" i="5" s="1"/>
  <c r="D17" i="5"/>
  <c r="L17" i="5" s="1"/>
  <c r="D18" i="5"/>
  <c r="L18" i="5" s="1"/>
  <c r="D19" i="5"/>
  <c r="L19" i="5" s="1"/>
  <c r="L20" i="5"/>
  <c r="D21" i="5"/>
  <c r="L21" i="5" s="1"/>
  <c r="D22" i="5"/>
  <c r="L22" i="5" s="1"/>
  <c r="D23" i="5"/>
  <c r="L23" i="5" s="1"/>
  <c r="D24" i="5"/>
  <c r="L24" i="5" s="1"/>
  <c r="D25" i="5"/>
  <c r="L25" i="5" s="1"/>
  <c r="D26" i="5"/>
  <c r="L26" i="5" s="1"/>
  <c r="L27" i="5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L34" i="5"/>
  <c r="D35" i="5"/>
  <c r="L35" i="5" s="1"/>
  <c r="D36" i="5"/>
  <c r="L36" i="5" s="1"/>
  <c r="D37" i="5"/>
  <c r="L37" i="5" s="1"/>
  <c r="D38" i="5"/>
  <c r="L38" i="5" s="1"/>
  <c r="D39" i="5"/>
  <c r="L39" i="5" s="1"/>
  <c r="L40" i="5"/>
  <c r="D41" i="5"/>
  <c r="L41" i="5" s="1"/>
  <c r="D42" i="5"/>
  <c r="L42" i="5" s="1"/>
  <c r="D43" i="5"/>
  <c r="L43" i="5" s="1"/>
  <c r="D44" i="5"/>
  <c r="L44" i="5" s="1"/>
  <c r="D45" i="5"/>
  <c r="L45" i="5" s="1"/>
  <c r="D46" i="5"/>
  <c r="L46" i="5" s="1"/>
  <c r="L47" i="5"/>
  <c r="D48" i="5"/>
  <c r="L48" i="5" s="1"/>
  <c r="D49" i="5"/>
  <c r="L49" i="5" s="1"/>
  <c r="D50" i="5"/>
  <c r="L50" i="5" s="1"/>
  <c r="D51" i="5"/>
  <c r="L51" i="5" s="1"/>
  <c r="D52" i="5"/>
  <c r="L52" i="5" s="1"/>
  <c r="D53" i="5"/>
  <c r="L53" i="5" s="1"/>
  <c r="L54" i="5"/>
  <c r="D55" i="5"/>
  <c r="L55" i="5" s="1"/>
  <c r="D56" i="5"/>
  <c r="L56" i="5" s="1"/>
  <c r="D57" i="5"/>
  <c r="L57" i="5" s="1"/>
  <c r="D58" i="5"/>
  <c r="L58" i="5" s="1"/>
  <c r="D59" i="5"/>
  <c r="L59" i="5" s="1"/>
  <c r="D60" i="5"/>
  <c r="L60" i="5" s="1"/>
  <c r="L61" i="5"/>
  <c r="D62" i="5"/>
  <c r="L62" i="5" s="1"/>
  <c r="D63" i="5"/>
  <c r="L63" i="5" s="1"/>
  <c r="D64" i="5"/>
  <c r="L64" i="5" s="1"/>
  <c r="D65" i="5"/>
  <c r="L65" i="5" s="1"/>
  <c r="D66" i="5"/>
  <c r="L66" i="5" s="1"/>
  <c r="L67" i="5"/>
  <c r="D68" i="5"/>
  <c r="L68" i="5" s="1"/>
  <c r="D69" i="5"/>
  <c r="L69" i="5" s="1"/>
  <c r="D70" i="5"/>
  <c r="L70" i="5" s="1"/>
  <c r="D71" i="5"/>
  <c r="L71" i="5" s="1"/>
  <c r="D72" i="5"/>
  <c r="L72" i="5" s="1"/>
  <c r="D73" i="5"/>
  <c r="L73" i="5" s="1"/>
  <c r="L74" i="5"/>
  <c r="D75" i="5"/>
  <c r="L75" i="5" s="1"/>
  <c r="D76" i="5"/>
  <c r="L76" i="5" s="1"/>
  <c r="D77" i="5"/>
  <c r="L77" i="5" s="1"/>
  <c r="D78" i="5"/>
  <c r="L78" i="5" s="1"/>
  <c r="D79" i="5"/>
  <c r="L79" i="5" s="1"/>
  <c r="D80" i="5"/>
  <c r="L80" i="5" s="1"/>
  <c r="L81" i="5"/>
  <c r="D82" i="5"/>
  <c r="L82" i="5" s="1"/>
  <c r="D83" i="5"/>
  <c r="L83" i="5" s="1"/>
  <c r="D84" i="5"/>
  <c r="L84" i="5" s="1"/>
  <c r="D85" i="5"/>
  <c r="L85" i="5" s="1"/>
  <c r="D86" i="5"/>
  <c r="L86" i="5" s="1"/>
  <c r="D87" i="5"/>
  <c r="L87" i="5" s="1"/>
  <c r="L88" i="5"/>
  <c r="D89" i="5"/>
  <c r="L89" i="5" s="1"/>
  <c r="D90" i="5"/>
  <c r="L90" i="5" s="1"/>
  <c r="D91" i="5"/>
  <c r="L91" i="5" s="1"/>
  <c r="D92" i="5"/>
  <c r="L92" i="5" s="1"/>
  <c r="D93" i="5"/>
  <c r="L93" i="5" s="1"/>
  <c r="D94" i="5"/>
  <c r="L94" i="5" s="1"/>
  <c r="L95" i="5"/>
  <c r="D96" i="5"/>
  <c r="L96" i="5" s="1"/>
  <c r="D97" i="5"/>
  <c r="L97" i="5" s="1"/>
  <c r="D98" i="5"/>
  <c r="L98" i="5" s="1"/>
  <c r="D99" i="5"/>
  <c r="L99" i="5" s="1"/>
  <c r="D100" i="5"/>
  <c r="L100" i="5" s="1"/>
  <c r="L101" i="5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L31" i="3"/>
  <c r="G27" i="3"/>
  <c r="H27" i="3" s="1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4" i="5"/>
  <c r="H84" i="5" s="1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36" i="5"/>
  <c r="H36" i="5" s="1"/>
  <c r="G32" i="5"/>
  <c r="H32" i="5" s="1"/>
  <c r="G28" i="5"/>
  <c r="H28" i="5" s="1"/>
  <c r="G24" i="5"/>
  <c r="H24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0" i="5"/>
  <c r="H70" i="5" s="1"/>
  <c r="G66" i="5"/>
  <c r="H66" i="5" s="1"/>
  <c r="G62" i="5"/>
  <c r="H62" i="5" s="1"/>
  <c r="G58" i="5"/>
  <c r="H58" i="5" s="1"/>
  <c r="G50" i="5"/>
  <c r="H50" i="5" s="1"/>
  <c r="G46" i="5"/>
  <c r="H46" i="5" s="1"/>
  <c r="G42" i="5"/>
  <c r="H42" i="5" s="1"/>
  <c r="G38" i="5"/>
  <c r="H38" i="5" s="1"/>
  <c r="G30" i="5"/>
  <c r="H30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45" i="3"/>
  <c r="H45" i="3" s="1"/>
  <c r="G97" i="5"/>
  <c r="H97" i="5" s="1"/>
  <c r="G93" i="5"/>
  <c r="H93" i="5" s="1"/>
  <c r="G89" i="5"/>
  <c r="H89" i="5" s="1"/>
  <c r="G85" i="5"/>
  <c r="H85" i="5" s="1"/>
  <c r="G77" i="5"/>
  <c r="H77" i="5" s="1"/>
  <c r="G73" i="5"/>
  <c r="H73" i="5" s="1"/>
  <c r="G69" i="5"/>
  <c r="H69" i="5" s="1"/>
  <c r="G65" i="5"/>
  <c r="H65" i="5" s="1"/>
  <c r="G57" i="5"/>
  <c r="H57" i="5" s="1"/>
  <c r="G53" i="5"/>
  <c r="H53" i="5" s="1"/>
  <c r="G49" i="5"/>
  <c r="H49" i="5" s="1"/>
  <c r="G45" i="5"/>
  <c r="H45" i="5" s="1"/>
  <c r="G41" i="5"/>
  <c r="H41" i="5" s="1"/>
  <c r="G37" i="5"/>
  <c r="H37" i="5" s="1"/>
  <c r="G33" i="5"/>
  <c r="H33" i="5" s="1"/>
  <c r="G29" i="5"/>
  <c r="H29" i="5" s="1"/>
  <c r="G25" i="5"/>
  <c r="H25" i="5" s="1"/>
  <c r="G41" i="3"/>
  <c r="H41" i="3" s="1"/>
  <c r="G33" i="3"/>
  <c r="H33" i="3" s="1"/>
  <c r="G29" i="3"/>
  <c r="H29" i="3" s="1"/>
  <c r="G21" i="3"/>
  <c r="H21" i="3" s="1"/>
  <c r="G17" i="3"/>
  <c r="H17" i="3" s="1"/>
  <c r="G13" i="3"/>
  <c r="H13" i="3" s="1"/>
  <c r="G21" i="5"/>
  <c r="H21" i="5" s="1"/>
  <c r="G17" i="5"/>
  <c r="H17" i="5" s="1"/>
  <c r="G52" i="3"/>
  <c r="H52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16" i="3"/>
  <c r="H16" i="3" s="1"/>
  <c r="G12" i="3"/>
  <c r="H12" i="3" s="1"/>
  <c r="G102" i="5"/>
  <c r="H102" i="5" s="1"/>
  <c r="G104" i="5"/>
  <c r="H104" i="5" s="1"/>
  <c r="G99" i="5"/>
  <c r="H99" i="5" s="1"/>
  <c r="G91" i="5"/>
  <c r="H91" i="5" s="1"/>
  <c r="G87" i="5"/>
  <c r="H87" i="5" s="1"/>
  <c r="G83" i="5"/>
  <c r="H83" i="5" s="1"/>
  <c r="G79" i="5"/>
  <c r="H79" i="5" s="1"/>
  <c r="G75" i="5"/>
  <c r="H75" i="5" s="1"/>
  <c r="G71" i="5"/>
  <c r="H71" i="5" s="1"/>
  <c r="G63" i="5"/>
  <c r="H63" i="5" s="1"/>
  <c r="G59" i="5"/>
  <c r="H59" i="5" s="1"/>
  <c r="G55" i="5"/>
  <c r="H55" i="5" s="1"/>
  <c r="G51" i="5"/>
  <c r="H51" i="5" s="1"/>
  <c r="G43" i="5"/>
  <c r="H43" i="5" s="1"/>
  <c r="G39" i="5"/>
  <c r="H39" i="5" s="1"/>
  <c r="G35" i="5"/>
  <c r="H35" i="5" s="1"/>
  <c r="G31" i="5"/>
  <c r="H31" i="5" s="1"/>
  <c r="G23" i="5"/>
  <c r="H23" i="5" s="1"/>
  <c r="G19" i="5"/>
  <c r="H19" i="5" s="1"/>
  <c r="G15" i="5"/>
  <c r="H15" i="5" s="1"/>
  <c r="G11" i="5"/>
  <c r="H11" i="5" s="1"/>
  <c r="G50" i="3"/>
  <c r="H50" i="3" s="1"/>
  <c r="G46" i="3"/>
  <c r="H46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0" i="3"/>
  <c r="H10" i="3" s="1"/>
  <c r="G90" i="5"/>
  <c r="H90" i="5" s="1"/>
  <c r="G10" i="5"/>
  <c r="H10" i="5" s="1"/>
  <c r="E96" i="5"/>
  <c r="E84" i="5"/>
  <c r="E72" i="5"/>
  <c r="E60" i="5"/>
  <c r="E48" i="5"/>
  <c r="E36" i="5"/>
  <c r="E24" i="5"/>
  <c r="E12" i="5"/>
  <c r="E7" i="5"/>
  <c r="E103" i="5"/>
  <c r="E99" i="5"/>
  <c r="E91" i="5"/>
  <c r="E87" i="5"/>
  <c r="E83" i="5"/>
  <c r="E79" i="5"/>
  <c r="E75" i="5"/>
  <c r="E71" i="5"/>
  <c r="E63" i="5"/>
  <c r="E59" i="5"/>
  <c r="E55" i="5"/>
  <c r="E51" i="5"/>
  <c r="E43" i="5"/>
  <c r="E39" i="5"/>
  <c r="E35" i="5"/>
  <c r="E31" i="5"/>
  <c r="E23" i="5"/>
  <c r="E19" i="5"/>
  <c r="E15" i="5"/>
  <c r="E11" i="5"/>
  <c r="E104" i="5"/>
  <c r="E92" i="5"/>
  <c r="E76" i="5"/>
  <c r="E64" i="5"/>
  <c r="E52" i="5"/>
  <c r="E28" i="5"/>
  <c r="E16" i="5"/>
  <c r="E9" i="5"/>
  <c r="E98" i="5"/>
  <c r="E94" i="5"/>
  <c r="E90" i="5"/>
  <c r="E86" i="5"/>
  <c r="E82" i="5"/>
  <c r="E78" i="5"/>
  <c r="E70" i="5"/>
  <c r="E66" i="5"/>
  <c r="E62" i="5"/>
  <c r="E58" i="5"/>
  <c r="E50" i="5"/>
  <c r="E46" i="5"/>
  <c r="E42" i="5"/>
  <c r="E38" i="5"/>
  <c r="E30" i="5"/>
  <c r="E26" i="5"/>
  <c r="E22" i="5"/>
  <c r="E18" i="5"/>
  <c r="E14" i="5"/>
  <c r="E10" i="5"/>
  <c r="E100" i="5"/>
  <c r="E80" i="5"/>
  <c r="E68" i="5"/>
  <c r="E56" i="5"/>
  <c r="E44" i="5"/>
  <c r="E32" i="5"/>
  <c r="E105" i="5"/>
  <c r="E97" i="5"/>
  <c r="E93" i="5"/>
  <c r="E89" i="5"/>
  <c r="E85" i="5"/>
  <c r="E77" i="5"/>
  <c r="E73" i="5"/>
  <c r="E69" i="5"/>
  <c r="E65" i="5"/>
  <c r="E57" i="5"/>
  <c r="E53" i="5"/>
  <c r="E49" i="5"/>
  <c r="E45" i="5"/>
  <c r="E41" i="5"/>
  <c r="E37" i="5"/>
  <c r="E33" i="5"/>
  <c r="E29" i="5"/>
  <c r="E25" i="5"/>
  <c r="E21" i="5"/>
  <c r="E17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L16" i="2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L23" i="2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L30" i="2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L37" i="2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L44" i="2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L51" i="2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L58" i="2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L65" i="2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L72" i="2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L79" i="2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L87" i="2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L94" i="2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L101" i="2"/>
  <c r="D103" i="2"/>
  <c r="D104" i="2"/>
  <c r="L104" i="2" s="1"/>
  <c r="D105" i="2"/>
  <c r="L105" i="2" s="1"/>
  <c r="D9" i="2"/>
  <c r="D7" i="2"/>
  <c r="I29" i="3" l="1"/>
  <c r="J29" i="3" s="1"/>
  <c r="I7" i="3"/>
  <c r="J7" i="3" s="1"/>
  <c r="I36" i="3"/>
  <c r="J36" i="3" s="1"/>
  <c r="I16" i="3"/>
  <c r="J16" i="3" s="1"/>
  <c r="I102" i="5"/>
  <c r="J102" i="5" s="1"/>
  <c r="I49" i="3"/>
  <c r="J49" i="3" s="1"/>
  <c r="I43" i="3"/>
  <c r="J43" i="3" s="1"/>
  <c r="I21" i="3"/>
  <c r="J21" i="3" s="1"/>
  <c r="I47" i="3"/>
  <c r="I39" i="3"/>
  <c r="J39" i="3" s="1"/>
  <c r="I38" i="3"/>
  <c r="I15" i="3"/>
  <c r="J15" i="3" s="1"/>
  <c r="I9" i="3"/>
  <c r="I32" i="3"/>
  <c r="I35" i="3"/>
  <c r="J35" i="3" s="1"/>
  <c r="I22" i="3"/>
  <c r="I17" i="3"/>
  <c r="I53" i="3"/>
  <c r="J53" i="3" s="1"/>
  <c r="I52" i="3"/>
  <c r="J52" i="3" s="1"/>
  <c r="I11" i="3"/>
  <c r="J11" i="3" s="1"/>
  <c r="I10" i="3"/>
  <c r="F11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J45" i="3" s="1"/>
  <c r="I44" i="3"/>
  <c r="I12" i="3"/>
  <c r="I27" i="3"/>
  <c r="I50" i="3"/>
  <c r="I18" i="3"/>
  <c r="J18" i="3" s="1"/>
  <c r="I41" i="3"/>
  <c r="I13" i="3"/>
  <c r="I28" i="3"/>
  <c r="J28" i="3" s="1"/>
  <c r="I34" i="3"/>
  <c r="J34" i="3" s="1"/>
  <c r="I33" i="3"/>
  <c r="J33" i="3" s="1"/>
  <c r="I55" i="3"/>
  <c r="J55" i="3" s="1"/>
  <c r="I23" i="3"/>
  <c r="J23" i="3" s="1"/>
  <c r="I40" i="3"/>
  <c r="F41" i="3" s="1"/>
  <c r="I24" i="3"/>
  <c r="I51" i="3"/>
  <c r="I19" i="3"/>
  <c r="I46" i="3"/>
  <c r="I30" i="3"/>
  <c r="I26" i="3"/>
  <c r="J10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0" i="2"/>
  <c r="H40" i="2" s="1"/>
  <c r="G36" i="2"/>
  <c r="H36" i="2" s="1"/>
  <c r="G32" i="2"/>
  <c r="H32" i="2" s="1"/>
  <c r="G28" i="2"/>
  <c r="H28" i="2" s="1"/>
  <c r="G24" i="2"/>
  <c r="H24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2" i="2"/>
  <c r="H102" i="2" s="1"/>
  <c r="G83" i="2"/>
  <c r="H83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19" i="2"/>
  <c r="H19" i="2" s="1"/>
  <c r="G15" i="2"/>
  <c r="H15" i="2" s="1"/>
  <c r="G98" i="2"/>
  <c r="H98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26" i="2"/>
  <c r="H26" i="2" s="1"/>
  <c r="G22" i="2"/>
  <c r="H22" i="2" s="1"/>
  <c r="G18" i="2"/>
  <c r="H18" i="2" s="1"/>
  <c r="G14" i="2"/>
  <c r="H14" i="2" s="1"/>
  <c r="G10" i="2"/>
  <c r="H10" i="2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39" i="3" l="1"/>
  <c r="F17" i="3"/>
  <c r="F50" i="3"/>
  <c r="J38" i="3"/>
  <c r="F23" i="3"/>
  <c r="F55" i="3"/>
  <c r="F52" i="3"/>
  <c r="F45" i="3"/>
  <c r="F33" i="3"/>
  <c r="F32" i="3"/>
  <c r="F9" i="3"/>
  <c r="J22" i="3"/>
  <c r="F21" i="3"/>
  <c r="F15" i="3"/>
  <c r="F22" i="3"/>
  <c r="F7" i="3"/>
  <c r="J9" i="3"/>
  <c r="J51" i="3"/>
  <c r="F26" i="3"/>
  <c r="F49" i="3"/>
  <c r="J32" i="3"/>
  <c r="F12" i="3"/>
  <c r="F30" i="3"/>
  <c r="F24" i="3"/>
  <c r="F46" i="3"/>
  <c r="F10" i="3"/>
  <c r="F16" i="3"/>
  <c r="F57" i="3"/>
  <c r="F51" i="3"/>
  <c r="J44" i="3"/>
  <c r="F40" i="3"/>
  <c r="J47" i="3"/>
  <c r="F47" i="3"/>
  <c r="F28" i="3"/>
  <c r="F18" i="3"/>
  <c r="F29" i="3"/>
  <c r="F53" i="3"/>
  <c r="F44" i="3"/>
  <c r="I102" i="2"/>
  <c r="J102" i="2" s="1"/>
  <c r="F13" i="3"/>
  <c r="J27" i="3"/>
  <c r="J17" i="3"/>
  <c r="F27" i="3"/>
  <c r="J30" i="3"/>
  <c r="J46" i="3"/>
  <c r="J24" i="3"/>
  <c r="J50" i="3"/>
  <c r="J13" i="3"/>
  <c r="J26" i="3"/>
  <c r="J40" i="3"/>
  <c r="F35" i="3"/>
  <c r="F38" i="3"/>
  <c r="J12" i="3"/>
  <c r="J41" i="3"/>
  <c r="J19" i="3"/>
  <c r="F19" i="3"/>
  <c r="F43" i="3"/>
  <c r="F34" i="3"/>
  <c r="F36" i="3"/>
  <c r="I14" i="2"/>
  <c r="I27" i="2"/>
  <c r="I107" i="5"/>
  <c r="J107" i="5" s="1"/>
  <c r="Q17" i="5" s="1"/>
  <c r="I105" i="5"/>
  <c r="I104" i="5"/>
  <c r="I103" i="5"/>
  <c r="I100" i="5"/>
  <c r="I99" i="5"/>
  <c r="I98" i="5"/>
  <c r="I97" i="5"/>
  <c r="I96" i="5"/>
  <c r="I94" i="5"/>
  <c r="I93" i="5"/>
  <c r="I92" i="5"/>
  <c r="I91" i="5"/>
  <c r="I90" i="5"/>
  <c r="I89" i="5"/>
  <c r="I87" i="5"/>
  <c r="I86" i="5"/>
  <c r="I85" i="5"/>
  <c r="I84" i="5"/>
  <c r="I83" i="5"/>
  <c r="I82" i="5"/>
  <c r="I80" i="5"/>
  <c r="I79" i="5"/>
  <c r="I78" i="5"/>
  <c r="I77" i="5"/>
  <c r="I76" i="5"/>
  <c r="I75" i="5"/>
  <c r="I73" i="5"/>
  <c r="I72" i="5"/>
  <c r="I71" i="5"/>
  <c r="I70" i="5"/>
  <c r="I69" i="5"/>
  <c r="I68" i="5"/>
  <c r="I66" i="5"/>
  <c r="I65" i="5"/>
  <c r="I64" i="5"/>
  <c r="I63" i="5"/>
  <c r="I62" i="5"/>
  <c r="I60" i="5"/>
  <c r="I59" i="5"/>
  <c r="I58" i="5"/>
  <c r="I57" i="5"/>
  <c r="I56" i="5"/>
  <c r="I55" i="5"/>
  <c r="I53" i="5"/>
  <c r="I52" i="5"/>
  <c r="I51" i="5"/>
  <c r="I50" i="5"/>
  <c r="I49" i="5"/>
  <c r="I48" i="5"/>
  <c r="I46" i="5"/>
  <c r="I45" i="5"/>
  <c r="I44" i="5"/>
  <c r="I43" i="5"/>
  <c r="I42" i="5"/>
  <c r="I41" i="5"/>
  <c r="I39" i="5"/>
  <c r="I38" i="5"/>
  <c r="I37" i="5"/>
  <c r="I36" i="5"/>
  <c r="I35" i="5"/>
  <c r="I33" i="5"/>
  <c r="I32" i="5"/>
  <c r="I31" i="5"/>
  <c r="I30" i="5"/>
  <c r="I29" i="5"/>
  <c r="I28" i="5"/>
  <c r="I26" i="5"/>
  <c r="I25" i="5"/>
  <c r="I24" i="5"/>
  <c r="I23" i="5"/>
  <c r="I22" i="5"/>
  <c r="I21" i="5"/>
  <c r="I19" i="5"/>
  <c r="I18" i="5"/>
  <c r="I17" i="5"/>
  <c r="I16" i="5"/>
  <c r="I15" i="5"/>
  <c r="I14" i="5"/>
  <c r="I12" i="5"/>
  <c r="I11" i="5"/>
  <c r="I10" i="5"/>
  <c r="I9" i="5"/>
  <c r="I7" i="5"/>
  <c r="E7" i="3"/>
  <c r="E9" i="3"/>
  <c r="E10" i="3"/>
  <c r="E11" i="3"/>
  <c r="E12" i="3"/>
  <c r="E13" i="3"/>
  <c r="E15" i="3"/>
  <c r="E16" i="3"/>
  <c r="E17" i="3"/>
  <c r="E18" i="3"/>
  <c r="E19" i="3"/>
  <c r="E21" i="3"/>
  <c r="E22" i="3"/>
  <c r="E23" i="3"/>
  <c r="E24" i="3"/>
  <c r="E26" i="3"/>
  <c r="E27" i="3"/>
  <c r="E28" i="3"/>
  <c r="E29" i="3"/>
  <c r="E30" i="3"/>
  <c r="E32" i="3"/>
  <c r="E33" i="3"/>
  <c r="E34" i="3"/>
  <c r="E35" i="3"/>
  <c r="E36" i="3"/>
  <c r="E38" i="3"/>
  <c r="E39" i="3"/>
  <c r="E40" i="3"/>
  <c r="E41" i="3"/>
  <c r="E43" i="3"/>
  <c r="E44" i="3"/>
  <c r="E45" i="3"/>
  <c r="E46" i="3"/>
  <c r="E47" i="3"/>
  <c r="E49" i="3"/>
  <c r="E50" i="3"/>
  <c r="E51" i="3"/>
  <c r="E52" i="3"/>
  <c r="E53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7" i="2"/>
  <c r="I17" i="2"/>
  <c r="E18" i="2"/>
  <c r="I18" i="2"/>
  <c r="E19" i="2"/>
  <c r="I19" i="2"/>
  <c r="E20" i="2"/>
  <c r="I20" i="2"/>
  <c r="E21" i="2"/>
  <c r="I21" i="2"/>
  <c r="E22" i="2"/>
  <c r="I22" i="2"/>
  <c r="E24" i="2"/>
  <c r="I24" i="2"/>
  <c r="E25" i="2"/>
  <c r="I25" i="2"/>
  <c r="E26" i="2"/>
  <c r="I26" i="2"/>
  <c r="E27" i="2"/>
  <c r="E28" i="2"/>
  <c r="I28" i="2"/>
  <c r="E29" i="2"/>
  <c r="I29" i="2"/>
  <c r="E31" i="2"/>
  <c r="I31" i="2"/>
  <c r="E32" i="2"/>
  <c r="I32" i="2"/>
  <c r="E33" i="2"/>
  <c r="I33" i="2"/>
  <c r="E34" i="2"/>
  <c r="I34" i="2"/>
  <c r="E35" i="2"/>
  <c r="I35" i="2"/>
  <c r="E36" i="2"/>
  <c r="I36" i="2"/>
  <c r="E38" i="2"/>
  <c r="I38" i="2"/>
  <c r="E39" i="2"/>
  <c r="I39" i="2"/>
  <c r="E40" i="2"/>
  <c r="I40" i="2"/>
  <c r="E41" i="2"/>
  <c r="I41" i="2"/>
  <c r="E42" i="2"/>
  <c r="I42" i="2"/>
  <c r="E43" i="2"/>
  <c r="I43" i="2"/>
  <c r="E45" i="2"/>
  <c r="I45" i="2"/>
  <c r="E46" i="2"/>
  <c r="I46" i="2"/>
  <c r="E47" i="2"/>
  <c r="I47" i="2"/>
  <c r="E48" i="2"/>
  <c r="I48" i="2"/>
  <c r="E49" i="2"/>
  <c r="I49" i="2"/>
  <c r="E50" i="2"/>
  <c r="I50" i="2"/>
  <c r="E52" i="2"/>
  <c r="I52" i="2"/>
  <c r="E53" i="2"/>
  <c r="I53" i="2"/>
  <c r="E54" i="2"/>
  <c r="I54" i="2"/>
  <c r="E55" i="2"/>
  <c r="I55" i="2"/>
  <c r="E56" i="2"/>
  <c r="I56" i="2"/>
  <c r="E57" i="2"/>
  <c r="I57" i="2"/>
  <c r="E59" i="2"/>
  <c r="I59" i="2"/>
  <c r="E60" i="2"/>
  <c r="I60" i="2"/>
  <c r="E61" i="2"/>
  <c r="I61" i="2"/>
  <c r="E62" i="2"/>
  <c r="I62" i="2"/>
  <c r="E63" i="2"/>
  <c r="I63" i="2"/>
  <c r="E64" i="2"/>
  <c r="I64" i="2"/>
  <c r="E66" i="2"/>
  <c r="I66" i="2"/>
  <c r="E67" i="2"/>
  <c r="I67" i="2"/>
  <c r="E68" i="2"/>
  <c r="I68" i="2"/>
  <c r="E69" i="2"/>
  <c r="I69" i="2"/>
  <c r="E70" i="2"/>
  <c r="I70" i="2"/>
  <c r="E71" i="2"/>
  <c r="I71" i="2"/>
  <c r="E73" i="2"/>
  <c r="I73" i="2"/>
  <c r="E74" i="2"/>
  <c r="I74" i="2"/>
  <c r="E75" i="2"/>
  <c r="I75" i="2"/>
  <c r="E76" i="2"/>
  <c r="I76" i="2"/>
  <c r="E77" i="2"/>
  <c r="I77" i="2"/>
  <c r="E78" i="2"/>
  <c r="I78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8" i="2"/>
  <c r="I88" i="2"/>
  <c r="E89" i="2"/>
  <c r="I89" i="2"/>
  <c r="E90" i="2"/>
  <c r="I90" i="2"/>
  <c r="E91" i="2"/>
  <c r="I91" i="2"/>
  <c r="E92" i="2"/>
  <c r="I92" i="2"/>
  <c r="E93" i="2"/>
  <c r="I93" i="2"/>
  <c r="E95" i="2"/>
  <c r="I95" i="2"/>
  <c r="E96" i="2"/>
  <c r="I96" i="2"/>
  <c r="E97" i="2"/>
  <c r="I97" i="2"/>
  <c r="E98" i="2"/>
  <c r="I98" i="2"/>
  <c r="E99" i="2"/>
  <c r="I99" i="2"/>
  <c r="E100" i="2"/>
  <c r="I100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3" i="5"/>
  <c r="F105" i="2"/>
  <c r="J104" i="2"/>
  <c r="F98" i="2"/>
  <c r="J97" i="2"/>
  <c r="F92" i="2"/>
  <c r="J91" i="2"/>
  <c r="F88" i="2"/>
  <c r="F82" i="2"/>
  <c r="J81" i="2"/>
  <c r="F78" i="2"/>
  <c r="J77" i="2"/>
  <c r="J71" i="2"/>
  <c r="F68" i="2"/>
  <c r="J67" i="2"/>
  <c r="F64" i="2"/>
  <c r="J63" i="2"/>
  <c r="J57" i="2"/>
  <c r="F54" i="2"/>
  <c r="J53" i="2"/>
  <c r="F50" i="2"/>
  <c r="J49" i="2"/>
  <c r="J43" i="2"/>
  <c r="F40" i="2"/>
  <c r="J39" i="2"/>
  <c r="F36" i="2"/>
  <c r="J35" i="2"/>
  <c r="F32" i="2"/>
  <c r="J31" i="2"/>
  <c r="F13" i="2"/>
  <c r="J12" i="2"/>
  <c r="F7" i="2"/>
  <c r="J7" i="2"/>
  <c r="F14" i="5"/>
  <c r="F22" i="5"/>
  <c r="J21" i="5"/>
  <c r="F30" i="5"/>
  <c r="J29" i="5"/>
  <c r="F38" i="5"/>
  <c r="J37" i="5"/>
  <c r="F46" i="5"/>
  <c r="J45" i="5"/>
  <c r="J53" i="5"/>
  <c r="F58" i="5"/>
  <c r="J57" i="5"/>
  <c r="F66" i="5"/>
  <c r="J65" i="5"/>
  <c r="J73" i="5"/>
  <c r="F78" i="5"/>
  <c r="J77" i="5"/>
  <c r="F82" i="5"/>
  <c r="F86" i="5"/>
  <c r="J85" i="5"/>
  <c r="F90" i="5"/>
  <c r="J89" i="5"/>
  <c r="F94" i="5"/>
  <c r="J93" i="5"/>
  <c r="F98" i="5"/>
  <c r="J97" i="5"/>
  <c r="F102" i="5"/>
  <c r="F27" i="2"/>
  <c r="J26" i="2"/>
  <c r="F25" i="2"/>
  <c r="J24" i="2"/>
  <c r="J22" i="2"/>
  <c r="F21" i="2"/>
  <c r="J20" i="2"/>
  <c r="F19" i="2"/>
  <c r="J18" i="2"/>
  <c r="F17" i="2"/>
  <c r="F11" i="5"/>
  <c r="J10" i="5"/>
  <c r="F15" i="5"/>
  <c r="J14" i="5"/>
  <c r="F19" i="5"/>
  <c r="J18" i="5"/>
  <c r="F23" i="5"/>
  <c r="J22" i="5"/>
  <c r="J26" i="5"/>
  <c r="F31" i="5"/>
  <c r="J30" i="5"/>
  <c r="F35" i="5"/>
  <c r="F39" i="5"/>
  <c r="J38" i="5"/>
  <c r="F43" i="5"/>
  <c r="J42" i="5"/>
  <c r="J46" i="5"/>
  <c r="F51" i="5"/>
  <c r="J50" i="5"/>
  <c r="F55" i="5"/>
  <c r="F59" i="5"/>
  <c r="J58" i="5"/>
  <c r="F63" i="5"/>
  <c r="J62" i="5"/>
  <c r="J66" i="5"/>
  <c r="F71" i="5"/>
  <c r="J70" i="5"/>
  <c r="F75" i="5"/>
  <c r="F79" i="5"/>
  <c r="J78" i="5"/>
  <c r="F83" i="5"/>
  <c r="J82" i="5"/>
  <c r="F87" i="5"/>
  <c r="J86" i="5"/>
  <c r="F91" i="5"/>
  <c r="J90" i="5"/>
  <c r="J94" i="5"/>
  <c r="F99" i="5"/>
  <c r="J98" i="5"/>
  <c r="F104" i="5"/>
  <c r="J103" i="5"/>
  <c r="F28" i="2"/>
  <c r="J27" i="2"/>
  <c r="F100" i="2"/>
  <c r="J99" i="2"/>
  <c r="F96" i="2"/>
  <c r="J95" i="2"/>
  <c r="F90" i="2"/>
  <c r="J89" i="2"/>
  <c r="F86" i="2"/>
  <c r="J85" i="2"/>
  <c r="F80" i="2"/>
  <c r="F76" i="2"/>
  <c r="J75" i="2"/>
  <c r="F70" i="2"/>
  <c r="J69" i="2"/>
  <c r="F66" i="2"/>
  <c r="F60" i="2"/>
  <c r="J59" i="2"/>
  <c r="F56" i="2"/>
  <c r="J55" i="2"/>
  <c r="F52" i="2"/>
  <c r="F48" i="2"/>
  <c r="J47" i="2"/>
  <c r="F42" i="2"/>
  <c r="J41" i="2"/>
  <c r="F38" i="2"/>
  <c r="F34" i="2"/>
  <c r="J33" i="2"/>
  <c r="J29" i="2"/>
  <c r="F11" i="2"/>
  <c r="J10" i="2"/>
  <c r="F10" i="5"/>
  <c r="J9" i="5"/>
  <c r="F18" i="5"/>
  <c r="J17" i="5"/>
  <c r="F26" i="5"/>
  <c r="J25" i="5"/>
  <c r="J33" i="5"/>
  <c r="F42" i="5"/>
  <c r="J41" i="5"/>
  <c r="F50" i="5"/>
  <c r="J49" i="5"/>
  <c r="F62" i="5"/>
  <c r="F70" i="5"/>
  <c r="J69" i="5"/>
  <c r="F107" i="2"/>
  <c r="J105" i="2"/>
  <c r="F104" i="2"/>
  <c r="J103" i="2"/>
  <c r="J100" i="2"/>
  <c r="F99" i="2"/>
  <c r="J98" i="2"/>
  <c r="F97" i="2"/>
  <c r="J96" i="2"/>
  <c r="F95" i="2"/>
  <c r="F93" i="2"/>
  <c r="J92" i="2"/>
  <c r="F91" i="2"/>
  <c r="J90" i="2"/>
  <c r="F89" i="2"/>
  <c r="J88" i="2"/>
  <c r="J86" i="2"/>
  <c r="F85" i="2"/>
  <c r="J84" i="2"/>
  <c r="F83" i="2"/>
  <c r="J82" i="2"/>
  <c r="F81" i="2"/>
  <c r="J80" i="2"/>
  <c r="J78" i="2"/>
  <c r="F77" i="2"/>
  <c r="J76" i="2"/>
  <c r="F75" i="2"/>
  <c r="J74" i="2"/>
  <c r="F73" i="2"/>
  <c r="F71" i="2"/>
  <c r="J70" i="2"/>
  <c r="F69" i="2"/>
  <c r="J68" i="2"/>
  <c r="F67" i="2"/>
  <c r="J66" i="2"/>
  <c r="J64" i="2"/>
  <c r="F63" i="2"/>
  <c r="J62" i="2"/>
  <c r="F61" i="2"/>
  <c r="J60" i="2"/>
  <c r="F59" i="2"/>
  <c r="F57" i="2"/>
  <c r="J56" i="2"/>
  <c r="F55" i="2"/>
  <c r="J54" i="2"/>
  <c r="F53" i="2"/>
  <c r="J52" i="2"/>
  <c r="J50" i="2"/>
  <c r="F49" i="2"/>
  <c r="J48" i="2"/>
  <c r="F47" i="2"/>
  <c r="J46" i="2"/>
  <c r="F45" i="2"/>
  <c r="F43" i="2"/>
  <c r="J42" i="2"/>
  <c r="F41" i="2"/>
  <c r="J40" i="2"/>
  <c r="F39" i="2"/>
  <c r="J38" i="2"/>
  <c r="J36" i="2"/>
  <c r="F35" i="2"/>
  <c r="J34" i="2"/>
  <c r="F33" i="2"/>
  <c r="J32" i="2"/>
  <c r="F31" i="2"/>
  <c r="F29" i="2"/>
  <c r="J28" i="2"/>
  <c r="F14" i="2"/>
  <c r="J13" i="2"/>
  <c r="F12" i="2"/>
  <c r="J11" i="2"/>
  <c r="F10" i="2"/>
  <c r="J9" i="2"/>
  <c r="F12" i="5"/>
  <c r="J11" i="5"/>
  <c r="F16" i="5"/>
  <c r="J15" i="5"/>
  <c r="J19" i="5"/>
  <c r="F24" i="5"/>
  <c r="J23" i="5"/>
  <c r="F28" i="5"/>
  <c r="F32" i="5"/>
  <c r="J31" i="5"/>
  <c r="F36" i="5"/>
  <c r="J35" i="5"/>
  <c r="J39" i="5"/>
  <c r="F44" i="5"/>
  <c r="J43" i="5"/>
  <c r="F48" i="5"/>
  <c r="F52" i="5"/>
  <c r="J51" i="5"/>
  <c r="F56" i="5"/>
  <c r="J55" i="5"/>
  <c r="F60" i="5"/>
  <c r="J59" i="5"/>
  <c r="F64" i="5"/>
  <c r="J63" i="5"/>
  <c r="F68" i="5"/>
  <c r="F72" i="5"/>
  <c r="J71" i="5"/>
  <c r="F76" i="5"/>
  <c r="J75" i="5"/>
  <c r="F80" i="5"/>
  <c r="J79" i="5"/>
  <c r="F84" i="5"/>
  <c r="J83" i="5"/>
  <c r="J87" i="5"/>
  <c r="F92" i="5"/>
  <c r="J91" i="5"/>
  <c r="F96" i="5"/>
  <c r="F100" i="5"/>
  <c r="J99" i="5"/>
  <c r="F105" i="5"/>
  <c r="J104" i="5"/>
  <c r="F15" i="2"/>
  <c r="J14" i="2"/>
  <c r="F102" i="2"/>
  <c r="J93" i="2"/>
  <c r="F84" i="2"/>
  <c r="J83" i="2"/>
  <c r="F74" i="2"/>
  <c r="J73" i="2"/>
  <c r="F62" i="2"/>
  <c r="J61" i="2"/>
  <c r="F46" i="2"/>
  <c r="J45" i="2"/>
  <c r="F26" i="2"/>
  <c r="J25" i="2"/>
  <c r="F24" i="2"/>
  <c r="F22" i="2"/>
  <c r="J21" i="2"/>
  <c r="F20" i="2"/>
  <c r="J19" i="2"/>
  <c r="F18" i="2"/>
  <c r="J17" i="2"/>
  <c r="J15" i="2"/>
  <c r="F7" i="5"/>
  <c r="J7" i="5"/>
  <c r="J12" i="5"/>
  <c r="F17" i="5"/>
  <c r="J16" i="5"/>
  <c r="F21" i="5"/>
  <c r="F25" i="5"/>
  <c r="J24" i="5"/>
  <c r="F29" i="5"/>
  <c r="J28" i="5"/>
  <c r="F33" i="5"/>
  <c r="J32" i="5"/>
  <c r="F37" i="5"/>
  <c r="J36" i="5"/>
  <c r="F41" i="5"/>
  <c r="F45" i="5"/>
  <c r="J44" i="5"/>
  <c r="F49" i="5"/>
  <c r="J48" i="5"/>
  <c r="F53" i="5"/>
  <c r="J52" i="5"/>
  <c r="F57" i="5"/>
  <c r="J56" i="5"/>
  <c r="J60" i="5"/>
  <c r="F65" i="5"/>
  <c r="J64" i="5"/>
  <c r="F69" i="5"/>
  <c r="J68" i="5"/>
  <c r="F73" i="5"/>
  <c r="J72" i="5"/>
  <c r="F77" i="5"/>
  <c r="J76" i="5"/>
  <c r="J80" i="5"/>
  <c r="F85" i="5"/>
  <c r="J84" i="5"/>
  <c r="F89" i="5"/>
  <c r="F93" i="5"/>
  <c r="J92" i="5"/>
  <c r="F97" i="5"/>
  <c r="J96" i="5"/>
  <c r="J100" i="5"/>
  <c r="F107" i="5"/>
  <c r="J105" i="5"/>
  <c r="F9" i="2"/>
  <c r="F9" i="5"/>
  <c r="I52" i="32"/>
  <c r="I46" i="32"/>
  <c r="I42" i="32"/>
  <c r="I38" i="32"/>
  <c r="I34" i="32"/>
  <c r="I30" i="32"/>
  <c r="I26" i="32"/>
  <c r="I22" i="32"/>
  <c r="I43" i="32"/>
  <c r="I33" i="32"/>
  <c r="I29" i="32"/>
  <c r="I51" i="32"/>
  <c r="I50" i="32"/>
  <c r="I48" i="32"/>
  <c r="I44" i="32"/>
  <c r="I40" i="32"/>
  <c r="I36" i="32"/>
  <c r="I28" i="32"/>
  <c r="I57" i="32"/>
  <c r="J57" i="32" s="1"/>
  <c r="Q17" i="32" s="1"/>
  <c r="I41" i="32"/>
  <c r="I31" i="32"/>
  <c r="I27" i="32"/>
  <c r="I55" i="32"/>
  <c r="I49" i="32"/>
  <c r="I37" i="32"/>
  <c r="I23" i="32"/>
  <c r="I45" i="32"/>
  <c r="I25" i="32"/>
  <c r="I53" i="32"/>
  <c r="I21" i="32"/>
  <c r="F21" i="32" s="1"/>
  <c r="I35" i="32"/>
  <c r="F28" i="32" l="1"/>
  <c r="J27" i="32"/>
  <c r="F25" i="32"/>
  <c r="F41" i="32"/>
  <c r="J40" i="32"/>
  <c r="F51" i="32"/>
  <c r="J50" i="32"/>
  <c r="F34" i="32"/>
  <c r="J33" i="32"/>
  <c r="F31" i="32"/>
  <c r="J30" i="32"/>
  <c r="J46" i="32"/>
  <c r="F48" i="32"/>
  <c r="F38" i="32"/>
  <c r="J37" i="32"/>
  <c r="F45" i="32"/>
  <c r="J44" i="32"/>
  <c r="F40" i="32"/>
  <c r="F44" i="32"/>
  <c r="J43" i="32"/>
  <c r="F35" i="32"/>
  <c r="J34" i="32"/>
  <c r="F53" i="32"/>
  <c r="J52" i="32"/>
  <c r="J23" i="32"/>
  <c r="J31" i="32"/>
  <c r="F50" i="32"/>
  <c r="J49" i="32"/>
  <c r="F33" i="32"/>
  <c r="F52" i="32"/>
  <c r="J51" i="32"/>
  <c r="F23" i="32"/>
  <c r="J22" i="32"/>
  <c r="J38" i="32"/>
  <c r="J53" i="32"/>
  <c r="F29" i="32"/>
  <c r="J28" i="32"/>
  <c r="F36" i="32"/>
  <c r="J35" i="32"/>
  <c r="F26" i="32"/>
  <c r="J25" i="32"/>
  <c r="F42" i="32"/>
  <c r="J41" i="32"/>
  <c r="F49" i="32"/>
  <c r="J48" i="32"/>
  <c r="F22" i="32"/>
  <c r="J21" i="32"/>
  <c r="F46" i="32"/>
  <c r="J45" i="32"/>
  <c r="F57" i="32"/>
  <c r="J55" i="32"/>
  <c r="F37" i="32"/>
  <c r="J36" i="32"/>
  <c r="F55" i="32"/>
  <c r="F30" i="32"/>
  <c r="J29" i="32"/>
  <c r="F27" i="32"/>
  <c r="J26" i="32"/>
  <c r="F43" i="32"/>
  <c r="J42" i="32"/>
</calcChain>
</file>

<file path=xl/sharedStrings.xml><?xml version="1.0" encoding="utf-8"?>
<sst xmlns="http://schemas.openxmlformats.org/spreadsheetml/2006/main" count="638" uniqueCount="169">
  <si>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</si>
  <si>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</si>
  <si>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</si>
  <si>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</si>
  <si>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</si>
  <si>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</si>
  <si>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</si>
  <si>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</si>
  <si>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</si>
  <si>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</si>
  <si>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</si>
  <si>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</si>
  <si>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</si>
  <si>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</si>
  <si>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</si>
  <si>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</si>
  <si>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</si>
  <si>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</si>
  <si>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</si>
  <si>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</si>
  <si>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</si>
  <si>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</si>
  <si>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</si>
  <si>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</si>
  <si>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</si>
  <si>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</si>
  <si>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</si>
  <si>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</si>
  <si>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</si>
  <si>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</si>
  <si>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</si>
  <si>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</si>
  <si>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</si>
  <si>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</si>
  <si>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</si>
  <si>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</si>
  <si>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</si>
  <si>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</si>
  <si>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</si>
  <si>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</si>
  <si>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</si>
  <si>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</si>
  <si>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</si>
  <si>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</si>
  <si>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</si>
  <si>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</si>
  <si>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</si>
  <si>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</si>
  <si>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</si>
  <si>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</si>
  <si>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</si>
  <si>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</si>
  <si>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</si>
  <si>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</si>
  <si>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</si>
  <si>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</si>
  <si>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</si>
  <si>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</si>
  <si>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</si>
  <si>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</si>
  <si>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</si>
  <si>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</si>
  <si>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</si>
  <si>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</si>
  <si>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</si>
  <si>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</si>
  <si>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</si>
  <si>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</si>
  <si>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</si>
  <si>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</si>
  <si>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</si>
  <si>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</si>
  <si>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</si>
  <si>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</si>
  <si>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</si>
  <si>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</si>
  <si>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</si>
  <si>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</si>
  <si>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</si>
  <si>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</si>
  <si>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</si>
  <si>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</si>
  <si>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</si>
  <si>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</si>
  <si>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</si>
  <si>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</si>
  <si>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</si>
  <si>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</si>
  <si>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</si>
  <si>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</si>
  <si>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</si>
  <si>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</si>
  <si>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</si>
  <si>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</si>
  <si>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</si>
  <si>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</si>
  <si>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</si>
  <si>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</si>
  <si>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</si>
  <si>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</si>
  <si>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</si>
  <si>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</si>
  <si>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</si>
  <si>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</si>
  <si>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</si>
  <si>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</si>
  <si>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</si>
  <si>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</si>
  <si>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</si>
  <si>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</si>
  <si>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</si>
  <si>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</si>
  <si>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</si>
  <si>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</si>
  <si>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</si>
  <si>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</si>
  <si>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</si>
  <si>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</si>
  <si>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</si>
  <si>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</si>
  <si>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</si>
  <si>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</si>
  <si>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</si>
  <si>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</si>
  <si>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</si>
  <si>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</si>
  <si>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</si>
  <si>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</si>
  <si>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</si>
  <si>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</si>
  <si>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</si>
  <si>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</si>
  <si>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B2:K16</t>
    <phoneticPr fontId="1" type="noConversion"/>
  </si>
  <si>
    <t>B2:K58</t>
    <phoneticPr fontId="1" type="noConversion"/>
  </si>
  <si>
    <t>58.88</t>
  </si>
  <si>
    <t>23.31</t>
  </si>
  <si>
    <t>40.59</t>
  </si>
  <si>
    <t>23.45</t>
  </si>
  <si>
    <t>54.79</t>
  </si>
  <si>
    <t>20.94</t>
  </si>
  <si>
    <t>29.74</t>
  </si>
  <si>
    <t>12.72</t>
  </si>
  <si>
    <t>32.59</t>
  </si>
  <si>
    <t>12.16</t>
  </si>
  <si>
    <t>32.28</t>
  </si>
  <si>
    <t>12.90</t>
  </si>
  <si>
    <t>28.16</t>
  </si>
  <si>
    <t>10.63</t>
  </si>
  <si>
    <t>30.28</t>
  </si>
  <si>
    <t>10.96</t>
  </si>
  <si>
    <t>21.49</t>
  </si>
  <si>
    <t>10.72</t>
  </si>
  <si>
    <t>22.29</t>
  </si>
  <si>
    <t xml:space="preserve"> 9.50</t>
  </si>
  <si>
    <t>21.00</t>
  </si>
  <si>
    <t>10.33</t>
  </si>
  <si>
    <t>28.91</t>
  </si>
  <si>
    <t>11.55</t>
  </si>
  <si>
    <t>28.94</t>
  </si>
  <si>
    <t>11.10</t>
  </si>
  <si>
    <t>29.96</t>
  </si>
  <si>
    <t>10.15</t>
  </si>
  <si>
    <t>25.56</t>
  </si>
  <si>
    <t>10.85</t>
  </si>
  <si>
    <t>28.57</t>
  </si>
  <si>
    <t>11.51</t>
  </si>
  <si>
    <t>23.10</t>
  </si>
  <si>
    <t xml:space="preserve"> 9.98</t>
  </si>
  <si>
    <t>2022학년도 3월 고2 전국연합학력평가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</si>
</sst>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1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77" fontId="32" fillId="6" borderId="72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10" fontId="34" fillId="0" borderId="73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6" borderId="72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8" fontId="32" fillId="0" borderId="72" xfId="0" applyNumberFormat="1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72" xfId="1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2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177" fontId="32" fillId="0" borderId="72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6" t="s">
        <v>3</v>
      </c>
      <c r="C4" s="163">
        <v>200523</v>
      </c>
      <c r="D4" s="162" t="s">
        <v>134</v>
      </c>
      <c r="E4" s="162" t="s">
        <v>135</v>
      </c>
    </row>
    <row r="5" spans="2:5" x14ac:dyDescent="0.45">
      <c r="B5" s="16" t="s">
        <v>59</v>
      </c>
      <c r="C5" s="163">
        <v>199165</v>
      </c>
      <c r="D5" s="162" t="s">
        <v>136</v>
      </c>
      <c r="E5" s="162" t="s">
        <v>137</v>
      </c>
    </row>
    <row r="6" spans="2:5" x14ac:dyDescent="0.45">
      <c r="B6" s="16" t="s">
        <v>4</v>
      </c>
      <c r="C6" s="163">
        <v>196892</v>
      </c>
      <c r="D6" s="162" t="s">
        <v>138</v>
      </c>
      <c r="E6" s="162" t="s">
        <v>139</v>
      </c>
    </row>
    <row r="7" spans="2:5" x14ac:dyDescent="0.45">
      <c r="B7" s="16" t="s">
        <v>5</v>
      </c>
      <c r="C7" s="163">
        <v>195053</v>
      </c>
      <c r="D7" s="162" t="s">
        <v>140</v>
      </c>
      <c r="E7" s="162" t="s">
        <v>141</v>
      </c>
    </row>
    <row r="8" spans="2:5" x14ac:dyDescent="0.45">
      <c r="B8" s="16" t="s">
        <v>9</v>
      </c>
      <c r="C8" s="163">
        <v>41388</v>
      </c>
      <c r="D8" s="162" t="s">
        <v>142</v>
      </c>
      <c r="E8" s="162" t="s">
        <v>143</v>
      </c>
    </row>
    <row r="9" spans="2:5" x14ac:dyDescent="0.45">
      <c r="B9" s="16" t="s">
        <v>10</v>
      </c>
      <c r="C9" s="163">
        <v>28094</v>
      </c>
      <c r="D9" s="162" t="s">
        <v>144</v>
      </c>
      <c r="E9" s="162" t="s">
        <v>145</v>
      </c>
    </row>
    <row r="10" spans="2:5" x14ac:dyDescent="0.45">
      <c r="B10" s="16" t="s">
        <v>11</v>
      </c>
      <c r="C10" s="163">
        <v>17663</v>
      </c>
      <c r="D10" s="162" t="s">
        <v>146</v>
      </c>
      <c r="E10" s="162" t="s">
        <v>147</v>
      </c>
    </row>
    <row r="11" spans="2:5" x14ac:dyDescent="0.45">
      <c r="B11" s="16" t="s">
        <v>12</v>
      </c>
      <c r="C11" s="163">
        <v>14395</v>
      </c>
      <c r="D11" s="162" t="s">
        <v>148</v>
      </c>
      <c r="E11" s="162" t="s">
        <v>149</v>
      </c>
    </row>
    <row r="12" spans="2:5" x14ac:dyDescent="0.45">
      <c r="B12" s="16" t="s">
        <v>13</v>
      </c>
      <c r="C12" s="163">
        <v>6143</v>
      </c>
      <c r="D12" s="162" t="s">
        <v>150</v>
      </c>
      <c r="E12" s="162" t="s">
        <v>151</v>
      </c>
    </row>
    <row r="13" spans="2:5" x14ac:dyDescent="0.45">
      <c r="B13" s="16" t="s">
        <v>14</v>
      </c>
      <c r="C13" s="163">
        <v>11409</v>
      </c>
      <c r="D13" s="162" t="s">
        <v>152</v>
      </c>
      <c r="E13" s="162" t="s">
        <v>153</v>
      </c>
    </row>
    <row r="14" spans="2:5" x14ac:dyDescent="0.45">
      <c r="B14" s="16" t="s">
        <v>58</v>
      </c>
      <c r="C14" s="163">
        <v>9198</v>
      </c>
      <c r="D14" s="162" t="s">
        <v>154</v>
      </c>
      <c r="E14" s="162" t="s">
        <v>155</v>
      </c>
    </row>
    <row r="15" spans="2:5" x14ac:dyDescent="0.45">
      <c r="B15" s="16" t="s">
        <v>15</v>
      </c>
      <c r="C15" s="163">
        <v>22539</v>
      </c>
      <c r="D15" s="162" t="s">
        <v>156</v>
      </c>
      <c r="E15" s="162" t="s">
        <v>157</v>
      </c>
    </row>
    <row r="16" spans="2:5" x14ac:dyDescent="0.45">
      <c r="B16" s="16" t="s">
        <v>16</v>
      </c>
      <c r="C16" s="163">
        <v>34670</v>
      </c>
      <c r="D16" s="162" t="s">
        <v>158</v>
      </c>
      <c r="E16" s="162" t="s">
        <v>159</v>
      </c>
    </row>
    <row r="17" spans="2:5" x14ac:dyDescent="0.45">
      <c r="B17" s="16" t="s">
        <v>57</v>
      </c>
      <c r="C17" s="163">
        <v>34950</v>
      </c>
      <c r="D17" s="162" t="s">
        <v>160</v>
      </c>
      <c r="E17" s="162" t="s">
        <v>161</v>
      </c>
    </row>
    <row r="18" spans="2:5" x14ac:dyDescent="0.45">
      <c r="B18" s="16" t="s">
        <v>17</v>
      </c>
      <c r="C18" s="163">
        <v>55900</v>
      </c>
      <c r="D18" s="162" t="s">
        <v>162</v>
      </c>
      <c r="E18" s="162" t="s">
        <v>163</v>
      </c>
    </row>
    <row r="19" spans="2:5" x14ac:dyDescent="0.45">
      <c r="B19" s="16" t="s">
        <v>18</v>
      </c>
      <c r="C19" s="163">
        <v>70683</v>
      </c>
      <c r="D19" s="162" t="s">
        <v>164</v>
      </c>
      <c r="E19" s="162" t="s">
        <v>165</v>
      </c>
    </row>
    <row r="20" spans="2:5" x14ac:dyDescent="0.45">
      <c r="B20" s="16" t="s">
        <v>19</v>
      </c>
      <c r="C20" s="163">
        <v>38877</v>
      </c>
      <c r="D20" s="162" t="s">
        <v>166</v>
      </c>
      <c r="E20" s="162" t="s">
        <v>167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67" t="s">
        <v>55</v>
      </c>
      <c r="D3" s="167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x14ac:dyDescent="0.45">
      <c r="A4" t="s">
        <v>43</v>
      </c>
      <c r="B4" s="1" t="s">
        <v>25</v>
      </c>
      <c r="C4" s="162">
        <v>131</v>
      </c>
      <c r="D4" s="164">
        <v>9389</v>
      </c>
    </row>
    <row r="5" spans="1:22" x14ac:dyDescent="0.45">
      <c r="B5" s="1" t="s">
        <v>26</v>
      </c>
      <c r="C5" s="162">
        <v>126</v>
      </c>
      <c r="D5" s="164">
        <v>13483</v>
      </c>
    </row>
    <row r="6" spans="1:22" x14ac:dyDescent="0.45">
      <c r="B6" s="1" t="s">
        <v>27</v>
      </c>
      <c r="C6" s="162">
        <v>117</v>
      </c>
      <c r="D6" s="164">
        <v>25542</v>
      </c>
    </row>
    <row r="7" spans="1:22" x14ac:dyDescent="0.45">
      <c r="B7" s="1" t="s">
        <v>28</v>
      </c>
      <c r="C7" s="162">
        <v>107</v>
      </c>
      <c r="D7" s="164">
        <v>34228</v>
      </c>
    </row>
    <row r="8" spans="1:22" x14ac:dyDescent="0.45">
      <c r="B8" s="1" t="s">
        <v>29</v>
      </c>
      <c r="C8" s="162">
        <v>95</v>
      </c>
      <c r="D8" s="164">
        <v>39556</v>
      </c>
    </row>
    <row r="9" spans="1:22" x14ac:dyDescent="0.45">
      <c r="B9" s="1" t="s">
        <v>30</v>
      </c>
      <c r="C9" s="162">
        <v>83</v>
      </c>
      <c r="D9" s="164">
        <v>33190</v>
      </c>
    </row>
    <row r="10" spans="1:22" x14ac:dyDescent="0.45">
      <c r="B10" s="1" t="s">
        <v>31</v>
      </c>
      <c r="C10" s="162">
        <v>72</v>
      </c>
      <c r="D10" s="164">
        <v>24150</v>
      </c>
    </row>
    <row r="11" spans="1:22" x14ac:dyDescent="0.45">
      <c r="B11" s="1" t="s">
        <v>32</v>
      </c>
      <c r="C11" s="162">
        <v>65</v>
      </c>
      <c r="D11" s="164">
        <v>13082</v>
      </c>
    </row>
    <row r="12" spans="1:22" x14ac:dyDescent="0.45">
      <c r="B12" s="1" t="s">
        <v>34</v>
      </c>
      <c r="C12" s="162">
        <v>49</v>
      </c>
      <c r="D12" s="164">
        <v>7903</v>
      </c>
    </row>
    <row r="13" spans="1:22" x14ac:dyDescent="0.45">
      <c r="A13" t="s">
        <v>61</v>
      </c>
      <c r="B13" s="1" t="s">
        <v>35</v>
      </c>
      <c r="C13" s="162">
        <v>138</v>
      </c>
      <c r="D13" s="164">
        <v>8856</v>
      </c>
    </row>
    <row r="14" spans="1:22" x14ac:dyDescent="0.45">
      <c r="B14" s="1" t="s">
        <v>36</v>
      </c>
      <c r="C14" s="162">
        <v>128</v>
      </c>
      <c r="D14" s="164">
        <v>14596</v>
      </c>
    </row>
    <row r="15" spans="1:22" x14ac:dyDescent="0.45">
      <c r="B15" s="1" t="s">
        <v>37</v>
      </c>
      <c r="C15" s="162">
        <v>117</v>
      </c>
      <c r="D15" s="164">
        <v>23330</v>
      </c>
    </row>
    <row r="16" spans="1:22" x14ac:dyDescent="0.45">
      <c r="B16" s="1" t="s">
        <v>38</v>
      </c>
      <c r="C16" s="162">
        <v>104</v>
      </c>
      <c r="D16" s="164">
        <v>33264</v>
      </c>
    </row>
    <row r="17" spans="1:4" x14ac:dyDescent="0.45">
      <c r="B17" s="1" t="s">
        <v>39</v>
      </c>
      <c r="C17" s="162">
        <v>90</v>
      </c>
      <c r="D17" s="164">
        <v>41852</v>
      </c>
    </row>
    <row r="18" spans="1:4" x14ac:dyDescent="0.45">
      <c r="B18" s="1" t="s">
        <v>40</v>
      </c>
      <c r="C18" s="162">
        <v>82</v>
      </c>
      <c r="D18" s="164">
        <v>34989</v>
      </c>
    </row>
    <row r="19" spans="1:4" x14ac:dyDescent="0.45">
      <c r="B19" s="1" t="s">
        <v>41</v>
      </c>
      <c r="C19" s="162">
        <v>77</v>
      </c>
      <c r="D19" s="164">
        <v>20423</v>
      </c>
    </row>
    <row r="20" spans="1:4" x14ac:dyDescent="0.45">
      <c r="B20" s="1" t="s">
        <v>42</v>
      </c>
      <c r="C20" s="162">
        <v>74</v>
      </c>
      <c r="D20" s="164">
        <v>15164</v>
      </c>
    </row>
    <row r="21" spans="1:4" x14ac:dyDescent="0.45">
      <c r="B21" s="1" t="s">
        <v>33</v>
      </c>
      <c r="C21" s="162">
        <v>65</v>
      </c>
      <c r="D21" s="164">
        <v>6691</v>
      </c>
    </row>
    <row r="22" spans="1:4" x14ac:dyDescent="0.45">
      <c r="A22" t="s">
        <v>62</v>
      </c>
      <c r="B22" s="1" t="s">
        <v>25</v>
      </c>
      <c r="C22" s="162">
        <v>90</v>
      </c>
      <c r="D22" s="164">
        <v>8623</v>
      </c>
    </row>
    <row r="23" spans="1:4" x14ac:dyDescent="0.45">
      <c r="B23" s="1" t="s">
        <v>26</v>
      </c>
      <c r="C23" s="162">
        <v>80</v>
      </c>
      <c r="D23" s="164">
        <v>17000</v>
      </c>
    </row>
    <row r="24" spans="1:4" x14ac:dyDescent="0.45">
      <c r="B24" s="1" t="s">
        <v>27</v>
      </c>
      <c r="C24" s="162">
        <v>70</v>
      </c>
      <c r="D24" s="164">
        <v>27453</v>
      </c>
    </row>
    <row r="25" spans="1:4" x14ac:dyDescent="0.45">
      <c r="B25" s="1" t="s">
        <v>28</v>
      </c>
      <c r="C25" s="162">
        <v>60</v>
      </c>
      <c r="D25" s="164">
        <v>33603</v>
      </c>
    </row>
    <row r="26" spans="1:4" x14ac:dyDescent="0.45">
      <c r="B26" s="1" t="s">
        <v>29</v>
      </c>
      <c r="C26" s="162">
        <v>50</v>
      </c>
      <c r="D26" s="164">
        <v>30455</v>
      </c>
    </row>
    <row r="27" spans="1:4" x14ac:dyDescent="0.45">
      <c r="B27" s="1" t="s">
        <v>30</v>
      </c>
      <c r="C27" s="162">
        <v>40</v>
      </c>
      <c r="D27" s="164">
        <v>27501</v>
      </c>
    </row>
    <row r="28" spans="1:4" x14ac:dyDescent="0.45">
      <c r="B28" s="1" t="s">
        <v>31</v>
      </c>
      <c r="C28" s="162">
        <v>30</v>
      </c>
      <c r="D28" s="164">
        <v>24403</v>
      </c>
    </row>
    <row r="29" spans="1:4" x14ac:dyDescent="0.45">
      <c r="B29" s="1" t="s">
        <v>32</v>
      </c>
      <c r="C29" s="162">
        <v>20</v>
      </c>
      <c r="D29" s="164">
        <v>21105</v>
      </c>
    </row>
    <row r="30" spans="1:4" x14ac:dyDescent="0.45">
      <c r="B30" s="1" t="s">
        <v>34</v>
      </c>
      <c r="C30" s="162">
        <v>0</v>
      </c>
      <c r="D30" s="164">
        <v>6749</v>
      </c>
    </row>
    <row r="31" spans="1:4" x14ac:dyDescent="0.45">
      <c r="A31" t="s">
        <v>63</v>
      </c>
      <c r="B31" s="1" t="s">
        <v>25</v>
      </c>
      <c r="C31" s="162">
        <v>40</v>
      </c>
      <c r="D31" s="164">
        <v>52962</v>
      </c>
    </row>
    <row r="32" spans="1:4" x14ac:dyDescent="0.45">
      <c r="B32" s="1" t="s">
        <v>26</v>
      </c>
      <c r="C32" s="162">
        <v>35</v>
      </c>
      <c r="D32" s="164">
        <v>26394</v>
      </c>
    </row>
    <row r="33" spans="1:4" x14ac:dyDescent="0.45">
      <c r="B33" s="1" t="s">
        <v>27</v>
      </c>
      <c r="C33" s="162">
        <v>30</v>
      </c>
      <c r="D33" s="164">
        <v>25135</v>
      </c>
    </row>
    <row r="34" spans="1:4" x14ac:dyDescent="0.45">
      <c r="B34" s="1" t="s">
        <v>28</v>
      </c>
      <c r="C34" s="162">
        <v>25</v>
      </c>
      <c r="D34" s="164">
        <v>22165</v>
      </c>
    </row>
    <row r="35" spans="1:4" x14ac:dyDescent="0.45">
      <c r="B35" s="1" t="s">
        <v>29</v>
      </c>
      <c r="C35" s="162">
        <v>20</v>
      </c>
      <c r="D35" s="164">
        <v>18447</v>
      </c>
    </row>
    <row r="36" spans="1:4" x14ac:dyDescent="0.45">
      <c r="B36" s="1" t="s">
        <v>30</v>
      </c>
      <c r="C36" s="162">
        <v>15</v>
      </c>
      <c r="D36" s="164">
        <v>16738</v>
      </c>
    </row>
    <row r="37" spans="1:4" x14ac:dyDescent="0.45">
      <c r="B37" s="1" t="s">
        <v>31</v>
      </c>
      <c r="C37" s="162">
        <v>10</v>
      </c>
      <c r="D37" s="164">
        <v>22556</v>
      </c>
    </row>
    <row r="38" spans="1:4" x14ac:dyDescent="0.45">
      <c r="B38" s="1" t="s">
        <v>32</v>
      </c>
      <c r="C38" s="162">
        <v>5</v>
      </c>
      <c r="D38" s="164">
        <v>8750</v>
      </c>
    </row>
    <row r="39" spans="1:4" x14ac:dyDescent="0.45">
      <c r="B39" s="1" t="s">
        <v>34</v>
      </c>
      <c r="C39" s="162">
        <v>0</v>
      </c>
      <c r="D39" s="164">
        <v>1906</v>
      </c>
    </row>
    <row r="40" spans="1:4" x14ac:dyDescent="0.45">
      <c r="A40" t="s">
        <v>44</v>
      </c>
      <c r="B40" s="1" t="s">
        <v>35</v>
      </c>
      <c r="C40" s="162">
        <v>63</v>
      </c>
      <c r="D40" s="164">
        <v>2111</v>
      </c>
    </row>
    <row r="41" spans="1:4" x14ac:dyDescent="0.45">
      <c r="B41" s="1" t="s">
        <v>36</v>
      </c>
      <c r="C41" s="162">
        <v>60</v>
      </c>
      <c r="D41" s="164">
        <v>4352</v>
      </c>
    </row>
    <row r="42" spans="1:4" x14ac:dyDescent="0.45">
      <c r="B42" s="1" t="s">
        <v>37</v>
      </c>
      <c r="C42" s="162">
        <v>58</v>
      </c>
      <c r="D42" s="164">
        <v>5335</v>
      </c>
    </row>
    <row r="43" spans="1:4" x14ac:dyDescent="0.45">
      <c r="B43" s="1" t="s">
        <v>38</v>
      </c>
      <c r="C43" s="162">
        <v>55</v>
      </c>
      <c r="D43" s="164">
        <v>5145</v>
      </c>
    </row>
    <row r="44" spans="1:4" x14ac:dyDescent="0.45">
      <c r="B44" s="1" t="s">
        <v>39</v>
      </c>
      <c r="C44" s="162">
        <v>50</v>
      </c>
      <c r="D44" s="164">
        <v>9344</v>
      </c>
    </row>
    <row r="45" spans="1:4" x14ac:dyDescent="0.45">
      <c r="B45" s="1" t="s">
        <v>40</v>
      </c>
      <c r="C45" s="162">
        <v>43</v>
      </c>
      <c r="D45" s="164">
        <v>5646</v>
      </c>
    </row>
    <row r="46" spans="1:4" x14ac:dyDescent="0.45">
      <c r="B46" s="1" t="s">
        <v>41</v>
      </c>
      <c r="C46" s="162">
        <v>33</v>
      </c>
      <c r="D46" s="164">
        <v>5615</v>
      </c>
    </row>
    <row r="47" spans="1:4" x14ac:dyDescent="0.45">
      <c r="B47" s="1" t="s">
        <v>42</v>
      </c>
      <c r="C47" s="162">
        <v>31</v>
      </c>
      <c r="D47" s="164">
        <v>2443</v>
      </c>
    </row>
    <row r="48" spans="1:4" x14ac:dyDescent="0.45">
      <c r="B48" s="1" t="s">
        <v>33</v>
      </c>
      <c r="C48" s="162">
        <v>23</v>
      </c>
      <c r="D48" s="164">
        <v>1397</v>
      </c>
    </row>
    <row r="49" spans="1:4" x14ac:dyDescent="0.45">
      <c r="A49" t="s">
        <v>45</v>
      </c>
      <c r="B49" s="1" t="s">
        <v>25</v>
      </c>
      <c r="C49" s="162">
        <v>64</v>
      </c>
      <c r="D49" s="164">
        <v>1610</v>
      </c>
    </row>
    <row r="50" spans="1:4" x14ac:dyDescent="0.45">
      <c r="B50" s="1" t="s">
        <v>26</v>
      </c>
      <c r="C50" s="162">
        <v>61</v>
      </c>
      <c r="D50" s="164">
        <v>2638</v>
      </c>
    </row>
    <row r="51" spans="1:4" x14ac:dyDescent="0.45">
      <c r="B51" s="1" t="s">
        <v>27</v>
      </c>
      <c r="C51" s="162">
        <v>59</v>
      </c>
      <c r="D51" s="164">
        <v>2660</v>
      </c>
    </row>
    <row r="52" spans="1:4" x14ac:dyDescent="0.45">
      <c r="B52" s="1" t="s">
        <v>28</v>
      </c>
      <c r="C52" s="162">
        <v>55</v>
      </c>
      <c r="D52" s="164">
        <v>4624</v>
      </c>
    </row>
    <row r="53" spans="1:4" x14ac:dyDescent="0.45">
      <c r="B53" s="1" t="s">
        <v>29</v>
      </c>
      <c r="C53" s="162">
        <v>49</v>
      </c>
      <c r="D53" s="164">
        <v>5638</v>
      </c>
    </row>
    <row r="54" spans="1:4" x14ac:dyDescent="0.45">
      <c r="B54" s="1" t="s">
        <v>30</v>
      </c>
      <c r="C54" s="162">
        <v>41</v>
      </c>
      <c r="D54" s="164">
        <v>4663</v>
      </c>
    </row>
    <row r="55" spans="1:4" x14ac:dyDescent="0.45">
      <c r="B55" s="1" t="s">
        <v>31</v>
      </c>
      <c r="C55" s="162">
        <v>34</v>
      </c>
      <c r="D55" s="164">
        <v>3821</v>
      </c>
    </row>
    <row r="56" spans="1:4" x14ac:dyDescent="0.45">
      <c r="B56" s="1" t="s">
        <v>32</v>
      </c>
      <c r="C56" s="162">
        <v>32</v>
      </c>
      <c r="D56" s="164">
        <v>1404</v>
      </c>
    </row>
    <row r="57" spans="1:4" x14ac:dyDescent="0.45">
      <c r="B57" s="1" t="s">
        <v>34</v>
      </c>
      <c r="C57" s="162">
        <v>25</v>
      </c>
      <c r="D57" s="164">
        <v>1036</v>
      </c>
    </row>
    <row r="58" spans="1:4" x14ac:dyDescent="0.45">
      <c r="A58" t="s">
        <v>46</v>
      </c>
      <c r="B58" s="1" t="s">
        <v>35</v>
      </c>
      <c r="C58" s="162">
        <v>66</v>
      </c>
      <c r="D58" s="164">
        <v>881</v>
      </c>
    </row>
    <row r="59" spans="1:4" x14ac:dyDescent="0.45">
      <c r="B59" s="1" t="s">
        <v>36</v>
      </c>
      <c r="C59" s="162">
        <v>62</v>
      </c>
      <c r="D59" s="164">
        <v>1301</v>
      </c>
    </row>
    <row r="60" spans="1:4" x14ac:dyDescent="0.45">
      <c r="B60" s="1" t="s">
        <v>37</v>
      </c>
      <c r="C60" s="162">
        <v>58</v>
      </c>
      <c r="D60" s="164">
        <v>2108</v>
      </c>
    </row>
    <row r="61" spans="1:4" x14ac:dyDescent="0.45">
      <c r="B61" s="1" t="s">
        <v>38</v>
      </c>
      <c r="C61" s="162">
        <v>54</v>
      </c>
      <c r="D61" s="164">
        <v>3165</v>
      </c>
    </row>
    <row r="62" spans="1:4" x14ac:dyDescent="0.45">
      <c r="B62" s="1" t="s">
        <v>39</v>
      </c>
      <c r="C62" s="162">
        <v>48</v>
      </c>
      <c r="D62" s="164">
        <v>3469</v>
      </c>
    </row>
    <row r="63" spans="1:4" x14ac:dyDescent="0.45">
      <c r="B63" s="1" t="s">
        <v>40</v>
      </c>
      <c r="C63" s="162">
        <v>42</v>
      </c>
      <c r="D63" s="164">
        <v>2750</v>
      </c>
    </row>
    <row r="64" spans="1:4" x14ac:dyDescent="0.45">
      <c r="B64" s="1" t="s">
        <v>41</v>
      </c>
      <c r="C64" s="162">
        <v>36</v>
      </c>
      <c r="D64" s="164">
        <v>2181</v>
      </c>
    </row>
    <row r="65" spans="1:4" x14ac:dyDescent="0.45">
      <c r="B65" s="1" t="s">
        <v>42</v>
      </c>
      <c r="C65" s="162">
        <v>32</v>
      </c>
      <c r="D65" s="164">
        <v>1289</v>
      </c>
    </row>
    <row r="66" spans="1:4" x14ac:dyDescent="0.45">
      <c r="B66" s="1" t="s">
        <v>33</v>
      </c>
      <c r="C66" s="162">
        <v>24</v>
      </c>
      <c r="D66" s="164">
        <v>519</v>
      </c>
    </row>
    <row r="67" spans="1:4" x14ac:dyDescent="0.45">
      <c r="A67" t="s">
        <v>47</v>
      </c>
      <c r="B67" s="1" t="s">
        <v>25</v>
      </c>
      <c r="C67" s="162">
        <v>65</v>
      </c>
      <c r="D67" s="164">
        <v>620</v>
      </c>
    </row>
    <row r="68" spans="1:4" x14ac:dyDescent="0.45">
      <c r="B68" s="1" t="s">
        <v>26</v>
      </c>
      <c r="C68" s="162">
        <v>62</v>
      </c>
      <c r="D68" s="164">
        <v>1234</v>
      </c>
    </row>
    <row r="69" spans="1:4" x14ac:dyDescent="0.45">
      <c r="B69" s="1" t="s">
        <v>27</v>
      </c>
      <c r="C69" s="162">
        <v>58</v>
      </c>
      <c r="D69" s="164">
        <v>1903</v>
      </c>
    </row>
    <row r="70" spans="1:4" x14ac:dyDescent="0.45">
      <c r="B70" s="1" t="s">
        <v>28</v>
      </c>
      <c r="C70" s="162">
        <v>54</v>
      </c>
      <c r="D70" s="164">
        <v>2096</v>
      </c>
    </row>
    <row r="71" spans="1:4" x14ac:dyDescent="0.45">
      <c r="B71" s="1" t="s">
        <v>29</v>
      </c>
      <c r="C71" s="162">
        <v>49</v>
      </c>
      <c r="D71" s="164">
        <v>2917</v>
      </c>
    </row>
    <row r="72" spans="1:4" x14ac:dyDescent="0.45">
      <c r="B72" s="1" t="s">
        <v>30</v>
      </c>
      <c r="C72" s="162">
        <v>42</v>
      </c>
      <c r="D72" s="164">
        <v>2605</v>
      </c>
    </row>
    <row r="73" spans="1:4" x14ac:dyDescent="0.45">
      <c r="B73" s="1" t="s">
        <v>31</v>
      </c>
      <c r="C73" s="162">
        <v>35</v>
      </c>
      <c r="D73" s="164">
        <v>1504</v>
      </c>
    </row>
    <row r="74" spans="1:4" x14ac:dyDescent="0.45">
      <c r="B74" s="1" t="s">
        <v>32</v>
      </c>
      <c r="C74" s="162">
        <v>31</v>
      </c>
      <c r="D74" s="164">
        <v>1136</v>
      </c>
    </row>
    <row r="75" spans="1:4" x14ac:dyDescent="0.45">
      <c r="B75" s="1" t="s">
        <v>34</v>
      </c>
      <c r="C75" s="162">
        <v>22</v>
      </c>
      <c r="D75" s="164">
        <v>380</v>
      </c>
    </row>
    <row r="76" spans="1:4" x14ac:dyDescent="0.45">
      <c r="A76" t="s">
        <v>48</v>
      </c>
      <c r="B76" s="1" t="s">
        <v>35</v>
      </c>
      <c r="C76" s="162">
        <v>70</v>
      </c>
      <c r="D76" s="164">
        <v>256</v>
      </c>
    </row>
    <row r="77" spans="1:4" x14ac:dyDescent="0.45">
      <c r="B77" s="1" t="s">
        <v>36</v>
      </c>
      <c r="C77" s="162">
        <v>64</v>
      </c>
      <c r="D77" s="164">
        <v>499</v>
      </c>
    </row>
    <row r="78" spans="1:4" x14ac:dyDescent="0.45">
      <c r="B78" s="1" t="s">
        <v>37</v>
      </c>
      <c r="C78" s="162">
        <v>58</v>
      </c>
      <c r="D78" s="164">
        <v>691</v>
      </c>
    </row>
    <row r="79" spans="1:4" x14ac:dyDescent="0.45">
      <c r="B79" s="1" t="s">
        <v>38</v>
      </c>
      <c r="C79" s="162">
        <v>51</v>
      </c>
      <c r="D79" s="164">
        <v>1148</v>
      </c>
    </row>
    <row r="80" spans="1:4" x14ac:dyDescent="0.45">
      <c r="B80" s="1" t="s">
        <v>39</v>
      </c>
      <c r="C80" s="162">
        <v>46</v>
      </c>
      <c r="D80" s="164">
        <v>1182</v>
      </c>
    </row>
    <row r="81" spans="1:4" x14ac:dyDescent="0.45">
      <c r="B81" s="1" t="s">
        <v>40</v>
      </c>
      <c r="C81" s="162">
        <v>41</v>
      </c>
      <c r="D81" s="164">
        <v>1038</v>
      </c>
    </row>
    <row r="82" spans="1:4" x14ac:dyDescent="0.45">
      <c r="B82" s="1" t="s">
        <v>41</v>
      </c>
      <c r="C82" s="162">
        <v>38</v>
      </c>
      <c r="D82" s="164">
        <v>859</v>
      </c>
    </row>
    <row r="83" spans="1:4" x14ac:dyDescent="0.45">
      <c r="B83" s="1" t="s">
        <v>42</v>
      </c>
      <c r="C83" s="162">
        <v>36</v>
      </c>
      <c r="D83" s="164">
        <v>322</v>
      </c>
    </row>
    <row r="84" spans="1:4" x14ac:dyDescent="0.45">
      <c r="B84" s="1" t="s">
        <v>33</v>
      </c>
      <c r="C84" s="162">
        <v>30</v>
      </c>
      <c r="D84" s="164">
        <v>148</v>
      </c>
    </row>
    <row r="85" spans="1:4" x14ac:dyDescent="0.45">
      <c r="A85" t="s">
        <v>47</v>
      </c>
      <c r="B85" s="1" t="s">
        <v>25</v>
      </c>
      <c r="C85" s="162">
        <v>69</v>
      </c>
      <c r="D85" s="164">
        <v>536</v>
      </c>
    </row>
    <row r="86" spans="1:4" x14ac:dyDescent="0.45">
      <c r="B86" s="1" t="s">
        <v>26</v>
      </c>
      <c r="C86" s="162">
        <v>63</v>
      </c>
      <c r="D86" s="164">
        <v>758</v>
      </c>
    </row>
    <row r="87" spans="1:4" x14ac:dyDescent="0.45">
      <c r="B87" s="1" t="s">
        <v>27</v>
      </c>
      <c r="C87" s="162">
        <v>57</v>
      </c>
      <c r="D87" s="164">
        <v>1601</v>
      </c>
    </row>
    <row r="88" spans="1:4" x14ac:dyDescent="0.45">
      <c r="B88" s="1" t="s">
        <v>28</v>
      </c>
      <c r="C88" s="162">
        <v>53</v>
      </c>
      <c r="D88" s="164">
        <v>1680</v>
      </c>
    </row>
    <row r="89" spans="1:4" x14ac:dyDescent="0.45">
      <c r="B89" s="1" t="s">
        <v>29</v>
      </c>
      <c r="C89" s="162">
        <v>47</v>
      </c>
      <c r="D89" s="164">
        <v>2574</v>
      </c>
    </row>
    <row r="90" spans="1:4" x14ac:dyDescent="0.45">
      <c r="B90" s="1" t="s">
        <v>30</v>
      </c>
      <c r="C90" s="162">
        <v>41</v>
      </c>
      <c r="D90" s="164">
        <v>1924</v>
      </c>
    </row>
    <row r="91" spans="1:4" x14ac:dyDescent="0.45">
      <c r="B91" s="1" t="s">
        <v>31</v>
      </c>
      <c r="C91" s="162">
        <v>37</v>
      </c>
      <c r="D91" s="164">
        <v>1367</v>
      </c>
    </row>
    <row r="92" spans="1:4" x14ac:dyDescent="0.45">
      <c r="B92" s="1" t="s">
        <v>32</v>
      </c>
      <c r="C92" s="162">
        <v>35</v>
      </c>
      <c r="D92" s="164">
        <v>629</v>
      </c>
    </row>
    <row r="93" spans="1:4" x14ac:dyDescent="0.45">
      <c r="B93" s="1" t="s">
        <v>34</v>
      </c>
      <c r="C93" s="162">
        <v>27</v>
      </c>
      <c r="D93" s="164">
        <v>340</v>
      </c>
    </row>
    <row r="94" spans="1:4" x14ac:dyDescent="0.45">
      <c r="A94" t="s">
        <v>60</v>
      </c>
      <c r="B94" s="1" t="s">
        <v>35</v>
      </c>
      <c r="C94" s="162">
        <v>68</v>
      </c>
      <c r="D94" s="164">
        <v>394</v>
      </c>
    </row>
    <row r="95" spans="1:4" x14ac:dyDescent="0.45">
      <c r="B95" s="1" t="s">
        <v>36</v>
      </c>
      <c r="C95" s="162">
        <v>64</v>
      </c>
      <c r="D95" s="164">
        <v>701</v>
      </c>
    </row>
    <row r="96" spans="1:4" x14ac:dyDescent="0.45">
      <c r="B96" s="1" t="s">
        <v>37</v>
      </c>
      <c r="C96" s="162">
        <v>58</v>
      </c>
      <c r="D96" s="164">
        <v>1275</v>
      </c>
    </row>
    <row r="97" spans="1:4" x14ac:dyDescent="0.45">
      <c r="B97" s="1" t="s">
        <v>38</v>
      </c>
      <c r="C97" s="162">
        <v>52</v>
      </c>
      <c r="D97" s="164">
        <v>1539</v>
      </c>
    </row>
    <row r="98" spans="1:4" x14ac:dyDescent="0.45">
      <c r="B98" s="1" t="s">
        <v>39</v>
      </c>
      <c r="C98" s="162">
        <v>46</v>
      </c>
      <c r="D98" s="164">
        <v>1635</v>
      </c>
    </row>
    <row r="99" spans="1:4" x14ac:dyDescent="0.45">
      <c r="B99" s="1" t="s">
        <v>40</v>
      </c>
      <c r="C99" s="162">
        <v>40</v>
      </c>
      <c r="D99" s="164">
        <v>1846</v>
      </c>
    </row>
    <row r="100" spans="1:4" x14ac:dyDescent="0.45">
      <c r="B100" s="1" t="s">
        <v>41</v>
      </c>
      <c r="C100" s="162">
        <v>38</v>
      </c>
      <c r="D100" s="164">
        <v>999</v>
      </c>
    </row>
    <row r="101" spans="1:4" x14ac:dyDescent="0.45">
      <c r="B101" s="1" t="s">
        <v>42</v>
      </c>
      <c r="C101" s="162">
        <v>35</v>
      </c>
      <c r="D101" s="164">
        <v>645</v>
      </c>
    </row>
    <row r="102" spans="1:4" x14ac:dyDescent="0.45">
      <c r="B102" s="1" t="s">
        <v>33</v>
      </c>
      <c r="C102" s="162">
        <v>30</v>
      </c>
      <c r="D102" s="164">
        <v>164</v>
      </c>
    </row>
    <row r="103" spans="1:4" x14ac:dyDescent="0.45">
      <c r="A103" t="s">
        <v>49</v>
      </c>
      <c r="B103" s="1" t="s">
        <v>25</v>
      </c>
      <c r="C103" s="162">
        <v>66</v>
      </c>
      <c r="D103" s="164">
        <v>1340</v>
      </c>
    </row>
    <row r="104" spans="1:4" x14ac:dyDescent="0.45">
      <c r="B104" s="1" t="s">
        <v>26</v>
      </c>
      <c r="C104" s="162">
        <v>63</v>
      </c>
      <c r="D104" s="164">
        <v>1218</v>
      </c>
    </row>
    <row r="105" spans="1:4" x14ac:dyDescent="0.45">
      <c r="B105" s="1" t="s">
        <v>27</v>
      </c>
      <c r="C105" s="162">
        <v>59</v>
      </c>
      <c r="D105" s="164">
        <v>2943</v>
      </c>
    </row>
    <row r="106" spans="1:4" x14ac:dyDescent="0.45">
      <c r="B106" s="1" t="s">
        <v>28</v>
      </c>
      <c r="C106" s="162">
        <v>54</v>
      </c>
      <c r="D106" s="164">
        <v>3881</v>
      </c>
    </row>
    <row r="107" spans="1:4" x14ac:dyDescent="0.45">
      <c r="B107" s="1" t="s">
        <v>29</v>
      </c>
      <c r="C107" s="162">
        <v>47</v>
      </c>
      <c r="D107" s="164">
        <v>5011</v>
      </c>
    </row>
    <row r="108" spans="1:4" x14ac:dyDescent="0.45">
      <c r="B108" s="1" t="s">
        <v>30</v>
      </c>
      <c r="C108" s="162">
        <v>41</v>
      </c>
      <c r="D108" s="164">
        <v>3606</v>
      </c>
    </row>
    <row r="109" spans="1:4" x14ac:dyDescent="0.45">
      <c r="B109" s="1" t="s">
        <v>31</v>
      </c>
      <c r="C109" s="162">
        <v>36</v>
      </c>
      <c r="D109" s="164">
        <v>2417</v>
      </c>
    </row>
    <row r="110" spans="1:4" x14ac:dyDescent="0.45">
      <c r="B110" s="1" t="s">
        <v>32</v>
      </c>
      <c r="C110" s="162">
        <v>33</v>
      </c>
      <c r="D110" s="164">
        <v>1388</v>
      </c>
    </row>
    <row r="111" spans="1:4" x14ac:dyDescent="0.45">
      <c r="B111" s="1" t="s">
        <v>34</v>
      </c>
      <c r="C111" s="162">
        <v>25</v>
      </c>
      <c r="D111" s="164">
        <v>735</v>
      </c>
    </row>
    <row r="112" spans="1:4" x14ac:dyDescent="0.45">
      <c r="A112" t="s">
        <v>50</v>
      </c>
      <c r="B112" s="1" t="s">
        <v>35</v>
      </c>
      <c r="C112" s="162">
        <v>64</v>
      </c>
      <c r="D112" s="164">
        <v>2848</v>
      </c>
    </row>
    <row r="113" spans="1:4" x14ac:dyDescent="0.45">
      <c r="B113" s="1" t="s">
        <v>36</v>
      </c>
      <c r="C113" s="162">
        <v>62</v>
      </c>
      <c r="D113" s="164">
        <v>1297</v>
      </c>
    </row>
    <row r="114" spans="1:4" x14ac:dyDescent="0.45">
      <c r="B114" s="1" t="s">
        <v>37</v>
      </c>
      <c r="C114" s="162">
        <v>58</v>
      </c>
      <c r="D114" s="164">
        <v>4370</v>
      </c>
    </row>
    <row r="115" spans="1:4" x14ac:dyDescent="0.45">
      <c r="B115" s="1" t="s">
        <v>38</v>
      </c>
      <c r="C115" s="162">
        <v>55</v>
      </c>
      <c r="D115" s="164">
        <v>5365</v>
      </c>
    </row>
    <row r="116" spans="1:4" x14ac:dyDescent="0.45">
      <c r="B116" s="1" t="s">
        <v>39</v>
      </c>
      <c r="C116" s="162">
        <v>49</v>
      </c>
      <c r="D116" s="164">
        <v>6976</v>
      </c>
    </row>
    <row r="117" spans="1:4" x14ac:dyDescent="0.45">
      <c r="B117" s="1" t="s">
        <v>40</v>
      </c>
      <c r="C117" s="162">
        <v>42</v>
      </c>
      <c r="D117" s="164">
        <v>6130</v>
      </c>
    </row>
    <row r="118" spans="1:4" x14ac:dyDescent="0.45">
      <c r="B118" s="1" t="s">
        <v>41</v>
      </c>
      <c r="C118" s="162">
        <v>35</v>
      </c>
      <c r="D118" s="164">
        <v>3933</v>
      </c>
    </row>
    <row r="119" spans="1:4" x14ac:dyDescent="0.45">
      <c r="B119" s="1" t="s">
        <v>42</v>
      </c>
      <c r="C119" s="162">
        <v>32</v>
      </c>
      <c r="D119" s="164">
        <v>2558</v>
      </c>
    </row>
    <row r="120" spans="1:4" x14ac:dyDescent="0.45">
      <c r="B120" s="1" t="s">
        <v>33</v>
      </c>
      <c r="C120" s="162">
        <v>24</v>
      </c>
      <c r="D120" s="164">
        <v>1193</v>
      </c>
    </row>
    <row r="121" spans="1:4" x14ac:dyDescent="0.45">
      <c r="A121" t="s">
        <v>51</v>
      </c>
      <c r="B121" s="1" t="s">
        <v>25</v>
      </c>
      <c r="C121" s="162">
        <v>67</v>
      </c>
      <c r="D121" s="164">
        <v>2059</v>
      </c>
    </row>
    <row r="122" spans="1:4" x14ac:dyDescent="0.45">
      <c r="B122" s="1" t="s">
        <v>26</v>
      </c>
      <c r="C122" s="162">
        <v>63</v>
      </c>
      <c r="D122" s="164">
        <v>2104</v>
      </c>
    </row>
    <row r="123" spans="1:4" x14ac:dyDescent="0.45">
      <c r="B123" s="1" t="s">
        <v>27</v>
      </c>
      <c r="C123" s="162">
        <v>58</v>
      </c>
      <c r="D123" s="164">
        <v>4322</v>
      </c>
    </row>
    <row r="124" spans="1:4" x14ac:dyDescent="0.45">
      <c r="B124" s="1" t="s">
        <v>28</v>
      </c>
      <c r="C124" s="162">
        <v>53</v>
      </c>
      <c r="D124" s="164">
        <v>5704</v>
      </c>
    </row>
    <row r="125" spans="1:4" x14ac:dyDescent="0.45">
      <c r="B125" s="1" t="s">
        <v>29</v>
      </c>
      <c r="C125" s="162">
        <v>47</v>
      </c>
      <c r="D125" s="164">
        <v>8008</v>
      </c>
    </row>
    <row r="126" spans="1:4" x14ac:dyDescent="0.45">
      <c r="B126" s="1" t="s">
        <v>30</v>
      </c>
      <c r="C126" s="162">
        <v>42</v>
      </c>
      <c r="D126" s="164">
        <v>5495</v>
      </c>
    </row>
    <row r="127" spans="1:4" x14ac:dyDescent="0.45">
      <c r="B127" s="1" t="s">
        <v>31</v>
      </c>
      <c r="C127" s="162">
        <v>37</v>
      </c>
      <c r="D127" s="164">
        <v>3634</v>
      </c>
    </row>
    <row r="128" spans="1:4" x14ac:dyDescent="0.45">
      <c r="B128" s="1" t="s">
        <v>32</v>
      </c>
      <c r="C128" s="162">
        <v>31</v>
      </c>
      <c r="D128" s="164">
        <v>2345</v>
      </c>
    </row>
    <row r="129" spans="1:4" x14ac:dyDescent="0.45">
      <c r="B129" s="1" t="s">
        <v>34</v>
      </c>
      <c r="C129" s="162">
        <v>20</v>
      </c>
      <c r="D129" s="164">
        <v>1279</v>
      </c>
    </row>
    <row r="130" spans="1:4" x14ac:dyDescent="0.45">
      <c r="A130" t="s">
        <v>52</v>
      </c>
      <c r="B130" s="1" t="s">
        <v>35</v>
      </c>
      <c r="C130" s="162">
        <v>70</v>
      </c>
      <c r="D130" s="164">
        <v>2424</v>
      </c>
    </row>
    <row r="131" spans="1:4" x14ac:dyDescent="0.45">
      <c r="B131" s="1" t="s">
        <v>36</v>
      </c>
      <c r="C131" s="162">
        <v>64</v>
      </c>
      <c r="D131" s="164">
        <v>4083</v>
      </c>
    </row>
    <row r="132" spans="1:4" x14ac:dyDescent="0.45">
      <c r="B132" s="1" t="s">
        <v>37</v>
      </c>
      <c r="C132" s="162">
        <v>58</v>
      </c>
      <c r="D132" s="164">
        <v>7126</v>
      </c>
    </row>
    <row r="133" spans="1:4" x14ac:dyDescent="0.45">
      <c r="B133" s="1" t="s">
        <v>38</v>
      </c>
      <c r="C133" s="162">
        <v>51</v>
      </c>
      <c r="D133" s="164">
        <v>10285</v>
      </c>
    </row>
    <row r="134" spans="1:4" x14ac:dyDescent="0.45">
      <c r="B134" s="1" t="s">
        <v>39</v>
      </c>
      <c r="C134" s="162">
        <v>46</v>
      </c>
      <c r="D134" s="164">
        <v>11244</v>
      </c>
    </row>
    <row r="135" spans="1:4" x14ac:dyDescent="0.45">
      <c r="B135" s="1" t="s">
        <v>40</v>
      </c>
      <c r="C135" s="162">
        <v>41</v>
      </c>
      <c r="D135" s="164">
        <v>9892</v>
      </c>
    </row>
    <row r="136" spans="1:4" x14ac:dyDescent="0.45">
      <c r="B136" s="1" t="s">
        <v>41</v>
      </c>
      <c r="C136" s="162">
        <v>38</v>
      </c>
      <c r="D136" s="164">
        <v>4994</v>
      </c>
    </row>
    <row r="137" spans="1:4" x14ac:dyDescent="0.45">
      <c r="B137" s="1" t="s">
        <v>42</v>
      </c>
      <c r="C137" s="162">
        <v>35</v>
      </c>
      <c r="D137" s="164">
        <v>4327</v>
      </c>
    </row>
    <row r="138" spans="1:4" x14ac:dyDescent="0.45">
      <c r="B138" s="1" t="s">
        <v>33</v>
      </c>
      <c r="C138" s="162">
        <v>26</v>
      </c>
      <c r="D138" s="164">
        <v>1525</v>
      </c>
    </row>
    <row r="139" spans="1:4" x14ac:dyDescent="0.45">
      <c r="A139" t="s">
        <v>53</v>
      </c>
      <c r="B139" s="1" t="s">
        <v>25</v>
      </c>
      <c r="C139" s="162">
        <v>67</v>
      </c>
      <c r="D139" s="164">
        <v>3351</v>
      </c>
    </row>
    <row r="140" spans="1:4" x14ac:dyDescent="0.45">
      <c r="B140" s="1" t="s">
        <v>26</v>
      </c>
      <c r="C140" s="162">
        <v>63</v>
      </c>
      <c r="D140" s="164">
        <v>6290</v>
      </c>
    </row>
    <row r="141" spans="1:4" x14ac:dyDescent="0.45">
      <c r="B141" s="1" t="s">
        <v>27</v>
      </c>
      <c r="C141" s="162">
        <v>58</v>
      </c>
      <c r="D141" s="164">
        <v>8282</v>
      </c>
    </row>
    <row r="142" spans="1:4" x14ac:dyDescent="0.45">
      <c r="B142" s="1" t="s">
        <v>28</v>
      </c>
      <c r="C142" s="162">
        <v>53</v>
      </c>
      <c r="D142" s="164">
        <v>11834</v>
      </c>
    </row>
    <row r="143" spans="1:4" x14ac:dyDescent="0.45">
      <c r="B143" s="1" t="s">
        <v>29</v>
      </c>
      <c r="C143" s="162">
        <v>47</v>
      </c>
      <c r="D143" s="164">
        <v>14371</v>
      </c>
    </row>
    <row r="144" spans="1:4" x14ac:dyDescent="0.45">
      <c r="B144" s="1" t="s">
        <v>30</v>
      </c>
      <c r="C144" s="162">
        <v>42</v>
      </c>
      <c r="D144" s="164">
        <v>10882</v>
      </c>
    </row>
    <row r="145" spans="1:4" x14ac:dyDescent="0.45">
      <c r="B145" s="1" t="s">
        <v>31</v>
      </c>
      <c r="C145" s="162">
        <v>36</v>
      </c>
      <c r="D145" s="164">
        <v>9799</v>
      </c>
    </row>
    <row r="146" spans="1:4" x14ac:dyDescent="0.45">
      <c r="B146" s="1" t="s">
        <v>32</v>
      </c>
      <c r="C146" s="162">
        <v>33</v>
      </c>
      <c r="D146" s="164">
        <v>3674</v>
      </c>
    </row>
    <row r="147" spans="1:4" x14ac:dyDescent="0.45">
      <c r="B147" s="1" t="s">
        <v>34</v>
      </c>
      <c r="C147" s="162">
        <v>25</v>
      </c>
      <c r="D147" s="164">
        <v>2200</v>
      </c>
    </row>
    <row r="148" spans="1:4" x14ac:dyDescent="0.45">
      <c r="A148" t="s">
        <v>54</v>
      </c>
      <c r="B148" s="1" t="s">
        <v>35</v>
      </c>
      <c r="C148" s="162">
        <v>69</v>
      </c>
      <c r="D148" s="164">
        <v>1742</v>
      </c>
    </row>
    <row r="149" spans="1:4" x14ac:dyDescent="0.45">
      <c r="B149" s="1" t="s">
        <v>36</v>
      </c>
      <c r="C149" s="162">
        <v>64</v>
      </c>
      <c r="D149" s="164">
        <v>2537</v>
      </c>
    </row>
    <row r="150" spans="1:4" x14ac:dyDescent="0.45">
      <c r="B150" s="1" t="s">
        <v>37</v>
      </c>
      <c r="C150" s="162">
        <v>58</v>
      </c>
      <c r="D150" s="164">
        <v>4909</v>
      </c>
    </row>
    <row r="151" spans="1:4" x14ac:dyDescent="0.45">
      <c r="B151" s="1" t="s">
        <v>38</v>
      </c>
      <c r="C151" s="162">
        <v>52</v>
      </c>
      <c r="D151" s="164">
        <v>7149</v>
      </c>
    </row>
    <row r="152" spans="1:4" x14ac:dyDescent="0.45">
      <c r="B152" s="1" t="s">
        <v>39</v>
      </c>
      <c r="C152" s="162">
        <v>47</v>
      </c>
      <c r="D152" s="164">
        <v>7161</v>
      </c>
    </row>
    <row r="153" spans="1:4" x14ac:dyDescent="0.45">
      <c r="B153" s="1" t="s">
        <v>40</v>
      </c>
      <c r="C153" s="162">
        <v>42</v>
      </c>
      <c r="D153" s="164">
        <v>6823</v>
      </c>
    </row>
    <row r="154" spans="1:4" x14ac:dyDescent="0.45">
      <c r="B154" s="1" t="s">
        <v>41</v>
      </c>
      <c r="C154" s="162">
        <v>38</v>
      </c>
      <c r="D154" s="164">
        <v>4623</v>
      </c>
    </row>
    <row r="155" spans="1:4" x14ac:dyDescent="0.45">
      <c r="B155" s="1" t="s">
        <v>42</v>
      </c>
      <c r="C155" s="162">
        <v>35</v>
      </c>
      <c r="D155" s="164">
        <v>2690</v>
      </c>
    </row>
    <row r="156" spans="1:4" x14ac:dyDescent="0.45">
      <c r="B156" s="1" t="s">
        <v>33</v>
      </c>
      <c r="C156" s="162">
        <v>27</v>
      </c>
      <c r="D156" s="164">
        <v>1243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2"/>
  <sheetViews>
    <sheetView workbookViewId="0">
      <selection activeCell="A5" sqref="A5:I90"/>
    </sheetView>
  </sheetViews>
  <sheetFormatPr defaultRowHeight="17" x14ac:dyDescent="0.45"/>
  <sheetData>
    <row r="1" spans="1:9" x14ac:dyDescent="0.45">
      <c r="A1" s="15"/>
    </row>
    <row r="2" spans="1:9" ht="17.5" thickBot="1" x14ac:dyDescent="0.5"/>
    <row r="3" spans="1:9" x14ac:dyDescent="0.45">
      <c r="A3" s="45" t="s">
        <v>8</v>
      </c>
      <c r="B3" s="46"/>
      <c r="C3" s="46"/>
      <c r="D3" s="47"/>
      <c r="F3" s="45" t="s">
        <v>59</v>
      </c>
      <c r="G3" s="46"/>
      <c r="H3" s="46"/>
      <c r="I3" s="47"/>
    </row>
    <row r="4" spans="1: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9" x14ac:dyDescent="0.45">
      <c r="A5" s="165">
        <v>135</v>
      </c>
      <c r="B5" s="166">
        <v>832</v>
      </c>
      <c r="C5" s="166">
        <v>1077</v>
      </c>
      <c r="D5" s="166">
        <v>1960</v>
      </c>
      <c r="E5" s="166">
        <v>1960</v>
      </c>
      <c r="F5" s="165">
        <v>151</v>
      </c>
      <c r="G5" s="166">
        <v>748</v>
      </c>
      <c r="H5" s="166">
        <v>275</v>
      </c>
      <c r="I5" s="166">
        <v>1046</v>
      </c>
    </row>
    <row r="6" spans="1:9" x14ac:dyDescent="0.45">
      <c r="A6" s="165">
        <v>134</v>
      </c>
      <c r="B6" s="166">
        <v>1044</v>
      </c>
      <c r="C6" s="166">
        <v>1465</v>
      </c>
      <c r="D6" s="166">
        <v>2581</v>
      </c>
      <c r="E6" s="166">
        <v>4541</v>
      </c>
      <c r="F6" s="165">
        <v>149</v>
      </c>
      <c r="G6" s="166">
        <v>22</v>
      </c>
      <c r="H6" s="166">
        <v>3</v>
      </c>
      <c r="I6" s="166">
        <v>25</v>
      </c>
    </row>
    <row r="7" spans="1:9" x14ac:dyDescent="0.45">
      <c r="A7" s="165">
        <v>133</v>
      </c>
      <c r="B7" s="166">
        <v>336</v>
      </c>
      <c r="C7" s="166">
        <v>429</v>
      </c>
      <c r="D7" s="166">
        <v>787</v>
      </c>
      <c r="E7" s="166">
        <v>5328</v>
      </c>
      <c r="F7" s="165">
        <v>148</v>
      </c>
      <c r="G7" s="166">
        <v>99</v>
      </c>
      <c r="H7" s="166">
        <v>26</v>
      </c>
      <c r="I7" s="166">
        <v>127</v>
      </c>
    </row>
    <row r="8" spans="1:9" x14ac:dyDescent="0.45">
      <c r="A8" s="165">
        <v>132</v>
      </c>
      <c r="B8" s="166">
        <v>997</v>
      </c>
      <c r="C8" s="166">
        <v>1266</v>
      </c>
      <c r="D8" s="166">
        <v>2328</v>
      </c>
      <c r="E8" s="166">
        <v>7656</v>
      </c>
      <c r="F8" s="165">
        <v>147</v>
      </c>
      <c r="G8" s="166">
        <v>983</v>
      </c>
      <c r="H8" s="166">
        <v>416</v>
      </c>
      <c r="I8" s="166">
        <v>1445</v>
      </c>
    </row>
    <row r="9" spans="1:9" x14ac:dyDescent="0.45">
      <c r="A9" s="165">
        <v>131</v>
      </c>
      <c r="B9" s="166">
        <v>682</v>
      </c>
      <c r="C9" s="166">
        <v>987</v>
      </c>
      <c r="D9" s="166">
        <v>1733</v>
      </c>
      <c r="E9" s="166">
        <v>9389</v>
      </c>
      <c r="F9" s="165">
        <v>146</v>
      </c>
      <c r="G9" s="166">
        <v>54</v>
      </c>
      <c r="H9" s="166">
        <v>15</v>
      </c>
      <c r="I9" s="166">
        <v>71</v>
      </c>
    </row>
    <row r="10" spans="1:9" x14ac:dyDescent="0.45">
      <c r="A10" s="165">
        <v>130</v>
      </c>
      <c r="B10" s="166">
        <v>870</v>
      </c>
      <c r="C10" s="166">
        <v>1074</v>
      </c>
      <c r="D10" s="166">
        <v>1993</v>
      </c>
      <c r="E10" s="166">
        <v>11382</v>
      </c>
      <c r="F10" s="165">
        <v>145</v>
      </c>
      <c r="G10" s="166">
        <v>226</v>
      </c>
      <c r="H10" s="166">
        <v>90</v>
      </c>
      <c r="I10" s="166">
        <v>326</v>
      </c>
    </row>
    <row r="11" spans="1:9" x14ac:dyDescent="0.45">
      <c r="A11" s="165">
        <v>129</v>
      </c>
      <c r="B11" s="166">
        <v>971</v>
      </c>
      <c r="C11" s="166">
        <v>1312</v>
      </c>
      <c r="D11" s="166">
        <v>2359</v>
      </c>
      <c r="E11" s="166">
        <v>13741</v>
      </c>
      <c r="F11" s="165">
        <v>144</v>
      </c>
      <c r="G11" s="166">
        <v>1096</v>
      </c>
      <c r="H11" s="166">
        <v>632</v>
      </c>
      <c r="I11" s="166">
        <v>1784</v>
      </c>
    </row>
    <row r="12" spans="1:9" x14ac:dyDescent="0.45">
      <c r="A12" s="165">
        <v>128</v>
      </c>
      <c r="B12" s="166">
        <v>1968</v>
      </c>
      <c r="C12" s="166">
        <v>2562</v>
      </c>
      <c r="D12" s="166">
        <v>4652</v>
      </c>
      <c r="E12" s="166">
        <v>18393</v>
      </c>
      <c r="F12" s="165">
        <v>143</v>
      </c>
      <c r="G12" s="166">
        <v>13</v>
      </c>
      <c r="H12" s="166">
        <v>4</v>
      </c>
      <c r="I12" s="166">
        <v>17</v>
      </c>
    </row>
    <row r="13" spans="1:9" x14ac:dyDescent="0.45">
      <c r="A13" s="165">
        <v>127</v>
      </c>
      <c r="B13" s="166">
        <v>848</v>
      </c>
      <c r="C13" s="166">
        <v>1192</v>
      </c>
      <c r="D13" s="166">
        <v>2095</v>
      </c>
      <c r="E13" s="166">
        <v>20488</v>
      </c>
      <c r="F13" s="165">
        <v>142</v>
      </c>
      <c r="G13" s="166">
        <v>85</v>
      </c>
      <c r="H13" s="166">
        <v>36</v>
      </c>
      <c r="I13" s="166">
        <v>128</v>
      </c>
    </row>
    <row r="14" spans="1:9" x14ac:dyDescent="0.45">
      <c r="A14" s="165">
        <v>126</v>
      </c>
      <c r="B14" s="166">
        <v>1008</v>
      </c>
      <c r="C14" s="166">
        <v>1318</v>
      </c>
      <c r="D14" s="166">
        <v>2384</v>
      </c>
      <c r="E14" s="166">
        <v>22872</v>
      </c>
      <c r="F14" s="165">
        <v>141</v>
      </c>
      <c r="G14" s="166">
        <v>366</v>
      </c>
      <c r="H14" s="166">
        <v>204</v>
      </c>
      <c r="I14" s="166">
        <v>588</v>
      </c>
    </row>
    <row r="15" spans="1:9" x14ac:dyDescent="0.45">
      <c r="A15" s="165">
        <v>125</v>
      </c>
      <c r="B15" s="166">
        <v>992</v>
      </c>
      <c r="C15" s="166">
        <v>1318</v>
      </c>
      <c r="D15" s="166">
        <v>2385</v>
      </c>
      <c r="E15" s="166">
        <v>25257</v>
      </c>
      <c r="F15" s="165">
        <v>140</v>
      </c>
      <c r="G15" s="166">
        <v>1252</v>
      </c>
      <c r="H15" s="166">
        <v>823</v>
      </c>
      <c r="I15" s="166">
        <v>2147</v>
      </c>
    </row>
    <row r="16" spans="1:9" x14ac:dyDescent="0.45">
      <c r="A16" s="165">
        <v>124</v>
      </c>
      <c r="B16" s="166">
        <v>997</v>
      </c>
      <c r="C16" s="166">
        <v>1310</v>
      </c>
      <c r="D16" s="166">
        <v>2371</v>
      </c>
      <c r="E16" s="166">
        <v>27628</v>
      </c>
      <c r="F16" s="165">
        <v>139</v>
      </c>
      <c r="G16" s="166">
        <v>156</v>
      </c>
      <c r="H16" s="166">
        <v>65</v>
      </c>
      <c r="I16" s="166">
        <v>227</v>
      </c>
    </row>
    <row r="17" spans="1:9" x14ac:dyDescent="0.45">
      <c r="A17" s="165">
        <v>123</v>
      </c>
      <c r="B17" s="166">
        <v>1089</v>
      </c>
      <c r="C17" s="166">
        <v>1406</v>
      </c>
      <c r="D17" s="166">
        <v>2571</v>
      </c>
      <c r="E17" s="166">
        <v>30199</v>
      </c>
      <c r="F17" s="165">
        <v>138</v>
      </c>
      <c r="G17" s="166">
        <v>544</v>
      </c>
      <c r="H17" s="166">
        <v>357</v>
      </c>
      <c r="I17" s="166">
        <v>925</v>
      </c>
    </row>
    <row r="18" spans="1:9" x14ac:dyDescent="0.45">
      <c r="A18" s="165">
        <v>122</v>
      </c>
      <c r="B18" s="166">
        <v>2234</v>
      </c>
      <c r="C18" s="166">
        <v>2739</v>
      </c>
      <c r="D18" s="166">
        <v>5131</v>
      </c>
      <c r="E18" s="166">
        <v>35330</v>
      </c>
      <c r="F18" s="165">
        <v>137</v>
      </c>
      <c r="G18" s="166">
        <v>1353</v>
      </c>
      <c r="H18" s="166">
        <v>880</v>
      </c>
      <c r="I18" s="166">
        <v>2295</v>
      </c>
    </row>
    <row r="19" spans="1:9" x14ac:dyDescent="0.45">
      <c r="A19" s="165">
        <v>121</v>
      </c>
      <c r="B19" s="166">
        <v>1033</v>
      </c>
      <c r="C19" s="166">
        <v>1349</v>
      </c>
      <c r="D19" s="166">
        <v>2457</v>
      </c>
      <c r="E19" s="166">
        <v>37787</v>
      </c>
      <c r="F19" s="165">
        <v>136</v>
      </c>
      <c r="G19" s="166">
        <v>38</v>
      </c>
      <c r="H19" s="166">
        <v>23</v>
      </c>
      <c r="I19" s="166">
        <v>65</v>
      </c>
    </row>
    <row r="20" spans="1:9" x14ac:dyDescent="0.45">
      <c r="A20" s="165">
        <v>120</v>
      </c>
      <c r="B20" s="166">
        <v>1161</v>
      </c>
      <c r="C20" s="166">
        <v>1418</v>
      </c>
      <c r="D20" s="166">
        <v>2649</v>
      </c>
      <c r="E20" s="166">
        <v>40436</v>
      </c>
      <c r="F20" s="165">
        <v>135</v>
      </c>
      <c r="G20" s="166">
        <v>223</v>
      </c>
      <c r="H20" s="166">
        <v>137</v>
      </c>
      <c r="I20" s="166">
        <v>367</v>
      </c>
    </row>
    <row r="21" spans="1:9" x14ac:dyDescent="0.45">
      <c r="A21" s="165">
        <v>119</v>
      </c>
      <c r="B21" s="166">
        <v>1091</v>
      </c>
      <c r="C21" s="166">
        <v>1410</v>
      </c>
      <c r="D21" s="166">
        <v>2577</v>
      </c>
      <c r="E21" s="166">
        <v>43013</v>
      </c>
      <c r="F21" s="165">
        <v>134</v>
      </c>
      <c r="G21" s="166">
        <v>1980</v>
      </c>
      <c r="H21" s="166">
        <v>1524</v>
      </c>
      <c r="I21" s="166">
        <v>3606</v>
      </c>
    </row>
    <row r="22" spans="1:9" x14ac:dyDescent="0.45">
      <c r="A22" s="165">
        <v>118</v>
      </c>
      <c r="B22" s="166">
        <v>1141</v>
      </c>
      <c r="C22" s="166">
        <v>1469</v>
      </c>
      <c r="D22" s="166">
        <v>2700</v>
      </c>
      <c r="E22" s="166">
        <v>45713</v>
      </c>
      <c r="F22" s="165">
        <v>133</v>
      </c>
      <c r="G22" s="166">
        <v>78</v>
      </c>
      <c r="H22" s="166">
        <v>45</v>
      </c>
      <c r="I22" s="166">
        <v>129</v>
      </c>
    </row>
    <row r="23" spans="1:9" x14ac:dyDescent="0.45">
      <c r="A23" s="165">
        <v>117</v>
      </c>
      <c r="B23" s="166">
        <v>1146</v>
      </c>
      <c r="C23" s="166">
        <v>1469</v>
      </c>
      <c r="D23" s="166">
        <v>2701</v>
      </c>
      <c r="E23" s="166">
        <v>48414</v>
      </c>
      <c r="F23" s="165">
        <v>132</v>
      </c>
      <c r="G23" s="166">
        <v>305</v>
      </c>
      <c r="H23" s="166">
        <v>208</v>
      </c>
      <c r="I23" s="166">
        <v>533</v>
      </c>
    </row>
    <row r="24" spans="1:9" x14ac:dyDescent="0.45">
      <c r="A24" s="165">
        <v>116</v>
      </c>
      <c r="B24" s="166">
        <v>2422</v>
      </c>
      <c r="C24" s="166">
        <v>2941</v>
      </c>
      <c r="D24" s="166">
        <v>5507</v>
      </c>
      <c r="E24" s="166">
        <v>53921</v>
      </c>
      <c r="F24" s="165">
        <v>131</v>
      </c>
      <c r="G24" s="166">
        <v>916</v>
      </c>
      <c r="H24" s="166">
        <v>792</v>
      </c>
      <c r="I24" s="166">
        <v>1749</v>
      </c>
    </row>
    <row r="25" spans="1:9" x14ac:dyDescent="0.45">
      <c r="A25" s="165">
        <v>115</v>
      </c>
      <c r="B25" s="166">
        <v>1207</v>
      </c>
      <c r="C25" s="166">
        <v>1540</v>
      </c>
      <c r="D25" s="166">
        <v>2833</v>
      </c>
      <c r="E25" s="166">
        <v>56754</v>
      </c>
      <c r="F25" s="165">
        <v>130</v>
      </c>
      <c r="G25" s="166">
        <v>1344</v>
      </c>
      <c r="H25" s="166">
        <v>1098</v>
      </c>
      <c r="I25" s="166">
        <v>2487</v>
      </c>
    </row>
    <row r="26" spans="1:9" x14ac:dyDescent="0.45">
      <c r="A26" s="165">
        <v>114</v>
      </c>
      <c r="B26" s="166">
        <v>1282</v>
      </c>
      <c r="C26" s="166">
        <v>1569</v>
      </c>
      <c r="D26" s="166">
        <v>2943</v>
      </c>
      <c r="E26" s="166">
        <v>59697</v>
      </c>
      <c r="F26" s="165">
        <v>129</v>
      </c>
      <c r="G26" s="166">
        <v>628</v>
      </c>
      <c r="H26" s="166">
        <v>463</v>
      </c>
      <c r="I26" s="166">
        <v>1124</v>
      </c>
    </row>
    <row r="27" spans="1:9" x14ac:dyDescent="0.45">
      <c r="A27" s="165">
        <v>113</v>
      </c>
      <c r="B27" s="166">
        <v>1180</v>
      </c>
      <c r="C27" s="166">
        <v>1477</v>
      </c>
      <c r="D27" s="166">
        <v>2748</v>
      </c>
      <c r="E27" s="166">
        <v>62445</v>
      </c>
      <c r="F27" s="165">
        <v>128</v>
      </c>
      <c r="G27" s="166">
        <v>1162</v>
      </c>
      <c r="H27" s="166">
        <v>1021</v>
      </c>
      <c r="I27" s="166">
        <v>2241</v>
      </c>
    </row>
    <row r="28" spans="1:9" x14ac:dyDescent="0.45">
      <c r="A28" s="165">
        <v>112</v>
      </c>
      <c r="B28" s="166">
        <v>1250</v>
      </c>
      <c r="C28" s="166">
        <v>1473</v>
      </c>
      <c r="D28" s="166">
        <v>2825</v>
      </c>
      <c r="E28" s="166">
        <v>65270</v>
      </c>
      <c r="F28" s="165">
        <v>127</v>
      </c>
      <c r="G28" s="166">
        <v>1140</v>
      </c>
      <c r="H28" s="166">
        <v>1056</v>
      </c>
      <c r="I28" s="166">
        <v>2265</v>
      </c>
    </row>
    <row r="29" spans="1:9" x14ac:dyDescent="0.45">
      <c r="A29" s="165">
        <v>111</v>
      </c>
      <c r="B29" s="166">
        <v>1316</v>
      </c>
      <c r="C29" s="166">
        <v>1474</v>
      </c>
      <c r="D29" s="166">
        <v>2881</v>
      </c>
      <c r="E29" s="166">
        <v>68151</v>
      </c>
      <c r="F29" s="165">
        <v>126</v>
      </c>
      <c r="G29" s="166">
        <v>260</v>
      </c>
      <c r="H29" s="166">
        <v>182</v>
      </c>
      <c r="I29" s="166">
        <v>447</v>
      </c>
    </row>
    <row r="30" spans="1:9" x14ac:dyDescent="0.45">
      <c r="A30" s="165">
        <v>110</v>
      </c>
      <c r="B30" s="166">
        <v>2531</v>
      </c>
      <c r="C30" s="166">
        <v>3037</v>
      </c>
      <c r="D30" s="166">
        <v>5758</v>
      </c>
      <c r="E30" s="166">
        <v>73909</v>
      </c>
      <c r="F30" s="165">
        <v>125</v>
      </c>
      <c r="G30" s="166">
        <v>671</v>
      </c>
      <c r="H30" s="166">
        <v>605</v>
      </c>
      <c r="I30" s="166">
        <v>1312</v>
      </c>
    </row>
    <row r="31" spans="1:9" x14ac:dyDescent="0.45">
      <c r="A31" s="165">
        <v>109</v>
      </c>
      <c r="B31" s="166">
        <v>1297</v>
      </c>
      <c r="C31" s="166">
        <v>1555</v>
      </c>
      <c r="D31" s="166">
        <v>2945</v>
      </c>
      <c r="E31" s="166">
        <v>76854</v>
      </c>
      <c r="F31" s="165">
        <v>124</v>
      </c>
      <c r="G31" s="166">
        <v>1231</v>
      </c>
      <c r="H31" s="166">
        <v>1219</v>
      </c>
      <c r="I31" s="166">
        <v>2521</v>
      </c>
    </row>
    <row r="32" spans="1:9" x14ac:dyDescent="0.45">
      <c r="A32" s="165">
        <v>108</v>
      </c>
      <c r="B32" s="166">
        <v>1254</v>
      </c>
      <c r="C32" s="166">
        <v>1519</v>
      </c>
      <c r="D32" s="166">
        <v>2882</v>
      </c>
      <c r="E32" s="166">
        <v>79736</v>
      </c>
      <c r="F32" s="165">
        <v>123</v>
      </c>
      <c r="G32" s="166">
        <v>1387</v>
      </c>
      <c r="H32" s="166">
        <v>1362</v>
      </c>
      <c r="I32" s="166">
        <v>2843</v>
      </c>
    </row>
    <row r="33" spans="1:9" x14ac:dyDescent="0.45">
      <c r="A33" s="165">
        <v>107</v>
      </c>
      <c r="B33" s="166">
        <v>1308</v>
      </c>
      <c r="C33" s="166">
        <v>1500</v>
      </c>
      <c r="D33" s="166">
        <v>2906</v>
      </c>
      <c r="E33" s="166">
        <v>82642</v>
      </c>
      <c r="F33" s="165">
        <v>122</v>
      </c>
      <c r="G33" s="166">
        <v>947</v>
      </c>
      <c r="H33" s="166">
        <v>921</v>
      </c>
      <c r="I33" s="166">
        <v>1924</v>
      </c>
    </row>
    <row r="34" spans="1:9" x14ac:dyDescent="0.45">
      <c r="A34" s="165">
        <v>106</v>
      </c>
      <c r="B34" s="166">
        <v>1278</v>
      </c>
      <c r="C34" s="166">
        <v>1506</v>
      </c>
      <c r="D34" s="166">
        <v>2886</v>
      </c>
      <c r="E34" s="166">
        <v>85528</v>
      </c>
      <c r="F34" s="165">
        <v>121</v>
      </c>
      <c r="G34" s="166">
        <v>1426</v>
      </c>
      <c r="H34" s="166">
        <v>1283</v>
      </c>
      <c r="I34" s="166">
        <v>2775</v>
      </c>
    </row>
    <row r="35" spans="1:9" x14ac:dyDescent="0.45">
      <c r="A35" s="165">
        <v>105</v>
      </c>
      <c r="B35" s="166">
        <v>1271</v>
      </c>
      <c r="C35" s="166">
        <v>1488</v>
      </c>
      <c r="D35" s="166">
        <v>2853</v>
      </c>
      <c r="E35" s="166">
        <v>88381</v>
      </c>
      <c r="F35" s="165">
        <v>120</v>
      </c>
      <c r="G35" s="166">
        <v>825</v>
      </c>
      <c r="H35" s="166">
        <v>788</v>
      </c>
      <c r="I35" s="166">
        <v>1658</v>
      </c>
    </row>
    <row r="36" spans="1:9" x14ac:dyDescent="0.45">
      <c r="A36" s="165">
        <v>104</v>
      </c>
      <c r="B36" s="166">
        <v>2562</v>
      </c>
      <c r="C36" s="166">
        <v>2977</v>
      </c>
      <c r="D36" s="166">
        <v>5724</v>
      </c>
      <c r="E36" s="166">
        <v>94105</v>
      </c>
      <c r="F36" s="165">
        <v>119</v>
      </c>
      <c r="G36" s="166">
        <v>574</v>
      </c>
      <c r="H36" s="166">
        <v>617</v>
      </c>
      <c r="I36" s="166">
        <v>1234</v>
      </c>
    </row>
    <row r="37" spans="1:9" x14ac:dyDescent="0.45">
      <c r="A37" s="165">
        <v>103</v>
      </c>
      <c r="B37" s="166">
        <v>1239</v>
      </c>
      <c r="C37" s="166">
        <v>1494</v>
      </c>
      <c r="D37" s="166">
        <v>2827</v>
      </c>
      <c r="E37" s="166">
        <v>96932</v>
      </c>
      <c r="F37" s="165">
        <v>118</v>
      </c>
      <c r="G37" s="166">
        <v>1146</v>
      </c>
      <c r="H37" s="166">
        <v>1239</v>
      </c>
      <c r="I37" s="166">
        <v>2463</v>
      </c>
    </row>
    <row r="38" spans="1:9" x14ac:dyDescent="0.45">
      <c r="A38" s="165">
        <v>102</v>
      </c>
      <c r="B38" s="166">
        <v>1317</v>
      </c>
      <c r="C38" s="166">
        <v>1477</v>
      </c>
      <c r="D38" s="166">
        <v>2895</v>
      </c>
      <c r="E38" s="166">
        <v>99827</v>
      </c>
      <c r="F38" s="165">
        <v>117</v>
      </c>
      <c r="G38" s="166">
        <v>1859</v>
      </c>
      <c r="H38" s="166">
        <v>1905</v>
      </c>
      <c r="I38" s="166">
        <v>3888</v>
      </c>
    </row>
    <row r="39" spans="1:9" x14ac:dyDescent="0.45">
      <c r="A39" s="165">
        <v>101</v>
      </c>
      <c r="B39" s="166">
        <v>1328</v>
      </c>
      <c r="C39" s="166">
        <v>1573</v>
      </c>
      <c r="D39" s="166">
        <v>3021</v>
      </c>
      <c r="E39" s="166">
        <v>102848</v>
      </c>
      <c r="F39" s="165">
        <v>116</v>
      </c>
      <c r="G39" s="166">
        <v>896</v>
      </c>
      <c r="H39" s="166">
        <v>980</v>
      </c>
      <c r="I39" s="166">
        <v>1937</v>
      </c>
    </row>
    <row r="40" spans="1:9" x14ac:dyDescent="0.45">
      <c r="A40" s="165">
        <v>100</v>
      </c>
      <c r="B40" s="166">
        <v>1299</v>
      </c>
      <c r="C40" s="166">
        <v>1438</v>
      </c>
      <c r="D40" s="166">
        <v>2848</v>
      </c>
      <c r="E40" s="166">
        <v>105696</v>
      </c>
      <c r="F40" s="165">
        <v>115</v>
      </c>
      <c r="G40" s="166">
        <v>1284</v>
      </c>
      <c r="H40" s="166">
        <v>1392</v>
      </c>
      <c r="I40" s="166">
        <v>2761</v>
      </c>
    </row>
    <row r="41" spans="1:9" x14ac:dyDescent="0.45">
      <c r="A41" s="165">
        <v>99</v>
      </c>
      <c r="B41" s="166">
        <v>1192</v>
      </c>
      <c r="C41" s="166">
        <v>1424</v>
      </c>
      <c r="D41" s="166">
        <v>2723</v>
      </c>
      <c r="E41" s="166">
        <v>108419</v>
      </c>
      <c r="F41" s="165">
        <v>114</v>
      </c>
      <c r="G41" s="166">
        <v>1011</v>
      </c>
      <c r="H41" s="166">
        <v>971</v>
      </c>
      <c r="I41" s="166">
        <v>2033</v>
      </c>
    </row>
    <row r="42" spans="1:9" x14ac:dyDescent="0.45">
      <c r="A42" s="165">
        <v>98</v>
      </c>
      <c r="B42" s="166">
        <v>2540</v>
      </c>
      <c r="C42" s="166">
        <v>2830</v>
      </c>
      <c r="D42" s="166">
        <v>5588</v>
      </c>
      <c r="E42" s="166">
        <v>114007</v>
      </c>
      <c r="F42" s="165">
        <v>113</v>
      </c>
      <c r="G42" s="166">
        <v>750</v>
      </c>
      <c r="H42" s="166">
        <v>731</v>
      </c>
      <c r="I42" s="166">
        <v>1533</v>
      </c>
    </row>
    <row r="43" spans="1:9" x14ac:dyDescent="0.45">
      <c r="A43" s="165">
        <v>97</v>
      </c>
      <c r="B43" s="166">
        <v>1223</v>
      </c>
      <c r="C43" s="166">
        <v>1376</v>
      </c>
      <c r="D43" s="166">
        <v>2716</v>
      </c>
      <c r="E43" s="166">
        <v>116723</v>
      </c>
      <c r="F43" s="165">
        <v>112</v>
      </c>
      <c r="G43" s="166">
        <v>1159</v>
      </c>
      <c r="H43" s="166">
        <v>1274</v>
      </c>
      <c r="I43" s="166">
        <v>2502</v>
      </c>
    </row>
    <row r="44" spans="1:9" x14ac:dyDescent="0.45">
      <c r="A44" s="165">
        <v>96</v>
      </c>
      <c r="B44" s="166">
        <v>1254</v>
      </c>
      <c r="C44" s="166">
        <v>1397</v>
      </c>
      <c r="D44" s="166">
        <v>2741</v>
      </c>
      <c r="E44" s="166">
        <v>119464</v>
      </c>
      <c r="F44" s="165">
        <v>111</v>
      </c>
      <c r="G44" s="166">
        <v>2086</v>
      </c>
      <c r="H44" s="166">
        <v>2155</v>
      </c>
      <c r="I44" s="166">
        <v>4366</v>
      </c>
    </row>
    <row r="45" spans="1:9" x14ac:dyDescent="0.45">
      <c r="A45" s="165">
        <v>95</v>
      </c>
      <c r="B45" s="166">
        <v>1244</v>
      </c>
      <c r="C45" s="166">
        <v>1388</v>
      </c>
      <c r="D45" s="166">
        <v>2734</v>
      </c>
      <c r="E45" s="166">
        <v>122198</v>
      </c>
      <c r="F45" s="165">
        <v>110</v>
      </c>
      <c r="G45" s="166">
        <v>970</v>
      </c>
      <c r="H45" s="166">
        <v>1090</v>
      </c>
      <c r="I45" s="166">
        <v>2116</v>
      </c>
    </row>
    <row r="46" spans="1:9" x14ac:dyDescent="0.45">
      <c r="A46" s="165">
        <v>94</v>
      </c>
      <c r="B46" s="166">
        <v>1151</v>
      </c>
      <c r="C46" s="166">
        <v>1283</v>
      </c>
      <c r="D46" s="166">
        <v>2540</v>
      </c>
      <c r="E46" s="166">
        <v>124738</v>
      </c>
      <c r="F46" s="165">
        <v>109</v>
      </c>
      <c r="G46" s="166">
        <v>1243</v>
      </c>
      <c r="H46" s="166">
        <v>1398</v>
      </c>
      <c r="I46" s="166">
        <v>2722</v>
      </c>
    </row>
    <row r="47" spans="1:9" x14ac:dyDescent="0.45">
      <c r="A47" s="165">
        <v>93</v>
      </c>
      <c r="B47" s="166">
        <v>1160</v>
      </c>
      <c r="C47" s="166">
        <v>1371</v>
      </c>
      <c r="D47" s="166">
        <v>2651</v>
      </c>
      <c r="E47" s="166">
        <v>127389</v>
      </c>
      <c r="F47" s="165">
        <v>108</v>
      </c>
      <c r="G47" s="166">
        <v>969</v>
      </c>
      <c r="H47" s="166">
        <v>1006</v>
      </c>
      <c r="I47" s="166">
        <v>2027</v>
      </c>
    </row>
    <row r="48" spans="1:9" x14ac:dyDescent="0.45">
      <c r="A48" s="165">
        <v>92</v>
      </c>
      <c r="B48" s="166">
        <v>2389</v>
      </c>
      <c r="C48" s="166">
        <v>2510</v>
      </c>
      <c r="D48" s="166">
        <v>5102</v>
      </c>
      <c r="E48" s="166">
        <v>132491</v>
      </c>
      <c r="F48" s="165">
        <v>107</v>
      </c>
      <c r="G48" s="166">
        <v>918</v>
      </c>
      <c r="H48" s="166">
        <v>1021</v>
      </c>
      <c r="I48" s="166">
        <v>1999</v>
      </c>
    </row>
    <row r="49" spans="1:9" x14ac:dyDescent="0.45">
      <c r="A49" s="165">
        <v>91</v>
      </c>
      <c r="B49" s="166">
        <v>1197</v>
      </c>
      <c r="C49" s="166">
        <v>1224</v>
      </c>
      <c r="D49" s="166">
        <v>2514</v>
      </c>
      <c r="E49" s="166">
        <v>135005</v>
      </c>
      <c r="F49" s="165">
        <v>106</v>
      </c>
      <c r="G49" s="166">
        <v>1177</v>
      </c>
      <c r="H49" s="166">
        <v>1309</v>
      </c>
      <c r="I49" s="166">
        <v>2572</v>
      </c>
    </row>
    <row r="50" spans="1:9" x14ac:dyDescent="0.45">
      <c r="A50" s="165">
        <v>90</v>
      </c>
      <c r="B50" s="166">
        <v>1154</v>
      </c>
      <c r="C50" s="166">
        <v>1212</v>
      </c>
      <c r="D50" s="166">
        <v>2472</v>
      </c>
      <c r="E50" s="166">
        <v>137477</v>
      </c>
      <c r="F50" s="165">
        <v>105</v>
      </c>
      <c r="G50" s="166">
        <v>1982</v>
      </c>
      <c r="H50" s="166">
        <v>2183</v>
      </c>
      <c r="I50" s="166">
        <v>4296</v>
      </c>
    </row>
    <row r="51" spans="1:9" x14ac:dyDescent="0.45">
      <c r="A51" s="165">
        <v>89</v>
      </c>
      <c r="B51" s="166">
        <v>1118</v>
      </c>
      <c r="C51" s="166">
        <v>1157</v>
      </c>
      <c r="D51" s="166">
        <v>2404</v>
      </c>
      <c r="E51" s="166">
        <v>139881</v>
      </c>
      <c r="F51" s="165">
        <v>104</v>
      </c>
      <c r="G51" s="166">
        <v>1055</v>
      </c>
      <c r="H51" s="166">
        <v>1282</v>
      </c>
      <c r="I51" s="166">
        <v>2400</v>
      </c>
    </row>
    <row r="52" spans="1:9" x14ac:dyDescent="0.45">
      <c r="A52" s="165">
        <v>88</v>
      </c>
      <c r="B52" s="166">
        <v>1106</v>
      </c>
      <c r="C52" s="166">
        <v>1138</v>
      </c>
      <c r="D52" s="166">
        <v>2353</v>
      </c>
      <c r="E52" s="166">
        <v>142234</v>
      </c>
      <c r="F52" s="165">
        <v>103</v>
      </c>
      <c r="G52" s="166">
        <v>1119</v>
      </c>
      <c r="H52" s="166">
        <v>1355</v>
      </c>
      <c r="I52" s="166">
        <v>2569</v>
      </c>
    </row>
    <row r="53" spans="1:9" x14ac:dyDescent="0.45">
      <c r="A53" s="165">
        <v>87</v>
      </c>
      <c r="B53" s="166">
        <v>1101</v>
      </c>
      <c r="C53" s="166">
        <v>1094</v>
      </c>
      <c r="D53" s="166">
        <v>2300</v>
      </c>
      <c r="E53" s="166">
        <v>144534</v>
      </c>
      <c r="F53" s="165">
        <v>102</v>
      </c>
      <c r="G53" s="166">
        <v>934</v>
      </c>
      <c r="H53" s="166">
        <v>1016</v>
      </c>
      <c r="I53" s="166">
        <v>2010</v>
      </c>
    </row>
    <row r="54" spans="1:9" x14ac:dyDescent="0.45">
      <c r="A54" s="165">
        <v>86</v>
      </c>
      <c r="B54" s="166">
        <v>2269</v>
      </c>
      <c r="C54" s="166">
        <v>2127</v>
      </c>
      <c r="D54" s="166">
        <v>4613</v>
      </c>
      <c r="E54" s="166">
        <v>149147</v>
      </c>
      <c r="F54" s="165">
        <v>101</v>
      </c>
      <c r="G54" s="166">
        <v>1074</v>
      </c>
      <c r="H54" s="166">
        <v>1129</v>
      </c>
      <c r="I54" s="166">
        <v>2265</v>
      </c>
    </row>
    <row r="55" spans="1:9" x14ac:dyDescent="0.45">
      <c r="A55" s="165">
        <v>85</v>
      </c>
      <c r="B55" s="166">
        <v>1091</v>
      </c>
      <c r="C55" s="166">
        <v>949</v>
      </c>
      <c r="D55" s="166">
        <v>2142</v>
      </c>
      <c r="E55" s="166">
        <v>151289</v>
      </c>
      <c r="F55" s="165">
        <v>100</v>
      </c>
      <c r="G55" s="166">
        <v>2249</v>
      </c>
      <c r="H55" s="166">
        <v>2567</v>
      </c>
      <c r="I55" s="166">
        <v>4955</v>
      </c>
    </row>
    <row r="56" spans="1:9" x14ac:dyDescent="0.45">
      <c r="A56" s="165">
        <v>84</v>
      </c>
      <c r="B56" s="166">
        <v>1048</v>
      </c>
      <c r="C56" s="166">
        <v>975</v>
      </c>
      <c r="D56" s="166">
        <v>2132</v>
      </c>
      <c r="E56" s="166">
        <v>153421</v>
      </c>
      <c r="F56" s="165">
        <v>99</v>
      </c>
      <c r="G56" s="166">
        <v>1003</v>
      </c>
      <c r="H56" s="166">
        <v>1135</v>
      </c>
      <c r="I56" s="166">
        <v>2202</v>
      </c>
    </row>
    <row r="57" spans="1:9" x14ac:dyDescent="0.45">
      <c r="A57" s="165">
        <v>83</v>
      </c>
      <c r="B57" s="166">
        <v>1041</v>
      </c>
      <c r="C57" s="166">
        <v>840</v>
      </c>
      <c r="D57" s="166">
        <v>1967</v>
      </c>
      <c r="E57" s="166">
        <v>155388</v>
      </c>
      <c r="F57" s="165">
        <v>98</v>
      </c>
      <c r="G57" s="166">
        <v>1237</v>
      </c>
      <c r="H57" s="166">
        <v>1483</v>
      </c>
      <c r="I57" s="166">
        <v>2810</v>
      </c>
    </row>
    <row r="58" spans="1:9" x14ac:dyDescent="0.45">
      <c r="A58" s="165">
        <v>82</v>
      </c>
      <c r="B58" s="166">
        <v>1095</v>
      </c>
      <c r="C58" s="166">
        <v>940</v>
      </c>
      <c r="D58" s="166">
        <v>2133</v>
      </c>
      <c r="E58" s="166">
        <v>157521</v>
      </c>
      <c r="F58" s="165">
        <v>97</v>
      </c>
      <c r="G58" s="166">
        <v>1153</v>
      </c>
      <c r="H58" s="166">
        <v>1293</v>
      </c>
      <c r="I58" s="166">
        <v>2526</v>
      </c>
    </row>
    <row r="59" spans="1:9" x14ac:dyDescent="0.45">
      <c r="A59" s="165">
        <v>81</v>
      </c>
      <c r="B59" s="166">
        <v>1009</v>
      </c>
      <c r="C59" s="166">
        <v>860</v>
      </c>
      <c r="D59" s="166">
        <v>1968</v>
      </c>
      <c r="E59" s="166">
        <v>159489</v>
      </c>
      <c r="F59" s="165">
        <v>96</v>
      </c>
      <c r="G59" s="166">
        <v>1015</v>
      </c>
      <c r="H59" s="166">
        <v>1199</v>
      </c>
      <c r="I59" s="166">
        <v>2285</v>
      </c>
    </row>
    <row r="60" spans="1:9" x14ac:dyDescent="0.45">
      <c r="A60" s="165">
        <v>80</v>
      </c>
      <c r="B60" s="166">
        <v>2093</v>
      </c>
      <c r="C60" s="166">
        <v>1670</v>
      </c>
      <c r="D60" s="166">
        <v>3970</v>
      </c>
      <c r="E60" s="166">
        <v>163459</v>
      </c>
      <c r="F60" s="165">
        <v>95</v>
      </c>
      <c r="G60" s="166">
        <v>1302</v>
      </c>
      <c r="H60" s="166">
        <v>1514</v>
      </c>
      <c r="I60" s="166">
        <v>2896</v>
      </c>
    </row>
    <row r="61" spans="1:9" x14ac:dyDescent="0.45">
      <c r="A61" s="165">
        <v>79</v>
      </c>
      <c r="B61" s="166">
        <v>1028</v>
      </c>
      <c r="C61" s="166">
        <v>764</v>
      </c>
      <c r="D61" s="166">
        <v>1899</v>
      </c>
      <c r="E61" s="166">
        <v>165358</v>
      </c>
      <c r="F61" s="165">
        <v>94</v>
      </c>
      <c r="G61" s="166">
        <v>2251</v>
      </c>
      <c r="H61" s="166">
        <v>2729</v>
      </c>
      <c r="I61" s="166">
        <v>5155</v>
      </c>
    </row>
    <row r="62" spans="1:9" x14ac:dyDescent="0.45">
      <c r="A62" s="165">
        <v>78</v>
      </c>
      <c r="B62" s="166">
        <v>963</v>
      </c>
      <c r="C62" s="166">
        <v>803</v>
      </c>
      <c r="D62" s="166">
        <v>1876</v>
      </c>
      <c r="E62" s="166">
        <v>167234</v>
      </c>
      <c r="F62" s="165">
        <v>93</v>
      </c>
      <c r="G62" s="166">
        <v>1351</v>
      </c>
      <c r="H62" s="166">
        <v>1643</v>
      </c>
      <c r="I62" s="166">
        <v>3089</v>
      </c>
    </row>
    <row r="63" spans="1:9" x14ac:dyDescent="0.45">
      <c r="A63" s="165">
        <v>77</v>
      </c>
      <c r="B63" s="166">
        <v>1002</v>
      </c>
      <c r="C63" s="166">
        <v>706</v>
      </c>
      <c r="D63" s="166">
        <v>1805</v>
      </c>
      <c r="E63" s="166">
        <v>169039</v>
      </c>
      <c r="F63" s="165">
        <v>92</v>
      </c>
      <c r="G63" s="166">
        <v>1351</v>
      </c>
      <c r="H63" s="166">
        <v>1651</v>
      </c>
      <c r="I63" s="166">
        <v>3107</v>
      </c>
    </row>
    <row r="64" spans="1:9" x14ac:dyDescent="0.45">
      <c r="A64" s="165">
        <v>76</v>
      </c>
      <c r="B64" s="166">
        <v>1011</v>
      </c>
      <c r="C64" s="166">
        <v>731</v>
      </c>
      <c r="D64" s="166">
        <v>1867</v>
      </c>
      <c r="E64" s="166">
        <v>170906</v>
      </c>
      <c r="F64" s="165">
        <v>91</v>
      </c>
      <c r="G64" s="166">
        <v>1224</v>
      </c>
      <c r="H64" s="166">
        <v>1407</v>
      </c>
      <c r="I64" s="166">
        <v>2719</v>
      </c>
    </row>
    <row r="65" spans="1:9" x14ac:dyDescent="0.45">
      <c r="A65" s="165">
        <v>75</v>
      </c>
      <c r="B65" s="166">
        <v>978</v>
      </c>
      <c r="C65" s="166">
        <v>623</v>
      </c>
      <c r="D65" s="166">
        <v>1697</v>
      </c>
      <c r="E65" s="166">
        <v>172603</v>
      </c>
      <c r="F65" s="165">
        <v>90</v>
      </c>
      <c r="G65" s="166">
        <v>1459</v>
      </c>
      <c r="H65" s="166">
        <v>1694</v>
      </c>
      <c r="I65" s="166">
        <v>3264</v>
      </c>
    </row>
    <row r="66" spans="1:9" x14ac:dyDescent="0.45">
      <c r="A66" s="165">
        <v>74</v>
      </c>
      <c r="B66" s="166">
        <v>2049</v>
      </c>
      <c r="C66" s="166">
        <v>1283</v>
      </c>
      <c r="D66" s="166">
        <v>3558</v>
      </c>
      <c r="E66" s="166">
        <v>176161</v>
      </c>
      <c r="F66" s="165">
        <v>89</v>
      </c>
      <c r="G66" s="166">
        <v>1410</v>
      </c>
      <c r="H66" s="166">
        <v>1844</v>
      </c>
      <c r="I66" s="166">
        <v>3365</v>
      </c>
    </row>
    <row r="67" spans="1:9" x14ac:dyDescent="0.45">
      <c r="A67" s="165">
        <v>73</v>
      </c>
      <c r="B67" s="166">
        <v>1031</v>
      </c>
      <c r="C67" s="166">
        <v>586</v>
      </c>
      <c r="D67" s="166">
        <v>1733</v>
      </c>
      <c r="E67" s="166">
        <v>177894</v>
      </c>
      <c r="F67" s="165">
        <v>88</v>
      </c>
      <c r="G67" s="166">
        <v>2830</v>
      </c>
      <c r="H67" s="166">
        <v>3264</v>
      </c>
      <c r="I67" s="166">
        <v>6329</v>
      </c>
    </row>
    <row r="68" spans="1:9" x14ac:dyDescent="0.45">
      <c r="A68" s="165">
        <v>72</v>
      </c>
      <c r="B68" s="166">
        <v>1010</v>
      </c>
      <c r="C68" s="166">
        <v>517</v>
      </c>
      <c r="D68" s="166">
        <v>1644</v>
      </c>
      <c r="E68" s="166">
        <v>179538</v>
      </c>
      <c r="F68" s="165">
        <v>87</v>
      </c>
      <c r="G68" s="166">
        <v>1569</v>
      </c>
      <c r="H68" s="166">
        <v>1951</v>
      </c>
      <c r="I68" s="166">
        <v>3666</v>
      </c>
    </row>
    <row r="69" spans="1:9" x14ac:dyDescent="0.45">
      <c r="A69" s="165">
        <v>71</v>
      </c>
      <c r="B69" s="166">
        <v>1600</v>
      </c>
      <c r="C69" s="166">
        <v>759</v>
      </c>
      <c r="D69" s="166">
        <v>2580</v>
      </c>
      <c r="E69" s="166">
        <v>182118</v>
      </c>
      <c r="F69" s="165">
        <v>86</v>
      </c>
      <c r="G69" s="166">
        <v>1459</v>
      </c>
      <c r="H69" s="166">
        <v>1596</v>
      </c>
      <c r="I69" s="166">
        <v>3176</v>
      </c>
    </row>
    <row r="70" spans="1:9" x14ac:dyDescent="0.45">
      <c r="A70" s="165">
        <v>70</v>
      </c>
      <c r="B70" s="166">
        <v>950</v>
      </c>
      <c r="C70" s="166">
        <v>516</v>
      </c>
      <c r="D70" s="166">
        <v>1577</v>
      </c>
      <c r="E70" s="166">
        <v>183695</v>
      </c>
      <c r="F70" s="165">
        <v>85</v>
      </c>
      <c r="G70" s="166">
        <v>1608</v>
      </c>
      <c r="H70" s="166">
        <v>1881</v>
      </c>
      <c r="I70" s="166">
        <v>3624</v>
      </c>
    </row>
    <row r="71" spans="1:9" x14ac:dyDescent="0.45">
      <c r="A71" s="165">
        <v>69</v>
      </c>
      <c r="B71" s="166">
        <v>1035</v>
      </c>
      <c r="C71" s="166">
        <v>430</v>
      </c>
      <c r="D71" s="166">
        <v>1585</v>
      </c>
      <c r="E71" s="166">
        <v>185280</v>
      </c>
      <c r="F71" s="165">
        <v>84</v>
      </c>
      <c r="G71" s="166">
        <v>1718</v>
      </c>
      <c r="H71" s="166">
        <v>1981</v>
      </c>
      <c r="I71" s="166">
        <v>3859</v>
      </c>
    </row>
    <row r="72" spans="1:9" x14ac:dyDescent="0.45">
      <c r="A72" s="165">
        <v>68</v>
      </c>
      <c r="B72" s="166">
        <v>1096</v>
      </c>
      <c r="C72" s="166">
        <v>514</v>
      </c>
      <c r="D72" s="166">
        <v>1758</v>
      </c>
      <c r="E72" s="166">
        <v>187038</v>
      </c>
      <c r="F72" s="165">
        <v>83</v>
      </c>
      <c r="G72" s="166">
        <v>1523</v>
      </c>
      <c r="H72" s="166">
        <v>1768</v>
      </c>
      <c r="I72" s="166">
        <v>3398</v>
      </c>
    </row>
    <row r="73" spans="1:9" x14ac:dyDescent="0.45">
      <c r="A73" s="165">
        <v>67</v>
      </c>
      <c r="B73" s="166">
        <v>1971</v>
      </c>
      <c r="C73" s="166">
        <v>855</v>
      </c>
      <c r="D73" s="166">
        <v>3065</v>
      </c>
      <c r="E73" s="166">
        <v>190103</v>
      </c>
      <c r="F73" s="165">
        <v>82</v>
      </c>
      <c r="G73" s="166">
        <v>3393</v>
      </c>
      <c r="H73" s="166">
        <v>3864</v>
      </c>
      <c r="I73" s="166">
        <v>7572</v>
      </c>
    </row>
    <row r="74" spans="1:9" x14ac:dyDescent="0.45">
      <c r="A74" s="165">
        <v>66</v>
      </c>
      <c r="B74" s="166">
        <v>961</v>
      </c>
      <c r="C74" s="166">
        <v>406</v>
      </c>
      <c r="D74" s="166">
        <v>1490</v>
      </c>
      <c r="E74" s="166">
        <v>191593</v>
      </c>
      <c r="F74" s="165">
        <v>81</v>
      </c>
      <c r="G74" s="166">
        <v>1598</v>
      </c>
      <c r="H74" s="166">
        <v>1890</v>
      </c>
      <c r="I74" s="166">
        <v>3633</v>
      </c>
    </row>
    <row r="75" spans="1:9" x14ac:dyDescent="0.45">
      <c r="A75" s="165">
        <v>65</v>
      </c>
      <c r="B75" s="166">
        <v>665</v>
      </c>
      <c r="C75" s="166">
        <v>286</v>
      </c>
      <c r="D75" s="166">
        <v>1027</v>
      </c>
      <c r="E75" s="166">
        <v>192620</v>
      </c>
      <c r="F75" s="165">
        <v>80</v>
      </c>
      <c r="G75" s="166">
        <v>1703</v>
      </c>
      <c r="H75" s="166">
        <v>1891</v>
      </c>
      <c r="I75" s="166">
        <v>3749</v>
      </c>
    </row>
    <row r="76" spans="1:9" x14ac:dyDescent="0.45">
      <c r="A76" s="165">
        <v>64</v>
      </c>
      <c r="B76" s="166">
        <v>2226</v>
      </c>
      <c r="C76" s="166">
        <v>701</v>
      </c>
      <c r="D76" s="166">
        <v>3355</v>
      </c>
      <c r="E76" s="166">
        <v>195975</v>
      </c>
      <c r="F76" s="165">
        <v>79</v>
      </c>
      <c r="G76" s="166">
        <v>2265</v>
      </c>
      <c r="H76" s="166">
        <v>2166</v>
      </c>
      <c r="I76" s="166">
        <v>4672</v>
      </c>
    </row>
    <row r="77" spans="1:9" x14ac:dyDescent="0.45">
      <c r="A77" s="165">
        <v>63</v>
      </c>
      <c r="B77" s="166">
        <v>709</v>
      </c>
      <c r="C77" s="166">
        <v>255</v>
      </c>
      <c r="D77" s="166">
        <v>1085</v>
      </c>
      <c r="E77" s="166">
        <v>197060</v>
      </c>
      <c r="F77" s="165">
        <v>78</v>
      </c>
      <c r="G77" s="166">
        <v>2103</v>
      </c>
      <c r="H77" s="166">
        <v>1845</v>
      </c>
      <c r="I77" s="166">
        <v>4173</v>
      </c>
    </row>
    <row r="78" spans="1:9" x14ac:dyDescent="0.45">
      <c r="A78" s="165">
        <v>62</v>
      </c>
      <c r="B78" s="166">
        <v>481</v>
      </c>
      <c r="C78" s="166">
        <v>175</v>
      </c>
      <c r="D78" s="166">
        <v>725</v>
      </c>
      <c r="E78" s="166">
        <v>197785</v>
      </c>
      <c r="F78" s="165">
        <v>77</v>
      </c>
      <c r="G78" s="166">
        <v>2067</v>
      </c>
      <c r="H78" s="166">
        <v>1922</v>
      </c>
      <c r="I78" s="166">
        <v>4196</v>
      </c>
    </row>
    <row r="79" spans="1:9" x14ac:dyDescent="0.45">
      <c r="A79" s="165">
        <v>61</v>
      </c>
      <c r="B79" s="166">
        <v>569</v>
      </c>
      <c r="C79" s="166">
        <v>221</v>
      </c>
      <c r="D79" s="166">
        <v>877</v>
      </c>
      <c r="E79" s="166">
        <v>198662</v>
      </c>
      <c r="F79" s="165">
        <v>76</v>
      </c>
      <c r="G79" s="166">
        <v>5900</v>
      </c>
      <c r="H79" s="166">
        <v>4471</v>
      </c>
      <c r="I79" s="166">
        <v>11126</v>
      </c>
    </row>
    <row r="80" spans="1:9" x14ac:dyDescent="0.45">
      <c r="A80" s="165">
        <v>60</v>
      </c>
      <c r="B80" s="166">
        <v>206</v>
      </c>
      <c r="C80" s="166">
        <v>71</v>
      </c>
      <c r="D80" s="166">
        <v>310</v>
      </c>
      <c r="E80" s="166">
        <v>198972</v>
      </c>
      <c r="F80" s="165">
        <v>75</v>
      </c>
      <c r="G80" s="166">
        <v>885</v>
      </c>
      <c r="H80" s="166">
        <v>901</v>
      </c>
      <c r="I80" s="166">
        <v>1870</v>
      </c>
    </row>
    <row r="81" spans="1:9" x14ac:dyDescent="0.45">
      <c r="A81" s="165">
        <v>59</v>
      </c>
      <c r="B81" s="166">
        <v>133</v>
      </c>
      <c r="C81" s="166">
        <v>42</v>
      </c>
      <c r="D81" s="166">
        <v>194</v>
      </c>
      <c r="E81" s="166">
        <v>199166</v>
      </c>
      <c r="F81" s="165">
        <v>74</v>
      </c>
      <c r="G81" s="166">
        <v>1105</v>
      </c>
      <c r="H81" s="166">
        <v>959</v>
      </c>
      <c r="I81" s="166">
        <v>2168</v>
      </c>
    </row>
    <row r="82" spans="1:9" x14ac:dyDescent="0.45">
      <c r="A82" s="165">
        <v>58</v>
      </c>
      <c r="B82" s="166">
        <v>127</v>
      </c>
      <c r="C82" s="166">
        <v>52</v>
      </c>
      <c r="D82" s="166">
        <v>196</v>
      </c>
      <c r="E82" s="166">
        <v>199362</v>
      </c>
      <c r="F82" s="165">
        <v>73</v>
      </c>
      <c r="G82" s="166">
        <v>809</v>
      </c>
      <c r="H82" s="166">
        <v>708</v>
      </c>
      <c r="I82" s="166">
        <v>1614</v>
      </c>
    </row>
    <row r="83" spans="1:9" x14ac:dyDescent="0.45">
      <c r="A83" s="165">
        <v>57</v>
      </c>
      <c r="B83" s="166">
        <v>68</v>
      </c>
      <c r="C83" s="166">
        <v>16</v>
      </c>
      <c r="D83" s="166">
        <v>97</v>
      </c>
      <c r="E83" s="166">
        <v>199459</v>
      </c>
      <c r="F83" s="165">
        <v>72</v>
      </c>
      <c r="G83" s="166">
        <v>670</v>
      </c>
      <c r="H83" s="166">
        <v>599</v>
      </c>
      <c r="I83" s="166">
        <v>1338</v>
      </c>
    </row>
    <row r="84" spans="1:9" x14ac:dyDescent="0.45">
      <c r="A84" s="165">
        <v>56</v>
      </c>
      <c r="B84" s="166">
        <v>134</v>
      </c>
      <c r="C84" s="166">
        <v>49</v>
      </c>
      <c r="D84" s="166">
        <v>219</v>
      </c>
      <c r="E84" s="166">
        <v>199678</v>
      </c>
      <c r="F84" s="165">
        <v>71</v>
      </c>
      <c r="G84" s="166">
        <v>828</v>
      </c>
      <c r="H84" s="166">
        <v>757</v>
      </c>
      <c r="I84" s="166">
        <v>1673</v>
      </c>
    </row>
    <row r="85" spans="1:9" x14ac:dyDescent="0.45">
      <c r="A85" s="165">
        <v>55</v>
      </c>
      <c r="B85" s="166">
        <v>96</v>
      </c>
      <c r="C85" s="166">
        <v>24</v>
      </c>
      <c r="D85" s="166">
        <v>130</v>
      </c>
      <c r="E85" s="166">
        <v>199808</v>
      </c>
      <c r="F85" s="165">
        <v>70</v>
      </c>
      <c r="G85" s="166">
        <v>252</v>
      </c>
      <c r="H85" s="166">
        <v>196</v>
      </c>
      <c r="I85" s="166">
        <v>472</v>
      </c>
    </row>
    <row r="86" spans="1:9" x14ac:dyDescent="0.45">
      <c r="A86" s="165">
        <v>54</v>
      </c>
      <c r="B86" s="166">
        <v>4</v>
      </c>
      <c r="C86" s="166">
        <v>3</v>
      </c>
      <c r="D86" s="166">
        <v>8</v>
      </c>
      <c r="E86" s="166">
        <v>199816</v>
      </c>
      <c r="F86" s="165">
        <v>69</v>
      </c>
      <c r="G86" s="166">
        <v>175</v>
      </c>
      <c r="H86" s="166">
        <v>147</v>
      </c>
      <c r="I86" s="166">
        <v>337</v>
      </c>
    </row>
    <row r="87" spans="1:9" x14ac:dyDescent="0.45">
      <c r="A87" s="165">
        <v>53</v>
      </c>
      <c r="B87" s="166">
        <v>47</v>
      </c>
      <c r="C87" s="166">
        <v>18</v>
      </c>
      <c r="D87" s="166">
        <v>70</v>
      </c>
      <c r="E87" s="166">
        <v>199886</v>
      </c>
      <c r="F87" s="165">
        <v>68</v>
      </c>
      <c r="G87" s="166">
        <v>144</v>
      </c>
      <c r="H87" s="166">
        <v>97</v>
      </c>
      <c r="I87" s="166">
        <v>257</v>
      </c>
    </row>
    <row r="88" spans="1:9" x14ac:dyDescent="0.45">
      <c r="A88" s="165">
        <v>52</v>
      </c>
      <c r="B88" s="166">
        <v>2</v>
      </c>
      <c r="C88" s="166">
        <v>1</v>
      </c>
      <c r="D88" s="166">
        <v>3</v>
      </c>
      <c r="E88" s="166">
        <v>199889</v>
      </c>
      <c r="F88" s="165">
        <v>67</v>
      </c>
      <c r="G88" s="166">
        <v>108</v>
      </c>
      <c r="H88" s="166">
        <v>83</v>
      </c>
      <c r="I88" s="166">
        <v>196</v>
      </c>
    </row>
    <row r="89" spans="1:9" x14ac:dyDescent="0.45">
      <c r="A89" s="165">
        <v>51</v>
      </c>
      <c r="B89" s="166">
        <v>32</v>
      </c>
      <c r="C89" s="166">
        <v>9</v>
      </c>
      <c r="D89" s="166">
        <v>48</v>
      </c>
      <c r="E89" s="166">
        <v>199937</v>
      </c>
      <c r="F89" s="165">
        <v>65</v>
      </c>
      <c r="G89" s="166">
        <v>502</v>
      </c>
      <c r="H89" s="166">
        <v>226</v>
      </c>
      <c r="I89" s="166">
        <v>804</v>
      </c>
    </row>
    <row r="90" spans="1:9" x14ac:dyDescent="0.45">
      <c r="A90" s="165">
        <v>49</v>
      </c>
      <c r="B90" s="166">
        <v>387</v>
      </c>
      <c r="C90" s="166">
        <v>102</v>
      </c>
      <c r="D90" s="166">
        <v>586</v>
      </c>
      <c r="E90" s="166">
        <v>200523</v>
      </c>
      <c r="F90" s="165"/>
      <c r="G90" s="166"/>
      <c r="H90" s="166"/>
      <c r="I90" s="166"/>
    </row>
    <row r="91" spans="1:9" x14ac:dyDescent="0.45">
      <c r="A91" s="9"/>
      <c r="D91" s="10"/>
      <c r="F91" s="9"/>
      <c r="I91" s="10"/>
    </row>
    <row r="92" spans="1:9" x14ac:dyDescent="0.45">
      <c r="A92" s="9"/>
      <c r="D92" s="10"/>
      <c r="F92" s="9"/>
      <c r="I92" s="10"/>
    </row>
    <row r="93" spans="1:9" x14ac:dyDescent="0.45">
      <c r="A93" s="9"/>
      <c r="D93" s="10"/>
      <c r="F93" s="9"/>
      <c r="I93" s="10"/>
    </row>
    <row r="94" spans="1:9" x14ac:dyDescent="0.45">
      <c r="A94" s="9"/>
      <c r="D94" s="10"/>
      <c r="F94" s="9"/>
      <c r="I94" s="10"/>
    </row>
    <row r="95" spans="1:9" x14ac:dyDescent="0.45">
      <c r="A95" s="9"/>
      <c r="D95" s="10"/>
      <c r="F95" s="9"/>
      <c r="I95" s="10"/>
    </row>
    <row r="96" spans="1:9" x14ac:dyDescent="0.45">
      <c r="A96" s="9"/>
      <c r="D96" s="10"/>
      <c r="F96" s="9"/>
      <c r="I96" s="10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S225"/>
  <sheetViews>
    <sheetView topLeftCell="A168" workbookViewId="0">
      <selection activeCell="A177" sqref="A177:S225"/>
    </sheetView>
  </sheetViews>
  <sheetFormatPr defaultRowHeight="17" x14ac:dyDescent="0.45"/>
  <sheetData>
    <row r="1" spans="1:19" x14ac:dyDescent="0.45">
      <c r="A1" s="15"/>
    </row>
    <row r="2" spans="1:19" ht="17.5" thickBot="1" x14ac:dyDescent="0.5"/>
    <row r="3" spans="1:19" x14ac:dyDescent="0.45">
      <c r="A3" s="45" t="s">
        <v>9</v>
      </c>
      <c r="B3" s="46"/>
      <c r="C3" s="46"/>
      <c r="D3" s="47"/>
      <c r="F3" s="45" t="s">
        <v>10</v>
      </c>
      <c r="G3" s="46"/>
      <c r="H3" s="46"/>
      <c r="I3" s="47"/>
      <c r="K3" s="45" t="s">
        <v>11</v>
      </c>
      <c r="L3" s="46"/>
      <c r="M3" s="46"/>
      <c r="N3" s="47"/>
      <c r="P3" s="45" t="s">
        <v>12</v>
      </c>
      <c r="Q3" s="46"/>
      <c r="R3" s="46"/>
      <c r="S3" s="47"/>
    </row>
    <row r="4" spans="1:1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19" x14ac:dyDescent="0.45">
      <c r="A5" s="165">
        <v>64</v>
      </c>
      <c r="B5" s="166">
        <v>313</v>
      </c>
      <c r="C5" s="166">
        <v>431</v>
      </c>
      <c r="D5" s="166">
        <v>749</v>
      </c>
      <c r="E5" s="166">
        <v>749</v>
      </c>
      <c r="F5" s="165">
        <v>64</v>
      </c>
      <c r="G5" s="166">
        <v>504</v>
      </c>
      <c r="H5" s="166">
        <v>1085</v>
      </c>
      <c r="I5" s="166">
        <v>1610</v>
      </c>
      <c r="J5" s="166">
        <v>1610</v>
      </c>
      <c r="K5" s="165">
        <v>71</v>
      </c>
      <c r="L5" s="166">
        <v>72</v>
      </c>
      <c r="M5" s="166">
        <v>45</v>
      </c>
      <c r="N5" s="166">
        <v>119</v>
      </c>
      <c r="O5" s="166">
        <v>119</v>
      </c>
      <c r="P5" s="165">
        <v>68</v>
      </c>
      <c r="Q5" s="166">
        <v>83</v>
      </c>
      <c r="R5" s="166">
        <v>76</v>
      </c>
      <c r="S5" s="166">
        <v>159</v>
      </c>
    </row>
    <row r="6" spans="1:19" x14ac:dyDescent="0.45">
      <c r="A6" s="165">
        <v>63</v>
      </c>
      <c r="B6" s="166">
        <v>457</v>
      </c>
      <c r="C6" s="166">
        <v>884</v>
      </c>
      <c r="D6" s="166">
        <v>1362</v>
      </c>
      <c r="E6" s="166">
        <v>2111</v>
      </c>
      <c r="F6" s="165">
        <v>62</v>
      </c>
      <c r="G6" s="166">
        <v>233</v>
      </c>
      <c r="H6" s="166">
        <v>461</v>
      </c>
      <c r="I6" s="166">
        <v>700</v>
      </c>
      <c r="J6" s="166">
        <v>2310</v>
      </c>
      <c r="K6" s="165">
        <v>69</v>
      </c>
      <c r="L6" s="166">
        <v>76</v>
      </c>
      <c r="M6" s="166">
        <v>47</v>
      </c>
      <c r="N6" s="166">
        <v>123</v>
      </c>
      <c r="O6" s="166">
        <v>242</v>
      </c>
      <c r="P6" s="165">
        <v>66</v>
      </c>
      <c r="Q6" s="166">
        <v>97</v>
      </c>
      <c r="R6" s="166">
        <v>92</v>
      </c>
      <c r="S6" s="166">
        <v>190</v>
      </c>
    </row>
    <row r="7" spans="1:19" x14ac:dyDescent="0.45">
      <c r="A7" s="165">
        <v>62</v>
      </c>
      <c r="B7" s="166">
        <v>409</v>
      </c>
      <c r="C7" s="166">
        <v>690</v>
      </c>
      <c r="D7" s="166">
        <v>1120</v>
      </c>
      <c r="E7" s="166">
        <v>3231</v>
      </c>
      <c r="F7" s="165">
        <v>61</v>
      </c>
      <c r="G7" s="166">
        <v>574</v>
      </c>
      <c r="H7" s="166">
        <v>1341</v>
      </c>
      <c r="I7" s="166">
        <v>1938</v>
      </c>
      <c r="J7" s="166">
        <v>4248</v>
      </c>
      <c r="K7" s="165">
        <v>68</v>
      </c>
      <c r="L7" s="166">
        <v>125</v>
      </c>
      <c r="M7" s="166">
        <v>65</v>
      </c>
      <c r="N7" s="166">
        <v>193</v>
      </c>
      <c r="O7" s="166">
        <v>435</v>
      </c>
      <c r="P7" s="165">
        <v>65</v>
      </c>
      <c r="Q7" s="166">
        <v>132</v>
      </c>
      <c r="R7" s="166">
        <v>134</v>
      </c>
      <c r="S7" s="166">
        <v>271</v>
      </c>
    </row>
    <row r="8" spans="1:19" x14ac:dyDescent="0.45">
      <c r="A8" s="165">
        <v>61</v>
      </c>
      <c r="B8" s="166">
        <v>215</v>
      </c>
      <c r="C8" s="166">
        <v>483</v>
      </c>
      <c r="D8" s="166">
        <v>709</v>
      </c>
      <c r="E8" s="166">
        <v>3940</v>
      </c>
      <c r="F8" s="165">
        <v>60</v>
      </c>
      <c r="G8" s="166">
        <v>407</v>
      </c>
      <c r="H8" s="166">
        <v>876</v>
      </c>
      <c r="I8" s="166">
        <v>1305</v>
      </c>
      <c r="J8" s="166">
        <v>5553</v>
      </c>
      <c r="K8" s="165">
        <v>67</v>
      </c>
      <c r="L8" s="166">
        <v>63</v>
      </c>
      <c r="M8" s="166">
        <v>60</v>
      </c>
      <c r="N8" s="166">
        <v>124</v>
      </c>
      <c r="O8" s="166">
        <v>559</v>
      </c>
      <c r="P8" s="165">
        <v>64</v>
      </c>
      <c r="Q8" s="166">
        <v>61</v>
      </c>
      <c r="R8" s="166">
        <v>69</v>
      </c>
      <c r="S8" s="166">
        <v>131</v>
      </c>
    </row>
    <row r="9" spans="1:19" x14ac:dyDescent="0.45">
      <c r="A9" s="165">
        <v>60</v>
      </c>
      <c r="B9" s="166">
        <v>797</v>
      </c>
      <c r="C9" s="166">
        <v>1701</v>
      </c>
      <c r="D9" s="166">
        <v>2523</v>
      </c>
      <c r="E9" s="166">
        <v>6463</v>
      </c>
      <c r="F9" s="165">
        <v>59</v>
      </c>
      <c r="G9" s="166">
        <v>420</v>
      </c>
      <c r="H9" s="166">
        <v>917</v>
      </c>
      <c r="I9" s="166">
        <v>1355</v>
      </c>
      <c r="J9" s="166">
        <v>6908</v>
      </c>
      <c r="K9" s="165">
        <v>66</v>
      </c>
      <c r="L9" s="166">
        <v>172</v>
      </c>
      <c r="M9" s="166">
        <v>147</v>
      </c>
      <c r="N9" s="166">
        <v>322</v>
      </c>
      <c r="O9" s="166">
        <v>881</v>
      </c>
      <c r="P9" s="165">
        <v>63</v>
      </c>
      <c r="Q9" s="166">
        <v>394</v>
      </c>
      <c r="R9" s="166">
        <v>322</v>
      </c>
      <c r="S9" s="166">
        <v>726</v>
      </c>
    </row>
    <row r="10" spans="1:19" x14ac:dyDescent="0.45">
      <c r="A10" s="165">
        <v>59</v>
      </c>
      <c r="B10" s="166">
        <v>895</v>
      </c>
      <c r="C10" s="166">
        <v>1894</v>
      </c>
      <c r="D10" s="166">
        <v>2833</v>
      </c>
      <c r="E10" s="166">
        <v>9296</v>
      </c>
      <c r="F10" s="165">
        <v>58</v>
      </c>
      <c r="G10" s="166">
        <v>614</v>
      </c>
      <c r="H10" s="166">
        <v>1209</v>
      </c>
      <c r="I10" s="166">
        <v>1840</v>
      </c>
      <c r="J10" s="166">
        <v>8748</v>
      </c>
      <c r="K10" s="165">
        <v>65</v>
      </c>
      <c r="L10" s="166">
        <v>123</v>
      </c>
      <c r="M10" s="166">
        <v>87</v>
      </c>
      <c r="N10" s="166">
        <v>212</v>
      </c>
      <c r="O10" s="166">
        <v>1093</v>
      </c>
      <c r="P10" s="165">
        <v>62</v>
      </c>
      <c r="Q10" s="166">
        <v>179</v>
      </c>
      <c r="R10" s="166">
        <v>198</v>
      </c>
      <c r="S10" s="166">
        <v>377</v>
      </c>
    </row>
    <row r="11" spans="1:19" x14ac:dyDescent="0.45">
      <c r="A11" s="165">
        <v>58</v>
      </c>
      <c r="B11" s="166">
        <v>771</v>
      </c>
      <c r="C11" s="166">
        <v>1705</v>
      </c>
      <c r="D11" s="166">
        <v>2502</v>
      </c>
      <c r="E11" s="166">
        <v>11798</v>
      </c>
      <c r="F11" s="165">
        <v>57</v>
      </c>
      <c r="G11" s="166">
        <v>270</v>
      </c>
      <c r="H11" s="166">
        <v>613</v>
      </c>
      <c r="I11" s="166">
        <v>895</v>
      </c>
      <c r="J11" s="166">
        <v>9643</v>
      </c>
      <c r="K11" s="165">
        <v>64</v>
      </c>
      <c r="L11" s="166">
        <v>138</v>
      </c>
      <c r="M11" s="166">
        <v>175</v>
      </c>
      <c r="N11" s="166">
        <v>317</v>
      </c>
      <c r="O11" s="166">
        <v>1410</v>
      </c>
      <c r="P11" s="165">
        <v>61</v>
      </c>
      <c r="Q11" s="166">
        <v>271</v>
      </c>
      <c r="R11" s="166">
        <v>276</v>
      </c>
      <c r="S11" s="166">
        <v>550</v>
      </c>
    </row>
    <row r="12" spans="1:19" x14ac:dyDescent="0.45">
      <c r="A12" s="165">
        <v>57</v>
      </c>
      <c r="B12" s="166">
        <v>364</v>
      </c>
      <c r="C12" s="166">
        <v>770</v>
      </c>
      <c r="D12" s="166">
        <v>1146</v>
      </c>
      <c r="E12" s="166">
        <v>12944</v>
      </c>
      <c r="F12" s="165">
        <v>56</v>
      </c>
      <c r="G12" s="166">
        <v>255</v>
      </c>
      <c r="H12" s="166">
        <v>436</v>
      </c>
      <c r="I12" s="166">
        <v>701</v>
      </c>
      <c r="J12" s="166">
        <v>10344</v>
      </c>
      <c r="K12" s="165">
        <v>63</v>
      </c>
      <c r="L12" s="166">
        <v>214</v>
      </c>
      <c r="M12" s="166">
        <v>210</v>
      </c>
      <c r="N12" s="166">
        <v>431</v>
      </c>
      <c r="O12" s="166">
        <v>1841</v>
      </c>
      <c r="P12" s="165">
        <v>60</v>
      </c>
      <c r="Q12" s="166">
        <v>162</v>
      </c>
      <c r="R12" s="166">
        <v>199</v>
      </c>
      <c r="S12" s="166">
        <v>364</v>
      </c>
    </row>
    <row r="13" spans="1:19" x14ac:dyDescent="0.45">
      <c r="A13" s="165">
        <v>56</v>
      </c>
      <c r="B13" s="166">
        <v>710</v>
      </c>
      <c r="C13" s="166">
        <v>1556</v>
      </c>
      <c r="D13" s="166">
        <v>2297</v>
      </c>
      <c r="E13" s="166">
        <v>15241</v>
      </c>
      <c r="F13" s="165">
        <v>55</v>
      </c>
      <c r="G13" s="166">
        <v>382</v>
      </c>
      <c r="H13" s="166">
        <v>789</v>
      </c>
      <c r="I13" s="166">
        <v>1188</v>
      </c>
      <c r="J13" s="166">
        <v>11532</v>
      </c>
      <c r="K13" s="165">
        <v>62</v>
      </c>
      <c r="L13" s="166">
        <v>163</v>
      </c>
      <c r="M13" s="166">
        <v>175</v>
      </c>
      <c r="N13" s="166">
        <v>341</v>
      </c>
      <c r="O13" s="166">
        <v>2182</v>
      </c>
      <c r="P13" s="165">
        <v>59</v>
      </c>
      <c r="Q13" s="166">
        <v>249</v>
      </c>
      <c r="R13" s="166">
        <v>260</v>
      </c>
      <c r="S13" s="166">
        <v>514</v>
      </c>
    </row>
    <row r="14" spans="1:19" x14ac:dyDescent="0.45">
      <c r="A14" s="165">
        <v>55</v>
      </c>
      <c r="B14" s="166">
        <v>551</v>
      </c>
      <c r="C14" s="166">
        <v>1126</v>
      </c>
      <c r="D14" s="166">
        <v>1702</v>
      </c>
      <c r="E14" s="166">
        <v>16943</v>
      </c>
      <c r="F14" s="165">
        <v>54</v>
      </c>
      <c r="G14" s="166">
        <v>509</v>
      </c>
      <c r="H14" s="166">
        <v>1017</v>
      </c>
      <c r="I14" s="166">
        <v>1543</v>
      </c>
      <c r="J14" s="166">
        <v>13075</v>
      </c>
      <c r="K14" s="165">
        <v>61</v>
      </c>
      <c r="L14" s="166">
        <v>226</v>
      </c>
      <c r="M14" s="166">
        <v>275</v>
      </c>
      <c r="N14" s="166">
        <v>509</v>
      </c>
      <c r="O14" s="166">
        <v>2691</v>
      </c>
      <c r="P14" s="165">
        <v>58</v>
      </c>
      <c r="Q14" s="166">
        <v>210</v>
      </c>
      <c r="R14" s="166">
        <v>260</v>
      </c>
      <c r="S14" s="166">
        <v>475</v>
      </c>
    </row>
    <row r="15" spans="1:19" x14ac:dyDescent="0.45">
      <c r="A15" s="165">
        <v>54</v>
      </c>
      <c r="B15" s="166">
        <v>994</v>
      </c>
      <c r="C15" s="166">
        <v>2254</v>
      </c>
      <c r="D15" s="166">
        <v>3290</v>
      </c>
      <c r="E15" s="166">
        <v>20233</v>
      </c>
      <c r="F15" s="165">
        <v>53</v>
      </c>
      <c r="G15" s="166">
        <v>305</v>
      </c>
      <c r="H15" s="166">
        <v>526</v>
      </c>
      <c r="I15" s="166">
        <v>840</v>
      </c>
      <c r="J15" s="166">
        <v>13915</v>
      </c>
      <c r="K15" s="165">
        <v>60</v>
      </c>
      <c r="L15" s="166">
        <v>200</v>
      </c>
      <c r="M15" s="166">
        <v>227</v>
      </c>
      <c r="N15" s="166">
        <v>434</v>
      </c>
      <c r="O15" s="166">
        <v>3125</v>
      </c>
      <c r="P15" s="165">
        <v>57</v>
      </c>
      <c r="Q15" s="166">
        <v>199</v>
      </c>
      <c r="R15" s="166">
        <v>270</v>
      </c>
      <c r="S15" s="166">
        <v>475</v>
      </c>
    </row>
    <row r="16" spans="1:19" x14ac:dyDescent="0.45">
      <c r="A16" s="165">
        <v>53</v>
      </c>
      <c r="B16" s="166">
        <v>380</v>
      </c>
      <c r="C16" s="166">
        <v>785</v>
      </c>
      <c r="D16" s="166">
        <v>1181</v>
      </c>
      <c r="E16" s="166">
        <v>21414</v>
      </c>
      <c r="F16" s="165">
        <v>52</v>
      </c>
      <c r="G16" s="166">
        <v>225</v>
      </c>
      <c r="H16" s="166">
        <v>356</v>
      </c>
      <c r="I16" s="166">
        <v>594</v>
      </c>
      <c r="J16" s="166">
        <v>14509</v>
      </c>
      <c r="K16" s="165">
        <v>59</v>
      </c>
      <c r="L16" s="166">
        <v>229</v>
      </c>
      <c r="M16" s="166">
        <v>303</v>
      </c>
      <c r="N16" s="166">
        <v>543</v>
      </c>
      <c r="O16" s="166">
        <v>3668</v>
      </c>
      <c r="P16" s="165">
        <v>56</v>
      </c>
      <c r="Q16" s="166">
        <v>261</v>
      </c>
      <c r="R16" s="166">
        <v>292</v>
      </c>
      <c r="S16" s="166">
        <v>563</v>
      </c>
    </row>
    <row r="17" spans="1:19" x14ac:dyDescent="0.45">
      <c r="A17" s="165">
        <v>52</v>
      </c>
      <c r="B17" s="166">
        <v>438</v>
      </c>
      <c r="C17" s="166">
        <v>918</v>
      </c>
      <c r="D17" s="166">
        <v>1382</v>
      </c>
      <c r="E17" s="166">
        <v>22796</v>
      </c>
      <c r="F17" s="165">
        <v>51</v>
      </c>
      <c r="G17" s="166">
        <v>476</v>
      </c>
      <c r="H17" s="166">
        <v>919</v>
      </c>
      <c r="I17" s="166">
        <v>1424</v>
      </c>
      <c r="J17" s="166">
        <v>15933</v>
      </c>
      <c r="K17" s="165">
        <v>58</v>
      </c>
      <c r="L17" s="166">
        <v>275</v>
      </c>
      <c r="M17" s="166">
        <v>339</v>
      </c>
      <c r="N17" s="166">
        <v>622</v>
      </c>
      <c r="O17" s="166">
        <v>4290</v>
      </c>
      <c r="P17" s="165">
        <v>55</v>
      </c>
      <c r="Q17" s="166">
        <v>198</v>
      </c>
      <c r="R17" s="166">
        <v>231</v>
      </c>
      <c r="S17" s="166">
        <v>434</v>
      </c>
    </row>
    <row r="18" spans="1:19" x14ac:dyDescent="0.45">
      <c r="A18" s="165">
        <v>51</v>
      </c>
      <c r="B18" s="166">
        <v>396</v>
      </c>
      <c r="C18" s="166">
        <v>907</v>
      </c>
      <c r="D18" s="166">
        <v>1323</v>
      </c>
      <c r="E18" s="166">
        <v>24119</v>
      </c>
      <c r="F18" s="165">
        <v>50</v>
      </c>
      <c r="G18" s="166">
        <v>216</v>
      </c>
      <c r="H18" s="166">
        <v>366</v>
      </c>
      <c r="I18" s="166">
        <v>589</v>
      </c>
      <c r="J18" s="166">
        <v>16522</v>
      </c>
      <c r="K18" s="165">
        <v>57</v>
      </c>
      <c r="L18" s="166">
        <v>228</v>
      </c>
      <c r="M18" s="166">
        <v>335</v>
      </c>
      <c r="N18" s="166">
        <v>565</v>
      </c>
      <c r="O18" s="166">
        <v>4855</v>
      </c>
      <c r="P18" s="165">
        <v>54</v>
      </c>
      <c r="Q18" s="166">
        <v>271</v>
      </c>
      <c r="R18" s="166">
        <v>349</v>
      </c>
      <c r="S18" s="166">
        <v>624</v>
      </c>
    </row>
    <row r="19" spans="1:19" x14ac:dyDescent="0.45">
      <c r="A19" s="165">
        <v>50</v>
      </c>
      <c r="B19" s="166">
        <v>735</v>
      </c>
      <c r="C19" s="166">
        <v>1403</v>
      </c>
      <c r="D19" s="166">
        <v>2168</v>
      </c>
      <c r="E19" s="166">
        <v>26287</v>
      </c>
      <c r="F19" s="165">
        <v>49</v>
      </c>
      <c r="G19" s="166">
        <v>222</v>
      </c>
      <c r="H19" s="166">
        <v>413</v>
      </c>
      <c r="I19" s="166">
        <v>648</v>
      </c>
      <c r="J19" s="166">
        <v>17170</v>
      </c>
      <c r="K19" s="165">
        <v>56</v>
      </c>
      <c r="L19" s="166">
        <v>259</v>
      </c>
      <c r="M19" s="166">
        <v>349</v>
      </c>
      <c r="N19" s="166">
        <v>620</v>
      </c>
      <c r="O19" s="166">
        <v>5475</v>
      </c>
      <c r="P19" s="165">
        <v>53</v>
      </c>
      <c r="Q19" s="166">
        <v>241</v>
      </c>
      <c r="R19" s="166">
        <v>278</v>
      </c>
      <c r="S19" s="166">
        <v>523</v>
      </c>
    </row>
    <row r="20" spans="1:19" x14ac:dyDescent="0.45">
      <c r="A20" s="165">
        <v>49</v>
      </c>
      <c r="B20" s="166">
        <v>307</v>
      </c>
      <c r="C20" s="166">
        <v>556</v>
      </c>
      <c r="D20" s="166">
        <v>868</v>
      </c>
      <c r="E20" s="166">
        <v>27155</v>
      </c>
      <c r="F20" s="165">
        <v>48</v>
      </c>
      <c r="G20" s="166">
        <v>205</v>
      </c>
      <c r="H20" s="166">
        <v>315</v>
      </c>
      <c r="I20" s="166">
        <v>523</v>
      </c>
      <c r="J20" s="166">
        <v>17693</v>
      </c>
      <c r="K20" s="165">
        <v>55</v>
      </c>
      <c r="L20" s="166">
        <v>533</v>
      </c>
      <c r="M20" s="166">
        <v>717</v>
      </c>
      <c r="N20" s="166">
        <v>1269</v>
      </c>
      <c r="O20" s="166">
        <v>6744</v>
      </c>
      <c r="P20" s="165">
        <v>52</v>
      </c>
      <c r="Q20" s="166">
        <v>417</v>
      </c>
      <c r="R20" s="166">
        <v>599</v>
      </c>
      <c r="S20" s="166">
        <v>1026</v>
      </c>
    </row>
    <row r="21" spans="1:19" x14ac:dyDescent="0.45">
      <c r="A21" s="165">
        <v>48</v>
      </c>
      <c r="B21" s="166">
        <v>293</v>
      </c>
      <c r="C21" s="166">
        <v>571</v>
      </c>
      <c r="D21" s="166">
        <v>878</v>
      </c>
      <c r="E21" s="166">
        <v>28033</v>
      </c>
      <c r="F21" s="165">
        <v>47</v>
      </c>
      <c r="G21" s="166">
        <v>400</v>
      </c>
      <c r="H21" s="166">
        <v>683</v>
      </c>
      <c r="I21" s="166">
        <v>1100</v>
      </c>
      <c r="J21" s="166">
        <v>18793</v>
      </c>
      <c r="K21" s="165">
        <v>54</v>
      </c>
      <c r="L21" s="166">
        <v>313</v>
      </c>
      <c r="M21" s="166">
        <v>392</v>
      </c>
      <c r="N21" s="166">
        <v>711</v>
      </c>
      <c r="O21" s="166">
        <v>7455</v>
      </c>
      <c r="P21" s="165">
        <v>51</v>
      </c>
      <c r="Q21" s="166">
        <v>200</v>
      </c>
      <c r="R21" s="166">
        <v>255</v>
      </c>
      <c r="S21" s="166">
        <v>458</v>
      </c>
    </row>
    <row r="22" spans="1:19" x14ac:dyDescent="0.45">
      <c r="A22" s="165">
        <v>47</v>
      </c>
      <c r="B22" s="166">
        <v>231</v>
      </c>
      <c r="C22" s="166">
        <v>527</v>
      </c>
      <c r="D22" s="166">
        <v>769</v>
      </c>
      <c r="E22" s="166">
        <v>28802</v>
      </c>
      <c r="F22" s="165">
        <v>46</v>
      </c>
      <c r="G22" s="166">
        <v>161</v>
      </c>
      <c r="H22" s="166">
        <v>255</v>
      </c>
      <c r="I22" s="166">
        <v>423</v>
      </c>
      <c r="J22" s="166">
        <v>19216</v>
      </c>
      <c r="K22" s="165">
        <v>53</v>
      </c>
      <c r="L22" s="166">
        <v>241</v>
      </c>
      <c r="M22" s="166">
        <v>307</v>
      </c>
      <c r="N22" s="166">
        <v>553</v>
      </c>
      <c r="O22" s="166">
        <v>8008</v>
      </c>
      <c r="P22" s="165">
        <v>50</v>
      </c>
      <c r="Q22" s="166">
        <v>206</v>
      </c>
      <c r="R22" s="166">
        <v>270</v>
      </c>
      <c r="S22" s="166">
        <v>478</v>
      </c>
    </row>
    <row r="23" spans="1:19" x14ac:dyDescent="0.45">
      <c r="A23" s="165">
        <v>46</v>
      </c>
      <c r="B23" s="166">
        <v>246</v>
      </c>
      <c r="C23" s="166">
        <v>426</v>
      </c>
      <c r="D23" s="166">
        <v>681</v>
      </c>
      <c r="E23" s="166">
        <v>29483</v>
      </c>
      <c r="F23" s="165">
        <v>45</v>
      </c>
      <c r="G23" s="166">
        <v>220</v>
      </c>
      <c r="H23" s="166">
        <v>340</v>
      </c>
      <c r="I23" s="166">
        <v>573</v>
      </c>
      <c r="J23" s="166">
        <v>19789</v>
      </c>
      <c r="K23" s="165">
        <v>52</v>
      </c>
      <c r="L23" s="166">
        <v>246</v>
      </c>
      <c r="M23" s="166">
        <v>358</v>
      </c>
      <c r="N23" s="166">
        <v>611</v>
      </c>
      <c r="O23" s="166">
        <v>8619</v>
      </c>
      <c r="P23" s="165">
        <v>49</v>
      </c>
      <c r="Q23" s="166">
        <v>196</v>
      </c>
      <c r="R23" s="166">
        <v>229</v>
      </c>
      <c r="S23" s="166">
        <v>432</v>
      </c>
    </row>
    <row r="24" spans="1:19" x14ac:dyDescent="0.45">
      <c r="A24" s="165">
        <v>45</v>
      </c>
      <c r="B24" s="166">
        <v>445</v>
      </c>
      <c r="C24" s="166">
        <v>838</v>
      </c>
      <c r="D24" s="166">
        <v>1302</v>
      </c>
      <c r="E24" s="166">
        <v>30785</v>
      </c>
      <c r="F24" s="165">
        <v>44</v>
      </c>
      <c r="G24" s="166">
        <v>341</v>
      </c>
      <c r="H24" s="166">
        <v>486</v>
      </c>
      <c r="I24" s="166">
        <v>840</v>
      </c>
      <c r="J24" s="166">
        <v>20629</v>
      </c>
      <c r="K24" s="165">
        <v>51</v>
      </c>
      <c r="L24" s="166">
        <v>254</v>
      </c>
      <c r="M24" s="166">
        <v>304</v>
      </c>
      <c r="N24" s="166">
        <v>571</v>
      </c>
      <c r="O24" s="166">
        <v>9190</v>
      </c>
      <c r="P24" s="165">
        <v>48</v>
      </c>
      <c r="Q24" s="166">
        <v>166</v>
      </c>
      <c r="R24" s="166">
        <v>222</v>
      </c>
      <c r="S24" s="166">
        <v>394</v>
      </c>
    </row>
    <row r="25" spans="1:19" x14ac:dyDescent="0.45">
      <c r="A25" s="165">
        <v>44</v>
      </c>
      <c r="B25" s="166">
        <v>200</v>
      </c>
      <c r="C25" s="166">
        <v>364</v>
      </c>
      <c r="D25" s="166">
        <v>576</v>
      </c>
      <c r="E25" s="166">
        <v>31361</v>
      </c>
      <c r="F25" s="165">
        <v>43</v>
      </c>
      <c r="G25" s="166">
        <v>178</v>
      </c>
      <c r="H25" s="166">
        <v>221</v>
      </c>
      <c r="I25" s="166">
        <v>403</v>
      </c>
      <c r="J25" s="166">
        <v>21032</v>
      </c>
      <c r="K25" s="165">
        <v>50</v>
      </c>
      <c r="L25" s="166">
        <v>261</v>
      </c>
      <c r="M25" s="166">
        <v>308</v>
      </c>
      <c r="N25" s="166">
        <v>576</v>
      </c>
      <c r="O25" s="166">
        <v>9766</v>
      </c>
      <c r="P25" s="165">
        <v>47</v>
      </c>
      <c r="Q25" s="166">
        <v>166</v>
      </c>
      <c r="R25" s="166">
        <v>230</v>
      </c>
      <c r="S25" s="166">
        <v>403</v>
      </c>
    </row>
    <row r="26" spans="1:19" x14ac:dyDescent="0.45">
      <c r="A26" s="165">
        <v>43</v>
      </c>
      <c r="B26" s="166">
        <v>186</v>
      </c>
      <c r="C26" s="166">
        <v>374</v>
      </c>
      <c r="D26" s="166">
        <v>572</v>
      </c>
      <c r="E26" s="166">
        <v>31933</v>
      </c>
      <c r="F26" s="165">
        <v>42</v>
      </c>
      <c r="G26" s="166">
        <v>167</v>
      </c>
      <c r="H26" s="166">
        <v>222</v>
      </c>
      <c r="I26" s="166">
        <v>393</v>
      </c>
      <c r="J26" s="166">
        <v>21425</v>
      </c>
      <c r="K26" s="165">
        <v>49</v>
      </c>
      <c r="L26" s="166">
        <v>262</v>
      </c>
      <c r="M26" s="166">
        <v>372</v>
      </c>
      <c r="N26" s="166">
        <v>642</v>
      </c>
      <c r="O26" s="166">
        <v>10408</v>
      </c>
      <c r="P26" s="165">
        <v>46</v>
      </c>
      <c r="Q26" s="166">
        <v>123</v>
      </c>
      <c r="R26" s="166">
        <v>211</v>
      </c>
      <c r="S26" s="166">
        <v>336</v>
      </c>
    </row>
    <row r="27" spans="1:19" x14ac:dyDescent="0.45">
      <c r="A27" s="165">
        <v>42</v>
      </c>
      <c r="B27" s="166">
        <v>151</v>
      </c>
      <c r="C27" s="166">
        <v>261</v>
      </c>
      <c r="D27" s="166">
        <v>421</v>
      </c>
      <c r="E27" s="166">
        <v>32354</v>
      </c>
      <c r="F27" s="165">
        <v>41</v>
      </c>
      <c r="G27" s="166">
        <v>185</v>
      </c>
      <c r="H27" s="166">
        <v>218</v>
      </c>
      <c r="I27" s="166">
        <v>408</v>
      </c>
      <c r="J27" s="166">
        <v>21833</v>
      </c>
      <c r="K27" s="165">
        <v>48</v>
      </c>
      <c r="L27" s="166">
        <v>217</v>
      </c>
      <c r="M27" s="166">
        <v>290</v>
      </c>
      <c r="N27" s="166">
        <v>516</v>
      </c>
      <c r="O27" s="166">
        <v>10924</v>
      </c>
      <c r="P27" s="165">
        <v>45</v>
      </c>
      <c r="Q27" s="166">
        <v>118</v>
      </c>
      <c r="R27" s="166">
        <v>218</v>
      </c>
      <c r="S27" s="166">
        <v>340</v>
      </c>
    </row>
    <row r="28" spans="1:19" x14ac:dyDescent="0.45">
      <c r="A28" s="165">
        <v>41</v>
      </c>
      <c r="B28" s="166">
        <v>203</v>
      </c>
      <c r="C28" s="166">
        <v>285</v>
      </c>
      <c r="D28" s="166">
        <v>492</v>
      </c>
      <c r="E28" s="166">
        <v>32846</v>
      </c>
      <c r="F28" s="165">
        <v>40</v>
      </c>
      <c r="G28" s="166">
        <v>312</v>
      </c>
      <c r="H28" s="166">
        <v>376</v>
      </c>
      <c r="I28" s="166">
        <v>700</v>
      </c>
      <c r="J28" s="166">
        <v>22533</v>
      </c>
      <c r="K28" s="165">
        <v>47</v>
      </c>
      <c r="L28" s="166">
        <v>254</v>
      </c>
      <c r="M28" s="166">
        <v>311</v>
      </c>
      <c r="N28" s="166">
        <v>578</v>
      </c>
      <c r="O28" s="166">
        <v>11502</v>
      </c>
      <c r="P28" s="165">
        <v>44</v>
      </c>
      <c r="Q28" s="166">
        <v>116</v>
      </c>
      <c r="R28" s="166">
        <v>205</v>
      </c>
      <c r="S28" s="166">
        <v>323</v>
      </c>
    </row>
    <row r="29" spans="1:19" x14ac:dyDescent="0.45">
      <c r="A29" s="165">
        <v>40</v>
      </c>
      <c r="B29" s="166">
        <v>368</v>
      </c>
      <c r="C29" s="166">
        <v>480</v>
      </c>
      <c r="D29" s="166">
        <v>867</v>
      </c>
      <c r="E29" s="166">
        <v>33713</v>
      </c>
      <c r="F29" s="165">
        <v>39</v>
      </c>
      <c r="G29" s="166">
        <v>143</v>
      </c>
      <c r="H29" s="166">
        <v>195</v>
      </c>
      <c r="I29" s="166">
        <v>343</v>
      </c>
      <c r="J29" s="166">
        <v>22876</v>
      </c>
      <c r="K29" s="165">
        <v>46</v>
      </c>
      <c r="L29" s="166">
        <v>229</v>
      </c>
      <c r="M29" s="166">
        <v>262</v>
      </c>
      <c r="N29" s="166">
        <v>499</v>
      </c>
      <c r="O29" s="166">
        <v>12001</v>
      </c>
      <c r="P29" s="165">
        <v>43</v>
      </c>
      <c r="Q29" s="166">
        <v>126</v>
      </c>
      <c r="R29" s="166">
        <v>146</v>
      </c>
      <c r="S29" s="166">
        <v>278</v>
      </c>
    </row>
    <row r="30" spans="1:19" x14ac:dyDescent="0.45">
      <c r="A30" s="165">
        <v>39</v>
      </c>
      <c r="B30" s="166">
        <v>173</v>
      </c>
      <c r="C30" s="166">
        <v>205</v>
      </c>
      <c r="D30" s="166">
        <v>385</v>
      </c>
      <c r="E30" s="166">
        <v>34098</v>
      </c>
      <c r="F30" s="165">
        <v>38</v>
      </c>
      <c r="G30" s="166">
        <v>156</v>
      </c>
      <c r="H30" s="166">
        <v>158</v>
      </c>
      <c r="I30" s="166">
        <v>317</v>
      </c>
      <c r="J30" s="166">
        <v>23193</v>
      </c>
      <c r="K30" s="165">
        <v>45</v>
      </c>
      <c r="L30" s="166">
        <v>208</v>
      </c>
      <c r="M30" s="166">
        <v>245</v>
      </c>
      <c r="N30" s="166">
        <v>460</v>
      </c>
      <c r="O30" s="166">
        <v>12461</v>
      </c>
      <c r="P30" s="165">
        <v>42</v>
      </c>
      <c r="Q30" s="166">
        <v>209</v>
      </c>
      <c r="R30" s="166">
        <v>315</v>
      </c>
      <c r="S30" s="166">
        <v>531</v>
      </c>
    </row>
    <row r="31" spans="1:19" x14ac:dyDescent="0.45">
      <c r="A31" s="165">
        <v>38</v>
      </c>
      <c r="B31" s="166">
        <v>202</v>
      </c>
      <c r="C31" s="166">
        <v>199</v>
      </c>
      <c r="D31" s="166">
        <v>411</v>
      </c>
      <c r="E31" s="166">
        <v>34509</v>
      </c>
      <c r="F31" s="165">
        <v>37</v>
      </c>
      <c r="G31" s="166">
        <v>340</v>
      </c>
      <c r="H31" s="166">
        <v>348</v>
      </c>
      <c r="I31" s="166">
        <v>693</v>
      </c>
      <c r="J31" s="166">
        <v>23886</v>
      </c>
      <c r="K31" s="165">
        <v>44</v>
      </c>
      <c r="L31" s="166">
        <v>200</v>
      </c>
      <c r="M31" s="166">
        <v>251</v>
      </c>
      <c r="N31" s="166">
        <v>460</v>
      </c>
      <c r="O31" s="166">
        <v>12921</v>
      </c>
      <c r="P31" s="165">
        <v>41</v>
      </c>
      <c r="Q31" s="166">
        <v>96</v>
      </c>
      <c r="R31" s="166">
        <v>135</v>
      </c>
      <c r="S31" s="166">
        <v>233</v>
      </c>
    </row>
    <row r="32" spans="1:19" x14ac:dyDescent="0.45">
      <c r="A32" s="165">
        <v>37</v>
      </c>
      <c r="B32" s="166">
        <v>192</v>
      </c>
      <c r="C32" s="166">
        <v>211</v>
      </c>
      <c r="D32" s="166">
        <v>410</v>
      </c>
      <c r="E32" s="166">
        <v>34919</v>
      </c>
      <c r="F32" s="165">
        <v>36</v>
      </c>
      <c r="G32" s="166">
        <v>223</v>
      </c>
      <c r="H32" s="166">
        <v>174</v>
      </c>
      <c r="I32" s="166">
        <v>402</v>
      </c>
      <c r="J32" s="166">
        <v>24288</v>
      </c>
      <c r="K32" s="165">
        <v>43</v>
      </c>
      <c r="L32" s="166">
        <v>190</v>
      </c>
      <c r="M32" s="166">
        <v>202</v>
      </c>
      <c r="N32" s="166">
        <v>397</v>
      </c>
      <c r="O32" s="166">
        <v>13318</v>
      </c>
      <c r="P32" s="165">
        <v>40</v>
      </c>
      <c r="Q32" s="166">
        <v>113</v>
      </c>
      <c r="R32" s="166">
        <v>142</v>
      </c>
      <c r="S32" s="166">
        <v>258</v>
      </c>
    </row>
    <row r="33" spans="1:19" x14ac:dyDescent="0.45">
      <c r="A33" s="165">
        <v>36</v>
      </c>
      <c r="B33" s="166">
        <v>390</v>
      </c>
      <c r="C33" s="166">
        <v>457</v>
      </c>
      <c r="D33" s="166">
        <v>862</v>
      </c>
      <c r="E33" s="166">
        <v>35781</v>
      </c>
      <c r="F33" s="165">
        <v>35</v>
      </c>
      <c r="G33" s="166">
        <v>184</v>
      </c>
      <c r="H33" s="166">
        <v>150</v>
      </c>
      <c r="I33" s="166">
        <v>338</v>
      </c>
      <c r="J33" s="166">
        <v>24626</v>
      </c>
      <c r="K33" s="165">
        <v>42</v>
      </c>
      <c r="L33" s="166">
        <v>175</v>
      </c>
      <c r="M33" s="166">
        <v>177</v>
      </c>
      <c r="N33" s="166">
        <v>356</v>
      </c>
      <c r="O33" s="166">
        <v>13674</v>
      </c>
      <c r="P33" s="165">
        <v>39</v>
      </c>
      <c r="Q33" s="166">
        <v>88</v>
      </c>
      <c r="R33" s="166">
        <v>126</v>
      </c>
      <c r="S33" s="166">
        <v>216</v>
      </c>
    </row>
    <row r="34" spans="1:19" x14ac:dyDescent="0.45">
      <c r="A34" s="165">
        <v>35</v>
      </c>
      <c r="B34" s="166">
        <v>248</v>
      </c>
      <c r="C34" s="166">
        <v>222</v>
      </c>
      <c r="D34" s="166">
        <v>482</v>
      </c>
      <c r="E34" s="166">
        <v>36263</v>
      </c>
      <c r="F34" s="165">
        <v>34</v>
      </c>
      <c r="G34" s="166">
        <v>665</v>
      </c>
      <c r="H34" s="166">
        <v>343</v>
      </c>
      <c r="I34" s="166">
        <v>1028</v>
      </c>
      <c r="J34" s="166">
        <v>25654</v>
      </c>
      <c r="K34" s="165">
        <v>41</v>
      </c>
      <c r="L34" s="166">
        <v>175</v>
      </c>
      <c r="M34" s="166">
        <v>191</v>
      </c>
      <c r="N34" s="166">
        <v>378</v>
      </c>
      <c r="O34" s="166">
        <v>14052</v>
      </c>
      <c r="P34" s="165">
        <v>38</v>
      </c>
      <c r="Q34" s="166">
        <v>97</v>
      </c>
      <c r="R34" s="166">
        <v>128</v>
      </c>
      <c r="S34" s="166">
        <v>226</v>
      </c>
    </row>
    <row r="35" spans="1:19" x14ac:dyDescent="0.45">
      <c r="A35" s="165">
        <v>34</v>
      </c>
      <c r="B35" s="166">
        <v>237</v>
      </c>
      <c r="C35" s="166">
        <v>231</v>
      </c>
      <c r="D35" s="166">
        <v>474</v>
      </c>
      <c r="E35" s="166">
        <v>36737</v>
      </c>
      <c r="F35" s="165">
        <v>33</v>
      </c>
      <c r="G35" s="166">
        <v>662</v>
      </c>
      <c r="H35" s="166">
        <v>447</v>
      </c>
      <c r="I35" s="166">
        <v>1130</v>
      </c>
      <c r="J35" s="166">
        <v>26784</v>
      </c>
      <c r="K35" s="165">
        <v>40</v>
      </c>
      <c r="L35" s="166">
        <v>169</v>
      </c>
      <c r="M35" s="166">
        <v>178</v>
      </c>
      <c r="N35" s="166">
        <v>353</v>
      </c>
      <c r="O35" s="166">
        <v>14405</v>
      </c>
      <c r="P35" s="165">
        <v>37</v>
      </c>
      <c r="Q35" s="166">
        <v>96</v>
      </c>
      <c r="R35" s="166">
        <v>95</v>
      </c>
      <c r="S35" s="166">
        <v>193</v>
      </c>
    </row>
    <row r="36" spans="1:19" x14ac:dyDescent="0.45">
      <c r="A36" s="165">
        <v>33</v>
      </c>
      <c r="B36" s="166">
        <v>461</v>
      </c>
      <c r="C36" s="166">
        <v>340</v>
      </c>
      <c r="D36" s="166">
        <v>811</v>
      </c>
      <c r="E36" s="166">
        <v>37548</v>
      </c>
      <c r="F36" s="165">
        <v>32</v>
      </c>
      <c r="G36" s="166">
        <v>167</v>
      </c>
      <c r="H36" s="166">
        <v>100</v>
      </c>
      <c r="I36" s="166">
        <v>274</v>
      </c>
      <c r="J36" s="166">
        <v>27058</v>
      </c>
      <c r="K36" s="165">
        <v>39</v>
      </c>
      <c r="L36" s="166">
        <v>298</v>
      </c>
      <c r="M36" s="166">
        <v>306</v>
      </c>
      <c r="N36" s="166">
        <v>611</v>
      </c>
      <c r="O36" s="166">
        <v>15016</v>
      </c>
      <c r="P36" s="165">
        <v>36</v>
      </c>
      <c r="Q36" s="166">
        <v>90</v>
      </c>
      <c r="R36" s="166">
        <v>104</v>
      </c>
      <c r="S36" s="166">
        <v>197</v>
      </c>
    </row>
    <row r="37" spans="1:19" x14ac:dyDescent="0.45">
      <c r="A37" s="165">
        <v>32</v>
      </c>
      <c r="B37" s="166">
        <v>295</v>
      </c>
      <c r="C37" s="166">
        <v>217</v>
      </c>
      <c r="D37" s="166">
        <v>517</v>
      </c>
      <c r="E37" s="166">
        <v>38065</v>
      </c>
      <c r="F37" s="165">
        <v>31</v>
      </c>
      <c r="G37" s="166">
        <v>128</v>
      </c>
      <c r="H37" s="166">
        <v>90</v>
      </c>
      <c r="I37" s="166">
        <v>222</v>
      </c>
      <c r="J37" s="166">
        <v>27280</v>
      </c>
      <c r="K37" s="165">
        <v>38</v>
      </c>
      <c r="L37" s="166">
        <v>142</v>
      </c>
      <c r="M37" s="166">
        <v>143</v>
      </c>
      <c r="N37" s="166">
        <v>289</v>
      </c>
      <c r="O37" s="166">
        <v>15305</v>
      </c>
      <c r="P37" s="165">
        <v>35</v>
      </c>
      <c r="Q37" s="166">
        <v>81</v>
      </c>
      <c r="R37" s="166">
        <v>97</v>
      </c>
      <c r="S37" s="166">
        <v>181</v>
      </c>
    </row>
    <row r="38" spans="1:19" x14ac:dyDescent="0.45">
      <c r="A38" s="165">
        <v>31</v>
      </c>
      <c r="B38" s="166">
        <v>1210</v>
      </c>
      <c r="C38" s="166">
        <v>670</v>
      </c>
      <c r="D38" s="166">
        <v>1926</v>
      </c>
      <c r="E38" s="166">
        <v>39991</v>
      </c>
      <c r="F38" s="165">
        <v>30</v>
      </c>
      <c r="G38" s="166">
        <v>283</v>
      </c>
      <c r="H38" s="166">
        <v>169</v>
      </c>
      <c r="I38" s="166">
        <v>462</v>
      </c>
      <c r="J38" s="166">
        <v>27742</v>
      </c>
      <c r="K38" s="165">
        <v>37</v>
      </c>
      <c r="L38" s="166">
        <v>162</v>
      </c>
      <c r="M38" s="166">
        <v>135</v>
      </c>
      <c r="N38" s="166">
        <v>301</v>
      </c>
      <c r="O38" s="166">
        <v>15606</v>
      </c>
      <c r="P38" s="165">
        <v>34</v>
      </c>
      <c r="Q38" s="166">
        <v>292</v>
      </c>
      <c r="R38" s="166">
        <v>132</v>
      </c>
      <c r="S38" s="166">
        <v>430</v>
      </c>
    </row>
    <row r="39" spans="1:19" x14ac:dyDescent="0.45">
      <c r="A39" s="165">
        <v>30</v>
      </c>
      <c r="B39" s="166">
        <v>197</v>
      </c>
      <c r="C39" s="166">
        <v>138</v>
      </c>
      <c r="D39" s="166">
        <v>340</v>
      </c>
      <c r="E39" s="166">
        <v>40331</v>
      </c>
      <c r="F39" s="165">
        <v>29</v>
      </c>
      <c r="G39" s="166">
        <v>85</v>
      </c>
      <c r="H39" s="166">
        <v>60</v>
      </c>
      <c r="I39" s="166">
        <v>147</v>
      </c>
      <c r="J39" s="166">
        <v>27889</v>
      </c>
      <c r="K39" s="165">
        <v>36</v>
      </c>
      <c r="L39" s="166">
        <v>137</v>
      </c>
      <c r="M39" s="166">
        <v>107</v>
      </c>
      <c r="N39" s="166">
        <v>249</v>
      </c>
      <c r="O39" s="166">
        <v>15855</v>
      </c>
      <c r="P39" s="165">
        <v>33</v>
      </c>
      <c r="Q39" s="166">
        <v>101</v>
      </c>
      <c r="R39" s="166">
        <v>73</v>
      </c>
      <c r="S39" s="166">
        <v>177</v>
      </c>
    </row>
    <row r="40" spans="1:19" x14ac:dyDescent="0.45">
      <c r="A40" s="165">
        <v>29</v>
      </c>
      <c r="B40" s="166">
        <v>153</v>
      </c>
      <c r="C40" s="166">
        <v>131</v>
      </c>
      <c r="D40" s="166">
        <v>293</v>
      </c>
      <c r="E40" s="166">
        <v>40624</v>
      </c>
      <c r="F40" s="165">
        <v>28</v>
      </c>
      <c r="G40" s="166">
        <v>41</v>
      </c>
      <c r="H40" s="166">
        <v>36</v>
      </c>
      <c r="I40" s="166">
        <v>81</v>
      </c>
      <c r="J40" s="166">
        <v>27970</v>
      </c>
      <c r="K40" s="165">
        <v>35</v>
      </c>
      <c r="L40" s="166">
        <v>107</v>
      </c>
      <c r="M40" s="166">
        <v>101</v>
      </c>
      <c r="N40" s="166">
        <v>208</v>
      </c>
      <c r="O40" s="166">
        <v>16063</v>
      </c>
      <c r="P40" s="165">
        <v>32</v>
      </c>
      <c r="Q40" s="166">
        <v>66</v>
      </c>
      <c r="R40" s="166">
        <v>43</v>
      </c>
      <c r="S40" s="166">
        <v>109</v>
      </c>
    </row>
    <row r="41" spans="1:19" x14ac:dyDescent="0.45">
      <c r="A41" s="165">
        <v>28</v>
      </c>
      <c r="B41" s="166">
        <v>116</v>
      </c>
      <c r="C41" s="166">
        <v>80</v>
      </c>
      <c r="D41" s="166">
        <v>201</v>
      </c>
      <c r="E41" s="166">
        <v>40825</v>
      </c>
      <c r="F41" s="165">
        <v>27</v>
      </c>
      <c r="G41" s="166">
        <v>64</v>
      </c>
      <c r="H41" s="166">
        <v>33</v>
      </c>
      <c r="I41" s="166">
        <v>100</v>
      </c>
      <c r="J41" s="166">
        <v>28070</v>
      </c>
      <c r="K41" s="165">
        <v>34</v>
      </c>
      <c r="L41" s="166">
        <v>216</v>
      </c>
      <c r="M41" s="166">
        <v>129</v>
      </c>
      <c r="N41" s="166">
        <v>349</v>
      </c>
      <c r="O41" s="166">
        <v>16412</v>
      </c>
      <c r="P41" s="165">
        <v>31</v>
      </c>
      <c r="Q41" s="166">
        <v>252</v>
      </c>
      <c r="R41" s="166">
        <v>158</v>
      </c>
      <c r="S41" s="166">
        <v>420</v>
      </c>
    </row>
    <row r="42" spans="1:19" x14ac:dyDescent="0.45">
      <c r="A42" s="165">
        <v>27</v>
      </c>
      <c r="B42" s="166">
        <v>127</v>
      </c>
      <c r="C42" s="166">
        <v>110</v>
      </c>
      <c r="D42" s="166">
        <v>241</v>
      </c>
      <c r="E42" s="166">
        <v>41066</v>
      </c>
      <c r="F42" s="165">
        <v>25</v>
      </c>
      <c r="G42" s="166">
        <v>17</v>
      </c>
      <c r="H42" s="166">
        <v>7</v>
      </c>
      <c r="I42" s="166">
        <v>24</v>
      </c>
      <c r="J42" s="166">
        <v>28094</v>
      </c>
      <c r="K42" s="165">
        <v>33</v>
      </c>
      <c r="L42" s="166">
        <v>88</v>
      </c>
      <c r="M42" s="166">
        <v>67</v>
      </c>
      <c r="N42" s="166">
        <v>157</v>
      </c>
      <c r="O42" s="166">
        <v>16569</v>
      </c>
      <c r="P42" s="165">
        <v>30</v>
      </c>
      <c r="Q42" s="166">
        <v>52</v>
      </c>
      <c r="R42" s="166">
        <v>42</v>
      </c>
      <c r="S42" s="166">
        <v>97</v>
      </c>
    </row>
    <row r="43" spans="1:19" x14ac:dyDescent="0.45">
      <c r="A43" s="165">
        <v>26</v>
      </c>
      <c r="B43" s="166">
        <v>106</v>
      </c>
      <c r="C43" s="166">
        <v>73</v>
      </c>
      <c r="D43" s="166">
        <v>181</v>
      </c>
      <c r="E43" s="166">
        <v>41247</v>
      </c>
      <c r="F43" s="165"/>
      <c r="G43" s="166"/>
      <c r="H43" s="166"/>
      <c r="I43" s="166"/>
      <c r="J43" s="166"/>
      <c r="K43" s="165">
        <v>32</v>
      </c>
      <c r="L43" s="166">
        <v>395</v>
      </c>
      <c r="M43" s="166">
        <v>167</v>
      </c>
      <c r="N43" s="166">
        <v>575</v>
      </c>
      <c r="O43" s="166">
        <v>17144</v>
      </c>
      <c r="P43" s="165">
        <v>29</v>
      </c>
      <c r="Q43" s="166">
        <v>53</v>
      </c>
      <c r="R43" s="166">
        <v>25</v>
      </c>
      <c r="S43" s="166">
        <v>80</v>
      </c>
    </row>
    <row r="44" spans="1:19" x14ac:dyDescent="0.45">
      <c r="A44" s="165">
        <v>25</v>
      </c>
      <c r="B44" s="166">
        <v>59</v>
      </c>
      <c r="C44" s="166">
        <v>48</v>
      </c>
      <c r="D44" s="166">
        <v>109</v>
      </c>
      <c r="E44" s="166">
        <v>41356</v>
      </c>
      <c r="F44" s="165"/>
      <c r="G44" s="166"/>
      <c r="H44" s="166"/>
      <c r="I44" s="166"/>
      <c r="J44" s="166"/>
      <c r="K44" s="165">
        <v>31</v>
      </c>
      <c r="L44" s="166">
        <v>65</v>
      </c>
      <c r="M44" s="166">
        <v>43</v>
      </c>
      <c r="N44" s="166">
        <v>110</v>
      </c>
      <c r="O44" s="166">
        <v>17254</v>
      </c>
      <c r="P44" s="165">
        <v>28</v>
      </c>
      <c r="Q44" s="166">
        <v>48</v>
      </c>
      <c r="R44" s="166">
        <v>22</v>
      </c>
      <c r="S44" s="166">
        <v>71</v>
      </c>
    </row>
    <row r="45" spans="1:19" x14ac:dyDescent="0.45">
      <c r="A45" s="165">
        <v>23</v>
      </c>
      <c r="B45" s="166">
        <v>17</v>
      </c>
      <c r="C45" s="166">
        <v>15</v>
      </c>
      <c r="D45" s="166">
        <v>32</v>
      </c>
      <c r="E45" s="166">
        <v>41388</v>
      </c>
      <c r="F45" s="165"/>
      <c r="G45" s="166"/>
      <c r="H45" s="166"/>
      <c r="I45" s="166"/>
      <c r="J45" s="166"/>
      <c r="K45" s="165">
        <v>30</v>
      </c>
      <c r="L45" s="166">
        <v>97</v>
      </c>
      <c r="M45" s="166">
        <v>54</v>
      </c>
      <c r="N45" s="166">
        <v>154</v>
      </c>
      <c r="O45" s="166">
        <v>17408</v>
      </c>
      <c r="P45" s="165">
        <v>27</v>
      </c>
      <c r="Q45" s="166">
        <v>36</v>
      </c>
      <c r="R45" s="166">
        <v>22</v>
      </c>
      <c r="S45" s="166">
        <v>59</v>
      </c>
    </row>
    <row r="46" spans="1:19" x14ac:dyDescent="0.45">
      <c r="A46" s="165"/>
      <c r="B46" s="166"/>
      <c r="C46" s="166"/>
      <c r="D46" s="166"/>
      <c r="E46" s="166"/>
      <c r="F46" s="165"/>
      <c r="G46" s="166"/>
      <c r="H46" s="166"/>
      <c r="I46" s="166"/>
      <c r="J46" s="166"/>
      <c r="K46" s="165">
        <v>29</v>
      </c>
      <c r="L46" s="166">
        <v>37</v>
      </c>
      <c r="M46" s="166">
        <v>30</v>
      </c>
      <c r="N46" s="166">
        <v>69</v>
      </c>
      <c r="O46" s="166">
        <v>17477</v>
      </c>
      <c r="P46" s="165">
        <v>26</v>
      </c>
      <c r="Q46" s="166">
        <v>15</v>
      </c>
      <c r="R46" s="166">
        <v>5</v>
      </c>
      <c r="S46" s="166">
        <v>21</v>
      </c>
    </row>
    <row r="47" spans="1:19" x14ac:dyDescent="0.45">
      <c r="A47" s="165"/>
      <c r="B47" s="166"/>
      <c r="C47" s="166"/>
      <c r="D47" s="166"/>
      <c r="E47" s="166"/>
      <c r="F47" s="165"/>
      <c r="G47" s="166"/>
      <c r="H47" s="166"/>
      <c r="I47" s="166"/>
      <c r="J47" s="166"/>
      <c r="K47" s="165">
        <v>28</v>
      </c>
      <c r="L47" s="166">
        <v>48</v>
      </c>
      <c r="M47" s="166">
        <v>24</v>
      </c>
      <c r="N47" s="166">
        <v>73</v>
      </c>
      <c r="O47" s="166">
        <v>17550</v>
      </c>
      <c r="P47" s="165">
        <v>25</v>
      </c>
      <c r="Q47" s="166">
        <v>12</v>
      </c>
      <c r="R47" s="166">
        <v>8</v>
      </c>
      <c r="S47" s="166">
        <v>21</v>
      </c>
    </row>
    <row r="48" spans="1:19" x14ac:dyDescent="0.45">
      <c r="A48" s="165"/>
      <c r="B48" s="166"/>
      <c r="C48" s="166"/>
      <c r="D48" s="166"/>
      <c r="E48" s="166"/>
      <c r="F48" s="165"/>
      <c r="G48" s="166"/>
      <c r="H48" s="166"/>
      <c r="I48" s="166"/>
      <c r="J48" s="166"/>
      <c r="K48" s="165">
        <v>27</v>
      </c>
      <c r="L48" s="166">
        <v>27</v>
      </c>
      <c r="M48" s="166">
        <v>18</v>
      </c>
      <c r="N48" s="166">
        <v>45</v>
      </c>
      <c r="O48" s="166">
        <v>17595</v>
      </c>
      <c r="P48" s="165">
        <v>24</v>
      </c>
      <c r="Q48" s="166">
        <v>13</v>
      </c>
      <c r="R48" s="166">
        <v>9</v>
      </c>
      <c r="S48" s="166">
        <v>23</v>
      </c>
    </row>
    <row r="49" spans="1:19" x14ac:dyDescent="0.45">
      <c r="A49" s="165"/>
      <c r="B49" s="166"/>
      <c r="C49" s="166"/>
      <c r="D49" s="166"/>
      <c r="E49" s="166"/>
      <c r="F49" s="165"/>
      <c r="G49" s="166"/>
      <c r="H49" s="166"/>
      <c r="I49" s="166"/>
      <c r="J49" s="166"/>
      <c r="K49" s="165">
        <v>26</v>
      </c>
      <c r="L49" s="166">
        <v>17</v>
      </c>
      <c r="M49" s="166">
        <v>14</v>
      </c>
      <c r="N49" s="166">
        <v>32</v>
      </c>
      <c r="O49" s="166">
        <v>17627</v>
      </c>
      <c r="P49" s="165">
        <v>22</v>
      </c>
      <c r="Q49" s="166">
        <v>5</v>
      </c>
      <c r="R49" s="166">
        <v>2</v>
      </c>
      <c r="S49" s="166">
        <v>8</v>
      </c>
    </row>
    <row r="50" spans="1:19" x14ac:dyDescent="0.45">
      <c r="A50" s="165"/>
      <c r="B50" s="166"/>
      <c r="C50" s="166"/>
      <c r="D50" s="166"/>
      <c r="E50" s="166"/>
      <c r="F50" s="165"/>
      <c r="G50" s="166"/>
      <c r="H50" s="166"/>
      <c r="I50" s="166"/>
      <c r="J50" s="166"/>
      <c r="K50" s="165">
        <v>25</v>
      </c>
      <c r="L50" s="166">
        <v>16</v>
      </c>
      <c r="M50" s="166">
        <v>13</v>
      </c>
      <c r="N50" s="166">
        <v>29</v>
      </c>
      <c r="O50" s="166">
        <v>17656</v>
      </c>
      <c r="P50" s="165"/>
      <c r="Q50" s="166"/>
      <c r="R50" s="166"/>
      <c r="S50" s="166"/>
    </row>
    <row r="51" spans="1:19" x14ac:dyDescent="0.45">
      <c r="A51" s="165"/>
      <c r="B51" s="166"/>
      <c r="C51" s="166"/>
      <c r="D51" s="166"/>
      <c r="E51" s="166"/>
      <c r="F51" s="165"/>
      <c r="G51" s="166"/>
      <c r="H51" s="166"/>
      <c r="I51" s="166"/>
      <c r="J51" s="166"/>
      <c r="K51" s="165">
        <v>24</v>
      </c>
      <c r="L51" s="166">
        <v>5</v>
      </c>
      <c r="M51" s="166">
        <v>2</v>
      </c>
      <c r="N51" s="166">
        <v>7</v>
      </c>
      <c r="O51" s="166">
        <v>17663</v>
      </c>
      <c r="P51" s="165"/>
      <c r="Q51" s="166"/>
      <c r="R51" s="166"/>
      <c r="S51" s="166"/>
    </row>
    <row r="52" spans="1:19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19" ht="17.5" thickBot="1" x14ac:dyDescent="0.5"/>
    <row r="62" spans="1:19" x14ac:dyDescent="0.45">
      <c r="A62" s="45" t="s">
        <v>13</v>
      </c>
      <c r="B62" s="46"/>
      <c r="C62" s="46"/>
      <c r="D62" s="47"/>
      <c r="F62" s="45" t="s">
        <v>14</v>
      </c>
      <c r="G62" s="46"/>
      <c r="H62" s="46"/>
      <c r="I62" s="47"/>
      <c r="K62" s="45" t="s">
        <v>15</v>
      </c>
      <c r="L62" s="46"/>
      <c r="M62" s="46"/>
      <c r="N62" s="47"/>
      <c r="P62" s="45" t="s">
        <v>58</v>
      </c>
      <c r="Q62" s="46"/>
      <c r="R62" s="46"/>
      <c r="S62" s="47"/>
    </row>
    <row r="63" spans="1:19" x14ac:dyDescent="0.4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19" x14ac:dyDescent="0.45">
      <c r="A64" s="165">
        <v>77</v>
      </c>
      <c r="B64" s="166">
        <v>24</v>
      </c>
      <c r="C64" s="166">
        <v>3</v>
      </c>
      <c r="D64" s="166">
        <v>27</v>
      </c>
      <c r="E64" s="166">
        <v>27</v>
      </c>
      <c r="F64" s="165">
        <v>79</v>
      </c>
      <c r="G64" s="166">
        <v>19</v>
      </c>
      <c r="H64" s="166">
        <v>5</v>
      </c>
      <c r="I64" s="166">
        <v>24</v>
      </c>
      <c r="J64" s="166">
        <v>24</v>
      </c>
      <c r="K64" s="165">
        <v>78</v>
      </c>
      <c r="L64" s="166">
        <v>13</v>
      </c>
      <c r="M64" s="166">
        <v>5</v>
      </c>
      <c r="N64" s="166">
        <v>18</v>
      </c>
      <c r="O64" s="166">
        <v>18</v>
      </c>
      <c r="P64" s="165">
        <v>68</v>
      </c>
      <c r="Q64" s="166">
        <v>239</v>
      </c>
      <c r="R64" s="166">
        <v>280</v>
      </c>
      <c r="S64" s="166">
        <v>523</v>
      </c>
    </row>
    <row r="65" spans="1:19" x14ac:dyDescent="0.45">
      <c r="A65" s="165">
        <v>75</v>
      </c>
      <c r="B65" s="166">
        <v>12</v>
      </c>
      <c r="C65" s="166">
        <v>1</v>
      </c>
      <c r="D65" s="166">
        <v>13</v>
      </c>
      <c r="E65" s="166">
        <v>40</v>
      </c>
      <c r="F65" s="165">
        <v>77</v>
      </c>
      <c r="G65" s="166">
        <v>27</v>
      </c>
      <c r="H65" s="166">
        <v>0</v>
      </c>
      <c r="I65" s="166">
        <v>27</v>
      </c>
      <c r="J65" s="166">
        <v>51</v>
      </c>
      <c r="K65" s="165">
        <v>76</v>
      </c>
      <c r="L65" s="166">
        <v>12</v>
      </c>
      <c r="M65" s="166">
        <v>2</v>
      </c>
      <c r="N65" s="166">
        <v>14</v>
      </c>
      <c r="O65" s="166">
        <v>32</v>
      </c>
      <c r="P65" s="165">
        <v>67</v>
      </c>
      <c r="Q65" s="166">
        <v>130</v>
      </c>
      <c r="R65" s="166">
        <v>155</v>
      </c>
      <c r="S65" s="166">
        <v>288</v>
      </c>
    </row>
    <row r="66" spans="1:19" x14ac:dyDescent="0.45">
      <c r="A66" s="165">
        <v>74</v>
      </c>
      <c r="B66" s="166">
        <v>65</v>
      </c>
      <c r="C66" s="166">
        <v>1</v>
      </c>
      <c r="D66" s="166">
        <v>66</v>
      </c>
      <c r="E66" s="166">
        <v>106</v>
      </c>
      <c r="F66" s="165">
        <v>76</v>
      </c>
      <c r="G66" s="166">
        <v>29</v>
      </c>
      <c r="H66" s="166">
        <v>4</v>
      </c>
      <c r="I66" s="166">
        <v>33</v>
      </c>
      <c r="J66" s="166">
        <v>84</v>
      </c>
      <c r="K66" s="165">
        <v>75</v>
      </c>
      <c r="L66" s="166">
        <v>31</v>
      </c>
      <c r="M66" s="166">
        <v>3</v>
      </c>
      <c r="N66" s="166">
        <v>34</v>
      </c>
      <c r="O66" s="166">
        <v>66</v>
      </c>
      <c r="P66" s="165">
        <v>66</v>
      </c>
      <c r="Q66" s="166">
        <v>215</v>
      </c>
      <c r="R66" s="166">
        <v>306</v>
      </c>
      <c r="S66" s="166">
        <v>529</v>
      </c>
    </row>
    <row r="67" spans="1:19" x14ac:dyDescent="0.45">
      <c r="A67" s="165">
        <v>72</v>
      </c>
      <c r="B67" s="166">
        <v>39</v>
      </c>
      <c r="C67" s="166">
        <v>8</v>
      </c>
      <c r="D67" s="166">
        <v>47</v>
      </c>
      <c r="E67" s="166">
        <v>153</v>
      </c>
      <c r="F67" s="165">
        <v>75</v>
      </c>
      <c r="G67" s="166">
        <v>19</v>
      </c>
      <c r="H67" s="166">
        <v>3</v>
      </c>
      <c r="I67" s="166">
        <v>22</v>
      </c>
      <c r="J67" s="166">
        <v>106</v>
      </c>
      <c r="K67" s="165">
        <v>74</v>
      </c>
      <c r="L67" s="166">
        <v>3</v>
      </c>
      <c r="M67" s="166">
        <v>0</v>
      </c>
      <c r="N67" s="166">
        <v>3</v>
      </c>
      <c r="O67" s="166">
        <v>69</v>
      </c>
      <c r="P67" s="165">
        <v>65</v>
      </c>
      <c r="Q67" s="166">
        <v>53</v>
      </c>
      <c r="R67" s="166">
        <v>67</v>
      </c>
      <c r="S67" s="166">
        <v>122</v>
      </c>
    </row>
    <row r="68" spans="1:19" x14ac:dyDescent="0.45">
      <c r="A68" s="165">
        <v>71</v>
      </c>
      <c r="B68" s="166">
        <v>59</v>
      </c>
      <c r="C68" s="166">
        <v>13</v>
      </c>
      <c r="D68" s="166">
        <v>72</v>
      </c>
      <c r="E68" s="166">
        <v>225</v>
      </c>
      <c r="F68" s="165">
        <v>74</v>
      </c>
      <c r="G68" s="166">
        <v>68</v>
      </c>
      <c r="H68" s="166">
        <v>7</v>
      </c>
      <c r="I68" s="166">
        <v>75</v>
      </c>
      <c r="J68" s="166">
        <v>181</v>
      </c>
      <c r="K68" s="165">
        <v>73</v>
      </c>
      <c r="L68" s="166">
        <v>12</v>
      </c>
      <c r="M68" s="166">
        <v>10</v>
      </c>
      <c r="N68" s="166">
        <v>23</v>
      </c>
      <c r="O68" s="166">
        <v>92</v>
      </c>
      <c r="P68" s="165">
        <v>64</v>
      </c>
      <c r="Q68" s="166">
        <v>252</v>
      </c>
      <c r="R68" s="166">
        <v>353</v>
      </c>
      <c r="S68" s="166">
        <v>612</v>
      </c>
    </row>
    <row r="69" spans="1:19" x14ac:dyDescent="0.45">
      <c r="A69" s="165">
        <v>70</v>
      </c>
      <c r="B69" s="166">
        <v>23</v>
      </c>
      <c r="C69" s="166">
        <v>7</v>
      </c>
      <c r="D69" s="166">
        <v>31</v>
      </c>
      <c r="E69" s="166">
        <v>256</v>
      </c>
      <c r="F69" s="165">
        <v>73</v>
      </c>
      <c r="G69" s="166">
        <v>36</v>
      </c>
      <c r="H69" s="166">
        <v>5</v>
      </c>
      <c r="I69" s="166">
        <v>41</v>
      </c>
      <c r="J69" s="166">
        <v>222</v>
      </c>
      <c r="K69" s="165">
        <v>72</v>
      </c>
      <c r="L69" s="166">
        <v>41</v>
      </c>
      <c r="M69" s="166">
        <v>12</v>
      </c>
      <c r="N69" s="166">
        <v>55</v>
      </c>
      <c r="O69" s="166">
        <v>147</v>
      </c>
      <c r="P69" s="165">
        <v>63</v>
      </c>
      <c r="Q69" s="166">
        <v>200</v>
      </c>
      <c r="R69" s="166">
        <v>274</v>
      </c>
      <c r="S69" s="166">
        <v>484</v>
      </c>
    </row>
    <row r="70" spans="1:19" x14ac:dyDescent="0.45">
      <c r="A70" s="165">
        <v>69</v>
      </c>
      <c r="B70" s="166">
        <v>66</v>
      </c>
      <c r="C70" s="166">
        <v>11</v>
      </c>
      <c r="D70" s="166">
        <v>78</v>
      </c>
      <c r="E70" s="166">
        <v>334</v>
      </c>
      <c r="F70" s="165">
        <v>72</v>
      </c>
      <c r="G70" s="166">
        <v>53</v>
      </c>
      <c r="H70" s="166">
        <v>7</v>
      </c>
      <c r="I70" s="166">
        <v>60</v>
      </c>
      <c r="J70" s="166">
        <v>282</v>
      </c>
      <c r="K70" s="165">
        <v>71</v>
      </c>
      <c r="L70" s="166">
        <v>17</v>
      </c>
      <c r="M70" s="166">
        <v>10</v>
      </c>
      <c r="N70" s="166">
        <v>28</v>
      </c>
      <c r="O70" s="166">
        <v>175</v>
      </c>
      <c r="P70" s="165">
        <v>62</v>
      </c>
      <c r="Q70" s="166">
        <v>136</v>
      </c>
      <c r="R70" s="166">
        <v>235</v>
      </c>
      <c r="S70" s="166">
        <v>375</v>
      </c>
    </row>
    <row r="71" spans="1:19" x14ac:dyDescent="0.45">
      <c r="A71" s="165">
        <v>68</v>
      </c>
      <c r="B71" s="166">
        <v>37</v>
      </c>
      <c r="C71" s="166">
        <v>17</v>
      </c>
      <c r="D71" s="166">
        <v>54</v>
      </c>
      <c r="E71" s="166">
        <v>388</v>
      </c>
      <c r="F71" s="165">
        <v>71</v>
      </c>
      <c r="G71" s="166">
        <v>70</v>
      </c>
      <c r="H71" s="166">
        <v>16</v>
      </c>
      <c r="I71" s="166">
        <v>88</v>
      </c>
      <c r="J71" s="166">
        <v>370</v>
      </c>
      <c r="K71" s="165">
        <v>70</v>
      </c>
      <c r="L71" s="166">
        <v>71</v>
      </c>
      <c r="M71" s="166">
        <v>23</v>
      </c>
      <c r="N71" s="166">
        <v>94</v>
      </c>
      <c r="O71" s="166">
        <v>269</v>
      </c>
      <c r="P71" s="165">
        <v>61</v>
      </c>
      <c r="Q71" s="166">
        <v>297</v>
      </c>
      <c r="R71" s="166">
        <v>462</v>
      </c>
      <c r="S71" s="166">
        <v>768</v>
      </c>
    </row>
    <row r="72" spans="1:19" x14ac:dyDescent="0.45">
      <c r="A72" s="165">
        <v>67</v>
      </c>
      <c r="B72" s="166">
        <v>48</v>
      </c>
      <c r="C72" s="166">
        <v>11</v>
      </c>
      <c r="D72" s="166">
        <v>60</v>
      </c>
      <c r="E72" s="166">
        <v>448</v>
      </c>
      <c r="F72" s="165">
        <v>70</v>
      </c>
      <c r="G72" s="166">
        <v>38</v>
      </c>
      <c r="H72" s="166">
        <v>11</v>
      </c>
      <c r="I72" s="166">
        <v>49</v>
      </c>
      <c r="J72" s="166">
        <v>419</v>
      </c>
      <c r="K72" s="165">
        <v>69</v>
      </c>
      <c r="L72" s="166">
        <v>39</v>
      </c>
      <c r="M72" s="166">
        <v>18</v>
      </c>
      <c r="N72" s="166">
        <v>58</v>
      </c>
      <c r="O72" s="166">
        <v>327</v>
      </c>
      <c r="P72" s="165">
        <v>60</v>
      </c>
      <c r="Q72" s="166">
        <v>406</v>
      </c>
      <c r="R72" s="166">
        <v>591</v>
      </c>
      <c r="S72" s="166">
        <v>1007</v>
      </c>
    </row>
    <row r="73" spans="1:19" x14ac:dyDescent="0.45">
      <c r="A73" s="165">
        <v>66</v>
      </c>
      <c r="B73" s="166">
        <v>57</v>
      </c>
      <c r="C73" s="166">
        <v>18</v>
      </c>
      <c r="D73" s="166">
        <v>76</v>
      </c>
      <c r="E73" s="166">
        <v>524</v>
      </c>
      <c r="F73" s="165">
        <v>69</v>
      </c>
      <c r="G73" s="166">
        <v>94</v>
      </c>
      <c r="H73" s="166">
        <v>21</v>
      </c>
      <c r="I73" s="166">
        <v>117</v>
      </c>
      <c r="J73" s="166">
        <v>536</v>
      </c>
      <c r="K73" s="165">
        <v>68</v>
      </c>
      <c r="L73" s="166">
        <v>46</v>
      </c>
      <c r="M73" s="166">
        <v>21</v>
      </c>
      <c r="N73" s="166">
        <v>67</v>
      </c>
      <c r="O73" s="166">
        <v>394</v>
      </c>
      <c r="P73" s="165">
        <v>59</v>
      </c>
      <c r="Q73" s="166">
        <v>285</v>
      </c>
      <c r="R73" s="166">
        <v>494</v>
      </c>
      <c r="S73" s="166">
        <v>793</v>
      </c>
    </row>
    <row r="74" spans="1:19" x14ac:dyDescent="0.45">
      <c r="A74" s="165">
        <v>65</v>
      </c>
      <c r="B74" s="166">
        <v>33</v>
      </c>
      <c r="C74" s="166">
        <v>11</v>
      </c>
      <c r="D74" s="166">
        <v>44</v>
      </c>
      <c r="E74" s="166">
        <v>568</v>
      </c>
      <c r="F74" s="165">
        <v>68</v>
      </c>
      <c r="G74" s="166">
        <v>81</v>
      </c>
      <c r="H74" s="166">
        <v>24</v>
      </c>
      <c r="I74" s="166">
        <v>106</v>
      </c>
      <c r="J74" s="166">
        <v>642</v>
      </c>
      <c r="K74" s="165">
        <v>67</v>
      </c>
      <c r="L74" s="166">
        <v>91</v>
      </c>
      <c r="M74" s="166">
        <v>50</v>
      </c>
      <c r="N74" s="166">
        <v>144</v>
      </c>
      <c r="O74" s="166">
        <v>538</v>
      </c>
      <c r="P74" s="165">
        <v>58</v>
      </c>
      <c r="Q74" s="166">
        <v>179</v>
      </c>
      <c r="R74" s="166">
        <v>275</v>
      </c>
      <c r="S74" s="166">
        <v>463</v>
      </c>
    </row>
    <row r="75" spans="1:19" x14ac:dyDescent="0.45">
      <c r="A75" s="165">
        <v>64</v>
      </c>
      <c r="B75" s="166">
        <v>117</v>
      </c>
      <c r="C75" s="166">
        <v>70</v>
      </c>
      <c r="D75" s="166">
        <v>187</v>
      </c>
      <c r="E75" s="166">
        <v>755</v>
      </c>
      <c r="F75" s="165">
        <v>67</v>
      </c>
      <c r="G75" s="166">
        <v>89</v>
      </c>
      <c r="H75" s="166">
        <v>33</v>
      </c>
      <c r="I75" s="166">
        <v>123</v>
      </c>
      <c r="J75" s="166">
        <v>765</v>
      </c>
      <c r="K75" s="165">
        <v>66</v>
      </c>
      <c r="L75" s="166">
        <v>63</v>
      </c>
      <c r="M75" s="166">
        <v>43</v>
      </c>
      <c r="N75" s="166">
        <v>107</v>
      </c>
      <c r="O75" s="166">
        <v>645</v>
      </c>
      <c r="P75" s="165">
        <v>57</v>
      </c>
      <c r="Q75" s="166">
        <v>263</v>
      </c>
      <c r="R75" s="166">
        <v>486</v>
      </c>
      <c r="S75" s="166">
        <v>756</v>
      </c>
    </row>
    <row r="76" spans="1:19" x14ac:dyDescent="0.45">
      <c r="A76" s="165">
        <v>63</v>
      </c>
      <c r="B76" s="166">
        <v>50</v>
      </c>
      <c r="C76" s="166">
        <v>25</v>
      </c>
      <c r="D76" s="166">
        <v>79</v>
      </c>
      <c r="E76" s="166">
        <v>834</v>
      </c>
      <c r="F76" s="165">
        <v>65</v>
      </c>
      <c r="G76" s="166">
        <v>105</v>
      </c>
      <c r="H76" s="166">
        <v>48</v>
      </c>
      <c r="I76" s="166">
        <v>153</v>
      </c>
      <c r="J76" s="166">
        <v>918</v>
      </c>
      <c r="K76" s="165">
        <v>65</v>
      </c>
      <c r="L76" s="166">
        <v>196</v>
      </c>
      <c r="M76" s="166">
        <v>113</v>
      </c>
      <c r="N76" s="166">
        <v>314</v>
      </c>
      <c r="O76" s="166">
        <v>959</v>
      </c>
      <c r="P76" s="165">
        <v>56</v>
      </c>
      <c r="Q76" s="166">
        <v>252</v>
      </c>
      <c r="R76" s="166">
        <v>443</v>
      </c>
      <c r="S76" s="166">
        <v>704</v>
      </c>
    </row>
    <row r="77" spans="1:19" x14ac:dyDescent="0.45">
      <c r="A77" s="165">
        <v>62</v>
      </c>
      <c r="B77" s="166">
        <v>60</v>
      </c>
      <c r="C77" s="166">
        <v>38</v>
      </c>
      <c r="D77" s="166">
        <v>100</v>
      </c>
      <c r="E77" s="166">
        <v>934</v>
      </c>
      <c r="F77" s="165">
        <v>64</v>
      </c>
      <c r="G77" s="166">
        <v>96</v>
      </c>
      <c r="H77" s="166">
        <v>48</v>
      </c>
      <c r="I77" s="166">
        <v>145</v>
      </c>
      <c r="J77" s="166">
        <v>1063</v>
      </c>
      <c r="K77" s="165">
        <v>64</v>
      </c>
      <c r="L77" s="166">
        <v>79</v>
      </c>
      <c r="M77" s="166">
        <v>56</v>
      </c>
      <c r="N77" s="166">
        <v>136</v>
      </c>
      <c r="O77" s="166">
        <v>1095</v>
      </c>
      <c r="P77" s="165">
        <v>55</v>
      </c>
      <c r="Q77" s="166">
        <v>241</v>
      </c>
      <c r="R77" s="166">
        <v>349</v>
      </c>
      <c r="S77" s="166">
        <v>598</v>
      </c>
    </row>
    <row r="78" spans="1:19" x14ac:dyDescent="0.45">
      <c r="A78" s="165">
        <v>61</v>
      </c>
      <c r="B78" s="166">
        <v>71</v>
      </c>
      <c r="C78" s="166">
        <v>49</v>
      </c>
      <c r="D78" s="166">
        <v>122</v>
      </c>
      <c r="E78" s="166">
        <v>1056</v>
      </c>
      <c r="F78" s="165">
        <v>63</v>
      </c>
      <c r="G78" s="166">
        <v>166</v>
      </c>
      <c r="H78" s="166">
        <v>63</v>
      </c>
      <c r="I78" s="166">
        <v>231</v>
      </c>
      <c r="J78" s="166">
        <v>1294</v>
      </c>
      <c r="K78" s="165">
        <v>63</v>
      </c>
      <c r="L78" s="166">
        <v>122</v>
      </c>
      <c r="M78" s="166">
        <v>66</v>
      </c>
      <c r="N78" s="166">
        <v>190</v>
      </c>
      <c r="O78" s="166">
        <v>1285</v>
      </c>
      <c r="P78" s="165">
        <v>54</v>
      </c>
      <c r="Q78" s="166">
        <v>491</v>
      </c>
      <c r="R78" s="166">
        <v>859</v>
      </c>
      <c r="S78" s="166">
        <v>1360</v>
      </c>
    </row>
    <row r="79" spans="1:19" x14ac:dyDescent="0.45">
      <c r="A79" s="165">
        <v>60</v>
      </c>
      <c r="B79" s="166">
        <v>69</v>
      </c>
      <c r="C79" s="166">
        <v>51</v>
      </c>
      <c r="D79" s="166">
        <v>120</v>
      </c>
      <c r="E79" s="166">
        <v>1176</v>
      </c>
      <c r="F79" s="165">
        <v>62</v>
      </c>
      <c r="G79" s="166">
        <v>119</v>
      </c>
      <c r="H79" s="166">
        <v>64</v>
      </c>
      <c r="I79" s="166">
        <v>184</v>
      </c>
      <c r="J79" s="166">
        <v>1478</v>
      </c>
      <c r="K79" s="165">
        <v>62</v>
      </c>
      <c r="L79" s="166">
        <v>108</v>
      </c>
      <c r="M79" s="166">
        <v>60</v>
      </c>
      <c r="N79" s="166">
        <v>172</v>
      </c>
      <c r="O79" s="166">
        <v>1457</v>
      </c>
      <c r="P79" s="165">
        <v>53</v>
      </c>
      <c r="Q79" s="166">
        <v>228</v>
      </c>
      <c r="R79" s="166">
        <v>438</v>
      </c>
      <c r="S79" s="166">
        <v>679</v>
      </c>
    </row>
    <row r="80" spans="1:19" x14ac:dyDescent="0.45">
      <c r="A80" s="165">
        <v>59</v>
      </c>
      <c r="B80" s="166">
        <v>69</v>
      </c>
      <c r="C80" s="166">
        <v>70</v>
      </c>
      <c r="D80" s="166">
        <v>139</v>
      </c>
      <c r="E80" s="166">
        <v>1315</v>
      </c>
      <c r="F80" s="165">
        <v>61</v>
      </c>
      <c r="G80" s="166">
        <v>144</v>
      </c>
      <c r="H80" s="166">
        <v>78</v>
      </c>
      <c r="I80" s="166">
        <v>227</v>
      </c>
      <c r="J80" s="166">
        <v>1705</v>
      </c>
      <c r="K80" s="165">
        <v>61</v>
      </c>
      <c r="L80" s="166">
        <v>141</v>
      </c>
      <c r="M80" s="166">
        <v>83</v>
      </c>
      <c r="N80" s="166">
        <v>228</v>
      </c>
      <c r="O80" s="166">
        <v>1685</v>
      </c>
      <c r="P80" s="165">
        <v>52</v>
      </c>
      <c r="Q80" s="166">
        <v>259</v>
      </c>
      <c r="R80" s="166">
        <v>471</v>
      </c>
      <c r="S80" s="166">
        <v>741</v>
      </c>
    </row>
    <row r="81" spans="1:19" x14ac:dyDescent="0.45">
      <c r="A81" s="165">
        <v>58</v>
      </c>
      <c r="B81" s="166">
        <v>61</v>
      </c>
      <c r="C81" s="166">
        <v>67</v>
      </c>
      <c r="D81" s="166">
        <v>131</v>
      </c>
      <c r="E81" s="166">
        <v>1446</v>
      </c>
      <c r="F81" s="165">
        <v>60</v>
      </c>
      <c r="G81" s="166">
        <v>169</v>
      </c>
      <c r="H81" s="166">
        <v>117</v>
      </c>
      <c r="I81" s="166">
        <v>289</v>
      </c>
      <c r="J81" s="166">
        <v>1994</v>
      </c>
      <c r="K81" s="165">
        <v>60</v>
      </c>
      <c r="L81" s="166">
        <v>135</v>
      </c>
      <c r="M81" s="166">
        <v>86</v>
      </c>
      <c r="N81" s="166">
        <v>223</v>
      </c>
      <c r="O81" s="166">
        <v>1908</v>
      </c>
      <c r="P81" s="165">
        <v>51</v>
      </c>
      <c r="Q81" s="166">
        <v>225</v>
      </c>
      <c r="R81" s="166">
        <v>361</v>
      </c>
      <c r="S81" s="166">
        <v>596</v>
      </c>
    </row>
    <row r="82" spans="1:19" x14ac:dyDescent="0.45">
      <c r="A82" s="165">
        <v>57</v>
      </c>
      <c r="B82" s="166">
        <v>69</v>
      </c>
      <c r="C82" s="166">
        <v>61</v>
      </c>
      <c r="D82" s="166">
        <v>134</v>
      </c>
      <c r="E82" s="166">
        <v>1580</v>
      </c>
      <c r="F82" s="165">
        <v>59</v>
      </c>
      <c r="G82" s="166">
        <v>125</v>
      </c>
      <c r="H82" s="166">
        <v>104</v>
      </c>
      <c r="I82" s="166">
        <v>230</v>
      </c>
      <c r="J82" s="166">
        <v>2224</v>
      </c>
      <c r="K82" s="165">
        <v>59</v>
      </c>
      <c r="L82" s="166">
        <v>111</v>
      </c>
      <c r="M82" s="166">
        <v>90</v>
      </c>
      <c r="N82" s="166">
        <v>207</v>
      </c>
      <c r="O82" s="166">
        <v>2115</v>
      </c>
      <c r="P82" s="165">
        <v>50</v>
      </c>
      <c r="Q82" s="166">
        <v>222</v>
      </c>
      <c r="R82" s="166">
        <v>436</v>
      </c>
      <c r="S82" s="166">
        <v>664</v>
      </c>
    </row>
    <row r="83" spans="1:19" x14ac:dyDescent="0.45">
      <c r="A83" s="165">
        <v>56</v>
      </c>
      <c r="B83" s="166">
        <v>84</v>
      </c>
      <c r="C83" s="166">
        <v>70</v>
      </c>
      <c r="D83" s="166">
        <v>155</v>
      </c>
      <c r="E83" s="166">
        <v>1735</v>
      </c>
      <c r="F83" s="165">
        <v>58</v>
      </c>
      <c r="G83" s="166">
        <v>196</v>
      </c>
      <c r="H83" s="166">
        <v>141</v>
      </c>
      <c r="I83" s="166">
        <v>346</v>
      </c>
      <c r="J83" s="166">
        <v>2570</v>
      </c>
      <c r="K83" s="165">
        <v>58</v>
      </c>
      <c r="L83" s="166">
        <v>143</v>
      </c>
      <c r="M83" s="166">
        <v>107</v>
      </c>
      <c r="N83" s="166">
        <v>255</v>
      </c>
      <c r="O83" s="166">
        <v>2370</v>
      </c>
      <c r="P83" s="165">
        <v>49</v>
      </c>
      <c r="Q83" s="166">
        <v>223</v>
      </c>
      <c r="R83" s="166">
        <v>383</v>
      </c>
      <c r="S83" s="166">
        <v>613</v>
      </c>
    </row>
    <row r="84" spans="1:19" x14ac:dyDescent="0.45">
      <c r="A84" s="165">
        <v>55</v>
      </c>
      <c r="B84" s="166">
        <v>84</v>
      </c>
      <c r="C84" s="166">
        <v>87</v>
      </c>
      <c r="D84" s="166">
        <v>174</v>
      </c>
      <c r="E84" s="166">
        <v>1909</v>
      </c>
      <c r="F84" s="165">
        <v>57</v>
      </c>
      <c r="G84" s="166">
        <v>182</v>
      </c>
      <c r="H84" s="166">
        <v>142</v>
      </c>
      <c r="I84" s="166">
        <v>325</v>
      </c>
      <c r="J84" s="166">
        <v>2895</v>
      </c>
      <c r="K84" s="165">
        <v>57</v>
      </c>
      <c r="L84" s="166">
        <v>131</v>
      </c>
      <c r="M84" s="166">
        <v>91</v>
      </c>
      <c r="N84" s="166">
        <v>225</v>
      </c>
      <c r="O84" s="166">
        <v>2595</v>
      </c>
      <c r="P84" s="165">
        <v>48</v>
      </c>
      <c r="Q84" s="166">
        <v>208</v>
      </c>
      <c r="R84" s="166">
        <v>359</v>
      </c>
      <c r="S84" s="166">
        <v>576</v>
      </c>
    </row>
    <row r="85" spans="1:19" x14ac:dyDescent="0.45">
      <c r="A85" s="165">
        <v>54</v>
      </c>
      <c r="B85" s="166">
        <v>83</v>
      </c>
      <c r="C85" s="166">
        <v>100</v>
      </c>
      <c r="D85" s="166">
        <v>184</v>
      </c>
      <c r="E85" s="166">
        <v>2093</v>
      </c>
      <c r="F85" s="165">
        <v>56</v>
      </c>
      <c r="G85" s="166">
        <v>182</v>
      </c>
      <c r="H85" s="166">
        <v>189</v>
      </c>
      <c r="I85" s="166">
        <v>376</v>
      </c>
      <c r="J85" s="166">
        <v>3271</v>
      </c>
      <c r="K85" s="165">
        <v>56</v>
      </c>
      <c r="L85" s="166">
        <v>141</v>
      </c>
      <c r="M85" s="166">
        <v>114</v>
      </c>
      <c r="N85" s="166">
        <v>258</v>
      </c>
      <c r="O85" s="166">
        <v>2853</v>
      </c>
      <c r="P85" s="165">
        <v>47</v>
      </c>
      <c r="Q85" s="166">
        <v>421</v>
      </c>
      <c r="R85" s="166">
        <v>708</v>
      </c>
      <c r="S85" s="166">
        <v>1142</v>
      </c>
    </row>
    <row r="86" spans="1:19" x14ac:dyDescent="0.45">
      <c r="A86" s="165">
        <v>53</v>
      </c>
      <c r="B86" s="166">
        <v>64</v>
      </c>
      <c r="C86" s="166">
        <v>92</v>
      </c>
      <c r="D86" s="166">
        <v>156</v>
      </c>
      <c r="E86" s="166">
        <v>2249</v>
      </c>
      <c r="F86" s="165">
        <v>55</v>
      </c>
      <c r="G86" s="166">
        <v>237</v>
      </c>
      <c r="H86" s="166">
        <v>224</v>
      </c>
      <c r="I86" s="166">
        <v>466</v>
      </c>
      <c r="J86" s="166">
        <v>3737</v>
      </c>
      <c r="K86" s="165">
        <v>55</v>
      </c>
      <c r="L86" s="166">
        <v>176</v>
      </c>
      <c r="M86" s="166">
        <v>96</v>
      </c>
      <c r="N86" s="166">
        <v>276</v>
      </c>
      <c r="O86" s="166">
        <v>3129</v>
      </c>
      <c r="P86" s="165">
        <v>46</v>
      </c>
      <c r="Q86" s="166">
        <v>229</v>
      </c>
      <c r="R86" s="166">
        <v>343</v>
      </c>
      <c r="S86" s="166">
        <v>580</v>
      </c>
    </row>
    <row r="87" spans="1:19" x14ac:dyDescent="0.45">
      <c r="A87" s="165">
        <v>52</v>
      </c>
      <c r="B87" s="166">
        <v>74</v>
      </c>
      <c r="C87" s="166">
        <v>87</v>
      </c>
      <c r="D87" s="166">
        <v>163</v>
      </c>
      <c r="E87" s="166">
        <v>2412</v>
      </c>
      <c r="F87" s="165">
        <v>54</v>
      </c>
      <c r="G87" s="166">
        <v>158</v>
      </c>
      <c r="H87" s="166">
        <v>180</v>
      </c>
      <c r="I87" s="166">
        <v>339</v>
      </c>
      <c r="J87" s="166">
        <v>4076</v>
      </c>
      <c r="K87" s="165">
        <v>54</v>
      </c>
      <c r="L87" s="166">
        <v>171</v>
      </c>
      <c r="M87" s="166">
        <v>109</v>
      </c>
      <c r="N87" s="166">
        <v>282</v>
      </c>
      <c r="O87" s="166">
        <v>3411</v>
      </c>
      <c r="P87" s="165">
        <v>45</v>
      </c>
      <c r="Q87" s="166">
        <v>194</v>
      </c>
      <c r="R87" s="166">
        <v>333</v>
      </c>
      <c r="S87" s="166">
        <v>539</v>
      </c>
    </row>
    <row r="88" spans="1:19" x14ac:dyDescent="0.45">
      <c r="A88" s="165">
        <v>51</v>
      </c>
      <c r="B88" s="166">
        <v>78</v>
      </c>
      <c r="C88" s="166">
        <v>101</v>
      </c>
      <c r="D88" s="166">
        <v>182</v>
      </c>
      <c r="E88" s="166">
        <v>2594</v>
      </c>
      <c r="F88" s="165">
        <v>53</v>
      </c>
      <c r="G88" s="166">
        <v>235</v>
      </c>
      <c r="H88" s="166">
        <v>260</v>
      </c>
      <c r="I88" s="166">
        <v>499</v>
      </c>
      <c r="J88" s="166">
        <v>4575</v>
      </c>
      <c r="K88" s="165">
        <v>53</v>
      </c>
      <c r="L88" s="166">
        <v>143</v>
      </c>
      <c r="M88" s="166">
        <v>88</v>
      </c>
      <c r="N88" s="166">
        <v>239</v>
      </c>
      <c r="O88" s="166">
        <v>3650</v>
      </c>
      <c r="P88" s="165">
        <v>44</v>
      </c>
      <c r="Q88" s="166">
        <v>203</v>
      </c>
      <c r="R88" s="166">
        <v>308</v>
      </c>
      <c r="S88" s="166">
        <v>517</v>
      </c>
    </row>
    <row r="89" spans="1:19" x14ac:dyDescent="0.45">
      <c r="A89" s="165">
        <v>50</v>
      </c>
      <c r="B89" s="166">
        <v>134</v>
      </c>
      <c r="C89" s="166">
        <v>248</v>
      </c>
      <c r="D89" s="166">
        <v>385</v>
      </c>
      <c r="E89" s="166">
        <v>2979</v>
      </c>
      <c r="F89" s="165">
        <v>52</v>
      </c>
      <c r="G89" s="166">
        <v>215</v>
      </c>
      <c r="H89" s="166">
        <v>191</v>
      </c>
      <c r="I89" s="166">
        <v>411</v>
      </c>
      <c r="J89" s="166">
        <v>4986</v>
      </c>
      <c r="K89" s="165">
        <v>52</v>
      </c>
      <c r="L89" s="166">
        <v>146</v>
      </c>
      <c r="M89" s="166">
        <v>109</v>
      </c>
      <c r="N89" s="166">
        <v>259</v>
      </c>
      <c r="O89" s="166">
        <v>3909</v>
      </c>
      <c r="P89" s="165">
        <v>43</v>
      </c>
      <c r="Q89" s="166">
        <v>207</v>
      </c>
      <c r="R89" s="166">
        <v>328</v>
      </c>
      <c r="S89" s="166">
        <v>546</v>
      </c>
    </row>
    <row r="90" spans="1:19" x14ac:dyDescent="0.45">
      <c r="A90" s="165">
        <v>49</v>
      </c>
      <c r="B90" s="166">
        <v>73</v>
      </c>
      <c r="C90" s="166">
        <v>112</v>
      </c>
      <c r="D90" s="166">
        <v>185</v>
      </c>
      <c r="E90" s="166">
        <v>3164</v>
      </c>
      <c r="F90" s="165">
        <v>51</v>
      </c>
      <c r="G90" s="166">
        <v>161</v>
      </c>
      <c r="H90" s="166">
        <v>240</v>
      </c>
      <c r="I90" s="166">
        <v>402</v>
      </c>
      <c r="J90" s="166">
        <v>5388</v>
      </c>
      <c r="K90" s="165">
        <v>51</v>
      </c>
      <c r="L90" s="166">
        <v>184</v>
      </c>
      <c r="M90" s="166">
        <v>97</v>
      </c>
      <c r="N90" s="166">
        <v>286</v>
      </c>
      <c r="O90" s="166">
        <v>4195</v>
      </c>
      <c r="P90" s="165">
        <v>42</v>
      </c>
      <c r="Q90" s="166">
        <v>185</v>
      </c>
      <c r="R90" s="166">
        <v>290</v>
      </c>
      <c r="S90" s="166">
        <v>484</v>
      </c>
    </row>
    <row r="91" spans="1:19" x14ac:dyDescent="0.45">
      <c r="A91" s="165">
        <v>48</v>
      </c>
      <c r="B91" s="166">
        <v>82</v>
      </c>
      <c r="C91" s="166">
        <v>131</v>
      </c>
      <c r="D91" s="166">
        <v>217</v>
      </c>
      <c r="E91" s="166">
        <v>3381</v>
      </c>
      <c r="F91" s="165">
        <v>50</v>
      </c>
      <c r="G91" s="166">
        <v>218</v>
      </c>
      <c r="H91" s="166">
        <v>249</v>
      </c>
      <c r="I91" s="166">
        <v>472</v>
      </c>
      <c r="J91" s="166">
        <v>5860</v>
      </c>
      <c r="K91" s="165">
        <v>50</v>
      </c>
      <c r="L91" s="166">
        <v>158</v>
      </c>
      <c r="M91" s="166">
        <v>104</v>
      </c>
      <c r="N91" s="166">
        <v>265</v>
      </c>
      <c r="O91" s="166">
        <v>4460</v>
      </c>
      <c r="P91" s="165">
        <v>41</v>
      </c>
      <c r="Q91" s="166">
        <v>385</v>
      </c>
      <c r="R91" s="166">
        <v>537</v>
      </c>
      <c r="S91" s="166">
        <v>940</v>
      </c>
    </row>
    <row r="92" spans="1:19" x14ac:dyDescent="0.45">
      <c r="A92" s="165">
        <v>47</v>
      </c>
      <c r="B92" s="166">
        <v>75</v>
      </c>
      <c r="C92" s="166">
        <v>112</v>
      </c>
      <c r="D92" s="166">
        <v>190</v>
      </c>
      <c r="E92" s="166">
        <v>3571</v>
      </c>
      <c r="F92" s="165">
        <v>49</v>
      </c>
      <c r="G92" s="166">
        <v>181</v>
      </c>
      <c r="H92" s="166">
        <v>232</v>
      </c>
      <c r="I92" s="166">
        <v>415</v>
      </c>
      <c r="J92" s="166">
        <v>6275</v>
      </c>
      <c r="K92" s="165">
        <v>49</v>
      </c>
      <c r="L92" s="166">
        <v>152</v>
      </c>
      <c r="M92" s="166">
        <v>108</v>
      </c>
      <c r="N92" s="166">
        <v>263</v>
      </c>
      <c r="O92" s="166">
        <v>4723</v>
      </c>
      <c r="P92" s="165">
        <v>40</v>
      </c>
      <c r="Q92" s="166">
        <v>187</v>
      </c>
      <c r="R92" s="166">
        <v>224</v>
      </c>
      <c r="S92" s="166">
        <v>417</v>
      </c>
    </row>
    <row r="93" spans="1:19" x14ac:dyDescent="0.45">
      <c r="A93" s="165">
        <v>46</v>
      </c>
      <c r="B93" s="166">
        <v>71</v>
      </c>
      <c r="C93" s="166">
        <v>132</v>
      </c>
      <c r="D93" s="166">
        <v>205</v>
      </c>
      <c r="E93" s="166">
        <v>3776</v>
      </c>
      <c r="F93" s="165">
        <v>48</v>
      </c>
      <c r="G93" s="166">
        <v>195</v>
      </c>
      <c r="H93" s="166">
        <v>235</v>
      </c>
      <c r="I93" s="166">
        <v>435</v>
      </c>
      <c r="J93" s="166">
        <v>6710</v>
      </c>
      <c r="K93" s="165">
        <v>48</v>
      </c>
      <c r="L93" s="166">
        <v>154</v>
      </c>
      <c r="M93" s="166">
        <v>105</v>
      </c>
      <c r="N93" s="166">
        <v>265</v>
      </c>
      <c r="O93" s="166">
        <v>4988</v>
      </c>
      <c r="P93" s="165">
        <v>39</v>
      </c>
      <c r="Q93" s="166">
        <v>203</v>
      </c>
      <c r="R93" s="166">
        <v>198</v>
      </c>
      <c r="S93" s="166">
        <v>410</v>
      </c>
    </row>
    <row r="94" spans="1:19" x14ac:dyDescent="0.45">
      <c r="A94" s="165">
        <v>45</v>
      </c>
      <c r="B94" s="166">
        <v>75</v>
      </c>
      <c r="C94" s="166">
        <v>124</v>
      </c>
      <c r="D94" s="166">
        <v>201</v>
      </c>
      <c r="E94" s="166">
        <v>3977</v>
      </c>
      <c r="F94" s="165">
        <v>47</v>
      </c>
      <c r="G94" s="166">
        <v>190</v>
      </c>
      <c r="H94" s="166">
        <v>244</v>
      </c>
      <c r="I94" s="166">
        <v>439</v>
      </c>
      <c r="J94" s="166">
        <v>7149</v>
      </c>
      <c r="K94" s="165">
        <v>47</v>
      </c>
      <c r="L94" s="166">
        <v>169</v>
      </c>
      <c r="M94" s="166">
        <v>92</v>
      </c>
      <c r="N94" s="166">
        <v>272</v>
      </c>
      <c r="O94" s="166">
        <v>5260</v>
      </c>
      <c r="P94" s="165">
        <v>38</v>
      </c>
      <c r="Q94" s="166">
        <v>167</v>
      </c>
      <c r="R94" s="166">
        <v>193</v>
      </c>
      <c r="S94" s="166">
        <v>368</v>
      </c>
    </row>
    <row r="95" spans="1:19" x14ac:dyDescent="0.45">
      <c r="A95" s="165">
        <v>44</v>
      </c>
      <c r="B95" s="166">
        <v>70</v>
      </c>
      <c r="C95" s="166">
        <v>108</v>
      </c>
      <c r="D95" s="166">
        <v>181</v>
      </c>
      <c r="E95" s="166">
        <v>4158</v>
      </c>
      <c r="F95" s="165">
        <v>45</v>
      </c>
      <c r="G95" s="166">
        <v>175</v>
      </c>
      <c r="H95" s="166">
        <v>218</v>
      </c>
      <c r="I95" s="166">
        <v>399</v>
      </c>
      <c r="J95" s="166">
        <v>7548</v>
      </c>
      <c r="K95" s="165">
        <v>46</v>
      </c>
      <c r="L95" s="166">
        <v>168</v>
      </c>
      <c r="M95" s="166">
        <v>114</v>
      </c>
      <c r="N95" s="166">
        <v>284</v>
      </c>
      <c r="O95" s="166">
        <v>5544</v>
      </c>
      <c r="P95" s="165">
        <v>37</v>
      </c>
      <c r="Q95" s="166">
        <v>527</v>
      </c>
      <c r="R95" s="166">
        <v>315</v>
      </c>
      <c r="S95" s="166">
        <v>860</v>
      </c>
    </row>
    <row r="96" spans="1:19" x14ac:dyDescent="0.45">
      <c r="A96" s="165">
        <v>43</v>
      </c>
      <c r="B96" s="166">
        <v>89</v>
      </c>
      <c r="C96" s="166">
        <v>129</v>
      </c>
      <c r="D96" s="166">
        <v>221</v>
      </c>
      <c r="E96" s="166">
        <v>4379</v>
      </c>
      <c r="F96" s="165">
        <v>44</v>
      </c>
      <c r="G96" s="166">
        <v>200</v>
      </c>
      <c r="H96" s="166">
        <v>233</v>
      </c>
      <c r="I96" s="166">
        <v>440</v>
      </c>
      <c r="J96" s="166">
        <v>7988</v>
      </c>
      <c r="K96" s="165">
        <v>45</v>
      </c>
      <c r="L96" s="166">
        <v>183</v>
      </c>
      <c r="M96" s="166">
        <v>104</v>
      </c>
      <c r="N96" s="166">
        <v>293</v>
      </c>
      <c r="O96" s="166">
        <v>5837</v>
      </c>
      <c r="P96" s="165">
        <v>36</v>
      </c>
      <c r="Q96" s="166">
        <v>184</v>
      </c>
      <c r="R96" s="166">
        <v>171</v>
      </c>
      <c r="S96" s="166">
        <v>362</v>
      </c>
    </row>
    <row r="97" spans="1:19" x14ac:dyDescent="0.45">
      <c r="A97" s="165">
        <v>42</v>
      </c>
      <c r="B97" s="166">
        <v>97</v>
      </c>
      <c r="C97" s="166">
        <v>96</v>
      </c>
      <c r="D97" s="166">
        <v>196</v>
      </c>
      <c r="E97" s="166">
        <v>4575</v>
      </c>
      <c r="F97" s="165">
        <v>43</v>
      </c>
      <c r="G97" s="166">
        <v>158</v>
      </c>
      <c r="H97" s="166">
        <v>179</v>
      </c>
      <c r="I97" s="166">
        <v>340</v>
      </c>
      <c r="J97" s="166">
        <v>8328</v>
      </c>
      <c r="K97" s="165">
        <v>44</v>
      </c>
      <c r="L97" s="166">
        <v>180</v>
      </c>
      <c r="M97" s="166">
        <v>126</v>
      </c>
      <c r="N97" s="166">
        <v>311</v>
      </c>
      <c r="O97" s="166">
        <v>6148</v>
      </c>
      <c r="P97" s="165">
        <v>35</v>
      </c>
      <c r="Q97" s="166">
        <v>160</v>
      </c>
      <c r="R97" s="166">
        <v>133</v>
      </c>
      <c r="S97" s="166">
        <v>296</v>
      </c>
    </row>
    <row r="98" spans="1:19" x14ac:dyDescent="0.45">
      <c r="A98" s="165">
        <v>41</v>
      </c>
      <c r="B98" s="166">
        <v>114</v>
      </c>
      <c r="C98" s="166">
        <v>119</v>
      </c>
      <c r="D98" s="166">
        <v>239</v>
      </c>
      <c r="E98" s="166">
        <v>4814</v>
      </c>
      <c r="F98" s="165">
        <v>42</v>
      </c>
      <c r="G98" s="166">
        <v>184</v>
      </c>
      <c r="H98" s="166">
        <v>202</v>
      </c>
      <c r="I98" s="166">
        <v>394</v>
      </c>
      <c r="J98" s="166">
        <v>8722</v>
      </c>
      <c r="K98" s="165">
        <v>43</v>
      </c>
      <c r="L98" s="166">
        <v>179</v>
      </c>
      <c r="M98" s="166">
        <v>100</v>
      </c>
      <c r="N98" s="166">
        <v>288</v>
      </c>
      <c r="O98" s="166">
        <v>6436</v>
      </c>
      <c r="P98" s="165">
        <v>34</v>
      </c>
      <c r="Q98" s="166">
        <v>355</v>
      </c>
      <c r="R98" s="166">
        <v>286</v>
      </c>
      <c r="S98" s="166">
        <v>655</v>
      </c>
    </row>
    <row r="99" spans="1:19" x14ac:dyDescent="0.45">
      <c r="A99" s="165">
        <v>40</v>
      </c>
      <c r="B99" s="166">
        <v>222</v>
      </c>
      <c r="C99" s="166">
        <v>140</v>
      </c>
      <c r="D99" s="166">
        <v>373</v>
      </c>
      <c r="E99" s="166">
        <v>5187</v>
      </c>
      <c r="F99" s="165">
        <v>41</v>
      </c>
      <c r="G99" s="166">
        <v>166</v>
      </c>
      <c r="H99" s="166">
        <v>178</v>
      </c>
      <c r="I99" s="166">
        <v>351</v>
      </c>
      <c r="J99" s="166">
        <v>9073</v>
      </c>
      <c r="K99" s="165">
        <v>42</v>
      </c>
      <c r="L99" s="166">
        <v>175</v>
      </c>
      <c r="M99" s="166">
        <v>132</v>
      </c>
      <c r="N99" s="166">
        <v>310</v>
      </c>
      <c r="O99" s="166">
        <v>6746</v>
      </c>
      <c r="P99" s="165">
        <v>33</v>
      </c>
      <c r="Q99" s="166">
        <v>272</v>
      </c>
      <c r="R99" s="166">
        <v>158</v>
      </c>
      <c r="S99" s="166">
        <v>437</v>
      </c>
    </row>
    <row r="100" spans="1:19" x14ac:dyDescent="0.45">
      <c r="A100" s="165">
        <v>39</v>
      </c>
      <c r="B100" s="166">
        <v>76</v>
      </c>
      <c r="C100" s="166">
        <v>88</v>
      </c>
      <c r="D100" s="166">
        <v>167</v>
      </c>
      <c r="E100" s="166">
        <v>5354</v>
      </c>
      <c r="F100" s="165">
        <v>40</v>
      </c>
      <c r="G100" s="166">
        <v>209</v>
      </c>
      <c r="H100" s="166">
        <v>209</v>
      </c>
      <c r="I100" s="166">
        <v>423</v>
      </c>
      <c r="J100" s="166">
        <v>9496</v>
      </c>
      <c r="K100" s="165">
        <v>41</v>
      </c>
      <c r="L100" s="166">
        <v>207</v>
      </c>
      <c r="M100" s="166">
        <v>98</v>
      </c>
      <c r="N100" s="166">
        <v>313</v>
      </c>
      <c r="O100" s="166">
        <v>7059</v>
      </c>
      <c r="P100" s="165">
        <v>32</v>
      </c>
      <c r="Q100" s="166">
        <v>167</v>
      </c>
      <c r="R100" s="166">
        <v>123</v>
      </c>
      <c r="S100" s="166">
        <v>296</v>
      </c>
    </row>
    <row r="101" spans="1:19" x14ac:dyDescent="0.45">
      <c r="A101" s="165">
        <v>38</v>
      </c>
      <c r="B101" s="166">
        <v>177</v>
      </c>
      <c r="C101" s="166">
        <v>137</v>
      </c>
      <c r="D101" s="166">
        <v>319</v>
      </c>
      <c r="E101" s="166">
        <v>5673</v>
      </c>
      <c r="F101" s="165">
        <v>39</v>
      </c>
      <c r="G101" s="166">
        <v>157</v>
      </c>
      <c r="H101" s="166">
        <v>141</v>
      </c>
      <c r="I101" s="166">
        <v>304</v>
      </c>
      <c r="J101" s="166">
        <v>9800</v>
      </c>
      <c r="K101" s="165">
        <v>40</v>
      </c>
      <c r="L101" s="166">
        <v>203</v>
      </c>
      <c r="M101" s="166">
        <v>121</v>
      </c>
      <c r="N101" s="166">
        <v>331</v>
      </c>
      <c r="O101" s="166">
        <v>7390</v>
      </c>
      <c r="P101" s="165">
        <v>31</v>
      </c>
      <c r="Q101" s="166">
        <v>75</v>
      </c>
      <c r="R101" s="166">
        <v>56</v>
      </c>
      <c r="S101" s="166">
        <v>132</v>
      </c>
    </row>
    <row r="102" spans="1:19" x14ac:dyDescent="0.45">
      <c r="A102" s="165">
        <v>37</v>
      </c>
      <c r="B102" s="166">
        <v>68</v>
      </c>
      <c r="C102" s="166">
        <v>61</v>
      </c>
      <c r="D102" s="166">
        <v>131</v>
      </c>
      <c r="E102" s="166">
        <v>5804</v>
      </c>
      <c r="F102" s="165">
        <v>38</v>
      </c>
      <c r="G102" s="166">
        <v>122</v>
      </c>
      <c r="H102" s="166">
        <v>131</v>
      </c>
      <c r="I102" s="166">
        <v>256</v>
      </c>
      <c r="J102" s="166">
        <v>10056</v>
      </c>
      <c r="K102" s="165">
        <v>39</v>
      </c>
      <c r="L102" s="166">
        <v>426</v>
      </c>
      <c r="M102" s="166">
        <v>157</v>
      </c>
      <c r="N102" s="166">
        <v>600</v>
      </c>
      <c r="O102" s="166">
        <v>7990</v>
      </c>
      <c r="P102" s="165">
        <v>30</v>
      </c>
      <c r="Q102" s="166">
        <v>43</v>
      </c>
      <c r="R102" s="166">
        <v>26</v>
      </c>
      <c r="S102" s="166">
        <v>71</v>
      </c>
    </row>
    <row r="103" spans="1:19" x14ac:dyDescent="0.45">
      <c r="A103" s="165">
        <v>36</v>
      </c>
      <c r="B103" s="166">
        <v>87</v>
      </c>
      <c r="C103" s="166">
        <v>102</v>
      </c>
      <c r="D103" s="166">
        <v>191</v>
      </c>
      <c r="E103" s="166">
        <v>5995</v>
      </c>
      <c r="F103" s="165">
        <v>37</v>
      </c>
      <c r="G103" s="166">
        <v>202</v>
      </c>
      <c r="H103" s="166">
        <v>177</v>
      </c>
      <c r="I103" s="166">
        <v>384</v>
      </c>
      <c r="J103" s="166">
        <v>10440</v>
      </c>
      <c r="K103" s="165">
        <v>38</v>
      </c>
      <c r="L103" s="166">
        <v>273</v>
      </c>
      <c r="M103" s="166">
        <v>117</v>
      </c>
      <c r="N103" s="166">
        <v>399</v>
      </c>
      <c r="O103" s="166">
        <v>8389</v>
      </c>
      <c r="P103" s="165">
        <v>29</v>
      </c>
      <c r="Q103" s="166">
        <v>63</v>
      </c>
      <c r="R103" s="166">
        <v>44</v>
      </c>
      <c r="S103" s="166">
        <v>112</v>
      </c>
    </row>
    <row r="104" spans="1:19" x14ac:dyDescent="0.45">
      <c r="A104" s="165">
        <v>35</v>
      </c>
      <c r="B104" s="166">
        <v>26</v>
      </c>
      <c r="C104" s="166">
        <v>28</v>
      </c>
      <c r="D104" s="166">
        <v>55</v>
      </c>
      <c r="E104" s="166">
        <v>6050</v>
      </c>
      <c r="F104" s="165">
        <v>36</v>
      </c>
      <c r="G104" s="166">
        <v>115</v>
      </c>
      <c r="H104" s="166">
        <v>82</v>
      </c>
      <c r="I104" s="166">
        <v>201</v>
      </c>
      <c r="J104" s="166">
        <v>10641</v>
      </c>
      <c r="K104" s="165">
        <v>37</v>
      </c>
      <c r="L104" s="166">
        <v>188</v>
      </c>
      <c r="M104" s="166">
        <v>68</v>
      </c>
      <c r="N104" s="166">
        <v>263</v>
      </c>
      <c r="O104" s="166">
        <v>8652</v>
      </c>
      <c r="P104" s="165">
        <v>28</v>
      </c>
      <c r="Q104" s="166">
        <v>51</v>
      </c>
      <c r="R104" s="166">
        <v>30</v>
      </c>
      <c r="S104" s="166">
        <v>82</v>
      </c>
    </row>
    <row r="105" spans="1:19" x14ac:dyDescent="0.45">
      <c r="A105" s="165">
        <v>34</v>
      </c>
      <c r="B105" s="166">
        <v>23</v>
      </c>
      <c r="C105" s="166">
        <v>26</v>
      </c>
      <c r="D105" s="166">
        <v>50</v>
      </c>
      <c r="E105" s="166">
        <v>6100</v>
      </c>
      <c r="F105" s="165">
        <v>35</v>
      </c>
      <c r="G105" s="166">
        <v>289</v>
      </c>
      <c r="H105" s="166">
        <v>127</v>
      </c>
      <c r="I105" s="166">
        <v>428</v>
      </c>
      <c r="J105" s="166">
        <v>11069</v>
      </c>
      <c r="K105" s="165">
        <v>36</v>
      </c>
      <c r="L105" s="166">
        <v>105</v>
      </c>
      <c r="M105" s="166">
        <v>62</v>
      </c>
      <c r="N105" s="166">
        <v>171</v>
      </c>
      <c r="O105" s="166">
        <v>8823</v>
      </c>
      <c r="P105" s="165">
        <v>27</v>
      </c>
      <c r="Q105" s="166">
        <v>21</v>
      </c>
      <c r="R105" s="166">
        <v>8</v>
      </c>
      <c r="S105" s="166">
        <v>30</v>
      </c>
    </row>
    <row r="106" spans="1:19" x14ac:dyDescent="0.45">
      <c r="A106" s="165">
        <v>33</v>
      </c>
      <c r="B106" s="166">
        <v>8</v>
      </c>
      <c r="C106" s="166">
        <v>9</v>
      </c>
      <c r="D106" s="166">
        <v>17</v>
      </c>
      <c r="E106" s="166">
        <v>6117</v>
      </c>
      <c r="F106" s="165">
        <v>34</v>
      </c>
      <c r="G106" s="166">
        <v>63</v>
      </c>
      <c r="H106" s="166">
        <v>46</v>
      </c>
      <c r="I106" s="166">
        <v>112</v>
      </c>
      <c r="J106" s="166">
        <v>11181</v>
      </c>
      <c r="K106" s="165">
        <v>35</v>
      </c>
      <c r="L106" s="166">
        <v>147</v>
      </c>
      <c r="M106" s="166">
        <v>59</v>
      </c>
      <c r="N106" s="166">
        <v>211</v>
      </c>
      <c r="O106" s="166">
        <v>9034</v>
      </c>
      <c r="P106" s="165">
        <v>25</v>
      </c>
      <c r="Q106" s="166">
        <v>6</v>
      </c>
      <c r="R106" s="166">
        <v>6</v>
      </c>
      <c r="S106" s="166">
        <v>12</v>
      </c>
    </row>
    <row r="107" spans="1:19" x14ac:dyDescent="0.45">
      <c r="A107" s="165">
        <v>32</v>
      </c>
      <c r="B107" s="166">
        <v>7</v>
      </c>
      <c r="C107" s="166">
        <v>12</v>
      </c>
      <c r="D107" s="166">
        <v>19</v>
      </c>
      <c r="E107" s="166">
        <v>6136</v>
      </c>
      <c r="F107" s="165">
        <v>33</v>
      </c>
      <c r="G107" s="166">
        <v>34</v>
      </c>
      <c r="H107" s="166">
        <v>41</v>
      </c>
      <c r="I107" s="166">
        <v>76</v>
      </c>
      <c r="J107" s="166">
        <v>11257</v>
      </c>
      <c r="K107" s="165">
        <v>34</v>
      </c>
      <c r="L107" s="166">
        <v>50</v>
      </c>
      <c r="M107" s="166">
        <v>18</v>
      </c>
      <c r="N107" s="166">
        <v>69</v>
      </c>
      <c r="O107" s="166">
        <v>9103</v>
      </c>
      <c r="P107" s="165"/>
      <c r="Q107" s="166"/>
      <c r="R107" s="166"/>
      <c r="S107" s="166"/>
    </row>
    <row r="108" spans="1:19" x14ac:dyDescent="0.45">
      <c r="A108" s="165">
        <v>30</v>
      </c>
      <c r="B108" s="166">
        <v>4</v>
      </c>
      <c r="C108" s="166">
        <v>2</v>
      </c>
      <c r="D108" s="166">
        <v>7</v>
      </c>
      <c r="E108" s="166">
        <v>6143</v>
      </c>
      <c r="F108" s="165">
        <v>32</v>
      </c>
      <c r="G108" s="166">
        <v>36</v>
      </c>
      <c r="H108" s="166">
        <v>28</v>
      </c>
      <c r="I108" s="166">
        <v>66</v>
      </c>
      <c r="J108" s="166">
        <v>11323</v>
      </c>
      <c r="K108" s="165">
        <v>33</v>
      </c>
      <c r="L108" s="166">
        <v>28</v>
      </c>
      <c r="M108" s="166">
        <v>13</v>
      </c>
      <c r="N108" s="166">
        <v>41</v>
      </c>
      <c r="O108" s="166">
        <v>9144</v>
      </c>
      <c r="P108" s="165"/>
      <c r="Q108" s="166"/>
      <c r="R108" s="166"/>
      <c r="S108" s="166"/>
    </row>
    <row r="109" spans="1:19" x14ac:dyDescent="0.45">
      <c r="A109" s="165"/>
      <c r="B109" s="166"/>
      <c r="C109" s="166"/>
      <c r="D109" s="166"/>
      <c r="E109" s="166"/>
      <c r="F109" s="165">
        <v>31</v>
      </c>
      <c r="G109" s="166">
        <v>24</v>
      </c>
      <c r="H109" s="166">
        <v>15</v>
      </c>
      <c r="I109" s="166">
        <v>40</v>
      </c>
      <c r="J109" s="166">
        <v>11363</v>
      </c>
      <c r="K109" s="165">
        <v>32</v>
      </c>
      <c r="L109" s="166">
        <v>24</v>
      </c>
      <c r="M109" s="166">
        <v>10</v>
      </c>
      <c r="N109" s="166">
        <v>36</v>
      </c>
      <c r="O109" s="166">
        <v>9180</v>
      </c>
      <c r="P109" s="165"/>
      <c r="Q109" s="166"/>
      <c r="R109" s="166"/>
      <c r="S109" s="166"/>
    </row>
    <row r="110" spans="1:19" x14ac:dyDescent="0.45">
      <c r="A110" s="165"/>
      <c r="B110" s="166"/>
      <c r="C110" s="166"/>
      <c r="D110" s="166"/>
      <c r="E110" s="166"/>
      <c r="F110" s="165">
        <v>30</v>
      </c>
      <c r="G110" s="166">
        <v>8</v>
      </c>
      <c r="H110" s="166">
        <v>4</v>
      </c>
      <c r="I110" s="166">
        <v>12</v>
      </c>
      <c r="J110" s="166">
        <v>11375</v>
      </c>
      <c r="K110" s="165">
        <v>30</v>
      </c>
      <c r="L110" s="166">
        <v>11</v>
      </c>
      <c r="M110" s="166">
        <v>6</v>
      </c>
      <c r="N110" s="166">
        <v>18</v>
      </c>
      <c r="O110" s="166">
        <v>9198</v>
      </c>
      <c r="P110" s="165"/>
      <c r="Q110" s="166"/>
      <c r="R110" s="166"/>
      <c r="S110" s="166"/>
    </row>
    <row r="111" spans="1:19" x14ac:dyDescent="0.45">
      <c r="A111" s="165"/>
      <c r="B111" s="166"/>
      <c r="C111" s="166"/>
      <c r="D111" s="166"/>
      <c r="E111" s="166"/>
      <c r="F111" s="165">
        <v>29</v>
      </c>
      <c r="G111" s="166">
        <v>11</v>
      </c>
      <c r="H111" s="166">
        <v>12</v>
      </c>
      <c r="I111" s="166">
        <v>23</v>
      </c>
      <c r="J111" s="166">
        <v>11398</v>
      </c>
      <c r="K111" s="165"/>
      <c r="L111" s="166"/>
      <c r="M111" s="166"/>
      <c r="N111" s="166"/>
      <c r="O111" s="166"/>
      <c r="P111" s="165"/>
      <c r="Q111" s="166"/>
      <c r="R111" s="166"/>
      <c r="S111" s="166"/>
    </row>
    <row r="112" spans="1:19" x14ac:dyDescent="0.45">
      <c r="A112" s="166"/>
      <c r="B112" s="166"/>
      <c r="C112" s="166"/>
      <c r="D112" s="166"/>
      <c r="E112" s="166"/>
      <c r="F112" s="165">
        <v>27</v>
      </c>
      <c r="G112" s="166">
        <v>7</v>
      </c>
      <c r="H112" s="166">
        <v>4</v>
      </c>
      <c r="I112" s="166">
        <v>11</v>
      </c>
      <c r="J112" s="166">
        <v>11409</v>
      </c>
      <c r="K112" s="165"/>
      <c r="L112" s="166"/>
      <c r="M112" s="166"/>
      <c r="N112" s="166"/>
      <c r="O112" s="166"/>
      <c r="P112" s="165"/>
      <c r="Q112" s="166"/>
      <c r="R112" s="166"/>
      <c r="S112" s="166"/>
    </row>
    <row r="118" spans="1:5" ht="17.5" thickBot="1" x14ac:dyDescent="0.5"/>
    <row r="119" spans="1:5" x14ac:dyDescent="0.45">
      <c r="A119" s="45" t="s">
        <v>16</v>
      </c>
      <c r="B119" s="46"/>
      <c r="C119" s="46"/>
      <c r="D119" s="47"/>
    </row>
    <row r="120" spans="1:5" x14ac:dyDescent="0.45">
      <c r="A120" s="6" t="s">
        <v>6</v>
      </c>
      <c r="B120" s="1"/>
      <c r="C120" s="1"/>
      <c r="D120" s="7" t="s">
        <v>7</v>
      </c>
    </row>
    <row r="121" spans="1:5" x14ac:dyDescent="0.45">
      <c r="A121" s="165">
        <v>69</v>
      </c>
      <c r="B121" s="166">
        <v>118</v>
      </c>
      <c r="C121" s="166">
        <v>247</v>
      </c>
      <c r="D121" s="166">
        <v>367</v>
      </c>
      <c r="E121" s="166">
        <v>367</v>
      </c>
    </row>
    <row r="122" spans="1:5" x14ac:dyDescent="0.45">
      <c r="A122" s="165">
        <v>67</v>
      </c>
      <c r="B122" s="166">
        <v>56</v>
      </c>
      <c r="C122" s="166">
        <v>118</v>
      </c>
      <c r="D122" s="166">
        <v>174</v>
      </c>
      <c r="E122" s="166">
        <v>541</v>
      </c>
    </row>
    <row r="123" spans="1:5" x14ac:dyDescent="0.45">
      <c r="A123" s="165">
        <v>66</v>
      </c>
      <c r="B123" s="166">
        <v>232</v>
      </c>
      <c r="C123" s="166">
        <v>454</v>
      </c>
      <c r="D123" s="166">
        <v>691</v>
      </c>
      <c r="E123" s="166">
        <v>1232</v>
      </c>
    </row>
    <row r="124" spans="1:5" x14ac:dyDescent="0.45">
      <c r="A124" s="165">
        <v>65</v>
      </c>
      <c r="B124" s="166">
        <v>11</v>
      </c>
      <c r="C124" s="166">
        <v>20</v>
      </c>
      <c r="D124" s="166">
        <v>31</v>
      </c>
      <c r="E124" s="166">
        <v>1263</v>
      </c>
    </row>
    <row r="125" spans="1:5" x14ac:dyDescent="0.45">
      <c r="A125" s="165">
        <v>64</v>
      </c>
      <c r="B125" s="166">
        <v>477</v>
      </c>
      <c r="C125" s="166">
        <v>1095</v>
      </c>
      <c r="D125" s="166">
        <v>1585</v>
      </c>
      <c r="E125" s="166">
        <v>2848</v>
      </c>
    </row>
    <row r="126" spans="1:5" x14ac:dyDescent="0.45">
      <c r="A126" s="165">
        <v>63</v>
      </c>
      <c r="B126" s="166">
        <v>86</v>
      </c>
      <c r="C126" s="166">
        <v>137</v>
      </c>
      <c r="D126" s="166">
        <v>226</v>
      </c>
      <c r="E126" s="166">
        <v>3074</v>
      </c>
    </row>
    <row r="127" spans="1:5" x14ac:dyDescent="0.45">
      <c r="A127" s="165">
        <v>62</v>
      </c>
      <c r="B127" s="166">
        <v>316</v>
      </c>
      <c r="C127" s="166">
        <v>742</v>
      </c>
      <c r="D127" s="166">
        <v>1071</v>
      </c>
      <c r="E127" s="166">
        <v>4145</v>
      </c>
    </row>
    <row r="128" spans="1:5" x14ac:dyDescent="0.45">
      <c r="A128" s="165">
        <v>61</v>
      </c>
      <c r="B128" s="166">
        <v>319</v>
      </c>
      <c r="C128" s="166">
        <v>889</v>
      </c>
      <c r="D128" s="166">
        <v>1224</v>
      </c>
      <c r="E128" s="166">
        <v>5369</v>
      </c>
    </row>
    <row r="129" spans="1:5" x14ac:dyDescent="0.45">
      <c r="A129" s="165">
        <v>60</v>
      </c>
      <c r="B129" s="166">
        <v>174</v>
      </c>
      <c r="C129" s="166">
        <v>393</v>
      </c>
      <c r="D129" s="166">
        <v>575</v>
      </c>
      <c r="E129" s="166">
        <v>5944</v>
      </c>
    </row>
    <row r="130" spans="1:5" x14ac:dyDescent="0.45">
      <c r="A130" s="165">
        <v>59</v>
      </c>
      <c r="B130" s="166">
        <v>417</v>
      </c>
      <c r="C130" s="166">
        <v>1120</v>
      </c>
      <c r="D130" s="166">
        <v>1561</v>
      </c>
      <c r="E130" s="166">
        <v>7505</v>
      </c>
    </row>
    <row r="131" spans="1:5" x14ac:dyDescent="0.45">
      <c r="A131" s="165">
        <v>58</v>
      </c>
      <c r="B131" s="166">
        <v>263</v>
      </c>
      <c r="C131" s="166">
        <v>741</v>
      </c>
      <c r="D131" s="166">
        <v>1010</v>
      </c>
      <c r="E131" s="166">
        <v>8515</v>
      </c>
    </row>
    <row r="132" spans="1:5" x14ac:dyDescent="0.45">
      <c r="A132" s="165">
        <v>57</v>
      </c>
      <c r="B132" s="166">
        <v>340</v>
      </c>
      <c r="C132" s="166">
        <v>827</v>
      </c>
      <c r="D132" s="166">
        <v>1180</v>
      </c>
      <c r="E132" s="166">
        <v>9695</v>
      </c>
    </row>
    <row r="133" spans="1:5" x14ac:dyDescent="0.45">
      <c r="A133" s="165">
        <v>56</v>
      </c>
      <c r="B133" s="166">
        <v>418</v>
      </c>
      <c r="C133" s="166">
        <v>1215</v>
      </c>
      <c r="D133" s="166">
        <v>1653</v>
      </c>
      <c r="E133" s="166">
        <v>11348</v>
      </c>
    </row>
    <row r="134" spans="1:5" x14ac:dyDescent="0.45">
      <c r="A134" s="165">
        <v>55</v>
      </c>
      <c r="B134" s="166">
        <v>710</v>
      </c>
      <c r="C134" s="166">
        <v>1795</v>
      </c>
      <c r="D134" s="166">
        <v>2532</v>
      </c>
      <c r="E134" s="166">
        <v>13880</v>
      </c>
    </row>
    <row r="135" spans="1:5" x14ac:dyDescent="0.45">
      <c r="A135" s="165">
        <v>54</v>
      </c>
      <c r="B135" s="166">
        <v>383</v>
      </c>
      <c r="C135" s="166">
        <v>888</v>
      </c>
      <c r="D135" s="166">
        <v>1282</v>
      </c>
      <c r="E135" s="166">
        <v>15162</v>
      </c>
    </row>
    <row r="136" spans="1:5" x14ac:dyDescent="0.45">
      <c r="A136" s="165">
        <v>53</v>
      </c>
      <c r="B136" s="166">
        <v>329</v>
      </c>
      <c r="C136" s="166">
        <v>807</v>
      </c>
      <c r="D136" s="166">
        <v>1150</v>
      </c>
      <c r="E136" s="166">
        <v>16312</v>
      </c>
    </row>
    <row r="137" spans="1:5" x14ac:dyDescent="0.45">
      <c r="A137" s="165">
        <v>52</v>
      </c>
      <c r="B137" s="166">
        <v>382</v>
      </c>
      <c r="C137" s="166">
        <v>938</v>
      </c>
      <c r="D137" s="166">
        <v>1339</v>
      </c>
      <c r="E137" s="166">
        <v>17651</v>
      </c>
    </row>
    <row r="138" spans="1:5" x14ac:dyDescent="0.45">
      <c r="A138" s="165">
        <v>51</v>
      </c>
      <c r="B138" s="166">
        <v>307</v>
      </c>
      <c r="C138" s="166">
        <v>671</v>
      </c>
      <c r="D138" s="166">
        <v>993</v>
      </c>
      <c r="E138" s="166">
        <v>18644</v>
      </c>
    </row>
    <row r="139" spans="1:5" x14ac:dyDescent="0.45">
      <c r="A139" s="165">
        <v>50</v>
      </c>
      <c r="B139" s="166">
        <v>388</v>
      </c>
      <c r="C139" s="166">
        <v>805</v>
      </c>
      <c r="D139" s="166">
        <v>1205</v>
      </c>
      <c r="E139" s="166">
        <v>19849</v>
      </c>
    </row>
    <row r="140" spans="1:5" x14ac:dyDescent="0.45">
      <c r="A140" s="165">
        <v>49</v>
      </c>
      <c r="B140" s="166">
        <v>303</v>
      </c>
      <c r="C140" s="166">
        <v>691</v>
      </c>
      <c r="D140" s="166">
        <v>1007</v>
      </c>
      <c r="E140" s="166">
        <v>20856</v>
      </c>
    </row>
    <row r="141" spans="1:5" x14ac:dyDescent="0.45">
      <c r="A141" s="165">
        <v>48</v>
      </c>
      <c r="B141" s="166">
        <v>290</v>
      </c>
      <c r="C141" s="166">
        <v>691</v>
      </c>
      <c r="D141" s="166">
        <v>986</v>
      </c>
      <c r="E141" s="166">
        <v>21842</v>
      </c>
    </row>
    <row r="142" spans="1:5" x14ac:dyDescent="0.45">
      <c r="A142" s="165">
        <v>47</v>
      </c>
      <c r="B142" s="166">
        <v>292</v>
      </c>
      <c r="C142" s="166">
        <v>668</v>
      </c>
      <c r="D142" s="166">
        <v>972</v>
      </c>
      <c r="E142" s="166">
        <v>22814</v>
      </c>
    </row>
    <row r="143" spans="1:5" x14ac:dyDescent="0.45">
      <c r="A143" s="165">
        <v>46</v>
      </c>
      <c r="B143" s="166">
        <v>548</v>
      </c>
      <c r="C143" s="166">
        <v>1103</v>
      </c>
      <c r="D143" s="166">
        <v>1676</v>
      </c>
      <c r="E143" s="166">
        <v>24490</v>
      </c>
    </row>
    <row r="144" spans="1:5" x14ac:dyDescent="0.45">
      <c r="A144" s="165">
        <v>45</v>
      </c>
      <c r="B144" s="166">
        <v>238</v>
      </c>
      <c r="C144" s="166">
        <v>418</v>
      </c>
      <c r="D144" s="166">
        <v>666</v>
      </c>
      <c r="E144" s="166">
        <v>25156</v>
      </c>
    </row>
    <row r="145" spans="1:5" x14ac:dyDescent="0.45">
      <c r="A145" s="165">
        <v>44</v>
      </c>
      <c r="B145" s="166">
        <v>239</v>
      </c>
      <c r="C145" s="166">
        <v>434</v>
      </c>
      <c r="D145" s="166">
        <v>685</v>
      </c>
      <c r="E145" s="166">
        <v>25841</v>
      </c>
    </row>
    <row r="146" spans="1:5" x14ac:dyDescent="0.45">
      <c r="A146" s="165">
        <v>43</v>
      </c>
      <c r="B146" s="166">
        <v>235</v>
      </c>
      <c r="C146" s="166">
        <v>392</v>
      </c>
      <c r="D146" s="166">
        <v>636</v>
      </c>
      <c r="E146" s="166">
        <v>26477</v>
      </c>
    </row>
    <row r="147" spans="1:5" x14ac:dyDescent="0.45">
      <c r="A147" s="165">
        <v>42</v>
      </c>
      <c r="B147" s="166">
        <v>189</v>
      </c>
      <c r="C147" s="166">
        <v>313</v>
      </c>
      <c r="D147" s="166">
        <v>509</v>
      </c>
      <c r="E147" s="166">
        <v>26986</v>
      </c>
    </row>
    <row r="148" spans="1:5" x14ac:dyDescent="0.45">
      <c r="A148" s="165">
        <v>41</v>
      </c>
      <c r="B148" s="166">
        <v>210</v>
      </c>
      <c r="C148" s="166">
        <v>377</v>
      </c>
      <c r="D148" s="166">
        <v>598</v>
      </c>
      <c r="E148" s="166">
        <v>27584</v>
      </c>
    </row>
    <row r="149" spans="1:5" x14ac:dyDescent="0.45">
      <c r="A149" s="165">
        <v>40</v>
      </c>
      <c r="B149" s="166">
        <v>192</v>
      </c>
      <c r="C149" s="166">
        <v>306</v>
      </c>
      <c r="D149" s="166">
        <v>504</v>
      </c>
      <c r="E149" s="166">
        <v>28088</v>
      </c>
    </row>
    <row r="150" spans="1:5" x14ac:dyDescent="0.45">
      <c r="A150" s="165">
        <v>39</v>
      </c>
      <c r="B150" s="166">
        <v>198</v>
      </c>
      <c r="C150" s="166">
        <v>291</v>
      </c>
      <c r="D150" s="166">
        <v>496</v>
      </c>
      <c r="E150" s="166">
        <v>28584</v>
      </c>
    </row>
    <row r="151" spans="1:5" x14ac:dyDescent="0.45">
      <c r="A151" s="165">
        <v>38</v>
      </c>
      <c r="B151" s="166">
        <v>203</v>
      </c>
      <c r="C151" s="166">
        <v>293</v>
      </c>
      <c r="D151" s="166">
        <v>506</v>
      </c>
      <c r="E151" s="166">
        <v>29090</v>
      </c>
    </row>
    <row r="152" spans="1:5" x14ac:dyDescent="0.45">
      <c r="A152" s="165">
        <v>37</v>
      </c>
      <c r="B152" s="166">
        <v>413</v>
      </c>
      <c r="C152" s="166">
        <v>494</v>
      </c>
      <c r="D152" s="166">
        <v>921</v>
      </c>
      <c r="E152" s="166">
        <v>30011</v>
      </c>
    </row>
    <row r="153" spans="1:5" x14ac:dyDescent="0.45">
      <c r="A153" s="165">
        <v>36</v>
      </c>
      <c r="B153" s="166">
        <v>203</v>
      </c>
      <c r="C153" s="166">
        <v>230</v>
      </c>
      <c r="D153" s="166">
        <v>444</v>
      </c>
      <c r="E153" s="166">
        <v>30455</v>
      </c>
    </row>
    <row r="154" spans="1:5" x14ac:dyDescent="0.45">
      <c r="A154" s="165">
        <v>35</v>
      </c>
      <c r="B154" s="166">
        <v>229</v>
      </c>
      <c r="C154" s="166">
        <v>229</v>
      </c>
      <c r="D154" s="166">
        <v>464</v>
      </c>
      <c r="E154" s="166">
        <v>30919</v>
      </c>
    </row>
    <row r="155" spans="1:5" x14ac:dyDescent="0.45">
      <c r="A155" s="165">
        <v>34</v>
      </c>
      <c r="B155" s="166">
        <v>653</v>
      </c>
      <c r="C155" s="166">
        <v>458</v>
      </c>
      <c r="D155" s="166">
        <v>1131</v>
      </c>
      <c r="E155" s="166">
        <v>32050</v>
      </c>
    </row>
    <row r="156" spans="1:5" x14ac:dyDescent="0.45">
      <c r="A156" s="165">
        <v>33</v>
      </c>
      <c r="B156" s="166">
        <v>358</v>
      </c>
      <c r="C156" s="166">
        <v>348</v>
      </c>
      <c r="D156" s="166">
        <v>715</v>
      </c>
      <c r="E156" s="166">
        <v>32765</v>
      </c>
    </row>
    <row r="157" spans="1:5" x14ac:dyDescent="0.45">
      <c r="A157" s="165">
        <v>32</v>
      </c>
      <c r="B157" s="166">
        <v>385</v>
      </c>
      <c r="C157" s="166">
        <v>316</v>
      </c>
      <c r="D157" s="166">
        <v>712</v>
      </c>
      <c r="E157" s="166">
        <v>33477</v>
      </c>
    </row>
    <row r="158" spans="1:5" x14ac:dyDescent="0.45">
      <c r="A158" s="165">
        <v>31</v>
      </c>
      <c r="B158" s="166">
        <v>135</v>
      </c>
      <c r="C158" s="166">
        <v>143</v>
      </c>
      <c r="D158" s="166">
        <v>284</v>
      </c>
      <c r="E158" s="166">
        <v>33761</v>
      </c>
    </row>
    <row r="159" spans="1:5" x14ac:dyDescent="0.45">
      <c r="A159" s="165">
        <v>30</v>
      </c>
      <c r="B159" s="166">
        <v>144</v>
      </c>
      <c r="C159" s="166">
        <v>111</v>
      </c>
      <c r="D159" s="166">
        <v>264</v>
      </c>
      <c r="E159" s="166">
        <v>34025</v>
      </c>
    </row>
    <row r="160" spans="1:5" x14ac:dyDescent="0.45">
      <c r="A160" s="165">
        <v>29</v>
      </c>
      <c r="B160" s="166">
        <v>91</v>
      </c>
      <c r="C160" s="166">
        <v>84</v>
      </c>
      <c r="D160" s="166">
        <v>176</v>
      </c>
      <c r="E160" s="166">
        <v>34201</v>
      </c>
    </row>
    <row r="161" spans="1:19" x14ac:dyDescent="0.45">
      <c r="A161" s="165">
        <v>28</v>
      </c>
      <c r="B161" s="166">
        <v>161</v>
      </c>
      <c r="C161" s="166">
        <v>124</v>
      </c>
      <c r="D161" s="166">
        <v>292</v>
      </c>
      <c r="E161" s="166">
        <v>34493</v>
      </c>
    </row>
    <row r="162" spans="1:19" x14ac:dyDescent="0.45">
      <c r="A162" s="165">
        <v>27</v>
      </c>
      <c r="B162" s="166">
        <v>36</v>
      </c>
      <c r="C162" s="166">
        <v>29</v>
      </c>
      <c r="D162" s="166">
        <v>66</v>
      </c>
      <c r="E162" s="166">
        <v>34559</v>
      </c>
    </row>
    <row r="163" spans="1:19" x14ac:dyDescent="0.45">
      <c r="A163" s="165">
        <v>26</v>
      </c>
      <c r="B163" s="166">
        <v>39</v>
      </c>
      <c r="C163" s="166">
        <v>36</v>
      </c>
      <c r="D163" s="166">
        <v>75</v>
      </c>
      <c r="E163" s="166">
        <v>34634</v>
      </c>
    </row>
    <row r="164" spans="1:19" x14ac:dyDescent="0.45">
      <c r="A164" s="165">
        <v>24</v>
      </c>
      <c r="B164" s="166">
        <v>18</v>
      </c>
      <c r="C164" s="166">
        <v>16</v>
      </c>
      <c r="D164" s="166">
        <v>36</v>
      </c>
      <c r="E164" s="166">
        <v>34670</v>
      </c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5" t="s">
        <v>57</v>
      </c>
      <c r="B175" s="46"/>
      <c r="C175" s="46"/>
      <c r="D175" s="47"/>
      <c r="F175" s="45" t="s">
        <v>17</v>
      </c>
      <c r="G175" s="46"/>
      <c r="H175" s="46"/>
      <c r="I175" s="47"/>
      <c r="K175" s="45" t="s">
        <v>18</v>
      </c>
      <c r="L175" s="46"/>
      <c r="M175" s="46"/>
      <c r="N175" s="47"/>
      <c r="P175" s="45" t="s">
        <v>19</v>
      </c>
      <c r="Q175" s="46"/>
      <c r="R175" s="46"/>
      <c r="S175" s="47"/>
    </row>
    <row r="176" spans="1:19" x14ac:dyDescent="0.4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19" x14ac:dyDescent="0.45">
      <c r="A177" s="165">
        <v>70</v>
      </c>
      <c r="B177" s="166">
        <v>653</v>
      </c>
      <c r="C177" s="166">
        <v>127</v>
      </c>
      <c r="D177" s="166">
        <v>796</v>
      </c>
      <c r="E177" s="166">
        <v>796</v>
      </c>
      <c r="F177" s="165">
        <v>73</v>
      </c>
      <c r="G177" s="166">
        <v>663</v>
      </c>
      <c r="H177" s="166">
        <v>301</v>
      </c>
      <c r="I177" s="166">
        <v>977</v>
      </c>
      <c r="J177" s="166">
        <v>977</v>
      </c>
      <c r="K177" s="165">
        <v>69</v>
      </c>
      <c r="L177" s="166">
        <v>914</v>
      </c>
      <c r="M177" s="166">
        <v>710</v>
      </c>
      <c r="N177" s="166">
        <v>1645</v>
      </c>
      <c r="O177" s="166">
        <v>1645</v>
      </c>
      <c r="P177" s="165">
        <v>77</v>
      </c>
      <c r="Q177" s="166">
        <v>126</v>
      </c>
      <c r="R177" s="166">
        <v>42</v>
      </c>
      <c r="S177" s="166">
        <v>171</v>
      </c>
    </row>
    <row r="178" spans="1:19" x14ac:dyDescent="0.45">
      <c r="A178" s="165">
        <v>68</v>
      </c>
      <c r="B178" s="166">
        <v>326</v>
      </c>
      <c r="C178" s="166">
        <v>57</v>
      </c>
      <c r="D178" s="166">
        <v>390</v>
      </c>
      <c r="E178" s="166">
        <v>1186</v>
      </c>
      <c r="F178" s="165">
        <v>71</v>
      </c>
      <c r="G178" s="166">
        <v>398</v>
      </c>
      <c r="H178" s="166">
        <v>171</v>
      </c>
      <c r="I178" s="166">
        <v>580</v>
      </c>
      <c r="J178" s="166">
        <v>1557</v>
      </c>
      <c r="K178" s="165">
        <v>67</v>
      </c>
      <c r="L178" s="166">
        <v>861</v>
      </c>
      <c r="M178" s="166">
        <v>811</v>
      </c>
      <c r="N178" s="166">
        <v>1706</v>
      </c>
      <c r="O178" s="166">
        <v>3351</v>
      </c>
      <c r="P178" s="165">
        <v>75</v>
      </c>
      <c r="Q178" s="166">
        <v>105</v>
      </c>
      <c r="R178" s="166">
        <v>41</v>
      </c>
      <c r="S178" s="166">
        <v>148</v>
      </c>
    </row>
    <row r="179" spans="1:19" x14ac:dyDescent="0.45">
      <c r="A179" s="165">
        <v>67</v>
      </c>
      <c r="B179" s="166">
        <v>717</v>
      </c>
      <c r="C179" s="166">
        <v>135</v>
      </c>
      <c r="D179" s="166">
        <v>873</v>
      </c>
      <c r="E179" s="166">
        <v>2059</v>
      </c>
      <c r="F179" s="165">
        <v>70</v>
      </c>
      <c r="G179" s="166">
        <v>567</v>
      </c>
      <c r="H179" s="166">
        <v>288</v>
      </c>
      <c r="I179" s="166">
        <v>867</v>
      </c>
      <c r="J179" s="166">
        <v>2424</v>
      </c>
      <c r="K179" s="165">
        <v>66</v>
      </c>
      <c r="L179" s="166">
        <v>440</v>
      </c>
      <c r="M179" s="166">
        <v>353</v>
      </c>
      <c r="N179" s="166">
        <v>803</v>
      </c>
      <c r="O179" s="166">
        <v>4154</v>
      </c>
      <c r="P179" s="165">
        <v>74</v>
      </c>
      <c r="Q179" s="166">
        <v>148</v>
      </c>
      <c r="R179" s="166">
        <v>45</v>
      </c>
      <c r="S179" s="166">
        <v>197</v>
      </c>
    </row>
    <row r="180" spans="1:19" x14ac:dyDescent="0.45">
      <c r="A180" s="165">
        <v>66</v>
      </c>
      <c r="B180" s="166">
        <v>79</v>
      </c>
      <c r="C180" s="166">
        <v>15</v>
      </c>
      <c r="D180" s="166">
        <v>97</v>
      </c>
      <c r="E180" s="166">
        <v>2156</v>
      </c>
      <c r="F180" s="165">
        <v>69</v>
      </c>
      <c r="G180" s="166">
        <v>171</v>
      </c>
      <c r="H180" s="166">
        <v>80</v>
      </c>
      <c r="I180" s="166">
        <v>255</v>
      </c>
      <c r="J180" s="166">
        <v>2679</v>
      </c>
      <c r="K180" s="165">
        <v>65</v>
      </c>
      <c r="L180" s="166">
        <v>545</v>
      </c>
      <c r="M180" s="166">
        <v>585</v>
      </c>
      <c r="N180" s="166">
        <v>1144</v>
      </c>
      <c r="O180" s="166">
        <v>5298</v>
      </c>
      <c r="P180" s="165">
        <v>73</v>
      </c>
      <c r="Q180" s="166">
        <v>39</v>
      </c>
      <c r="R180" s="166">
        <v>23</v>
      </c>
      <c r="S180" s="166">
        <v>62</v>
      </c>
    </row>
    <row r="181" spans="1:19" x14ac:dyDescent="0.45">
      <c r="A181" s="165">
        <v>65</v>
      </c>
      <c r="B181" s="166">
        <v>652</v>
      </c>
      <c r="C181" s="166">
        <v>158</v>
      </c>
      <c r="D181" s="166">
        <v>823</v>
      </c>
      <c r="E181" s="166">
        <v>2979</v>
      </c>
      <c r="F181" s="165">
        <v>68</v>
      </c>
      <c r="G181" s="166">
        <v>525</v>
      </c>
      <c r="H181" s="166">
        <v>273</v>
      </c>
      <c r="I181" s="166">
        <v>810</v>
      </c>
      <c r="J181" s="166">
        <v>3489</v>
      </c>
      <c r="K181" s="165">
        <v>64</v>
      </c>
      <c r="L181" s="166">
        <v>829</v>
      </c>
      <c r="M181" s="166">
        <v>837</v>
      </c>
      <c r="N181" s="166">
        <v>1694</v>
      </c>
      <c r="O181" s="166">
        <v>6992</v>
      </c>
      <c r="P181" s="165">
        <v>72</v>
      </c>
      <c r="Q181" s="166">
        <v>195</v>
      </c>
      <c r="R181" s="166">
        <v>95</v>
      </c>
      <c r="S181" s="166">
        <v>295</v>
      </c>
    </row>
    <row r="182" spans="1:19" x14ac:dyDescent="0.45">
      <c r="A182" s="165">
        <v>64</v>
      </c>
      <c r="B182" s="166">
        <v>592</v>
      </c>
      <c r="C182" s="166">
        <v>166</v>
      </c>
      <c r="D182" s="166">
        <v>769</v>
      </c>
      <c r="E182" s="166">
        <v>3748</v>
      </c>
      <c r="F182" s="165">
        <v>67</v>
      </c>
      <c r="G182" s="166">
        <v>487</v>
      </c>
      <c r="H182" s="166">
        <v>298</v>
      </c>
      <c r="I182" s="166">
        <v>795</v>
      </c>
      <c r="J182" s="166">
        <v>4284</v>
      </c>
      <c r="K182" s="165">
        <v>63</v>
      </c>
      <c r="L182" s="166">
        <v>1215</v>
      </c>
      <c r="M182" s="166">
        <v>1394</v>
      </c>
      <c r="N182" s="166">
        <v>2649</v>
      </c>
      <c r="O182" s="166">
        <v>9641</v>
      </c>
      <c r="P182" s="165">
        <v>71</v>
      </c>
      <c r="Q182" s="166">
        <v>143</v>
      </c>
      <c r="R182" s="166">
        <v>45</v>
      </c>
      <c r="S182" s="166">
        <v>194</v>
      </c>
    </row>
    <row r="183" spans="1:19" x14ac:dyDescent="0.45">
      <c r="A183" s="165">
        <v>63</v>
      </c>
      <c r="B183" s="166">
        <v>314</v>
      </c>
      <c r="C183" s="166">
        <v>96</v>
      </c>
      <c r="D183" s="166">
        <v>415</v>
      </c>
      <c r="E183" s="166">
        <v>4163</v>
      </c>
      <c r="F183" s="165">
        <v>66</v>
      </c>
      <c r="G183" s="166">
        <v>341</v>
      </c>
      <c r="H183" s="166">
        <v>184</v>
      </c>
      <c r="I183" s="166">
        <v>530</v>
      </c>
      <c r="J183" s="166">
        <v>4814</v>
      </c>
      <c r="K183" s="165">
        <v>62</v>
      </c>
      <c r="L183" s="166">
        <v>657</v>
      </c>
      <c r="M183" s="166">
        <v>650</v>
      </c>
      <c r="N183" s="166">
        <v>1328</v>
      </c>
      <c r="O183" s="166">
        <v>10969</v>
      </c>
      <c r="P183" s="165">
        <v>70</v>
      </c>
      <c r="Q183" s="166">
        <v>158</v>
      </c>
      <c r="R183" s="166">
        <v>88</v>
      </c>
      <c r="S183" s="166">
        <v>252</v>
      </c>
    </row>
    <row r="184" spans="1:19" x14ac:dyDescent="0.45">
      <c r="A184" s="165">
        <v>62</v>
      </c>
      <c r="B184" s="166">
        <v>784</v>
      </c>
      <c r="C184" s="166">
        <v>198</v>
      </c>
      <c r="D184" s="166">
        <v>1005</v>
      </c>
      <c r="E184" s="166">
        <v>5168</v>
      </c>
      <c r="F184" s="165">
        <v>65</v>
      </c>
      <c r="G184" s="166">
        <v>597</v>
      </c>
      <c r="H184" s="166">
        <v>351</v>
      </c>
      <c r="I184" s="166">
        <v>964</v>
      </c>
      <c r="J184" s="166">
        <v>5778</v>
      </c>
      <c r="K184" s="165">
        <v>61</v>
      </c>
      <c r="L184" s="166">
        <v>718</v>
      </c>
      <c r="M184" s="166">
        <v>784</v>
      </c>
      <c r="N184" s="166">
        <v>1521</v>
      </c>
      <c r="O184" s="166">
        <v>12490</v>
      </c>
      <c r="P184" s="165">
        <v>69</v>
      </c>
      <c r="Q184" s="166">
        <v>274</v>
      </c>
      <c r="R184" s="166">
        <v>138</v>
      </c>
      <c r="S184" s="166">
        <v>423</v>
      </c>
    </row>
    <row r="185" spans="1:19" x14ac:dyDescent="0.45">
      <c r="A185" s="165">
        <v>61</v>
      </c>
      <c r="B185" s="166">
        <v>513</v>
      </c>
      <c r="C185" s="166">
        <v>116</v>
      </c>
      <c r="D185" s="166">
        <v>645</v>
      </c>
      <c r="E185" s="166">
        <v>5813</v>
      </c>
      <c r="F185" s="165">
        <v>64</v>
      </c>
      <c r="G185" s="166">
        <v>427</v>
      </c>
      <c r="H185" s="166">
        <v>284</v>
      </c>
      <c r="I185" s="166">
        <v>729</v>
      </c>
      <c r="J185" s="166">
        <v>6507</v>
      </c>
      <c r="K185" s="165">
        <v>60</v>
      </c>
      <c r="L185" s="166">
        <v>893</v>
      </c>
      <c r="M185" s="166">
        <v>987</v>
      </c>
      <c r="N185" s="166">
        <v>1906</v>
      </c>
      <c r="O185" s="166">
        <v>14396</v>
      </c>
      <c r="P185" s="165">
        <v>68</v>
      </c>
      <c r="Q185" s="166">
        <v>205</v>
      </c>
      <c r="R185" s="166">
        <v>98</v>
      </c>
      <c r="S185" s="166">
        <v>308</v>
      </c>
    </row>
    <row r="186" spans="1:19" x14ac:dyDescent="0.45">
      <c r="A186" s="165">
        <v>60</v>
      </c>
      <c r="B186" s="166">
        <v>663</v>
      </c>
      <c r="C186" s="166">
        <v>177</v>
      </c>
      <c r="D186" s="166">
        <v>858</v>
      </c>
      <c r="E186" s="166">
        <v>6671</v>
      </c>
      <c r="F186" s="165">
        <v>63</v>
      </c>
      <c r="G186" s="166">
        <v>461</v>
      </c>
      <c r="H186" s="166">
        <v>299</v>
      </c>
      <c r="I186" s="166">
        <v>771</v>
      </c>
      <c r="J186" s="166">
        <v>7278</v>
      </c>
      <c r="K186" s="165">
        <v>59</v>
      </c>
      <c r="L186" s="166">
        <v>638</v>
      </c>
      <c r="M186" s="166">
        <v>769</v>
      </c>
      <c r="N186" s="166">
        <v>1430</v>
      </c>
      <c r="O186" s="166">
        <v>15826</v>
      </c>
      <c r="P186" s="165">
        <v>67</v>
      </c>
      <c r="Q186" s="166">
        <v>310</v>
      </c>
      <c r="R186" s="166">
        <v>191</v>
      </c>
      <c r="S186" s="166">
        <v>510</v>
      </c>
    </row>
    <row r="187" spans="1:19" x14ac:dyDescent="0.45">
      <c r="A187" s="165">
        <v>59</v>
      </c>
      <c r="B187" s="166">
        <v>772</v>
      </c>
      <c r="C187" s="166">
        <v>243</v>
      </c>
      <c r="D187" s="166">
        <v>1032</v>
      </c>
      <c r="E187" s="166">
        <v>7703</v>
      </c>
      <c r="F187" s="165">
        <v>62</v>
      </c>
      <c r="G187" s="166">
        <v>618</v>
      </c>
      <c r="H187" s="166">
        <v>435</v>
      </c>
      <c r="I187" s="166">
        <v>1072</v>
      </c>
      <c r="J187" s="166">
        <v>8350</v>
      </c>
      <c r="K187" s="165">
        <v>58</v>
      </c>
      <c r="L187" s="166">
        <v>876</v>
      </c>
      <c r="M187" s="166">
        <v>1184</v>
      </c>
      <c r="N187" s="166">
        <v>2097</v>
      </c>
      <c r="O187" s="166">
        <v>17923</v>
      </c>
      <c r="P187" s="165">
        <v>66</v>
      </c>
      <c r="Q187" s="166">
        <v>325</v>
      </c>
      <c r="R187" s="166">
        <v>177</v>
      </c>
      <c r="S187" s="166">
        <v>515</v>
      </c>
    </row>
    <row r="188" spans="1:19" x14ac:dyDescent="0.45">
      <c r="A188" s="165">
        <v>58</v>
      </c>
      <c r="B188" s="166">
        <v>597</v>
      </c>
      <c r="C188" s="166">
        <v>169</v>
      </c>
      <c r="D188" s="166">
        <v>782</v>
      </c>
      <c r="E188" s="166">
        <v>8485</v>
      </c>
      <c r="F188" s="165">
        <v>61</v>
      </c>
      <c r="G188" s="166">
        <v>1052</v>
      </c>
      <c r="H188" s="166">
        <v>755</v>
      </c>
      <c r="I188" s="166">
        <v>1837</v>
      </c>
      <c r="J188" s="166">
        <v>10187</v>
      </c>
      <c r="K188" s="165">
        <v>57</v>
      </c>
      <c r="L188" s="166">
        <v>850</v>
      </c>
      <c r="M188" s="166">
        <v>985</v>
      </c>
      <c r="N188" s="166">
        <v>1854</v>
      </c>
      <c r="O188" s="166">
        <v>19777</v>
      </c>
      <c r="P188" s="165">
        <v>65</v>
      </c>
      <c r="Q188" s="166">
        <v>331</v>
      </c>
      <c r="R188" s="166">
        <v>168</v>
      </c>
      <c r="S188" s="166">
        <v>504</v>
      </c>
    </row>
    <row r="189" spans="1:19" x14ac:dyDescent="0.45">
      <c r="A189" s="165">
        <v>57</v>
      </c>
      <c r="B189" s="166">
        <v>943</v>
      </c>
      <c r="C189" s="166">
        <v>280</v>
      </c>
      <c r="D189" s="166">
        <v>1245</v>
      </c>
      <c r="E189" s="166">
        <v>9730</v>
      </c>
      <c r="F189" s="165">
        <v>60</v>
      </c>
      <c r="G189" s="166">
        <v>664</v>
      </c>
      <c r="H189" s="166">
        <v>470</v>
      </c>
      <c r="I189" s="166">
        <v>1155</v>
      </c>
      <c r="J189" s="166">
        <v>11342</v>
      </c>
      <c r="K189" s="165">
        <v>56</v>
      </c>
      <c r="L189" s="166">
        <v>1739</v>
      </c>
      <c r="M189" s="166">
        <v>2126</v>
      </c>
      <c r="N189" s="166">
        <v>3916</v>
      </c>
      <c r="O189" s="166">
        <v>23693</v>
      </c>
      <c r="P189" s="165">
        <v>64</v>
      </c>
      <c r="Q189" s="166">
        <v>434</v>
      </c>
      <c r="R189" s="166">
        <v>257</v>
      </c>
      <c r="S189" s="166">
        <v>700</v>
      </c>
    </row>
    <row r="190" spans="1:19" x14ac:dyDescent="0.45">
      <c r="A190" s="165">
        <v>56</v>
      </c>
      <c r="B190" s="166">
        <v>721</v>
      </c>
      <c r="C190" s="166">
        <v>250</v>
      </c>
      <c r="D190" s="166">
        <v>984</v>
      </c>
      <c r="E190" s="166">
        <v>10714</v>
      </c>
      <c r="F190" s="165">
        <v>59</v>
      </c>
      <c r="G190" s="166">
        <v>559</v>
      </c>
      <c r="H190" s="166">
        <v>443</v>
      </c>
      <c r="I190" s="166">
        <v>1017</v>
      </c>
      <c r="J190" s="166">
        <v>12359</v>
      </c>
      <c r="K190" s="165">
        <v>55</v>
      </c>
      <c r="L190" s="166">
        <v>802</v>
      </c>
      <c r="M190" s="166">
        <v>990</v>
      </c>
      <c r="N190" s="166">
        <v>1814</v>
      </c>
      <c r="O190" s="166">
        <v>25507</v>
      </c>
      <c r="P190" s="165">
        <v>63</v>
      </c>
      <c r="Q190" s="166">
        <v>324</v>
      </c>
      <c r="R190" s="166">
        <v>228</v>
      </c>
      <c r="S190" s="166">
        <v>563</v>
      </c>
    </row>
    <row r="191" spans="1:19" x14ac:dyDescent="0.45">
      <c r="A191" s="165">
        <v>55</v>
      </c>
      <c r="B191" s="166">
        <v>828</v>
      </c>
      <c r="C191" s="166">
        <v>270</v>
      </c>
      <c r="D191" s="166">
        <v>1108</v>
      </c>
      <c r="E191" s="166">
        <v>11822</v>
      </c>
      <c r="F191" s="165">
        <v>58</v>
      </c>
      <c r="G191" s="166">
        <v>707</v>
      </c>
      <c r="H191" s="166">
        <v>545</v>
      </c>
      <c r="I191" s="166">
        <v>1274</v>
      </c>
      <c r="J191" s="166">
        <v>13633</v>
      </c>
      <c r="K191" s="165">
        <v>54</v>
      </c>
      <c r="L191" s="166">
        <v>898</v>
      </c>
      <c r="M191" s="166">
        <v>1210</v>
      </c>
      <c r="N191" s="166">
        <v>2138</v>
      </c>
      <c r="O191" s="166">
        <v>27645</v>
      </c>
      <c r="P191" s="165">
        <v>62</v>
      </c>
      <c r="Q191" s="166">
        <v>467</v>
      </c>
      <c r="R191" s="166">
        <v>300</v>
      </c>
      <c r="S191" s="166">
        <v>775</v>
      </c>
    </row>
    <row r="192" spans="1:19" x14ac:dyDescent="0.45">
      <c r="A192" s="165">
        <v>54</v>
      </c>
      <c r="B192" s="166">
        <v>1021</v>
      </c>
      <c r="C192" s="166">
        <v>298</v>
      </c>
      <c r="D192" s="166">
        <v>1343</v>
      </c>
      <c r="E192" s="166">
        <v>13165</v>
      </c>
      <c r="F192" s="165">
        <v>57</v>
      </c>
      <c r="G192" s="166">
        <v>706</v>
      </c>
      <c r="H192" s="166">
        <v>538</v>
      </c>
      <c r="I192" s="166">
        <v>1271</v>
      </c>
      <c r="J192" s="166">
        <v>14904</v>
      </c>
      <c r="K192" s="165">
        <v>53</v>
      </c>
      <c r="L192" s="166">
        <v>951</v>
      </c>
      <c r="M192" s="166">
        <v>1132</v>
      </c>
      <c r="N192" s="166">
        <v>2112</v>
      </c>
      <c r="O192" s="166">
        <v>29757</v>
      </c>
      <c r="P192" s="165">
        <v>61</v>
      </c>
      <c r="Q192" s="166">
        <v>498</v>
      </c>
      <c r="R192" s="166">
        <v>330</v>
      </c>
      <c r="S192" s="166">
        <v>841</v>
      </c>
    </row>
    <row r="193" spans="1:19" x14ac:dyDescent="0.45">
      <c r="A193" s="165">
        <v>53</v>
      </c>
      <c r="B193" s="166">
        <v>732</v>
      </c>
      <c r="C193" s="166">
        <v>279</v>
      </c>
      <c r="D193" s="166">
        <v>1024</v>
      </c>
      <c r="E193" s="166">
        <v>14189</v>
      </c>
      <c r="F193" s="165">
        <v>56</v>
      </c>
      <c r="G193" s="166">
        <v>689</v>
      </c>
      <c r="H193" s="166">
        <v>545</v>
      </c>
      <c r="I193" s="166">
        <v>1255</v>
      </c>
      <c r="J193" s="166">
        <v>16159</v>
      </c>
      <c r="K193" s="165">
        <v>52</v>
      </c>
      <c r="L193" s="166">
        <v>886</v>
      </c>
      <c r="M193" s="166">
        <v>1099</v>
      </c>
      <c r="N193" s="166">
        <v>2012</v>
      </c>
      <c r="O193" s="166">
        <v>31769</v>
      </c>
      <c r="P193" s="165">
        <v>60</v>
      </c>
      <c r="Q193" s="166">
        <v>463</v>
      </c>
      <c r="R193" s="166">
        <v>317</v>
      </c>
      <c r="S193" s="166">
        <v>789</v>
      </c>
    </row>
    <row r="194" spans="1:19" x14ac:dyDescent="0.45">
      <c r="A194" s="165">
        <v>52</v>
      </c>
      <c r="B194" s="166">
        <v>1086</v>
      </c>
      <c r="C194" s="166">
        <v>358</v>
      </c>
      <c r="D194" s="166">
        <v>1463</v>
      </c>
      <c r="E194" s="166">
        <v>15652</v>
      </c>
      <c r="F194" s="165">
        <v>55</v>
      </c>
      <c r="G194" s="166">
        <v>813</v>
      </c>
      <c r="H194" s="166">
        <v>686</v>
      </c>
      <c r="I194" s="166">
        <v>1527</v>
      </c>
      <c r="J194" s="166">
        <v>17686</v>
      </c>
      <c r="K194" s="165">
        <v>51</v>
      </c>
      <c r="L194" s="166">
        <v>928</v>
      </c>
      <c r="M194" s="166">
        <v>1244</v>
      </c>
      <c r="N194" s="166">
        <v>2211</v>
      </c>
      <c r="O194" s="166">
        <v>33980</v>
      </c>
      <c r="P194" s="165">
        <v>59</v>
      </c>
      <c r="Q194" s="166">
        <v>586</v>
      </c>
      <c r="R194" s="166">
        <v>390</v>
      </c>
      <c r="S194" s="166">
        <v>995</v>
      </c>
    </row>
    <row r="195" spans="1:19" x14ac:dyDescent="0.45">
      <c r="A195" s="165">
        <v>51</v>
      </c>
      <c r="B195" s="166">
        <v>920</v>
      </c>
      <c r="C195" s="166">
        <v>266</v>
      </c>
      <c r="D195" s="166">
        <v>1198</v>
      </c>
      <c r="E195" s="166">
        <v>16850</v>
      </c>
      <c r="F195" s="165">
        <v>54</v>
      </c>
      <c r="G195" s="166">
        <v>757</v>
      </c>
      <c r="H195" s="166">
        <v>610</v>
      </c>
      <c r="I195" s="166">
        <v>1392</v>
      </c>
      <c r="J195" s="166">
        <v>19078</v>
      </c>
      <c r="K195" s="165">
        <v>50</v>
      </c>
      <c r="L195" s="166">
        <v>1684</v>
      </c>
      <c r="M195" s="166">
        <v>2266</v>
      </c>
      <c r="N195" s="166">
        <v>4005</v>
      </c>
      <c r="O195" s="166">
        <v>37985</v>
      </c>
      <c r="P195" s="165">
        <v>58</v>
      </c>
      <c r="Q195" s="166">
        <v>571</v>
      </c>
      <c r="R195" s="166">
        <v>358</v>
      </c>
      <c r="S195" s="166">
        <v>946</v>
      </c>
    </row>
    <row r="196" spans="1:19" x14ac:dyDescent="0.45">
      <c r="A196" s="165">
        <v>50</v>
      </c>
      <c r="B196" s="166">
        <v>949</v>
      </c>
      <c r="C196" s="166">
        <v>318</v>
      </c>
      <c r="D196" s="166">
        <v>1288</v>
      </c>
      <c r="E196" s="166">
        <v>18138</v>
      </c>
      <c r="F196" s="165">
        <v>53</v>
      </c>
      <c r="G196" s="166">
        <v>792</v>
      </c>
      <c r="H196" s="166">
        <v>718</v>
      </c>
      <c r="I196" s="166">
        <v>1527</v>
      </c>
      <c r="J196" s="166">
        <v>20605</v>
      </c>
      <c r="K196" s="165">
        <v>49</v>
      </c>
      <c r="L196" s="166">
        <v>913</v>
      </c>
      <c r="M196" s="166">
        <v>1118</v>
      </c>
      <c r="N196" s="166">
        <v>2060</v>
      </c>
      <c r="O196" s="166">
        <v>40045</v>
      </c>
      <c r="P196" s="165">
        <v>57</v>
      </c>
      <c r="Q196" s="166">
        <v>618</v>
      </c>
      <c r="R196" s="166">
        <v>412</v>
      </c>
      <c r="S196" s="166">
        <v>1047</v>
      </c>
    </row>
    <row r="197" spans="1:19" x14ac:dyDescent="0.45">
      <c r="A197" s="165">
        <v>49</v>
      </c>
      <c r="B197" s="166">
        <v>1163</v>
      </c>
      <c r="C197" s="166">
        <v>350</v>
      </c>
      <c r="D197" s="166">
        <v>1539</v>
      </c>
      <c r="E197" s="166">
        <v>19677</v>
      </c>
      <c r="F197" s="165">
        <v>52</v>
      </c>
      <c r="G197" s="166">
        <v>853</v>
      </c>
      <c r="H197" s="166">
        <v>799</v>
      </c>
      <c r="I197" s="166">
        <v>1671</v>
      </c>
      <c r="J197" s="166">
        <v>22276</v>
      </c>
      <c r="K197" s="165">
        <v>48</v>
      </c>
      <c r="L197" s="166">
        <v>840</v>
      </c>
      <c r="M197" s="166">
        <v>1120</v>
      </c>
      <c r="N197" s="166">
        <v>1992</v>
      </c>
      <c r="O197" s="166">
        <v>42037</v>
      </c>
      <c r="P197" s="165">
        <v>56</v>
      </c>
      <c r="Q197" s="166">
        <v>691</v>
      </c>
      <c r="R197" s="166">
        <v>423</v>
      </c>
      <c r="S197" s="166">
        <v>1133</v>
      </c>
    </row>
    <row r="198" spans="1:19" x14ac:dyDescent="0.45">
      <c r="A198" s="165">
        <v>48</v>
      </c>
      <c r="B198" s="166">
        <v>821</v>
      </c>
      <c r="C198" s="166">
        <v>305</v>
      </c>
      <c r="D198" s="166">
        <v>1145</v>
      </c>
      <c r="E198" s="166">
        <v>20822</v>
      </c>
      <c r="F198" s="165">
        <v>51</v>
      </c>
      <c r="G198" s="166">
        <v>819</v>
      </c>
      <c r="H198" s="166">
        <v>791</v>
      </c>
      <c r="I198" s="166">
        <v>1642</v>
      </c>
      <c r="J198" s="166">
        <v>23918</v>
      </c>
      <c r="K198" s="165">
        <v>47</v>
      </c>
      <c r="L198" s="166">
        <v>890</v>
      </c>
      <c r="M198" s="166">
        <v>1182</v>
      </c>
      <c r="N198" s="166">
        <v>2091</v>
      </c>
      <c r="O198" s="166">
        <v>44128</v>
      </c>
      <c r="P198" s="165">
        <v>55</v>
      </c>
      <c r="Q198" s="166">
        <v>646</v>
      </c>
      <c r="R198" s="166">
        <v>437</v>
      </c>
      <c r="S198" s="166">
        <v>1099</v>
      </c>
    </row>
    <row r="199" spans="1:19" x14ac:dyDescent="0.45">
      <c r="A199" s="165">
        <v>47</v>
      </c>
      <c r="B199" s="166">
        <v>1005</v>
      </c>
      <c r="C199" s="166">
        <v>356</v>
      </c>
      <c r="D199" s="166">
        <v>1375</v>
      </c>
      <c r="E199" s="166">
        <v>22197</v>
      </c>
      <c r="F199" s="165">
        <v>50</v>
      </c>
      <c r="G199" s="166">
        <v>856</v>
      </c>
      <c r="H199" s="166">
        <v>864</v>
      </c>
      <c r="I199" s="166">
        <v>1744</v>
      </c>
      <c r="J199" s="166">
        <v>25662</v>
      </c>
      <c r="K199" s="165">
        <v>46</v>
      </c>
      <c r="L199" s="166">
        <v>830</v>
      </c>
      <c r="M199" s="166">
        <v>1027</v>
      </c>
      <c r="N199" s="166">
        <v>1886</v>
      </c>
      <c r="O199" s="166">
        <v>46014</v>
      </c>
      <c r="P199" s="165">
        <v>54</v>
      </c>
      <c r="Q199" s="166">
        <v>740</v>
      </c>
      <c r="R199" s="166">
        <v>574</v>
      </c>
      <c r="S199" s="166">
        <v>1338</v>
      </c>
    </row>
    <row r="200" spans="1:19" x14ac:dyDescent="0.45">
      <c r="A200" s="165">
        <v>46</v>
      </c>
      <c r="B200" s="166">
        <v>897</v>
      </c>
      <c r="C200" s="166">
        <v>305</v>
      </c>
      <c r="D200" s="166">
        <v>1219</v>
      </c>
      <c r="E200" s="166">
        <v>23416</v>
      </c>
      <c r="F200" s="165">
        <v>49</v>
      </c>
      <c r="G200" s="166">
        <v>1819</v>
      </c>
      <c r="H200" s="166">
        <v>1794</v>
      </c>
      <c r="I200" s="166">
        <v>3656</v>
      </c>
      <c r="J200" s="166">
        <v>29318</v>
      </c>
      <c r="K200" s="165">
        <v>45</v>
      </c>
      <c r="L200" s="166">
        <v>880</v>
      </c>
      <c r="M200" s="166">
        <v>1030</v>
      </c>
      <c r="N200" s="166">
        <v>1944</v>
      </c>
      <c r="O200" s="166">
        <v>47958</v>
      </c>
      <c r="P200" s="165">
        <v>53</v>
      </c>
      <c r="Q200" s="166">
        <v>731</v>
      </c>
      <c r="R200" s="166">
        <v>500</v>
      </c>
      <c r="S200" s="166">
        <v>1246</v>
      </c>
    </row>
    <row r="201" spans="1:19" x14ac:dyDescent="0.45">
      <c r="A201" s="165">
        <v>45</v>
      </c>
      <c r="B201" s="166">
        <v>808</v>
      </c>
      <c r="C201" s="166">
        <v>295</v>
      </c>
      <c r="D201" s="166">
        <v>1119</v>
      </c>
      <c r="E201" s="166">
        <v>24535</v>
      </c>
      <c r="F201" s="165">
        <v>48</v>
      </c>
      <c r="G201" s="166">
        <v>962</v>
      </c>
      <c r="H201" s="166">
        <v>936</v>
      </c>
      <c r="I201" s="166">
        <v>1929</v>
      </c>
      <c r="J201" s="166">
        <v>31247</v>
      </c>
      <c r="K201" s="165">
        <v>44</v>
      </c>
      <c r="L201" s="166">
        <v>812</v>
      </c>
      <c r="M201" s="166">
        <v>1041</v>
      </c>
      <c r="N201" s="166">
        <v>1874</v>
      </c>
      <c r="O201" s="166">
        <v>49832</v>
      </c>
      <c r="P201" s="165">
        <v>52</v>
      </c>
      <c r="Q201" s="166">
        <v>739</v>
      </c>
      <c r="R201" s="166">
        <v>527</v>
      </c>
      <c r="S201" s="166">
        <v>1286</v>
      </c>
    </row>
    <row r="202" spans="1:19" x14ac:dyDescent="0.45">
      <c r="A202" s="165">
        <v>44</v>
      </c>
      <c r="B202" s="166">
        <v>847</v>
      </c>
      <c r="C202" s="166">
        <v>337</v>
      </c>
      <c r="D202" s="166">
        <v>1204</v>
      </c>
      <c r="E202" s="166">
        <v>25739</v>
      </c>
      <c r="F202" s="165">
        <v>47</v>
      </c>
      <c r="G202" s="166">
        <v>922</v>
      </c>
      <c r="H202" s="166">
        <v>905</v>
      </c>
      <c r="I202" s="166">
        <v>1852</v>
      </c>
      <c r="J202" s="166">
        <v>33099</v>
      </c>
      <c r="K202" s="165">
        <v>43</v>
      </c>
      <c r="L202" s="166">
        <v>1532</v>
      </c>
      <c r="M202" s="166">
        <v>1994</v>
      </c>
      <c r="N202" s="166">
        <v>3573</v>
      </c>
      <c r="O202" s="166">
        <v>53405</v>
      </c>
      <c r="P202" s="165">
        <v>51</v>
      </c>
      <c r="Q202" s="166">
        <v>826</v>
      </c>
      <c r="R202" s="166">
        <v>638</v>
      </c>
      <c r="S202" s="166">
        <v>1491</v>
      </c>
    </row>
    <row r="203" spans="1:19" x14ac:dyDescent="0.45">
      <c r="A203" s="165">
        <v>43</v>
      </c>
      <c r="B203" s="166">
        <v>683</v>
      </c>
      <c r="C203" s="166">
        <v>232</v>
      </c>
      <c r="D203" s="166">
        <v>923</v>
      </c>
      <c r="E203" s="166">
        <v>26662</v>
      </c>
      <c r="F203" s="165">
        <v>46</v>
      </c>
      <c r="G203" s="166">
        <v>975</v>
      </c>
      <c r="H203" s="166">
        <v>1058</v>
      </c>
      <c r="I203" s="166">
        <v>2063</v>
      </c>
      <c r="J203" s="166">
        <v>35162</v>
      </c>
      <c r="K203" s="165">
        <v>42</v>
      </c>
      <c r="L203" s="166">
        <v>729</v>
      </c>
      <c r="M203" s="166">
        <v>855</v>
      </c>
      <c r="N203" s="166">
        <v>1605</v>
      </c>
      <c r="O203" s="166">
        <v>55010</v>
      </c>
      <c r="P203" s="165">
        <v>50</v>
      </c>
      <c r="Q203" s="166">
        <v>786</v>
      </c>
      <c r="R203" s="166">
        <v>587</v>
      </c>
      <c r="S203" s="166">
        <v>1388</v>
      </c>
    </row>
    <row r="204" spans="1:19" x14ac:dyDescent="0.45">
      <c r="A204" s="165">
        <v>42</v>
      </c>
      <c r="B204" s="166">
        <v>764</v>
      </c>
      <c r="C204" s="166">
        <v>251</v>
      </c>
      <c r="D204" s="166">
        <v>1030</v>
      </c>
      <c r="E204" s="166">
        <v>27692</v>
      </c>
      <c r="F204" s="165">
        <v>45</v>
      </c>
      <c r="G204" s="166">
        <v>877</v>
      </c>
      <c r="H204" s="166">
        <v>942</v>
      </c>
      <c r="I204" s="166">
        <v>1844</v>
      </c>
      <c r="J204" s="166">
        <v>37006</v>
      </c>
      <c r="K204" s="165">
        <v>41</v>
      </c>
      <c r="L204" s="166">
        <v>725</v>
      </c>
      <c r="M204" s="166">
        <v>837</v>
      </c>
      <c r="N204" s="166">
        <v>1576</v>
      </c>
      <c r="O204" s="166">
        <v>56586</v>
      </c>
      <c r="P204" s="165">
        <v>49</v>
      </c>
      <c r="Q204" s="166">
        <v>863</v>
      </c>
      <c r="R204" s="166">
        <v>630</v>
      </c>
      <c r="S204" s="166">
        <v>1520</v>
      </c>
    </row>
    <row r="205" spans="1:19" x14ac:dyDescent="0.45">
      <c r="A205" s="165">
        <v>41</v>
      </c>
      <c r="B205" s="166">
        <v>659</v>
      </c>
      <c r="C205" s="166">
        <v>218</v>
      </c>
      <c r="D205" s="166">
        <v>898</v>
      </c>
      <c r="E205" s="166">
        <v>28590</v>
      </c>
      <c r="F205" s="165">
        <v>44</v>
      </c>
      <c r="G205" s="166">
        <v>1056</v>
      </c>
      <c r="H205" s="166">
        <v>972</v>
      </c>
      <c r="I205" s="166">
        <v>2053</v>
      </c>
      <c r="J205" s="166">
        <v>39059</v>
      </c>
      <c r="K205" s="165">
        <v>40</v>
      </c>
      <c r="L205" s="166">
        <v>740</v>
      </c>
      <c r="M205" s="166">
        <v>833</v>
      </c>
      <c r="N205" s="166">
        <v>1602</v>
      </c>
      <c r="O205" s="166">
        <v>58188</v>
      </c>
      <c r="P205" s="165">
        <v>48</v>
      </c>
      <c r="Q205" s="166">
        <v>775</v>
      </c>
      <c r="R205" s="166">
        <v>584</v>
      </c>
      <c r="S205" s="166">
        <v>1386</v>
      </c>
    </row>
    <row r="206" spans="1:19" x14ac:dyDescent="0.45">
      <c r="A206" s="165">
        <v>40</v>
      </c>
      <c r="B206" s="166">
        <v>528</v>
      </c>
      <c r="C206" s="166">
        <v>155</v>
      </c>
      <c r="D206" s="166">
        <v>692</v>
      </c>
      <c r="E206" s="166">
        <v>29282</v>
      </c>
      <c r="F206" s="165">
        <v>43</v>
      </c>
      <c r="G206" s="166">
        <v>982</v>
      </c>
      <c r="H206" s="166">
        <v>960</v>
      </c>
      <c r="I206" s="166">
        <v>1971</v>
      </c>
      <c r="J206" s="166">
        <v>41030</v>
      </c>
      <c r="K206" s="165">
        <v>39</v>
      </c>
      <c r="L206" s="166">
        <v>633</v>
      </c>
      <c r="M206" s="166">
        <v>655</v>
      </c>
      <c r="N206" s="166">
        <v>1315</v>
      </c>
      <c r="O206" s="166">
        <v>59503</v>
      </c>
      <c r="P206" s="165">
        <v>47</v>
      </c>
      <c r="Q206" s="166">
        <v>780</v>
      </c>
      <c r="R206" s="166">
        <v>579</v>
      </c>
      <c r="S206" s="166">
        <v>1376</v>
      </c>
    </row>
    <row r="207" spans="1:19" x14ac:dyDescent="0.45">
      <c r="A207" s="165">
        <v>39</v>
      </c>
      <c r="B207" s="166">
        <v>596</v>
      </c>
      <c r="C207" s="166">
        <v>196</v>
      </c>
      <c r="D207" s="166">
        <v>810</v>
      </c>
      <c r="E207" s="166">
        <v>30092</v>
      </c>
      <c r="F207" s="165">
        <v>42</v>
      </c>
      <c r="G207" s="166">
        <v>1020</v>
      </c>
      <c r="H207" s="166">
        <v>935</v>
      </c>
      <c r="I207" s="166">
        <v>1983</v>
      </c>
      <c r="J207" s="166">
        <v>43013</v>
      </c>
      <c r="K207" s="165">
        <v>38</v>
      </c>
      <c r="L207" s="166">
        <v>703</v>
      </c>
      <c r="M207" s="166">
        <v>809</v>
      </c>
      <c r="N207" s="166">
        <v>1526</v>
      </c>
      <c r="O207" s="166">
        <v>61029</v>
      </c>
      <c r="P207" s="165">
        <v>46</v>
      </c>
      <c r="Q207" s="166">
        <v>856</v>
      </c>
      <c r="R207" s="166">
        <v>637</v>
      </c>
      <c r="S207" s="166">
        <v>1514</v>
      </c>
    </row>
    <row r="208" spans="1:19" x14ac:dyDescent="0.45">
      <c r="A208" s="165">
        <v>38</v>
      </c>
      <c r="B208" s="166">
        <v>448</v>
      </c>
      <c r="C208" s="166">
        <v>142</v>
      </c>
      <c r="D208" s="166">
        <v>603</v>
      </c>
      <c r="E208" s="166">
        <v>30695</v>
      </c>
      <c r="F208" s="165">
        <v>41</v>
      </c>
      <c r="G208" s="166">
        <v>1034</v>
      </c>
      <c r="H208" s="166">
        <v>986</v>
      </c>
      <c r="I208" s="166">
        <v>2041</v>
      </c>
      <c r="J208" s="166">
        <v>45054</v>
      </c>
      <c r="K208" s="165">
        <v>37</v>
      </c>
      <c r="L208" s="166">
        <v>636</v>
      </c>
      <c r="M208" s="166">
        <v>643</v>
      </c>
      <c r="N208" s="166">
        <v>1293</v>
      </c>
      <c r="O208" s="166">
        <v>62322</v>
      </c>
      <c r="P208" s="165">
        <v>45</v>
      </c>
      <c r="Q208" s="166">
        <v>776</v>
      </c>
      <c r="R208" s="166">
        <v>571</v>
      </c>
      <c r="S208" s="166">
        <v>1364</v>
      </c>
    </row>
    <row r="209" spans="1:19" x14ac:dyDescent="0.45">
      <c r="A209" s="165">
        <v>37</v>
      </c>
      <c r="B209" s="166">
        <v>458</v>
      </c>
      <c r="C209" s="166">
        <v>162</v>
      </c>
      <c r="D209" s="166">
        <v>631</v>
      </c>
      <c r="E209" s="166">
        <v>31326</v>
      </c>
      <c r="F209" s="165">
        <v>40</v>
      </c>
      <c r="G209" s="166">
        <v>941</v>
      </c>
      <c r="H209" s="166">
        <v>738</v>
      </c>
      <c r="I209" s="166">
        <v>1704</v>
      </c>
      <c r="J209" s="166">
        <v>46758</v>
      </c>
      <c r="K209" s="165">
        <v>36</v>
      </c>
      <c r="L209" s="166">
        <v>1274</v>
      </c>
      <c r="M209" s="166">
        <v>1172</v>
      </c>
      <c r="N209" s="166">
        <v>2487</v>
      </c>
      <c r="O209" s="166">
        <v>64809</v>
      </c>
      <c r="P209" s="165">
        <v>44</v>
      </c>
      <c r="Q209" s="166">
        <v>826</v>
      </c>
      <c r="R209" s="166">
        <v>583</v>
      </c>
      <c r="S209" s="166">
        <v>1431</v>
      </c>
    </row>
    <row r="210" spans="1:19" x14ac:dyDescent="0.45">
      <c r="A210" s="165">
        <v>36</v>
      </c>
      <c r="B210" s="166">
        <v>400</v>
      </c>
      <c r="C210" s="166">
        <v>124</v>
      </c>
      <c r="D210" s="166">
        <v>536</v>
      </c>
      <c r="E210" s="166">
        <v>31862</v>
      </c>
      <c r="F210" s="165">
        <v>39</v>
      </c>
      <c r="G210" s="166">
        <v>891</v>
      </c>
      <c r="H210" s="166">
        <v>766</v>
      </c>
      <c r="I210" s="166">
        <v>1681</v>
      </c>
      <c r="J210" s="166">
        <v>48439</v>
      </c>
      <c r="K210" s="165">
        <v>35</v>
      </c>
      <c r="L210" s="166">
        <v>1000</v>
      </c>
      <c r="M210" s="166">
        <v>575</v>
      </c>
      <c r="N210" s="166">
        <v>1604</v>
      </c>
      <c r="O210" s="166">
        <v>66413</v>
      </c>
      <c r="P210" s="165">
        <v>43</v>
      </c>
      <c r="Q210" s="166">
        <v>730</v>
      </c>
      <c r="R210" s="166">
        <v>526</v>
      </c>
      <c r="S210" s="166">
        <v>1274</v>
      </c>
    </row>
    <row r="211" spans="1:19" x14ac:dyDescent="0.45">
      <c r="A211" s="165">
        <v>35</v>
      </c>
      <c r="B211" s="166">
        <v>351</v>
      </c>
      <c r="C211" s="166">
        <v>88</v>
      </c>
      <c r="D211" s="166">
        <v>445</v>
      </c>
      <c r="E211" s="166">
        <v>32307</v>
      </c>
      <c r="F211" s="165">
        <v>38</v>
      </c>
      <c r="G211" s="166">
        <v>865</v>
      </c>
      <c r="H211" s="166">
        <v>727</v>
      </c>
      <c r="I211" s="166">
        <v>1609</v>
      </c>
      <c r="J211" s="166">
        <v>50048</v>
      </c>
      <c r="K211" s="165">
        <v>34</v>
      </c>
      <c r="L211" s="166">
        <v>665</v>
      </c>
      <c r="M211" s="166">
        <v>484</v>
      </c>
      <c r="N211" s="166">
        <v>1175</v>
      </c>
      <c r="O211" s="166">
        <v>67588</v>
      </c>
      <c r="P211" s="165">
        <v>42</v>
      </c>
      <c r="Q211" s="166">
        <v>740</v>
      </c>
      <c r="R211" s="166">
        <v>486</v>
      </c>
      <c r="S211" s="166">
        <v>1240</v>
      </c>
    </row>
    <row r="212" spans="1:19" x14ac:dyDescent="0.45">
      <c r="A212" s="165">
        <v>34</v>
      </c>
      <c r="B212" s="166">
        <v>320</v>
      </c>
      <c r="C212" s="166">
        <v>98</v>
      </c>
      <c r="D212" s="166">
        <v>426</v>
      </c>
      <c r="E212" s="166">
        <v>32733</v>
      </c>
      <c r="F212" s="165">
        <v>37</v>
      </c>
      <c r="G212" s="166">
        <v>1471</v>
      </c>
      <c r="H212" s="166">
        <v>1078</v>
      </c>
      <c r="I212" s="166">
        <v>2592</v>
      </c>
      <c r="J212" s="166">
        <v>52640</v>
      </c>
      <c r="K212" s="165">
        <v>33</v>
      </c>
      <c r="L212" s="166">
        <v>496</v>
      </c>
      <c r="M212" s="166">
        <v>385</v>
      </c>
      <c r="N212" s="166">
        <v>895</v>
      </c>
      <c r="O212" s="166">
        <v>68483</v>
      </c>
      <c r="P212" s="165">
        <v>41</v>
      </c>
      <c r="Q212" s="166">
        <v>669</v>
      </c>
      <c r="R212" s="166">
        <v>453</v>
      </c>
      <c r="S212" s="166">
        <v>1139</v>
      </c>
    </row>
    <row r="213" spans="1:19" x14ac:dyDescent="0.45">
      <c r="A213" s="165">
        <v>33</v>
      </c>
      <c r="B213" s="166">
        <v>227</v>
      </c>
      <c r="C213" s="166">
        <v>87</v>
      </c>
      <c r="D213" s="166">
        <v>317</v>
      </c>
      <c r="E213" s="166">
        <v>33050</v>
      </c>
      <c r="F213" s="165">
        <v>36</v>
      </c>
      <c r="G213" s="166">
        <v>372</v>
      </c>
      <c r="H213" s="166">
        <v>315</v>
      </c>
      <c r="I213" s="166">
        <v>701</v>
      </c>
      <c r="J213" s="166">
        <v>53341</v>
      </c>
      <c r="K213" s="165">
        <v>32</v>
      </c>
      <c r="L213" s="166">
        <v>345</v>
      </c>
      <c r="M213" s="166">
        <v>236</v>
      </c>
      <c r="N213" s="166">
        <v>596</v>
      </c>
      <c r="O213" s="166">
        <v>69079</v>
      </c>
      <c r="P213" s="165">
        <v>40</v>
      </c>
      <c r="Q213" s="166">
        <v>670</v>
      </c>
      <c r="R213" s="166">
        <v>380</v>
      </c>
      <c r="S213" s="166">
        <v>1069</v>
      </c>
    </row>
    <row r="214" spans="1:19" x14ac:dyDescent="0.45">
      <c r="A214" s="165">
        <v>32</v>
      </c>
      <c r="B214" s="166">
        <v>301</v>
      </c>
      <c r="C214" s="166">
        <v>72</v>
      </c>
      <c r="D214" s="166">
        <v>380</v>
      </c>
      <c r="E214" s="166">
        <v>33430</v>
      </c>
      <c r="F214" s="165">
        <v>35</v>
      </c>
      <c r="G214" s="166">
        <v>724</v>
      </c>
      <c r="H214" s="166">
        <v>292</v>
      </c>
      <c r="I214" s="166">
        <v>1034</v>
      </c>
      <c r="J214" s="166">
        <v>54375</v>
      </c>
      <c r="K214" s="165">
        <v>31</v>
      </c>
      <c r="L214" s="166">
        <v>320</v>
      </c>
      <c r="M214" s="166">
        <v>212</v>
      </c>
      <c r="N214" s="166">
        <v>541</v>
      </c>
      <c r="O214" s="166">
        <v>69620</v>
      </c>
      <c r="P214" s="165">
        <v>39</v>
      </c>
      <c r="Q214" s="166">
        <v>640</v>
      </c>
      <c r="R214" s="166">
        <v>378</v>
      </c>
      <c r="S214" s="166">
        <v>1035</v>
      </c>
    </row>
    <row r="215" spans="1:19" x14ac:dyDescent="0.45">
      <c r="A215" s="165">
        <v>31</v>
      </c>
      <c r="B215" s="166">
        <v>181</v>
      </c>
      <c r="C215" s="166">
        <v>54</v>
      </c>
      <c r="D215" s="166">
        <v>241</v>
      </c>
      <c r="E215" s="166">
        <v>33671</v>
      </c>
      <c r="F215" s="165">
        <v>34</v>
      </c>
      <c r="G215" s="166">
        <v>315</v>
      </c>
      <c r="H215" s="166">
        <v>201</v>
      </c>
      <c r="I215" s="166">
        <v>524</v>
      </c>
      <c r="J215" s="166">
        <v>54899</v>
      </c>
      <c r="K215" s="165">
        <v>30</v>
      </c>
      <c r="L215" s="166">
        <v>378</v>
      </c>
      <c r="M215" s="166">
        <v>232</v>
      </c>
      <c r="N215" s="166">
        <v>618</v>
      </c>
      <c r="O215" s="166">
        <v>70238</v>
      </c>
      <c r="P215" s="165">
        <v>38</v>
      </c>
      <c r="Q215" s="166">
        <v>882</v>
      </c>
      <c r="R215" s="166">
        <v>476</v>
      </c>
      <c r="S215" s="166">
        <v>1380</v>
      </c>
    </row>
    <row r="216" spans="1:19" x14ac:dyDescent="0.45">
      <c r="A216" s="165">
        <v>30</v>
      </c>
      <c r="B216" s="166">
        <v>497</v>
      </c>
      <c r="C216" s="166">
        <v>77</v>
      </c>
      <c r="D216" s="166">
        <v>582</v>
      </c>
      <c r="E216" s="166">
        <v>34253</v>
      </c>
      <c r="F216" s="165">
        <v>33</v>
      </c>
      <c r="G216" s="166">
        <v>233</v>
      </c>
      <c r="H216" s="166">
        <v>133</v>
      </c>
      <c r="I216" s="166">
        <v>369</v>
      </c>
      <c r="J216" s="166">
        <v>55268</v>
      </c>
      <c r="K216" s="165">
        <v>29</v>
      </c>
      <c r="L216" s="166">
        <v>86</v>
      </c>
      <c r="M216" s="166">
        <v>91</v>
      </c>
      <c r="N216" s="166">
        <v>182</v>
      </c>
      <c r="O216" s="166">
        <v>70420</v>
      </c>
      <c r="P216" s="165">
        <v>37</v>
      </c>
      <c r="Q216" s="166">
        <v>573</v>
      </c>
      <c r="R216" s="166">
        <v>302</v>
      </c>
      <c r="S216" s="166">
        <v>887</v>
      </c>
    </row>
    <row r="217" spans="1:19" x14ac:dyDescent="0.45">
      <c r="A217" s="165">
        <v>29</v>
      </c>
      <c r="B217" s="166">
        <v>223</v>
      </c>
      <c r="C217" s="166">
        <v>38</v>
      </c>
      <c r="D217" s="166">
        <v>267</v>
      </c>
      <c r="E217" s="166">
        <v>34520</v>
      </c>
      <c r="F217" s="165">
        <v>32</v>
      </c>
      <c r="G217" s="166">
        <v>166</v>
      </c>
      <c r="H217" s="166">
        <v>98</v>
      </c>
      <c r="I217" s="166">
        <v>270</v>
      </c>
      <c r="J217" s="166">
        <v>55538</v>
      </c>
      <c r="K217" s="165">
        <v>28</v>
      </c>
      <c r="L217" s="166">
        <v>62</v>
      </c>
      <c r="M217" s="166">
        <v>25</v>
      </c>
      <c r="N217" s="166">
        <v>88</v>
      </c>
      <c r="O217" s="166">
        <v>70508</v>
      </c>
      <c r="P217" s="165">
        <v>36</v>
      </c>
      <c r="Q217" s="166">
        <v>898</v>
      </c>
      <c r="R217" s="166">
        <v>326</v>
      </c>
      <c r="S217" s="166">
        <v>1252</v>
      </c>
    </row>
    <row r="218" spans="1:19" x14ac:dyDescent="0.45">
      <c r="A218" s="165">
        <v>28</v>
      </c>
      <c r="B218" s="166">
        <v>78</v>
      </c>
      <c r="C218" s="166">
        <v>26</v>
      </c>
      <c r="D218" s="166">
        <v>105</v>
      </c>
      <c r="E218" s="166">
        <v>34625</v>
      </c>
      <c r="F218" s="165">
        <v>31</v>
      </c>
      <c r="G218" s="166">
        <v>80</v>
      </c>
      <c r="H218" s="166">
        <v>36</v>
      </c>
      <c r="I218" s="166">
        <v>117</v>
      </c>
      <c r="J218" s="166">
        <v>55655</v>
      </c>
      <c r="K218" s="165">
        <v>27</v>
      </c>
      <c r="L218" s="166">
        <v>84</v>
      </c>
      <c r="M218" s="166">
        <v>34</v>
      </c>
      <c r="N218" s="166">
        <v>120</v>
      </c>
      <c r="O218" s="166">
        <v>70628</v>
      </c>
      <c r="P218" s="165">
        <v>35</v>
      </c>
      <c r="Q218" s="166">
        <v>348</v>
      </c>
      <c r="R218" s="166">
        <v>188</v>
      </c>
      <c r="S218" s="166">
        <v>551</v>
      </c>
    </row>
    <row r="219" spans="1:19" x14ac:dyDescent="0.45">
      <c r="A219" s="165">
        <v>27</v>
      </c>
      <c r="B219" s="166">
        <v>93</v>
      </c>
      <c r="C219" s="166">
        <v>19</v>
      </c>
      <c r="D219" s="166">
        <v>115</v>
      </c>
      <c r="E219" s="166">
        <v>34740</v>
      </c>
      <c r="F219" s="165">
        <v>30</v>
      </c>
      <c r="G219" s="166">
        <v>90</v>
      </c>
      <c r="H219" s="166">
        <v>53</v>
      </c>
      <c r="I219" s="166">
        <v>144</v>
      </c>
      <c r="J219" s="166">
        <v>55799</v>
      </c>
      <c r="K219" s="165">
        <v>25</v>
      </c>
      <c r="L219" s="166">
        <v>37</v>
      </c>
      <c r="M219" s="166">
        <v>16</v>
      </c>
      <c r="N219" s="166">
        <v>55</v>
      </c>
      <c r="O219" s="166">
        <v>70683</v>
      </c>
      <c r="P219" s="165">
        <v>34</v>
      </c>
      <c r="Q219" s="166">
        <v>290</v>
      </c>
      <c r="R219" s="166">
        <v>143</v>
      </c>
      <c r="S219" s="166">
        <v>440</v>
      </c>
    </row>
    <row r="220" spans="1:19" x14ac:dyDescent="0.45">
      <c r="A220" s="165">
        <v>26</v>
      </c>
      <c r="B220" s="166">
        <v>42</v>
      </c>
      <c r="C220" s="166">
        <v>14</v>
      </c>
      <c r="D220" s="166">
        <v>57</v>
      </c>
      <c r="E220" s="166">
        <v>34797</v>
      </c>
      <c r="F220" s="165">
        <v>29</v>
      </c>
      <c r="G220" s="166">
        <v>17</v>
      </c>
      <c r="H220" s="166">
        <v>9</v>
      </c>
      <c r="I220" s="166">
        <v>27</v>
      </c>
      <c r="J220" s="166">
        <v>55826</v>
      </c>
      <c r="K220" s="165"/>
      <c r="L220" s="166"/>
      <c r="M220" s="166"/>
      <c r="N220" s="166"/>
      <c r="O220" s="166"/>
      <c r="P220" s="165">
        <v>33</v>
      </c>
      <c r="Q220" s="166">
        <v>148</v>
      </c>
      <c r="R220" s="166">
        <v>66</v>
      </c>
      <c r="S220" s="166">
        <v>214</v>
      </c>
    </row>
    <row r="221" spans="1:19" x14ac:dyDescent="0.45">
      <c r="A221" s="165">
        <v>25</v>
      </c>
      <c r="B221" s="166">
        <v>61</v>
      </c>
      <c r="C221" s="166">
        <v>9</v>
      </c>
      <c r="D221" s="166">
        <v>73</v>
      </c>
      <c r="E221" s="166">
        <v>34870</v>
      </c>
      <c r="F221" s="165">
        <v>28</v>
      </c>
      <c r="G221" s="166">
        <v>41</v>
      </c>
      <c r="H221" s="166">
        <v>23</v>
      </c>
      <c r="I221" s="166">
        <v>64</v>
      </c>
      <c r="J221" s="166">
        <v>55890</v>
      </c>
      <c r="K221" s="165"/>
      <c r="L221" s="166"/>
      <c r="M221" s="166"/>
      <c r="N221" s="166"/>
      <c r="O221" s="166"/>
      <c r="P221" s="165">
        <v>32</v>
      </c>
      <c r="Q221" s="166">
        <v>183</v>
      </c>
      <c r="R221" s="166">
        <v>67</v>
      </c>
      <c r="S221" s="166">
        <v>257</v>
      </c>
    </row>
    <row r="222" spans="1:19" x14ac:dyDescent="0.45">
      <c r="A222" s="165">
        <v>24</v>
      </c>
      <c r="B222" s="166">
        <v>27</v>
      </c>
      <c r="C222" s="166">
        <v>4</v>
      </c>
      <c r="D222" s="166">
        <v>31</v>
      </c>
      <c r="E222" s="166">
        <v>34901</v>
      </c>
      <c r="F222" s="165">
        <v>26</v>
      </c>
      <c r="G222" s="166">
        <v>9</v>
      </c>
      <c r="H222" s="166">
        <v>1</v>
      </c>
      <c r="I222" s="166">
        <v>10</v>
      </c>
      <c r="J222" s="166">
        <v>55900</v>
      </c>
      <c r="K222" s="165"/>
      <c r="L222" s="166"/>
      <c r="M222" s="166"/>
      <c r="N222" s="166"/>
      <c r="O222" s="166"/>
      <c r="P222" s="165">
        <v>31</v>
      </c>
      <c r="Q222" s="166">
        <v>82</v>
      </c>
      <c r="R222" s="166">
        <v>34</v>
      </c>
      <c r="S222" s="166">
        <v>118</v>
      </c>
    </row>
    <row r="223" spans="1:19" x14ac:dyDescent="0.45">
      <c r="A223" s="165">
        <v>23</v>
      </c>
      <c r="B223" s="166">
        <v>11</v>
      </c>
      <c r="C223" s="166">
        <v>6</v>
      </c>
      <c r="D223" s="166">
        <v>19</v>
      </c>
      <c r="E223" s="166">
        <v>34920</v>
      </c>
      <c r="F223" s="165"/>
      <c r="G223" s="166"/>
      <c r="H223" s="166"/>
      <c r="I223" s="166"/>
      <c r="J223" s="166"/>
      <c r="K223" s="165"/>
      <c r="L223" s="166"/>
      <c r="M223" s="166"/>
      <c r="N223" s="166"/>
      <c r="O223" s="166"/>
      <c r="P223" s="165">
        <v>30</v>
      </c>
      <c r="Q223" s="166">
        <v>68</v>
      </c>
      <c r="R223" s="166">
        <v>26</v>
      </c>
      <c r="S223" s="166">
        <v>96</v>
      </c>
    </row>
    <row r="224" spans="1:19" x14ac:dyDescent="0.45">
      <c r="A224" s="165">
        <v>22</v>
      </c>
      <c r="B224" s="166">
        <v>12</v>
      </c>
      <c r="C224" s="166">
        <v>6</v>
      </c>
      <c r="D224" s="166">
        <v>18</v>
      </c>
      <c r="E224" s="166">
        <v>34938</v>
      </c>
      <c r="F224" s="165"/>
      <c r="G224" s="166"/>
      <c r="H224" s="166"/>
      <c r="I224" s="166"/>
      <c r="J224" s="166"/>
      <c r="K224" s="165"/>
      <c r="L224" s="166"/>
      <c r="M224" s="166"/>
      <c r="N224" s="166"/>
      <c r="O224" s="166"/>
      <c r="P224" s="165">
        <v>29</v>
      </c>
      <c r="Q224" s="166">
        <v>60</v>
      </c>
      <c r="R224" s="166">
        <v>20</v>
      </c>
      <c r="S224" s="166">
        <v>81</v>
      </c>
    </row>
    <row r="225" spans="1:19" x14ac:dyDescent="0.45">
      <c r="A225" s="165">
        <v>20</v>
      </c>
      <c r="B225" s="166">
        <v>10</v>
      </c>
      <c r="C225" s="166">
        <v>1</v>
      </c>
      <c r="D225" s="166">
        <v>12</v>
      </c>
      <c r="E225" s="166">
        <v>34950</v>
      </c>
      <c r="F225" s="165"/>
      <c r="G225" s="166"/>
      <c r="H225" s="166"/>
      <c r="I225" s="166"/>
      <c r="J225" s="166"/>
      <c r="K225" s="165"/>
      <c r="L225" s="166"/>
      <c r="M225" s="166"/>
      <c r="N225" s="166"/>
      <c r="O225" s="166"/>
      <c r="P225" s="165">
        <v>27</v>
      </c>
      <c r="Q225" s="166">
        <v>24</v>
      </c>
      <c r="R225" s="166">
        <v>12</v>
      </c>
      <c r="S225" s="166">
        <v>37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topLeftCell="A83" zoomScale="55" zoomScaleNormal="55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기능'!D4</f>
        <v>58.88</v>
      </c>
      <c r="I3" s="21" t="s">
        <v>70</v>
      </c>
      <c r="J3" s="50">
        <f>'통계 및 응시자 수 입력 기능'!C4</f>
        <v>200523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85" t="s">
        <v>72</v>
      </c>
      <c r="E4" s="186"/>
      <c r="F4" s="187"/>
      <c r="G4" s="52" t="s">
        <v>73</v>
      </c>
      <c r="H4" s="53" t="str">
        <f>'통계 및 응시자 수 입력 기능'!E4</f>
        <v>23.31</v>
      </c>
      <c r="I4" s="188"/>
      <c r="J4" s="189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90"/>
      <c r="J5" s="190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58">
        <v>100</v>
      </c>
      <c r="D7" s="59">
        <f>ROUND(20*(C7-$H$3)/$H$4+100,0)</f>
        <v>135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99.51</v>
      </c>
      <c r="G7" s="61">
        <f>_xlfn.IFNA(VLOOKUP(D7,'인원 입력 기능(국수)'!$A$5:$D$103,4,FALSE),0)</f>
        <v>1960</v>
      </c>
      <c r="H7" s="62">
        <f>G7/$J$3</f>
        <v>9.7744398398188735E-3</v>
      </c>
      <c r="I7" s="63">
        <f>G7</f>
        <v>1960</v>
      </c>
      <c r="J7" s="64">
        <f>I7/$J$3</f>
        <v>9.7744398398188735E-3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131</v>
      </c>
    </row>
    <row r="8" spans="1:17" ht="25" customHeight="1" x14ac:dyDescent="0.45">
      <c r="A8" s="5"/>
      <c r="B8" s="30"/>
      <c r="C8" s="65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30"/>
      <c r="C9" s="65">
        <v>98</v>
      </c>
      <c r="D9" s="59">
        <f>ROUND(20*(C9-$H$3)/$H$4+100,0)</f>
        <v>134</v>
      </c>
      <c r="E9" s="59">
        <f t="shared" si="0"/>
        <v>1</v>
      </c>
      <c r="F9" s="60">
        <f>IF(I8=0,ROUND(100*(1-(I7+I9)/2/$J$3),2),ROUND(100*(1-(I8+I9)/2/$J$3),2))</f>
        <v>98.38</v>
      </c>
      <c r="G9" s="61">
        <f>_xlfn.IFNA(VLOOKUP(D9,'인원 입력 기능(국수)'!$A$5:$D$103,4,FALSE),0)</f>
        <v>2581</v>
      </c>
      <c r="H9" s="62">
        <f>G9/$J$3</f>
        <v>1.2871341442128833E-2</v>
      </c>
      <c r="I9" s="72">
        <f>SUM($G$7:G9)</f>
        <v>4541</v>
      </c>
      <c r="J9" s="64">
        <f>I9/$J$3</f>
        <v>2.2645781281947708E-2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5">
        <v>97</v>
      </c>
      <c r="D10" s="59">
        <f t="shared" ref="D10:D73" si="2">ROUND(20*(C10-$H$3)/$H$4+100,0)</f>
        <v>133</v>
      </c>
      <c r="E10" s="59">
        <f t="shared" si="0"/>
        <v>1</v>
      </c>
      <c r="F10" s="60">
        <f t="shared" ref="F10:F73" si="3">IF(I9=0,ROUND(100*(1-(I8+I10)/2/$J$3),2),ROUND(100*(1-(I9+I10)/2/$J$3),2))</f>
        <v>97.54</v>
      </c>
      <c r="G10" s="61">
        <f>IF(D10=D9,"",_xlfn.IFNA(VLOOKUP(D10,'인원 입력 기능(국수)'!$A$5:$D$103,4,FALSE),0))</f>
        <v>787</v>
      </c>
      <c r="H10" s="62">
        <f t="shared" ref="H10:H73" si="4">G10/$J$3</f>
        <v>3.9247368132333945E-3</v>
      </c>
      <c r="I10" s="72">
        <f>SUM($G$7:G10)</f>
        <v>5328</v>
      </c>
      <c r="J10" s="64">
        <f t="shared" ref="J10:J73" si="5">I10/$J$3</f>
        <v>2.65705180951811E-2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107</v>
      </c>
    </row>
    <row r="11" spans="1:17" ht="25" customHeight="1" x14ac:dyDescent="0.45">
      <c r="A11" s="5"/>
      <c r="B11" s="30"/>
      <c r="C11" s="65">
        <v>96</v>
      </c>
      <c r="D11" s="59">
        <f t="shared" si="2"/>
        <v>132</v>
      </c>
      <c r="E11" s="59">
        <f t="shared" si="0"/>
        <v>1</v>
      </c>
      <c r="F11" s="60">
        <f t="shared" si="3"/>
        <v>96.76</v>
      </c>
      <c r="G11" s="61">
        <f>IF(D11=D10,"",_xlfn.IFNA(VLOOKUP(D11,'인원 입력 기능(국수)'!$A$5:$D$103,4,FALSE),0))</f>
        <v>2328</v>
      </c>
      <c r="H11" s="62">
        <f t="shared" si="4"/>
        <v>1.1609640789335888E-2</v>
      </c>
      <c r="I11" s="72">
        <f>SUM($G$7:G11)</f>
        <v>7656</v>
      </c>
      <c r="J11" s="64">
        <f t="shared" si="5"/>
        <v>3.8180158884516986E-2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95</v>
      </c>
    </row>
    <row r="12" spans="1:17" ht="25" customHeight="1" x14ac:dyDescent="0.45">
      <c r="A12" s="5"/>
      <c r="B12" s="30"/>
      <c r="C12" s="65">
        <v>95</v>
      </c>
      <c r="D12" s="59">
        <f t="shared" si="2"/>
        <v>131</v>
      </c>
      <c r="E12" s="59">
        <f t="shared" si="0"/>
        <v>1</v>
      </c>
      <c r="F12" s="60">
        <f t="shared" si="3"/>
        <v>95.75</v>
      </c>
      <c r="G12" s="61">
        <f>IF(D12=D11,"",_xlfn.IFNA(VLOOKUP(D12,'인원 입력 기능(국수)'!$A$5:$D$103,4,FALSE),0))</f>
        <v>1733</v>
      </c>
      <c r="H12" s="62">
        <f t="shared" si="4"/>
        <v>8.6424001236765861E-3</v>
      </c>
      <c r="I12" s="72">
        <f>SUM($G$7:G12)</f>
        <v>9389</v>
      </c>
      <c r="J12" s="64">
        <f t="shared" si="5"/>
        <v>4.6822559008193571E-2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83</v>
      </c>
    </row>
    <row r="13" spans="1:17" ht="25" customHeight="1" x14ac:dyDescent="0.45">
      <c r="A13" s="5"/>
      <c r="B13" s="30"/>
      <c r="C13" s="65">
        <v>94</v>
      </c>
      <c r="D13" s="59">
        <f t="shared" si="2"/>
        <v>130</v>
      </c>
      <c r="E13" s="59">
        <f t="shared" si="0"/>
        <v>2</v>
      </c>
      <c r="F13" s="60">
        <f t="shared" si="3"/>
        <v>94.82</v>
      </c>
      <c r="G13" s="61">
        <f>IF(D13=D12,"",_xlfn.IFNA(VLOOKUP(D13,'인원 입력 기능(국수)'!$A$5:$D$103,4,FALSE),0))</f>
        <v>1993</v>
      </c>
      <c r="H13" s="62">
        <f t="shared" si="4"/>
        <v>9.9390094901831705E-3</v>
      </c>
      <c r="I13" s="72">
        <f>SUM($G$7:G13)</f>
        <v>11382</v>
      </c>
      <c r="J13" s="64">
        <f t="shared" si="5"/>
        <v>5.6761568498376748E-2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72</v>
      </c>
    </row>
    <row r="14" spans="1:17" ht="25" customHeight="1" x14ac:dyDescent="0.45">
      <c r="A14" s="5"/>
      <c r="B14" s="30"/>
      <c r="C14" s="65">
        <v>93</v>
      </c>
      <c r="D14" s="59">
        <f t="shared" si="2"/>
        <v>129</v>
      </c>
      <c r="E14" s="59">
        <f t="shared" si="0"/>
        <v>2</v>
      </c>
      <c r="F14" s="60">
        <f t="shared" si="3"/>
        <v>93.74</v>
      </c>
      <c r="G14" s="61">
        <f>IF(D14=D13,"",_xlfn.IFNA(VLOOKUP(D14,'인원 입력 기능(국수)'!$A$5:$D$103,4,FALSE),0))</f>
        <v>2359</v>
      </c>
      <c r="H14" s="62">
        <f t="shared" si="4"/>
        <v>1.1764236521496288E-2</v>
      </c>
      <c r="I14" s="72">
        <f>SUM($G$7:G14)</f>
        <v>13741</v>
      </c>
      <c r="J14" s="64">
        <f t="shared" si="5"/>
        <v>6.8525805019873029E-2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65</v>
      </c>
    </row>
    <row r="15" spans="1:17" ht="25" customHeight="1" x14ac:dyDescent="0.45">
      <c r="A15" s="5"/>
      <c r="B15" s="30"/>
      <c r="C15" s="65">
        <v>92</v>
      </c>
      <c r="D15" s="172">
        <f t="shared" si="2"/>
        <v>128</v>
      </c>
      <c r="E15" s="172">
        <f t="shared" si="0"/>
        <v>2</v>
      </c>
      <c r="F15" s="176">
        <f t="shared" si="3"/>
        <v>91.99</v>
      </c>
      <c r="G15" s="178">
        <f>IF(D15=D14,"",_xlfn.IFNA(VLOOKUP(D15,'인원 입력 기능(국수)'!$A$5:$D$103,4,FALSE),0))</f>
        <v>4652</v>
      </c>
      <c r="H15" s="180">
        <f t="shared" si="4"/>
        <v>2.3199333742263979E-2</v>
      </c>
      <c r="I15" s="191">
        <f>SUM($G$7:G15)</f>
        <v>18393</v>
      </c>
      <c r="J15" s="170">
        <f t="shared" si="5"/>
        <v>9.1725138762137018E-2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73">
        <v>91</v>
      </c>
      <c r="D16" s="173"/>
      <c r="E16" s="173"/>
      <c r="F16" s="177"/>
      <c r="G16" s="179"/>
      <c r="H16" s="181"/>
      <c r="I16" s="192"/>
      <c r="J16" s="171"/>
      <c r="K16" s="31"/>
      <c r="L16" s="20" t="str">
        <f t="shared" si="1"/>
        <v>경고</v>
      </c>
      <c r="N16" s="1"/>
    </row>
    <row r="17" spans="1:17" ht="25" customHeight="1" x14ac:dyDescent="0.45">
      <c r="A17" s="5"/>
      <c r="B17" s="30"/>
      <c r="C17" s="73">
        <v>90</v>
      </c>
      <c r="D17" s="59">
        <f t="shared" si="2"/>
        <v>127</v>
      </c>
      <c r="E17" s="74">
        <f t="shared" si="0"/>
        <v>2</v>
      </c>
      <c r="F17" s="60">
        <f t="shared" si="3"/>
        <v>90.31</v>
      </c>
      <c r="G17" s="61">
        <f>IF(D17=D16,"",_xlfn.IFNA(VLOOKUP(D17,'인원 입력 기능(국수)'!$A$5:$D$103,4,FALSE),0))</f>
        <v>2095</v>
      </c>
      <c r="H17" s="62">
        <f t="shared" si="4"/>
        <v>1.0447679318581909E-2</v>
      </c>
      <c r="I17" s="75">
        <f>SUM($G$7:G17)</f>
        <v>20488</v>
      </c>
      <c r="J17" s="64">
        <f t="shared" si="5"/>
        <v>0.10217281808071892</v>
      </c>
      <c r="K17" s="31"/>
      <c r="L17" s="20" t="str">
        <f t="shared" si="1"/>
        <v/>
      </c>
      <c r="N17" s="1"/>
      <c r="Q17" s="1">
        <f>Q7*H3*H4*J3*IFERROR(IF(J107=1, 1, 0), 0)</f>
        <v>36053344959.206398</v>
      </c>
    </row>
    <row r="18" spans="1:17" ht="25" customHeight="1" x14ac:dyDescent="0.45">
      <c r="A18" s="5"/>
      <c r="B18" s="30"/>
      <c r="C18" s="73">
        <v>89</v>
      </c>
      <c r="D18" s="59">
        <f t="shared" si="2"/>
        <v>126</v>
      </c>
      <c r="E18" s="74">
        <f t="shared" si="0"/>
        <v>2</v>
      </c>
      <c r="F18" s="60">
        <f t="shared" si="3"/>
        <v>89.19</v>
      </c>
      <c r="G18" s="61">
        <f>IF(D18=D17,"",_xlfn.IFNA(VLOOKUP(D18,'인원 입력 기능(국수)'!$A$5:$D$103,4,FALSE),0))</f>
        <v>2384</v>
      </c>
      <c r="H18" s="62">
        <f t="shared" si="4"/>
        <v>1.1888910499044997E-2</v>
      </c>
      <c r="I18" s="75">
        <f>SUM($G$7:G18)</f>
        <v>22872</v>
      </c>
      <c r="J18" s="64">
        <f t="shared" si="5"/>
        <v>0.11406172857976392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73">
        <v>88</v>
      </c>
      <c r="D19" s="59">
        <f t="shared" si="2"/>
        <v>125</v>
      </c>
      <c r="E19" s="74">
        <f t="shared" si="0"/>
        <v>3</v>
      </c>
      <c r="F19" s="60">
        <f t="shared" si="3"/>
        <v>88</v>
      </c>
      <c r="G19" s="61">
        <f>IF(D19=D18,"",_xlfn.IFNA(VLOOKUP(D19,'인원 입력 기능(국수)'!$A$5:$D$103,4,FALSE),0))</f>
        <v>2385</v>
      </c>
      <c r="H19" s="62">
        <f t="shared" si="4"/>
        <v>1.1893897458146946E-2</v>
      </c>
      <c r="I19" s="75">
        <f>SUM($G$7:G19)</f>
        <v>25257</v>
      </c>
      <c r="J19" s="64">
        <f t="shared" si="5"/>
        <v>0.12595562603791086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73">
        <v>87</v>
      </c>
      <c r="D20" s="59">
        <f t="shared" si="2"/>
        <v>124</v>
      </c>
      <c r="E20" s="74">
        <f t="shared" si="0"/>
        <v>3</v>
      </c>
      <c r="F20" s="60">
        <f t="shared" si="3"/>
        <v>86.81</v>
      </c>
      <c r="G20" s="61">
        <f>IF(D20=D19,"",_xlfn.IFNA(VLOOKUP(D20,'인원 입력 기능(국수)'!$A$5:$D$103,4,FALSE),0))</f>
        <v>2371</v>
      </c>
      <c r="H20" s="62">
        <f t="shared" si="4"/>
        <v>1.1824080030719669E-2</v>
      </c>
      <c r="I20" s="75">
        <f>SUM($G$7:G20)</f>
        <v>27628</v>
      </c>
      <c r="J20" s="64">
        <f t="shared" si="5"/>
        <v>0.13777970606863052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73">
        <v>86</v>
      </c>
      <c r="D21" s="59">
        <f t="shared" si="2"/>
        <v>123</v>
      </c>
      <c r="E21" s="74">
        <f t="shared" si="0"/>
        <v>3</v>
      </c>
      <c r="F21" s="60">
        <f t="shared" si="3"/>
        <v>85.58</v>
      </c>
      <c r="G21" s="61">
        <f>IF(D21=D20,"",_xlfn.IFNA(VLOOKUP(D21,'인원 입력 기능(국수)'!$A$5:$D$103,4,FALSE),0))</f>
        <v>2571</v>
      </c>
      <c r="H21" s="62">
        <f t="shared" si="4"/>
        <v>1.2821471851109349E-2</v>
      </c>
      <c r="I21" s="75">
        <f>SUM($G$7:G21)</f>
        <v>30199</v>
      </c>
      <c r="J21" s="64">
        <f t="shared" si="5"/>
        <v>0.15060117791973987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73">
        <v>85</v>
      </c>
      <c r="D22" s="172">
        <f t="shared" si="2"/>
        <v>122</v>
      </c>
      <c r="E22" s="174">
        <f t="shared" si="0"/>
        <v>3</v>
      </c>
      <c r="F22" s="176">
        <f t="shared" si="3"/>
        <v>83.66</v>
      </c>
      <c r="G22" s="178">
        <f>IF(D22=D21,"",_xlfn.IFNA(VLOOKUP(D22,'인원 입력 기능(국수)'!$A$5:$D$103,4,FALSE),0))</f>
        <v>5131</v>
      </c>
      <c r="H22" s="180">
        <f t="shared" si="4"/>
        <v>2.5588087152097264E-2</v>
      </c>
      <c r="I22" s="168">
        <f>SUM($G$7:G22)</f>
        <v>35330</v>
      </c>
      <c r="J22" s="170">
        <f t="shared" si="5"/>
        <v>0.17618926507183716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73">
        <v>84</v>
      </c>
      <c r="D23" s="173"/>
      <c r="E23" s="175"/>
      <c r="F23" s="177"/>
      <c r="G23" s="179"/>
      <c r="H23" s="181"/>
      <c r="I23" s="169"/>
      <c r="J23" s="171"/>
      <c r="K23" s="31"/>
      <c r="L23" s="20" t="str">
        <f t="shared" si="1"/>
        <v>경고</v>
      </c>
      <c r="N23" s="1"/>
    </row>
    <row r="24" spans="1:17" ht="25" customHeight="1" x14ac:dyDescent="0.45">
      <c r="A24" s="5"/>
      <c r="B24" s="30"/>
      <c r="C24" s="73">
        <v>83</v>
      </c>
      <c r="D24" s="59">
        <f t="shared" si="2"/>
        <v>121</v>
      </c>
      <c r="E24" s="74">
        <f t="shared" si="0"/>
        <v>3</v>
      </c>
      <c r="F24" s="60">
        <f t="shared" si="3"/>
        <v>81.77</v>
      </c>
      <c r="G24" s="61">
        <f>IF(D24=D23,"",_xlfn.IFNA(VLOOKUP(D24,'인원 입력 기능(국수)'!$A$5:$D$103,4,FALSE),0))</f>
        <v>2457</v>
      </c>
      <c r="H24" s="62">
        <f t="shared" si="4"/>
        <v>1.2252958513487231E-2</v>
      </c>
      <c r="I24" s="75">
        <f>SUM($G$7:G24)</f>
        <v>37787</v>
      </c>
      <c r="J24" s="64">
        <f t="shared" si="5"/>
        <v>0.18844222358532436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73">
        <v>82</v>
      </c>
      <c r="D25" s="59">
        <f t="shared" si="2"/>
        <v>120</v>
      </c>
      <c r="E25" s="74">
        <f t="shared" si="0"/>
        <v>3</v>
      </c>
      <c r="F25" s="60">
        <f t="shared" si="3"/>
        <v>80.5</v>
      </c>
      <c r="G25" s="61">
        <f>IF(D25=D24,"",_xlfn.IFNA(VLOOKUP(D25,'인원 입력 기능(국수)'!$A$5:$D$103,4,FALSE),0))</f>
        <v>2649</v>
      </c>
      <c r="H25" s="62">
        <f t="shared" si="4"/>
        <v>1.3210454661061325E-2</v>
      </c>
      <c r="I25" s="75">
        <f>SUM($G$7:G25)</f>
        <v>40436</v>
      </c>
      <c r="J25" s="64">
        <f t="shared" si="5"/>
        <v>0.20165267824638569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73">
        <v>81</v>
      </c>
      <c r="D26" s="59">
        <f t="shared" si="2"/>
        <v>119</v>
      </c>
      <c r="E26" s="74">
        <f t="shared" si="0"/>
        <v>3</v>
      </c>
      <c r="F26" s="60">
        <f t="shared" si="3"/>
        <v>79.19</v>
      </c>
      <c r="G26" s="61">
        <f>IF(D26=D25,"",_xlfn.IFNA(VLOOKUP(D26,'인원 입력 기능(국수)'!$A$5:$D$103,4,FALSE),0))</f>
        <v>2577</v>
      </c>
      <c r="H26" s="62">
        <f t="shared" si="4"/>
        <v>1.285139360572104E-2</v>
      </c>
      <c r="I26" s="75">
        <f>SUM($G$7:G26)</f>
        <v>43013</v>
      </c>
      <c r="J26" s="64">
        <f t="shared" si="5"/>
        <v>0.21450407185210674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73">
        <v>80</v>
      </c>
      <c r="D27" s="59">
        <f t="shared" si="2"/>
        <v>118</v>
      </c>
      <c r="E27" s="74">
        <f t="shared" si="0"/>
        <v>3</v>
      </c>
      <c r="F27" s="60">
        <f t="shared" si="3"/>
        <v>77.88</v>
      </c>
      <c r="G27" s="61">
        <f>IF(D27=D26,"",_xlfn.IFNA(VLOOKUP(D27,'인원 입력 기능(국수)'!$A$5:$D$103,4,FALSE),0))</f>
        <v>2700</v>
      </c>
      <c r="H27" s="62">
        <f t="shared" si="4"/>
        <v>1.3464789575260693E-2</v>
      </c>
      <c r="I27" s="75">
        <f>SUM($G$7:G27)</f>
        <v>45713</v>
      </c>
      <c r="J27" s="64">
        <f t="shared" si="5"/>
        <v>0.22796886142736744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73">
        <v>79</v>
      </c>
      <c r="D28" s="59">
        <f t="shared" si="2"/>
        <v>117</v>
      </c>
      <c r="E28" s="74">
        <f t="shared" si="0"/>
        <v>3</v>
      </c>
      <c r="F28" s="60">
        <f t="shared" si="3"/>
        <v>76.53</v>
      </c>
      <c r="G28" s="61">
        <f>IF(D28=D27,"",_xlfn.IFNA(VLOOKUP(D28,'인원 입력 기능(국수)'!$A$5:$D$103,4,FALSE),0))</f>
        <v>2701</v>
      </c>
      <c r="H28" s="62">
        <f t="shared" si="4"/>
        <v>1.3469776534362642E-2</v>
      </c>
      <c r="I28" s="75">
        <f>SUM($G$7:G28)</f>
        <v>48414</v>
      </c>
      <c r="J28" s="64">
        <f t="shared" si="5"/>
        <v>0.24143863796173007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73">
        <v>78</v>
      </c>
      <c r="D29" s="172">
        <f t="shared" si="2"/>
        <v>116</v>
      </c>
      <c r="E29" s="174">
        <f t="shared" si="0"/>
        <v>4</v>
      </c>
      <c r="F29" s="176">
        <f t="shared" si="3"/>
        <v>74.48</v>
      </c>
      <c r="G29" s="178">
        <f>IF(D29=D28,"",_xlfn.IFNA(VLOOKUP(D29,'인원 입력 기능(국수)'!$A$5:$D$103,4,FALSE),0))</f>
        <v>5507</v>
      </c>
      <c r="H29" s="180">
        <f t="shared" si="4"/>
        <v>2.7463183774429866E-2</v>
      </c>
      <c r="I29" s="168">
        <f>SUM($G$7:G29)</f>
        <v>53921</v>
      </c>
      <c r="J29" s="170">
        <f t="shared" si="5"/>
        <v>0.26890182173615995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73">
        <v>77</v>
      </c>
      <c r="D30" s="173"/>
      <c r="E30" s="175"/>
      <c r="F30" s="177"/>
      <c r="G30" s="179"/>
      <c r="H30" s="181"/>
      <c r="I30" s="169"/>
      <c r="J30" s="171"/>
      <c r="K30" s="31"/>
      <c r="L30" s="20" t="str">
        <f t="shared" si="1"/>
        <v>경고</v>
      </c>
      <c r="N30" s="1"/>
    </row>
    <row r="31" spans="1:17" ht="25" customHeight="1" x14ac:dyDescent="0.45">
      <c r="A31" s="5"/>
      <c r="B31" s="30"/>
      <c r="C31" s="73">
        <v>76</v>
      </c>
      <c r="D31" s="59">
        <f t="shared" si="2"/>
        <v>115</v>
      </c>
      <c r="E31" s="74">
        <f t="shared" si="0"/>
        <v>4</v>
      </c>
      <c r="F31" s="60">
        <f t="shared" si="3"/>
        <v>72.400000000000006</v>
      </c>
      <c r="G31" s="61">
        <f>IF(D31=D30,"",_xlfn.IFNA(VLOOKUP(D31,'인원 입력 기능(국수)'!$A$5:$D$103,4,FALSE),0))</f>
        <v>2833</v>
      </c>
      <c r="H31" s="62">
        <f t="shared" si="4"/>
        <v>1.4128055135819832E-2</v>
      </c>
      <c r="I31" s="75">
        <f>SUM($G$7:G31)</f>
        <v>56754</v>
      </c>
      <c r="J31" s="64">
        <f t="shared" si="5"/>
        <v>0.28302987687197978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73">
        <v>75</v>
      </c>
      <c r="D32" s="59">
        <f t="shared" si="2"/>
        <v>114</v>
      </c>
      <c r="E32" s="74">
        <f t="shared" si="0"/>
        <v>4</v>
      </c>
      <c r="F32" s="60">
        <f t="shared" si="3"/>
        <v>70.959999999999994</v>
      </c>
      <c r="G32" s="61">
        <f>IF(D32=D31,"",_xlfn.IFNA(VLOOKUP(D32,'인원 입력 기능(국수)'!$A$5:$D$103,4,FALSE),0))</f>
        <v>2943</v>
      </c>
      <c r="H32" s="62">
        <f t="shared" si="4"/>
        <v>1.4676620637034156E-2</v>
      </c>
      <c r="I32" s="75">
        <f>SUM($G$7:G32)</f>
        <v>59697</v>
      </c>
      <c r="J32" s="64">
        <f t="shared" si="5"/>
        <v>0.2977064975090139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73">
        <v>74</v>
      </c>
      <c r="D33" s="59">
        <f t="shared" si="2"/>
        <v>113</v>
      </c>
      <c r="E33" s="74">
        <f t="shared" si="0"/>
        <v>4</v>
      </c>
      <c r="F33" s="60">
        <f t="shared" si="3"/>
        <v>69.540000000000006</v>
      </c>
      <c r="G33" s="61">
        <f>IF(D33=D32,"",_xlfn.IFNA(VLOOKUP(D33,'인원 입력 기능(국수)'!$A$5:$D$103,4,FALSE),0))</f>
        <v>2748</v>
      </c>
      <c r="H33" s="62">
        <f t="shared" si="4"/>
        <v>1.3704163612154216E-2</v>
      </c>
      <c r="I33" s="75">
        <f>SUM($G$7:G33)</f>
        <v>62445</v>
      </c>
      <c r="J33" s="64">
        <f t="shared" si="5"/>
        <v>0.31141066112116816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73">
        <v>73</v>
      </c>
      <c r="D34" s="59">
        <f t="shared" si="2"/>
        <v>112</v>
      </c>
      <c r="E34" s="74">
        <f t="shared" si="0"/>
        <v>4</v>
      </c>
      <c r="F34" s="60">
        <f t="shared" si="3"/>
        <v>68.150000000000006</v>
      </c>
      <c r="G34" s="61">
        <f>IF(D34=D33,"",_xlfn.IFNA(VLOOKUP(D34,'인원 입력 기능(국수)'!$A$5:$D$103,4,FALSE),0))</f>
        <v>2825</v>
      </c>
      <c r="H34" s="62">
        <f t="shared" si="4"/>
        <v>1.4088159463004244E-2</v>
      </c>
      <c r="I34" s="75">
        <f>SUM($G$7:G34)</f>
        <v>65270</v>
      </c>
      <c r="J34" s="64">
        <f t="shared" si="5"/>
        <v>0.3254988205841724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73">
        <v>72</v>
      </c>
      <c r="D35" s="59">
        <f t="shared" si="2"/>
        <v>111</v>
      </c>
      <c r="E35" s="74">
        <f t="shared" si="0"/>
        <v>4</v>
      </c>
      <c r="F35" s="60">
        <f t="shared" si="3"/>
        <v>66.73</v>
      </c>
      <c r="G35" s="61">
        <f>IF(D35=D34,"",_xlfn.IFNA(VLOOKUP(D35,'인원 입력 기능(국수)'!$A$5:$D$103,4,FALSE),0))</f>
        <v>2881</v>
      </c>
      <c r="H35" s="62">
        <f t="shared" si="4"/>
        <v>1.4367429172713355E-2</v>
      </c>
      <c r="I35" s="75">
        <f>SUM($G$7:G35)</f>
        <v>68151</v>
      </c>
      <c r="J35" s="64">
        <f t="shared" si="5"/>
        <v>0.33986624975688573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73">
        <v>71</v>
      </c>
      <c r="D36" s="172">
        <f t="shared" si="2"/>
        <v>110</v>
      </c>
      <c r="E36" s="174">
        <f t="shared" si="0"/>
        <v>4</v>
      </c>
      <c r="F36" s="176">
        <f t="shared" si="3"/>
        <v>64.58</v>
      </c>
      <c r="G36" s="178">
        <f>IF(D36=D35,"",_xlfn.IFNA(VLOOKUP(D36,'인원 입력 기능(국수)'!$A$5:$D$103,4,FALSE),0))</f>
        <v>5758</v>
      </c>
      <c r="H36" s="180">
        <f t="shared" si="4"/>
        <v>2.8714910509018917E-2</v>
      </c>
      <c r="I36" s="168">
        <f>SUM($G$7:G36)</f>
        <v>73909</v>
      </c>
      <c r="J36" s="170">
        <f t="shared" si="5"/>
        <v>0.36858116026590465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73">
        <v>70</v>
      </c>
      <c r="D37" s="173"/>
      <c r="E37" s="175"/>
      <c r="F37" s="177"/>
      <c r="G37" s="179"/>
      <c r="H37" s="181"/>
      <c r="I37" s="169"/>
      <c r="J37" s="171"/>
      <c r="K37" s="31"/>
      <c r="L37" s="20" t="str">
        <f t="shared" si="1"/>
        <v>경고</v>
      </c>
      <c r="N37" s="1"/>
    </row>
    <row r="38" spans="1:14" ht="25" customHeight="1" x14ac:dyDescent="0.45">
      <c r="A38" s="5"/>
      <c r="B38" s="30"/>
      <c r="C38" s="73">
        <v>69</v>
      </c>
      <c r="D38" s="59">
        <f t="shared" si="2"/>
        <v>109</v>
      </c>
      <c r="E38" s="74">
        <f t="shared" si="0"/>
        <v>4</v>
      </c>
      <c r="F38" s="60">
        <f t="shared" si="3"/>
        <v>62.41</v>
      </c>
      <c r="G38" s="61">
        <f>IF(D38=D37,"",_xlfn.IFNA(VLOOKUP(D38,'인원 입력 기능(국수)'!$A$5:$D$103,4,FALSE),0))</f>
        <v>2945</v>
      </c>
      <c r="H38" s="62">
        <f t="shared" si="4"/>
        <v>1.4686594555238052E-2</v>
      </c>
      <c r="I38" s="75">
        <f>SUM($G$7:G38)</f>
        <v>76854</v>
      </c>
      <c r="J38" s="64">
        <f t="shared" si="5"/>
        <v>0.38326775482114273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73">
        <v>68</v>
      </c>
      <c r="D39" s="59">
        <f t="shared" si="2"/>
        <v>108</v>
      </c>
      <c r="E39" s="7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60">
        <f t="shared" si="3"/>
        <v>60.95</v>
      </c>
      <c r="G39" s="61">
        <f>IF(D39=D38,"",_xlfn.IFNA(VLOOKUP(D39,'인원 입력 기능(국수)'!$A$5:$D$103,4,FALSE),0))</f>
        <v>2882</v>
      </c>
      <c r="H39" s="62">
        <f t="shared" si="4"/>
        <v>1.4372416131815302E-2</v>
      </c>
      <c r="I39" s="75">
        <f>SUM($G$7:G39)</f>
        <v>79736</v>
      </c>
      <c r="J39" s="64">
        <f t="shared" si="5"/>
        <v>0.39764017095295801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73">
        <v>67</v>
      </c>
      <c r="D40" s="59">
        <f t="shared" si="2"/>
        <v>107</v>
      </c>
      <c r="E40" s="74">
        <f t="shared" si="6"/>
        <v>4</v>
      </c>
      <c r="F40" s="60">
        <f t="shared" si="3"/>
        <v>59.51</v>
      </c>
      <c r="G40" s="61">
        <f>IF(D40=D39,"",_xlfn.IFNA(VLOOKUP(D40,'인원 입력 기능(국수)'!$A$5:$D$103,4,FALSE),0))</f>
        <v>2906</v>
      </c>
      <c r="H40" s="62">
        <f t="shared" si="4"/>
        <v>1.4492103150262064E-2</v>
      </c>
      <c r="I40" s="75">
        <f>SUM($G$7:G40)</f>
        <v>82642</v>
      </c>
      <c r="J40" s="64">
        <f t="shared" si="5"/>
        <v>0.41213227410322006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73">
        <v>66</v>
      </c>
      <c r="D41" s="59">
        <f t="shared" si="2"/>
        <v>106</v>
      </c>
      <c r="E41" s="74">
        <f t="shared" si="6"/>
        <v>5</v>
      </c>
      <c r="F41" s="60">
        <f t="shared" si="3"/>
        <v>58.07</v>
      </c>
      <c r="G41" s="61">
        <f>IF(D41=D40,"",_xlfn.IFNA(VLOOKUP(D41,'인원 입력 기능(국수)'!$A$5:$D$103,4,FALSE),0))</f>
        <v>2886</v>
      </c>
      <c r="H41" s="62">
        <f t="shared" si="4"/>
        <v>1.4392363968223097E-2</v>
      </c>
      <c r="I41" s="75">
        <f>SUM($G$7:G41)</f>
        <v>85528</v>
      </c>
      <c r="J41" s="64">
        <f t="shared" si="5"/>
        <v>0.4265246380714432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59">
        <f t="shared" si="2"/>
        <v>105</v>
      </c>
      <c r="E42" s="74">
        <f t="shared" si="6"/>
        <v>5</v>
      </c>
      <c r="F42" s="60">
        <f t="shared" si="3"/>
        <v>56.64</v>
      </c>
      <c r="G42" s="61">
        <f>IF(D42=D41,"",_xlfn.IFNA(VLOOKUP(D42,'인원 입력 기능(국수)'!$A$5:$D$103,4,FALSE),0))</f>
        <v>2853</v>
      </c>
      <c r="H42" s="62">
        <f t="shared" si="4"/>
        <v>1.4227794317858799E-2</v>
      </c>
      <c r="I42" s="75">
        <f>SUM($G$7:G42)</f>
        <v>88381</v>
      </c>
      <c r="J42" s="64">
        <f t="shared" si="5"/>
        <v>0.44075243238930195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172">
        <f t="shared" si="2"/>
        <v>104</v>
      </c>
      <c r="E43" s="174">
        <f t="shared" si="6"/>
        <v>5</v>
      </c>
      <c r="F43" s="176">
        <f t="shared" si="3"/>
        <v>54.5</v>
      </c>
      <c r="G43" s="178">
        <f>IF(D43=D42,"",_xlfn.IFNA(VLOOKUP(D43,'인원 입력 기능(국수)'!$A$5:$D$103,4,FALSE),0))</f>
        <v>5724</v>
      </c>
      <c r="H43" s="180">
        <f t="shared" si="4"/>
        <v>2.8545353899552671E-2</v>
      </c>
      <c r="I43" s="168">
        <f>SUM($G$7:G43)</f>
        <v>94105</v>
      </c>
      <c r="J43" s="170">
        <f t="shared" si="5"/>
        <v>0.46929778628885466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173"/>
      <c r="E44" s="175"/>
      <c r="F44" s="177"/>
      <c r="G44" s="179"/>
      <c r="H44" s="181"/>
      <c r="I44" s="169"/>
      <c r="J44" s="171"/>
      <c r="K44" s="31"/>
      <c r="L44" s="20" t="str">
        <f t="shared" si="7"/>
        <v>경고</v>
      </c>
      <c r="N44" s="1"/>
    </row>
    <row r="45" spans="1:14" ht="25" customHeight="1" x14ac:dyDescent="0.45">
      <c r="A45" s="5"/>
      <c r="B45" s="30"/>
      <c r="C45" s="73">
        <v>62</v>
      </c>
      <c r="D45" s="59">
        <f t="shared" si="2"/>
        <v>103</v>
      </c>
      <c r="E45" s="74">
        <f t="shared" si="6"/>
        <v>5</v>
      </c>
      <c r="F45" s="60">
        <f t="shared" si="3"/>
        <v>52.37</v>
      </c>
      <c r="G45" s="61">
        <f>IF(D45=D44,"",_xlfn.IFNA(VLOOKUP(D45,'인원 입력 기능(국수)'!$A$5:$D$103,4,FALSE),0))</f>
        <v>2827</v>
      </c>
      <c r="H45" s="62">
        <f t="shared" si="4"/>
        <v>1.409813338120814E-2</v>
      </c>
      <c r="I45" s="75">
        <f>SUM($G$7:G45)</f>
        <v>96932</v>
      </c>
      <c r="J45" s="64">
        <f t="shared" si="5"/>
        <v>0.48339591967006279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59">
        <f t="shared" si="2"/>
        <v>102</v>
      </c>
      <c r="E46" s="74">
        <f t="shared" si="6"/>
        <v>5</v>
      </c>
      <c r="F46" s="60">
        <f t="shared" si="3"/>
        <v>50.94</v>
      </c>
      <c r="G46" s="61">
        <f>IF(D46=D45,"",_xlfn.IFNA(VLOOKUP(D46,'인원 입력 기능(국수)'!$A$5:$D$103,4,FALSE),0))</f>
        <v>2895</v>
      </c>
      <c r="H46" s="62">
        <f t="shared" si="4"/>
        <v>1.4437246600140632E-2</v>
      </c>
      <c r="I46" s="75">
        <f>SUM($G$7:G46)</f>
        <v>99827</v>
      </c>
      <c r="J46" s="64">
        <f t="shared" si="5"/>
        <v>0.49783316627020341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59">
        <f t="shared" si="2"/>
        <v>101</v>
      </c>
      <c r="E47" s="74">
        <f t="shared" si="6"/>
        <v>5</v>
      </c>
      <c r="F47" s="60">
        <f t="shared" si="3"/>
        <v>49.46</v>
      </c>
      <c r="G47" s="61">
        <f>IF(D47=D46,"",_xlfn.IFNA(VLOOKUP(D47,'인원 입력 기능(국수)'!$A$5:$D$103,4,FALSE),0))</f>
        <v>3021</v>
      </c>
      <c r="H47" s="62">
        <f t="shared" si="4"/>
        <v>1.5065603446986131E-2</v>
      </c>
      <c r="I47" s="75">
        <f>SUM($G$7:G47)</f>
        <v>102848</v>
      </c>
      <c r="J47" s="64">
        <f t="shared" si="5"/>
        <v>0.51289876971718951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73">
        <v>59</v>
      </c>
      <c r="D48" s="59">
        <f t="shared" si="2"/>
        <v>100</v>
      </c>
      <c r="E48" s="74">
        <f t="shared" si="6"/>
        <v>5</v>
      </c>
      <c r="F48" s="60">
        <f t="shared" si="3"/>
        <v>48</v>
      </c>
      <c r="G48" s="61">
        <f>IF(D48=D47,"",_xlfn.IFNA(VLOOKUP(D48,'인원 입력 기능(국수)'!$A$5:$D$103,4,FALSE),0))</f>
        <v>2848</v>
      </c>
      <c r="H48" s="62">
        <f t="shared" si="4"/>
        <v>1.4202859522349058E-2</v>
      </c>
      <c r="I48" s="75">
        <f>SUM($G$7:G48)</f>
        <v>105696</v>
      </c>
      <c r="J48" s="64">
        <f t="shared" si="5"/>
        <v>0.52710162923953863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73">
        <v>58</v>
      </c>
      <c r="D49" s="59">
        <f t="shared" si="2"/>
        <v>99</v>
      </c>
      <c r="E49" s="74">
        <f t="shared" si="6"/>
        <v>5</v>
      </c>
      <c r="F49" s="60">
        <f t="shared" si="3"/>
        <v>46.61</v>
      </c>
      <c r="G49" s="61">
        <f>IF(D49=D48,"",_xlfn.IFNA(VLOOKUP(D49,'인원 입력 기능(국수)'!$A$5:$D$103,4,FALSE),0))</f>
        <v>2723</v>
      </c>
      <c r="H49" s="62">
        <f t="shared" si="4"/>
        <v>1.3579489634605507E-2</v>
      </c>
      <c r="I49" s="75">
        <f>SUM($G$7:G49)</f>
        <v>108419</v>
      </c>
      <c r="J49" s="64">
        <f t="shared" si="5"/>
        <v>0.54068111887414416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172">
        <f t="shared" si="2"/>
        <v>98</v>
      </c>
      <c r="E50" s="174">
        <f t="shared" si="6"/>
        <v>5</v>
      </c>
      <c r="F50" s="176">
        <f t="shared" si="3"/>
        <v>44.54</v>
      </c>
      <c r="G50" s="178">
        <f>IF(D50=D49,"",_xlfn.IFNA(VLOOKUP(D50,'인원 입력 기능(국수)'!$A$5:$D$103,4,FALSE),0))</f>
        <v>5588</v>
      </c>
      <c r="H50" s="180">
        <f t="shared" si="4"/>
        <v>2.7867127461687687E-2</v>
      </c>
      <c r="I50" s="168">
        <f>SUM($G$7:G50)</f>
        <v>114007</v>
      </c>
      <c r="J50" s="170">
        <f t="shared" si="5"/>
        <v>0.56854824633583179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173"/>
      <c r="E51" s="175"/>
      <c r="F51" s="177"/>
      <c r="G51" s="179"/>
      <c r="H51" s="181"/>
      <c r="I51" s="169"/>
      <c r="J51" s="171"/>
      <c r="K51" s="31"/>
      <c r="L51" s="20" t="str">
        <f t="shared" si="7"/>
        <v>경고</v>
      </c>
      <c r="N51" s="1"/>
    </row>
    <row r="52" spans="1:14" ht="25" customHeight="1" x14ac:dyDescent="0.45">
      <c r="A52" s="5"/>
      <c r="B52" s="30"/>
      <c r="C52" s="73">
        <v>55</v>
      </c>
      <c r="D52" s="59">
        <f t="shared" si="2"/>
        <v>97</v>
      </c>
      <c r="E52" s="74">
        <f t="shared" si="6"/>
        <v>5</v>
      </c>
      <c r="F52" s="60">
        <f t="shared" si="3"/>
        <v>42.47</v>
      </c>
      <c r="G52" s="61">
        <f>IF(D52=D51,"",_xlfn.IFNA(VLOOKUP(D52,'인원 입력 기능(국수)'!$A$5:$D$103,4,FALSE),0))</f>
        <v>2716</v>
      </c>
      <c r="H52" s="62">
        <f t="shared" si="4"/>
        <v>1.3544580920891868E-2</v>
      </c>
      <c r="I52" s="75">
        <f>SUM($G$7:G52)</f>
        <v>116723</v>
      </c>
      <c r="J52" s="64">
        <f t="shared" si="5"/>
        <v>0.58209282725672362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59">
        <f t="shared" si="2"/>
        <v>96</v>
      </c>
      <c r="E53" s="74">
        <f t="shared" si="6"/>
        <v>5</v>
      </c>
      <c r="F53" s="60">
        <f t="shared" si="3"/>
        <v>41.11</v>
      </c>
      <c r="G53" s="61">
        <f>IF(D53=D52,"",_xlfn.IFNA(VLOOKUP(D53,'인원 입력 기능(국수)'!$A$5:$D$103,4,FALSE),0))</f>
        <v>2741</v>
      </c>
      <c r="H53" s="62">
        <f t="shared" si="4"/>
        <v>1.3669254898440578E-2</v>
      </c>
      <c r="I53" s="75">
        <f>SUM($G$7:G53)</f>
        <v>119464</v>
      </c>
      <c r="J53" s="64">
        <f t="shared" si="5"/>
        <v>0.59576208215516424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59">
        <f t="shared" si="2"/>
        <v>95</v>
      </c>
      <c r="E54" s="74">
        <f t="shared" si="6"/>
        <v>5</v>
      </c>
      <c r="F54" s="60">
        <f t="shared" si="3"/>
        <v>39.74</v>
      </c>
      <c r="G54" s="61">
        <f>IF(D54=D53,"",_xlfn.IFNA(VLOOKUP(D54,'인원 입력 기능(국수)'!$A$5:$D$103,4,FALSE),0))</f>
        <v>2734</v>
      </c>
      <c r="H54" s="62">
        <f t="shared" si="4"/>
        <v>1.3634346184726939E-2</v>
      </c>
      <c r="I54" s="75">
        <f>SUM($G$7:G54)</f>
        <v>122198</v>
      </c>
      <c r="J54" s="64">
        <f t="shared" si="5"/>
        <v>0.60939642833989116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59">
        <f t="shared" si="2"/>
        <v>94</v>
      </c>
      <c r="E55" s="74">
        <f t="shared" si="6"/>
        <v>6</v>
      </c>
      <c r="F55" s="60">
        <f t="shared" si="3"/>
        <v>38.43</v>
      </c>
      <c r="G55" s="61">
        <f>IF(D55=D54,"",_xlfn.IFNA(VLOOKUP(D55,'인원 입력 기능(국수)'!$A$5:$D$103,4,FALSE),0))</f>
        <v>2540</v>
      </c>
      <c r="H55" s="62">
        <f t="shared" si="4"/>
        <v>1.2666876118948948E-2</v>
      </c>
      <c r="I55" s="75">
        <f>SUM($G$7:G55)</f>
        <v>124738</v>
      </c>
      <c r="J55" s="64">
        <f t="shared" si="5"/>
        <v>0.62206330445884017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59">
        <f t="shared" si="2"/>
        <v>93</v>
      </c>
      <c r="E56" s="74">
        <f t="shared" si="6"/>
        <v>6</v>
      </c>
      <c r="F56" s="60">
        <f t="shared" si="3"/>
        <v>37.130000000000003</v>
      </c>
      <c r="G56" s="61">
        <f>IF(D56=D55,"",_xlfn.IFNA(VLOOKUP(D56,'인원 입력 기능(국수)'!$A$5:$D$103,4,FALSE),0))</f>
        <v>2651</v>
      </c>
      <c r="H56" s="62">
        <f t="shared" si="4"/>
        <v>1.3220428579265222E-2</v>
      </c>
      <c r="I56" s="75">
        <f>SUM($G$7:G56)</f>
        <v>127389</v>
      </c>
      <c r="J56" s="64">
        <f t="shared" si="5"/>
        <v>0.63528373303810537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172">
        <f t="shared" si="2"/>
        <v>92</v>
      </c>
      <c r="E57" s="174">
        <f t="shared" si="6"/>
        <v>6</v>
      </c>
      <c r="F57" s="176">
        <f t="shared" si="3"/>
        <v>35.200000000000003</v>
      </c>
      <c r="G57" s="178">
        <f>IF(D57=D56,"",_xlfn.IFNA(VLOOKUP(D57,'인원 입력 기능(국수)'!$A$5:$D$103,4,FALSE),0))</f>
        <v>5102</v>
      </c>
      <c r="H57" s="180">
        <f t="shared" si="4"/>
        <v>2.544346533814076E-2</v>
      </c>
      <c r="I57" s="168">
        <f>SUM($G$7:G57)</f>
        <v>132491</v>
      </c>
      <c r="J57" s="170">
        <f t="shared" si="5"/>
        <v>0.66072719837624616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173"/>
      <c r="E58" s="175"/>
      <c r="F58" s="177"/>
      <c r="G58" s="179"/>
      <c r="H58" s="181"/>
      <c r="I58" s="169"/>
      <c r="J58" s="171"/>
      <c r="K58" s="31"/>
      <c r="L58" s="20" t="str">
        <f t="shared" si="7"/>
        <v>경고</v>
      </c>
      <c r="N58" s="1"/>
    </row>
    <row r="59" spans="1:14" ht="25" customHeight="1" x14ac:dyDescent="0.45">
      <c r="A59" s="5"/>
      <c r="B59" s="30"/>
      <c r="C59" s="73">
        <v>48</v>
      </c>
      <c r="D59" s="59">
        <f t="shared" si="2"/>
        <v>91</v>
      </c>
      <c r="E59" s="74">
        <f t="shared" si="6"/>
        <v>6</v>
      </c>
      <c r="F59" s="60">
        <f t="shared" si="3"/>
        <v>33.299999999999997</v>
      </c>
      <c r="G59" s="61">
        <f>IF(D59=D58,"",_xlfn.IFNA(VLOOKUP(D59,'인원 입력 기능(국수)'!$A$5:$D$103,4,FALSE),0))</f>
        <v>2514</v>
      </c>
      <c r="H59" s="62">
        <f t="shared" si="4"/>
        <v>1.253721518229829E-2</v>
      </c>
      <c r="I59" s="75">
        <f>SUM($G$7:G59)</f>
        <v>135005</v>
      </c>
      <c r="J59" s="64">
        <f t="shared" si="5"/>
        <v>0.67326441355854438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59">
        <f t="shared" si="2"/>
        <v>90</v>
      </c>
      <c r="E60" s="74">
        <f t="shared" si="6"/>
        <v>6</v>
      </c>
      <c r="F60" s="60">
        <f t="shared" si="3"/>
        <v>32.06</v>
      </c>
      <c r="G60" s="61">
        <f>IF(D60=D59,"",_xlfn.IFNA(VLOOKUP(D60,'인원 입력 기능(국수)'!$A$5:$D$103,4,FALSE),0))</f>
        <v>2472</v>
      </c>
      <c r="H60" s="62">
        <f t="shared" si="4"/>
        <v>1.2327762900016456E-2</v>
      </c>
      <c r="I60" s="75">
        <f>SUM($G$7:G60)</f>
        <v>137477</v>
      </c>
      <c r="J60" s="64">
        <f t="shared" si="5"/>
        <v>0.68559217645856085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59">
        <f t="shared" si="2"/>
        <v>89</v>
      </c>
      <c r="E61" s="74">
        <f t="shared" si="6"/>
        <v>6</v>
      </c>
      <c r="F61" s="60">
        <f t="shared" si="3"/>
        <v>30.84</v>
      </c>
      <c r="G61" s="61">
        <f>IF(D61=D60,"",_xlfn.IFNA(VLOOKUP(D61,'인원 입력 기능(국수)'!$A$5:$D$103,4,FALSE),0))</f>
        <v>2404</v>
      </c>
      <c r="H61" s="62">
        <f t="shared" si="4"/>
        <v>1.1988649681083966E-2</v>
      </c>
      <c r="I61" s="75">
        <f>SUM($G$7:G61)</f>
        <v>139881</v>
      </c>
      <c r="J61" s="64">
        <f t="shared" si="5"/>
        <v>0.69758082613964478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59">
        <f t="shared" si="2"/>
        <v>88</v>
      </c>
      <c r="E62" s="74">
        <f t="shared" si="6"/>
        <v>6</v>
      </c>
      <c r="F62" s="60">
        <f t="shared" si="3"/>
        <v>29.66</v>
      </c>
      <c r="G62" s="61">
        <f>IF(D62=D61,"",_xlfn.IFNA(VLOOKUP(D62,'인원 입력 기능(국수)'!$A$5:$D$103,4,FALSE),0))</f>
        <v>2353</v>
      </c>
      <c r="H62" s="62">
        <f t="shared" si="4"/>
        <v>1.1734314766884597E-2</v>
      </c>
      <c r="I62" s="75">
        <f>SUM($G$7:G62)</f>
        <v>142234</v>
      </c>
      <c r="J62" s="64">
        <f t="shared" si="5"/>
        <v>0.70931514090652947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59">
        <f t="shared" si="2"/>
        <v>87</v>
      </c>
      <c r="E63" s="74">
        <f t="shared" si="6"/>
        <v>6</v>
      </c>
      <c r="F63" s="60">
        <f t="shared" si="3"/>
        <v>28.49</v>
      </c>
      <c r="G63" s="61">
        <f>IF(D63=D62,"",_xlfn.IFNA(VLOOKUP(D63,'인원 입력 기능(국수)'!$A$5:$D$103,4,FALSE),0))</f>
        <v>2300</v>
      </c>
      <c r="H63" s="62">
        <f t="shared" si="4"/>
        <v>1.1470005934481331E-2</v>
      </c>
      <c r="I63" s="75">
        <f>SUM($G$7:G63)</f>
        <v>144534</v>
      </c>
      <c r="J63" s="64">
        <f t="shared" si="5"/>
        <v>0.7207851468410108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172">
        <f t="shared" si="2"/>
        <v>86</v>
      </c>
      <c r="E64" s="174">
        <f t="shared" si="6"/>
        <v>6</v>
      </c>
      <c r="F64" s="176">
        <f t="shared" si="3"/>
        <v>26.77</v>
      </c>
      <c r="G64" s="178">
        <f>IF(D64=D63,"",_xlfn.IFNA(VLOOKUP(D64,'인원 입력 기능(국수)'!$A$5:$D$103,4,FALSE),0))</f>
        <v>4613</v>
      </c>
      <c r="H64" s="180">
        <f t="shared" si="4"/>
        <v>2.300484233728799E-2</v>
      </c>
      <c r="I64" s="168">
        <f>SUM($G$7:G64)</f>
        <v>149147</v>
      </c>
      <c r="J64" s="170">
        <f t="shared" si="5"/>
        <v>0.74378998917829875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173"/>
      <c r="E65" s="175"/>
      <c r="F65" s="177"/>
      <c r="G65" s="179"/>
      <c r="H65" s="181"/>
      <c r="I65" s="169"/>
      <c r="J65" s="171"/>
      <c r="K65" s="31"/>
      <c r="L65" s="20" t="str">
        <f t="shared" si="7"/>
        <v>경고</v>
      </c>
      <c r="N65" s="1"/>
    </row>
    <row r="66" spans="1:14" ht="25" customHeight="1" x14ac:dyDescent="0.45">
      <c r="A66" s="5"/>
      <c r="B66" s="30"/>
      <c r="C66" s="73">
        <v>41</v>
      </c>
      <c r="D66" s="59">
        <f t="shared" si="2"/>
        <v>85</v>
      </c>
      <c r="E66" s="74">
        <f t="shared" si="6"/>
        <v>6</v>
      </c>
      <c r="F66" s="60">
        <f t="shared" si="3"/>
        <v>25.09</v>
      </c>
      <c r="G66" s="61">
        <f>IF(D66=D65,"",_xlfn.IFNA(VLOOKUP(D66,'인원 입력 기능(국수)'!$A$5:$D$103,4,FALSE),0))</f>
        <v>2142</v>
      </c>
      <c r="H66" s="62">
        <f t="shared" si="4"/>
        <v>1.0682066396373483E-2</v>
      </c>
      <c r="I66" s="75">
        <f>SUM($G$7:G66)</f>
        <v>151289</v>
      </c>
      <c r="J66" s="64">
        <f t="shared" si="5"/>
        <v>0.75447205557467223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59">
        <f t="shared" si="2"/>
        <v>84</v>
      </c>
      <c r="E67" s="74">
        <f t="shared" si="6"/>
        <v>6</v>
      </c>
      <c r="F67" s="60">
        <f t="shared" si="3"/>
        <v>24.02</v>
      </c>
      <c r="G67" s="61">
        <f>IF(D67=D66,"",_xlfn.IFNA(VLOOKUP(D67,'인원 입력 기능(국수)'!$A$5:$D$103,4,FALSE),0))</f>
        <v>2132</v>
      </c>
      <c r="H67" s="62">
        <f t="shared" si="4"/>
        <v>1.0632196805353999E-2</v>
      </c>
      <c r="I67" s="75">
        <f>SUM($G$7:G67)</f>
        <v>153421</v>
      </c>
      <c r="J67" s="64">
        <f t="shared" si="5"/>
        <v>0.76510425238002622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59">
        <f t="shared" si="2"/>
        <v>83</v>
      </c>
      <c r="E68" s="74">
        <f t="shared" si="6"/>
        <v>6</v>
      </c>
      <c r="F68" s="60">
        <f t="shared" si="3"/>
        <v>23</v>
      </c>
      <c r="G68" s="61">
        <f>IF(D68=D67,"",_xlfn.IFNA(VLOOKUP(D68,'인원 입력 기능(국수)'!$A$5:$D$103,4,FALSE),0))</f>
        <v>1967</v>
      </c>
      <c r="H68" s="62">
        <f t="shared" si="4"/>
        <v>9.8093485535325122E-3</v>
      </c>
      <c r="I68" s="75">
        <f>SUM($G$7:G68)</f>
        <v>155388</v>
      </c>
      <c r="J68" s="64">
        <f t="shared" si="5"/>
        <v>0.77491360093355877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73">
        <v>38</v>
      </c>
      <c r="D69" s="59">
        <f t="shared" si="2"/>
        <v>82</v>
      </c>
      <c r="E69" s="74">
        <f t="shared" si="6"/>
        <v>7</v>
      </c>
      <c r="F69" s="60">
        <f t="shared" si="3"/>
        <v>21.98</v>
      </c>
      <c r="G69" s="61">
        <f>IF(D69=D68,"",_xlfn.IFNA(VLOOKUP(D69,'인원 입력 기능(국수)'!$A$5:$D$103,4,FALSE),0))</f>
        <v>2133</v>
      </c>
      <c r="H69" s="62">
        <f t="shared" si="4"/>
        <v>1.0637183764455948E-2</v>
      </c>
      <c r="I69" s="75">
        <f>SUM($G$7:G69)</f>
        <v>157521</v>
      </c>
      <c r="J69" s="64">
        <f t="shared" si="5"/>
        <v>0.78555078469801465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59">
        <f t="shared" si="2"/>
        <v>81</v>
      </c>
      <c r="E70" s="74">
        <f t="shared" si="6"/>
        <v>7</v>
      </c>
      <c r="F70" s="60">
        <f t="shared" si="3"/>
        <v>20.95</v>
      </c>
      <c r="G70" s="61">
        <f>IF(D70=D69,"",_xlfn.IFNA(VLOOKUP(D70,'인원 입력 기능(국수)'!$A$5:$D$103,4,FALSE),0))</f>
        <v>1968</v>
      </c>
      <c r="H70" s="62">
        <f t="shared" si="4"/>
        <v>9.8143355126344613E-3</v>
      </c>
      <c r="I70" s="75">
        <f>SUM($G$7:G70)</f>
        <v>159489</v>
      </c>
      <c r="J70" s="64">
        <f t="shared" si="5"/>
        <v>0.7953651202106492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172">
        <f t="shared" si="2"/>
        <v>80</v>
      </c>
      <c r="E71" s="174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7</v>
      </c>
      <c r="F71" s="176">
        <f t="shared" si="3"/>
        <v>19.47</v>
      </c>
      <c r="G71" s="178">
        <f>IF(D71=D70,"",_xlfn.IFNA(VLOOKUP(D71,'인원 입력 기능(국수)'!$A$5:$D$103,4,FALSE),0))</f>
        <v>3970</v>
      </c>
      <c r="H71" s="180">
        <f t="shared" si="4"/>
        <v>1.9798227634735169E-2</v>
      </c>
      <c r="I71" s="168">
        <f>SUM($G$7:G71)</f>
        <v>163459</v>
      </c>
      <c r="J71" s="170">
        <f t="shared" si="5"/>
        <v>0.81516334784538436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173"/>
      <c r="E72" s="175"/>
      <c r="F72" s="177"/>
      <c r="G72" s="179"/>
      <c r="H72" s="181"/>
      <c r="I72" s="169"/>
      <c r="J72" s="171"/>
      <c r="K72" s="31"/>
      <c r="L72" s="20" t="str">
        <f t="shared" si="7"/>
        <v>경고</v>
      </c>
      <c r="N72" s="1"/>
    </row>
    <row r="73" spans="1:14" ht="25" customHeight="1" x14ac:dyDescent="0.45">
      <c r="A73" s="5"/>
      <c r="B73" s="30"/>
      <c r="C73" s="73">
        <v>34</v>
      </c>
      <c r="D73" s="59">
        <f t="shared" si="2"/>
        <v>79</v>
      </c>
      <c r="E73" s="74">
        <f t="shared" si="8"/>
        <v>7</v>
      </c>
      <c r="F73" s="60">
        <f t="shared" si="3"/>
        <v>18.010000000000002</v>
      </c>
      <c r="G73" s="61">
        <f>IF(D73=D72,"",_xlfn.IFNA(VLOOKUP(D73,'인원 입력 기능(국수)'!$A$5:$D$103,4,FALSE),0))</f>
        <v>1899</v>
      </c>
      <c r="H73" s="62">
        <f t="shared" si="4"/>
        <v>9.4702353346000218E-3</v>
      </c>
      <c r="I73" s="75">
        <f>SUM($G$7:G73)</f>
        <v>165358</v>
      </c>
      <c r="J73" s="64">
        <f t="shared" si="5"/>
        <v>0.82463358317998436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59">
        <f t="shared" ref="D74:D105" si="10">ROUND(20*(C74-$H$3)/$H$4+100,0)</f>
        <v>78</v>
      </c>
      <c r="E74" s="74">
        <f t="shared" si="8"/>
        <v>7</v>
      </c>
      <c r="F74" s="60">
        <f t="shared" ref="F74:F105" si="11">IF(I73=0,ROUND(100*(1-(I72+I74)/2/$J$3),2),ROUND(100*(1-(I73+I74)/2/$J$3),2))</f>
        <v>17.07</v>
      </c>
      <c r="G74" s="61">
        <f>IF(D74=D73,"",_xlfn.IFNA(VLOOKUP(D74,'인원 입력 기능(국수)'!$A$5:$D$103,4,FALSE),0))</f>
        <v>1876</v>
      </c>
      <c r="H74" s="62">
        <f t="shared" ref="H74:H105" si="12">G74/$J$3</f>
        <v>9.3555352752552074E-3</v>
      </c>
      <c r="I74" s="75">
        <f>SUM($G$7:G74)</f>
        <v>167234</v>
      </c>
      <c r="J74" s="64">
        <f t="shared" ref="J74:J105" si="13">I74/$J$3</f>
        <v>0.8339891184552396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73">
        <v>32</v>
      </c>
      <c r="D75" s="59">
        <f t="shared" si="10"/>
        <v>77</v>
      </c>
      <c r="E75" s="74">
        <f t="shared" si="8"/>
        <v>7</v>
      </c>
      <c r="F75" s="60">
        <f t="shared" si="11"/>
        <v>16.149999999999999</v>
      </c>
      <c r="G75" s="61">
        <f>IF(D75=D74,"",_xlfn.IFNA(VLOOKUP(D75,'인원 입력 기능(국수)'!$A$5:$D$103,4,FALSE),0))</f>
        <v>1805</v>
      </c>
      <c r="H75" s="62">
        <f t="shared" si="12"/>
        <v>9.0014611790168713E-3</v>
      </c>
      <c r="I75" s="75">
        <f>SUM($G$7:G75)</f>
        <v>169039</v>
      </c>
      <c r="J75" s="64">
        <f t="shared" si="13"/>
        <v>0.84299057963425639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73">
        <v>31</v>
      </c>
      <c r="D76" s="59">
        <f t="shared" si="10"/>
        <v>76</v>
      </c>
      <c r="E76" s="74">
        <f t="shared" si="8"/>
        <v>7</v>
      </c>
      <c r="F76" s="60">
        <f t="shared" si="11"/>
        <v>15.24</v>
      </c>
      <c r="G76" s="61">
        <f>IF(D76=D75,"",_xlfn.IFNA(VLOOKUP(D76,'인원 입력 기능(국수)'!$A$5:$D$103,4,FALSE),0))</f>
        <v>1867</v>
      </c>
      <c r="H76" s="62">
        <f t="shared" si="12"/>
        <v>9.3106526433376722E-3</v>
      </c>
      <c r="I76" s="75">
        <f>SUM($G$7:G76)</f>
        <v>170906</v>
      </c>
      <c r="J76" s="64">
        <f t="shared" si="13"/>
        <v>0.85230123227759413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73">
        <v>30</v>
      </c>
      <c r="D77" s="59">
        <f t="shared" si="10"/>
        <v>75</v>
      </c>
      <c r="E77" s="74">
        <f t="shared" si="8"/>
        <v>7</v>
      </c>
      <c r="F77" s="60">
        <f t="shared" si="11"/>
        <v>14.35</v>
      </c>
      <c r="G77" s="61">
        <f>IF(D77=D76,"",_xlfn.IFNA(VLOOKUP(D77,'인원 입력 기능(국수)'!$A$5:$D$103,4,FALSE),0))</f>
        <v>1697</v>
      </c>
      <c r="H77" s="62">
        <f t="shared" si="12"/>
        <v>8.4628695960064435E-3</v>
      </c>
      <c r="I77" s="75">
        <f>SUM($G$7:G77)</f>
        <v>172603</v>
      </c>
      <c r="J77" s="64">
        <f t="shared" si="13"/>
        <v>0.86076410187360053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73">
        <v>29</v>
      </c>
      <c r="D78" s="172">
        <f t="shared" si="10"/>
        <v>74</v>
      </c>
      <c r="E78" s="174">
        <f t="shared" si="8"/>
        <v>7</v>
      </c>
      <c r="F78" s="176">
        <f t="shared" si="11"/>
        <v>13.04</v>
      </c>
      <c r="G78" s="178">
        <f>IF(D78=D77,"",_xlfn.IFNA(VLOOKUP(D78,'인원 입력 기능(국수)'!$A$5:$D$103,4,FALSE),0))</f>
        <v>3558</v>
      </c>
      <c r="H78" s="180">
        <f t="shared" si="12"/>
        <v>1.7743600484732426E-2</v>
      </c>
      <c r="I78" s="168">
        <f>SUM($G$7:G78)</f>
        <v>176161</v>
      </c>
      <c r="J78" s="170">
        <f t="shared" si="13"/>
        <v>0.87850770235833298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73">
        <v>28</v>
      </c>
      <c r="D79" s="173"/>
      <c r="E79" s="175"/>
      <c r="F79" s="177"/>
      <c r="G79" s="179"/>
      <c r="H79" s="181"/>
      <c r="I79" s="169"/>
      <c r="J79" s="171"/>
      <c r="K79" s="31"/>
      <c r="L79" s="20" t="str">
        <f t="shared" si="9"/>
        <v>경고</v>
      </c>
      <c r="N79" s="1"/>
    </row>
    <row r="80" spans="1:14" ht="25" customHeight="1" x14ac:dyDescent="0.45">
      <c r="A80" s="5"/>
      <c r="B80" s="30"/>
      <c r="C80" s="73">
        <v>27</v>
      </c>
      <c r="D80" s="59">
        <f t="shared" si="10"/>
        <v>73</v>
      </c>
      <c r="E80" s="74">
        <f t="shared" si="8"/>
        <v>7</v>
      </c>
      <c r="F80" s="60">
        <f t="shared" si="11"/>
        <v>11.72</v>
      </c>
      <c r="G80" s="61">
        <f>IF(D80=D79,"",_xlfn.IFNA(VLOOKUP(D80,'인원 입력 기능(국수)'!$A$5:$D$103,4,FALSE),0))</f>
        <v>1733</v>
      </c>
      <c r="H80" s="62">
        <f t="shared" si="12"/>
        <v>8.6424001236765861E-3</v>
      </c>
      <c r="I80" s="75">
        <f>SUM($G$7:G80)</f>
        <v>177894</v>
      </c>
      <c r="J80" s="64">
        <f t="shared" si="13"/>
        <v>0.88715010248200954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73">
        <v>26</v>
      </c>
      <c r="D81" s="59">
        <f t="shared" si="10"/>
        <v>72</v>
      </c>
      <c r="E81" s="74">
        <f t="shared" si="8"/>
        <v>7</v>
      </c>
      <c r="F81" s="60">
        <f t="shared" si="11"/>
        <v>10.88</v>
      </c>
      <c r="G81" s="61">
        <f>IF(D81=D80,"",_xlfn.IFNA(VLOOKUP(D81,'인원 입력 기능(국수)'!$A$5:$D$103,4,FALSE),0))</f>
        <v>1644</v>
      </c>
      <c r="H81" s="62">
        <f t="shared" si="12"/>
        <v>8.1985607636031778E-3</v>
      </c>
      <c r="I81" s="75">
        <f>SUM($G$7:G81)</f>
        <v>179538</v>
      </c>
      <c r="J81" s="64">
        <f t="shared" si="13"/>
        <v>0.89534866324561269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73">
        <v>25</v>
      </c>
      <c r="D82" s="59">
        <f t="shared" si="10"/>
        <v>71</v>
      </c>
      <c r="E82" s="74">
        <f t="shared" si="8"/>
        <v>8</v>
      </c>
      <c r="F82" s="60">
        <f t="shared" si="11"/>
        <v>9.82</v>
      </c>
      <c r="G82" s="61">
        <f>IF(D82=D81,"",_xlfn.IFNA(VLOOKUP(D82,'인원 입력 기능(국수)'!$A$5:$D$103,4,FALSE),0))</f>
        <v>2580</v>
      </c>
      <c r="H82" s="62">
        <f t="shared" si="12"/>
        <v>1.2866354483026884E-2</v>
      </c>
      <c r="I82" s="75">
        <f>SUM($G$7:G82)</f>
        <v>182118</v>
      </c>
      <c r="J82" s="64">
        <f t="shared" si="13"/>
        <v>0.90821501772863966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73">
        <v>24</v>
      </c>
      <c r="D83" s="59">
        <f t="shared" si="10"/>
        <v>70</v>
      </c>
      <c r="E83" s="74">
        <f t="shared" si="8"/>
        <v>8</v>
      </c>
      <c r="F83" s="60">
        <f t="shared" si="11"/>
        <v>8.7899999999999991</v>
      </c>
      <c r="G83" s="61">
        <f>IF(D83=D82,"",_xlfn.IFNA(VLOOKUP(D83,'인원 입력 기능(국수)'!$A$5:$D$103,4,FALSE),0))</f>
        <v>1577</v>
      </c>
      <c r="H83" s="62">
        <f t="shared" si="12"/>
        <v>7.8644345037726347E-3</v>
      </c>
      <c r="I83" s="75">
        <f>SUM($G$7:G83)</f>
        <v>183695</v>
      </c>
      <c r="J83" s="64">
        <f t="shared" si="13"/>
        <v>0.91607945223241227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73">
        <v>23</v>
      </c>
      <c r="D84" s="59">
        <f t="shared" si="10"/>
        <v>69</v>
      </c>
      <c r="E84" s="74">
        <f t="shared" si="8"/>
        <v>8</v>
      </c>
      <c r="F84" s="60">
        <f t="shared" si="11"/>
        <v>8</v>
      </c>
      <c r="G84" s="61">
        <f>IF(D84=D83,"",_xlfn.IFNA(VLOOKUP(D84,'인원 입력 기능(국수)'!$A$5:$D$103,4,FALSE),0))</f>
        <v>1585</v>
      </c>
      <c r="H84" s="62">
        <f t="shared" si="12"/>
        <v>7.9043301765882226E-3</v>
      </c>
      <c r="I84" s="75">
        <f>SUM($G$7:G84)</f>
        <v>185280</v>
      </c>
      <c r="J84" s="64">
        <f t="shared" si="13"/>
        <v>0.92398378240900048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73">
        <v>22</v>
      </c>
      <c r="D85" s="59">
        <f t="shared" si="10"/>
        <v>68</v>
      </c>
      <c r="E85" s="74">
        <f t="shared" si="8"/>
        <v>8</v>
      </c>
      <c r="F85" s="60">
        <f t="shared" si="11"/>
        <v>7.16</v>
      </c>
      <c r="G85" s="61">
        <f>IF(D85=D84,"",_xlfn.IFNA(VLOOKUP(D85,'인원 입력 기능(국수)'!$A$5:$D$103,4,FALSE),0))</f>
        <v>1758</v>
      </c>
      <c r="H85" s="62">
        <f t="shared" si="12"/>
        <v>8.7670741012252952E-3</v>
      </c>
      <c r="I85" s="75">
        <f>SUM($G$7:G85)</f>
        <v>187038</v>
      </c>
      <c r="J85" s="64">
        <f t="shared" si="13"/>
        <v>0.93275085651022571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73">
        <v>21</v>
      </c>
      <c r="D86" s="172">
        <f t="shared" si="10"/>
        <v>67</v>
      </c>
      <c r="E86" s="174">
        <f t="shared" si="8"/>
        <v>8</v>
      </c>
      <c r="F86" s="176">
        <f t="shared" si="11"/>
        <v>5.96</v>
      </c>
      <c r="G86" s="178">
        <f>IF(D86=D85,"",_xlfn.IFNA(VLOOKUP(D86,'인원 입력 기능(국수)'!$A$5:$D$103,4,FALSE),0))</f>
        <v>3065</v>
      </c>
      <c r="H86" s="180">
        <f t="shared" si="12"/>
        <v>1.5285029647471861E-2</v>
      </c>
      <c r="I86" s="168">
        <f>SUM($G$7:G86)</f>
        <v>190103</v>
      </c>
      <c r="J86" s="170">
        <f t="shared" si="13"/>
        <v>0.94803588615769763</v>
      </c>
      <c r="K86" s="31"/>
      <c r="L86" s="20" t="str">
        <f t="shared" si="9"/>
        <v>경고</v>
      </c>
      <c r="N86" s="1"/>
    </row>
    <row r="87" spans="1:14" ht="25" customHeight="1" x14ac:dyDescent="0.45">
      <c r="A87" s="5"/>
      <c r="B87" s="30"/>
      <c r="C87" s="73">
        <v>20</v>
      </c>
      <c r="D87" s="173"/>
      <c r="E87" s="175"/>
      <c r="F87" s="177"/>
      <c r="G87" s="179"/>
      <c r="H87" s="181"/>
      <c r="I87" s="169"/>
      <c r="J87" s="171"/>
      <c r="K87" s="31"/>
      <c r="L87" s="20" t="str">
        <f t="shared" si="9"/>
        <v>경고</v>
      </c>
      <c r="N87" s="1"/>
    </row>
    <row r="88" spans="1:14" ht="25" customHeight="1" x14ac:dyDescent="0.45">
      <c r="A88" s="5"/>
      <c r="B88" s="30"/>
      <c r="C88" s="73">
        <v>19</v>
      </c>
      <c r="D88" s="59">
        <f t="shared" si="10"/>
        <v>66</v>
      </c>
      <c r="E88" s="74">
        <f t="shared" si="8"/>
        <v>8</v>
      </c>
      <c r="F88" s="60">
        <f t="shared" si="11"/>
        <v>4.82</v>
      </c>
      <c r="G88" s="61">
        <f>IF(D88=D87,"",_xlfn.IFNA(VLOOKUP(D88,'인원 입력 기능(국수)'!$A$5:$D$103,4,FALSE),0))</f>
        <v>1490</v>
      </c>
      <c r="H88" s="62">
        <f t="shared" si="12"/>
        <v>7.430569061903123E-3</v>
      </c>
      <c r="I88" s="75">
        <f>SUM($G$7:G88)</f>
        <v>191593</v>
      </c>
      <c r="J88" s="64">
        <f t="shared" si="13"/>
        <v>0.95546645521960072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73">
        <v>18</v>
      </c>
      <c r="D89" s="59">
        <f t="shared" si="10"/>
        <v>65</v>
      </c>
      <c r="E89" s="74">
        <f t="shared" si="8"/>
        <v>8</v>
      </c>
      <c r="F89" s="60">
        <f t="shared" si="11"/>
        <v>4.2</v>
      </c>
      <c r="G89" s="61">
        <f>IF(D89=D88,"",_xlfn.IFNA(VLOOKUP(D89,'인원 입력 기능(국수)'!$A$5:$D$103,4,FALSE),0))</f>
        <v>1027</v>
      </c>
      <c r="H89" s="62">
        <f t="shared" si="12"/>
        <v>5.121606997701012E-3</v>
      </c>
      <c r="I89" s="75">
        <f>SUM($G$7:G89)</f>
        <v>192620</v>
      </c>
      <c r="J89" s="64">
        <f t="shared" si="13"/>
        <v>0.96058806221730175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73">
        <v>17</v>
      </c>
      <c r="D90" s="59">
        <f t="shared" si="10"/>
        <v>64</v>
      </c>
      <c r="E90" s="74">
        <f t="shared" si="8"/>
        <v>9</v>
      </c>
      <c r="F90" s="60">
        <f t="shared" si="11"/>
        <v>3.1</v>
      </c>
      <c r="G90" s="61">
        <f>IF(D90=D89,"",_xlfn.IFNA(VLOOKUP(D90,'인원 입력 기능(국수)'!$A$5:$D$103,4,FALSE),0))</f>
        <v>3355</v>
      </c>
      <c r="H90" s="62">
        <f t="shared" si="12"/>
        <v>1.6731247787036899E-2</v>
      </c>
      <c r="I90" s="75">
        <f>SUM($G$7:G90)</f>
        <v>195975</v>
      </c>
      <c r="J90" s="64">
        <f t="shared" si="13"/>
        <v>0.97731931000433869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73">
        <v>16</v>
      </c>
      <c r="D91" s="59">
        <f t="shared" si="10"/>
        <v>63</v>
      </c>
      <c r="E91" s="74">
        <f t="shared" si="8"/>
        <v>9</v>
      </c>
      <c r="F91" s="60">
        <f t="shared" si="11"/>
        <v>2</v>
      </c>
      <c r="G91" s="61">
        <f>IF(D91=D90,"",_xlfn.IFNA(VLOOKUP(D91,'인원 입력 기능(국수)'!$A$5:$D$103,4,FALSE),0))</f>
        <v>1085</v>
      </c>
      <c r="H91" s="62">
        <f t="shared" si="12"/>
        <v>5.410850625614019E-3</v>
      </c>
      <c r="I91" s="75">
        <f>SUM($G$7:G91)</f>
        <v>197060</v>
      </c>
      <c r="J91" s="64">
        <f t="shared" si="13"/>
        <v>0.98273016062995266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73">
        <v>15</v>
      </c>
      <c r="D92" s="59">
        <f t="shared" si="10"/>
        <v>62</v>
      </c>
      <c r="E92" s="74">
        <f t="shared" si="8"/>
        <v>9</v>
      </c>
      <c r="F92" s="60">
        <f t="shared" si="11"/>
        <v>1.55</v>
      </c>
      <c r="G92" s="61">
        <f>IF(D92=D91,"",_xlfn.IFNA(VLOOKUP(D92,'인원 입력 기능(국수)'!$A$5:$D$103,4,FALSE),0))</f>
        <v>725</v>
      </c>
      <c r="H92" s="62">
        <f t="shared" si="12"/>
        <v>3.6155453489125937E-3</v>
      </c>
      <c r="I92" s="75">
        <f>SUM($G$7:G92)</f>
        <v>197785</v>
      </c>
      <c r="J92" s="64">
        <f t="shared" si="13"/>
        <v>0.98634570597886528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73">
        <v>14</v>
      </c>
      <c r="D93" s="172">
        <f t="shared" si="10"/>
        <v>61</v>
      </c>
      <c r="E93" s="174">
        <f t="shared" si="8"/>
        <v>9</v>
      </c>
      <c r="F93" s="176">
        <f t="shared" si="11"/>
        <v>1.1499999999999999</v>
      </c>
      <c r="G93" s="178">
        <f>IF(D93=D92,"",_xlfn.IFNA(VLOOKUP(D93,'인원 입력 기능(국수)'!$A$5:$D$103,4,FALSE),0))</f>
        <v>877</v>
      </c>
      <c r="H93" s="180">
        <f t="shared" si="12"/>
        <v>4.3735631324087511E-3</v>
      </c>
      <c r="I93" s="168">
        <f>SUM($G$7:G93)</f>
        <v>198662</v>
      </c>
      <c r="J93" s="170">
        <f t="shared" si="13"/>
        <v>0.99071926911127406</v>
      </c>
      <c r="K93" s="31"/>
      <c r="L93" s="20" t="str">
        <f t="shared" si="9"/>
        <v>경고</v>
      </c>
      <c r="N93" s="1"/>
    </row>
    <row r="94" spans="1:14" ht="25" customHeight="1" x14ac:dyDescent="0.45">
      <c r="A94" s="5"/>
      <c r="B94" s="30"/>
      <c r="C94" s="73">
        <v>13</v>
      </c>
      <c r="D94" s="173"/>
      <c r="E94" s="175"/>
      <c r="F94" s="177"/>
      <c r="G94" s="179"/>
      <c r="H94" s="181"/>
      <c r="I94" s="169"/>
      <c r="J94" s="171"/>
      <c r="K94" s="31"/>
      <c r="L94" s="20" t="str">
        <f t="shared" si="9"/>
        <v>경고</v>
      </c>
      <c r="N94" s="1"/>
    </row>
    <row r="95" spans="1:14" ht="25" customHeight="1" x14ac:dyDescent="0.45">
      <c r="A95" s="5"/>
      <c r="B95" s="30"/>
      <c r="C95" s="73">
        <v>12</v>
      </c>
      <c r="D95" s="59">
        <f t="shared" si="10"/>
        <v>60</v>
      </c>
      <c r="E95" s="74">
        <f t="shared" si="8"/>
        <v>9</v>
      </c>
      <c r="F95" s="60">
        <f t="shared" si="11"/>
        <v>0.85</v>
      </c>
      <c r="G95" s="61">
        <f>IF(D95=D94,"",_xlfn.IFNA(VLOOKUP(D95,'인원 입력 기능(국수)'!$A$5:$D$103,4,FALSE),0))</f>
        <v>310</v>
      </c>
      <c r="H95" s="62">
        <f t="shared" si="12"/>
        <v>1.5459573216040055E-3</v>
      </c>
      <c r="I95" s="75">
        <f>SUM($G$7:G95)</f>
        <v>198972</v>
      </c>
      <c r="J95" s="64">
        <f t="shared" si="13"/>
        <v>0.99226522643287807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73">
        <v>11</v>
      </c>
      <c r="D96" s="59">
        <f t="shared" si="10"/>
        <v>59</v>
      </c>
      <c r="E96" s="74">
        <f t="shared" si="8"/>
        <v>9</v>
      </c>
      <c r="F96" s="60">
        <f t="shared" si="11"/>
        <v>0.73</v>
      </c>
      <c r="G96" s="61">
        <f>IF(D96=D95,"",_xlfn.IFNA(VLOOKUP(D96,'인원 입력 기능(국수)'!$A$5:$D$103,4,FALSE),0))</f>
        <v>194</v>
      </c>
      <c r="H96" s="62">
        <f t="shared" si="12"/>
        <v>9.6747006577799059E-4</v>
      </c>
      <c r="I96" s="75">
        <f>SUM($G$7:G96)</f>
        <v>199166</v>
      </c>
      <c r="J96" s="64">
        <f t="shared" si="13"/>
        <v>0.99323269649865598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73">
        <v>10</v>
      </c>
      <c r="D97" s="59">
        <f t="shared" si="10"/>
        <v>58</v>
      </c>
      <c r="E97" s="74">
        <f t="shared" si="8"/>
        <v>9</v>
      </c>
      <c r="F97" s="60">
        <f t="shared" si="11"/>
        <v>0.63</v>
      </c>
      <c r="G97" s="61">
        <f>IF(D97=D96,"",_xlfn.IFNA(VLOOKUP(D97,'인원 입력 기능(국수)'!$A$5:$D$103,4,FALSE),0))</f>
        <v>196</v>
      </c>
      <c r="H97" s="62">
        <f t="shared" si="12"/>
        <v>9.7744398398188744E-4</v>
      </c>
      <c r="I97" s="75">
        <f>SUM($G$7:G97)</f>
        <v>199362</v>
      </c>
      <c r="J97" s="64">
        <f t="shared" si="13"/>
        <v>0.99421014048263789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73">
        <v>9</v>
      </c>
      <c r="D98" s="59">
        <f t="shared" si="10"/>
        <v>57</v>
      </c>
      <c r="E98" s="74">
        <f t="shared" si="8"/>
        <v>9</v>
      </c>
      <c r="F98" s="60">
        <f t="shared" si="11"/>
        <v>0.55000000000000004</v>
      </c>
      <c r="G98" s="61">
        <f>IF(D98=D97,"",_xlfn.IFNA(VLOOKUP(D98,'인원 입력 기능(국수)'!$A$5:$D$103,4,FALSE),0))</f>
        <v>97</v>
      </c>
      <c r="H98" s="62">
        <f t="shared" si="12"/>
        <v>4.837350328889953E-4</v>
      </c>
      <c r="I98" s="75">
        <f>SUM($G$7:G98)</f>
        <v>199459</v>
      </c>
      <c r="J98" s="64">
        <f t="shared" si="13"/>
        <v>0.9946938755155269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73">
        <v>8</v>
      </c>
      <c r="D99" s="59">
        <f t="shared" si="10"/>
        <v>56</v>
      </c>
      <c r="E99" s="74">
        <f t="shared" si="8"/>
        <v>9</v>
      </c>
      <c r="F99" s="60">
        <f t="shared" si="11"/>
        <v>0.48</v>
      </c>
      <c r="G99" s="61">
        <f>IF(D99=D98,"",_xlfn.IFNA(VLOOKUP(D99,'인원 입력 기능(국수)'!$A$5:$D$103,4,FALSE),0))</f>
        <v>219</v>
      </c>
      <c r="H99" s="62">
        <f t="shared" si="12"/>
        <v>1.0921440433267007E-3</v>
      </c>
      <c r="I99" s="75">
        <f>SUM($G$7:G99)</f>
        <v>199678</v>
      </c>
      <c r="J99" s="64">
        <f t="shared" si="13"/>
        <v>0.9957860195588536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73">
        <v>7</v>
      </c>
      <c r="D100" s="172">
        <f t="shared" si="10"/>
        <v>55</v>
      </c>
      <c r="E100" s="174">
        <f t="shared" si="8"/>
        <v>9</v>
      </c>
      <c r="F100" s="176">
        <f t="shared" si="11"/>
        <v>0.39</v>
      </c>
      <c r="G100" s="178">
        <f>IF(D100=D99,"",_xlfn.IFNA(VLOOKUP(D100,'인원 입력 기능(국수)'!$A$5:$D$103,4,FALSE),0))</f>
        <v>130</v>
      </c>
      <c r="H100" s="180">
        <f t="shared" si="12"/>
        <v>6.4830468325329264E-4</v>
      </c>
      <c r="I100" s="168">
        <f>SUM($G$7:G100)</f>
        <v>199808</v>
      </c>
      <c r="J100" s="170">
        <f t="shared" si="13"/>
        <v>0.99643432424210687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5">
        <v>6</v>
      </c>
      <c r="D101" s="173"/>
      <c r="E101" s="175"/>
      <c r="F101" s="177"/>
      <c r="G101" s="179"/>
      <c r="H101" s="181"/>
      <c r="I101" s="169"/>
      <c r="J101" s="171"/>
      <c r="K101" s="31"/>
      <c r="L101" s="20" t="str">
        <f t="shared" si="9"/>
        <v>경고</v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10"/>
        <v>54</v>
      </c>
      <c r="E102" s="59">
        <f t="shared" si="8"/>
        <v>9</v>
      </c>
      <c r="F102" s="60">
        <f t="shared" si="11"/>
        <v>0.35</v>
      </c>
      <c r="G102" s="61">
        <f>IF(D102=D101,"",_xlfn.IFNA(VLOOKUP(D102,'인원 입력 기능(국수)'!$A$5:$D$103,4,FALSE),0))</f>
        <v>8</v>
      </c>
      <c r="H102" s="62">
        <f t="shared" si="12"/>
        <v>3.9895672815587237E-5</v>
      </c>
      <c r="I102" s="72">
        <f>SUM($G$7:G102)</f>
        <v>199816</v>
      </c>
      <c r="J102" s="64">
        <f t="shared" si="13"/>
        <v>0.99647421991492247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10"/>
        <v>53</v>
      </c>
      <c r="E103" s="5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0">
        <f t="shared" si="11"/>
        <v>0.34</v>
      </c>
      <c r="G103" s="61">
        <f>IF(D103=D102,"",_xlfn.IFNA(VLOOKUP(D103,'인원 입력 기능(국수)'!$A$5:$D$103,4,FALSE),0))</f>
        <v>70</v>
      </c>
      <c r="H103" s="62">
        <f t="shared" si="12"/>
        <v>3.4908713713638833E-4</v>
      </c>
      <c r="I103" s="72">
        <f>SUM($G$7:G103)</f>
        <v>199886</v>
      </c>
      <c r="J103" s="64">
        <f t="shared" si="13"/>
        <v>0.9968233070520589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10"/>
        <v>52</v>
      </c>
      <c r="E104" s="59">
        <f t="shared" si="14"/>
        <v>9</v>
      </c>
      <c r="F104" s="60">
        <f t="shared" si="11"/>
        <v>0.32</v>
      </c>
      <c r="G104" s="61">
        <f>IF(D104=D103,"",_xlfn.IFNA(VLOOKUP(D104,'인원 입력 기능(국수)'!$A$5:$D$103,4,FALSE),0))</f>
        <v>3</v>
      </c>
      <c r="H104" s="62">
        <f t="shared" si="12"/>
        <v>1.4960877305845215E-5</v>
      </c>
      <c r="I104" s="72">
        <f>SUM($G$7:G104)</f>
        <v>199889</v>
      </c>
      <c r="J104" s="64">
        <f t="shared" si="13"/>
        <v>0.9968382679293647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si="10"/>
        <v>51</v>
      </c>
      <c r="E105" s="59">
        <f t="shared" si="14"/>
        <v>9</v>
      </c>
      <c r="F105" s="60">
        <f t="shared" si="11"/>
        <v>0.3</v>
      </c>
      <c r="G105" s="61">
        <f>IF(D105=D104,"",_xlfn.IFNA(VLOOKUP(D105,'인원 입력 기능(국수)'!$A$5:$D$103,4,FALSE),0))</f>
        <v>48</v>
      </c>
      <c r="H105" s="62">
        <f t="shared" si="12"/>
        <v>2.3937403689352344E-4</v>
      </c>
      <c r="I105" s="72">
        <f>SUM($G$7:G105)</f>
        <v>199937</v>
      </c>
      <c r="J105" s="64">
        <f t="shared" si="13"/>
        <v>0.99707764196625825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49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0.15</v>
      </c>
      <c r="G107" s="80">
        <f>_xlfn.IFNA(VLOOKUP(D107,'인원 입력 기능(국수)'!$A$5:$D$103,4,FALSE),0)</f>
        <v>586</v>
      </c>
      <c r="H107" s="81">
        <f>G107/$J$3</f>
        <v>2.9223580337417654E-3</v>
      </c>
      <c r="I107" s="82">
        <f>SUM($G$7:G107)</f>
        <v>200523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94"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  <mergeCell ref="I22:I23"/>
    <mergeCell ref="J22:J23"/>
    <mergeCell ref="D29:D30"/>
    <mergeCell ref="E29:E30"/>
    <mergeCell ref="F29:F30"/>
    <mergeCell ref="G29:G30"/>
    <mergeCell ref="H29:H30"/>
    <mergeCell ref="I29:I30"/>
    <mergeCell ref="J29:J30"/>
    <mergeCell ref="D22:D23"/>
    <mergeCell ref="E22:E23"/>
    <mergeCell ref="F22:F23"/>
    <mergeCell ref="G22:G23"/>
    <mergeCell ref="H22:H23"/>
    <mergeCell ref="I36:I37"/>
    <mergeCell ref="J36:J37"/>
    <mergeCell ref="D43:D44"/>
    <mergeCell ref="E43:E44"/>
    <mergeCell ref="F43:F44"/>
    <mergeCell ref="G43:G44"/>
    <mergeCell ref="H43:H44"/>
    <mergeCell ref="I43:I44"/>
    <mergeCell ref="J43:J44"/>
    <mergeCell ref="D36:D37"/>
    <mergeCell ref="E36:E37"/>
    <mergeCell ref="F36:F37"/>
    <mergeCell ref="G36:G37"/>
    <mergeCell ref="H36:H37"/>
    <mergeCell ref="I50:I51"/>
    <mergeCell ref="J50:J51"/>
    <mergeCell ref="D57:D58"/>
    <mergeCell ref="E57:E58"/>
    <mergeCell ref="F57:F58"/>
    <mergeCell ref="G57:G58"/>
    <mergeCell ref="H57:H58"/>
    <mergeCell ref="I57:I58"/>
    <mergeCell ref="J57:J58"/>
    <mergeCell ref="D50:D51"/>
    <mergeCell ref="E50:E51"/>
    <mergeCell ref="F50:F51"/>
    <mergeCell ref="G50:G51"/>
    <mergeCell ref="H50:H51"/>
    <mergeCell ref="I64:I65"/>
    <mergeCell ref="J64:J65"/>
    <mergeCell ref="D71:D72"/>
    <mergeCell ref="E71:E72"/>
    <mergeCell ref="F71:F72"/>
    <mergeCell ref="G71:G72"/>
    <mergeCell ref="H71:H72"/>
    <mergeCell ref="I71:I72"/>
    <mergeCell ref="J71:J72"/>
    <mergeCell ref="D64:D65"/>
    <mergeCell ref="E64:E65"/>
    <mergeCell ref="F64:F65"/>
    <mergeCell ref="G64:G65"/>
    <mergeCell ref="H64:H65"/>
    <mergeCell ref="I78:I79"/>
    <mergeCell ref="J78:J79"/>
    <mergeCell ref="D86:D87"/>
    <mergeCell ref="E86:E87"/>
    <mergeCell ref="F86:F87"/>
    <mergeCell ref="G86:G87"/>
    <mergeCell ref="H86:H87"/>
    <mergeCell ref="I86:I87"/>
    <mergeCell ref="J86:J87"/>
    <mergeCell ref="D78:D79"/>
    <mergeCell ref="E78:E79"/>
    <mergeCell ref="F78:F79"/>
    <mergeCell ref="G78:G79"/>
    <mergeCell ref="H78:H79"/>
    <mergeCell ref="I93:I94"/>
    <mergeCell ref="J93:J94"/>
    <mergeCell ref="D100:D101"/>
    <mergeCell ref="E100:E101"/>
    <mergeCell ref="F100:F101"/>
    <mergeCell ref="G100:G101"/>
    <mergeCell ref="H100:H101"/>
    <mergeCell ref="I100:I101"/>
    <mergeCell ref="J100:J101"/>
    <mergeCell ref="D93:D94"/>
    <mergeCell ref="E93:E94"/>
    <mergeCell ref="F93:F94"/>
    <mergeCell ref="G93:G94"/>
    <mergeCell ref="H93:H94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15 D17:J22 D24:J29 D31:J36 D38:J43 D45:J50 D52:J57 D59:J64 D66:J71 D73:J78 D80:J86 D88:J93 D95:J100 D102:J107">
    <cfRule type="expression" dxfId="60" priority="3">
      <formula>OR($D7=$Q$7:$Q$14)</formula>
    </cfRule>
  </conditionalFormatting>
  <conditionalFormatting sqref="D7:D15 D17:D22 D24:D29 D31:D36 D38:D43 D45:D50 D52:D57 D59:D64 D66:D71 D73:D78 D80:D86 D88:D93 D95:D100 D102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topLeftCell="A90"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52" t="s">
        <v>66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156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기능'!D5</f>
        <v>40.59</v>
      </c>
      <c r="I3" s="21" t="s">
        <v>70</v>
      </c>
      <c r="J3" s="50">
        <f>'통계 및 응시자 수 입력 기능'!C5</f>
        <v>199165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85" t="s">
        <v>74</v>
      </c>
      <c r="E4" s="186"/>
      <c r="F4" s="187"/>
      <c r="G4" s="52" t="s">
        <v>73</v>
      </c>
      <c r="H4" s="53" t="str">
        <f>'통계 및 응시자 수 입력 기능'!E5</f>
        <v>23.45</v>
      </c>
      <c r="I4" s="188"/>
      <c r="J4" s="189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90"/>
      <c r="J5" s="190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160">
        <v>100</v>
      </c>
      <c r="D7" s="59">
        <f>ROUND(20*(C7-$H$3)/$H$4+100,0)</f>
        <v>151</v>
      </c>
      <c r="E7" s="5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99.74</v>
      </c>
      <c r="G7" s="61">
        <f>_xlfn.IFNA(VLOOKUP(D7,'인원 입력 기능(국수)'!$F$5:$I$103,4,FALSE),0)</f>
        <v>1046</v>
      </c>
      <c r="H7" s="62">
        <f>G7/$J$3</f>
        <v>5.2519267943664802E-3</v>
      </c>
      <c r="I7" s="63">
        <f>G7</f>
        <v>1046</v>
      </c>
      <c r="J7" s="64">
        <f>I7/$J$3</f>
        <v>5.2519267943664802E-3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138</v>
      </c>
    </row>
    <row r="8" spans="1:17" ht="25" customHeight="1" x14ac:dyDescent="0.45">
      <c r="A8" s="5"/>
      <c r="B8" s="30"/>
      <c r="C8" s="58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기능'!C14</f>
        <v>128</v>
      </c>
    </row>
    <row r="9" spans="1:17" ht="25" customHeight="1" x14ac:dyDescent="0.45">
      <c r="A9" s="5"/>
      <c r="B9" s="30"/>
      <c r="C9" s="65">
        <v>98</v>
      </c>
      <c r="D9" s="59">
        <f t="shared" ref="D9:D39" si="1">ROUND(20*(C9-$H$3)/$H$4+100,0)</f>
        <v>149</v>
      </c>
      <c r="E9" s="59">
        <f t="shared" si="0"/>
        <v>1</v>
      </c>
      <c r="F9" s="60">
        <f>IF(I8=0,ROUND(100*(1-(I7+I9)/2/$J$3),2),ROUND(100*(1-(I8+I9)/2/$J$3),2))</f>
        <v>99.47</v>
      </c>
      <c r="G9" s="61">
        <f>_xlfn.IFNA(VLOOKUP(D9,'인원 입력 기능(국수)'!$F$5:$I$103,4,FALSE),0)</f>
        <v>25</v>
      </c>
      <c r="H9" s="62">
        <f>G9/$J$3</f>
        <v>1.2552406296286998E-4</v>
      </c>
      <c r="I9" s="72">
        <f>SUM($G$7:G9)</f>
        <v>1071</v>
      </c>
      <c r="J9" s="64">
        <f>I9/$J$3</f>
        <v>5.3774508573293496E-3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30"/>
      <c r="C10" s="65">
        <v>97</v>
      </c>
      <c r="D10" s="59">
        <f t="shared" si="1"/>
        <v>148</v>
      </c>
      <c r="E10" s="59">
        <f t="shared" si="0"/>
        <v>1</v>
      </c>
      <c r="F10" s="60">
        <f t="shared" ref="F10:F73" si="3">IF(I9=0,ROUND(100*(1-(I8+I10)/2/$J$3),2),ROUND(100*(1-(I9+I10)/2/$J$3),2))</f>
        <v>99.43</v>
      </c>
      <c r="G10" s="61">
        <f>IF(D10=D9,"",_xlfn.IFNA(VLOOKUP(D10,'인원 입력 기능(국수)'!$F$5:$I$103,4,FALSE),0))</f>
        <v>127</v>
      </c>
      <c r="H10" s="62">
        <f t="shared" ref="H10:H73" si="4">G10/$J$3</f>
        <v>6.3766223985137953E-4</v>
      </c>
      <c r="I10" s="72">
        <f>SUM($G$7:G10)</f>
        <v>1198</v>
      </c>
      <c r="J10" s="64">
        <f t="shared" ref="J10:J73" si="5">I10/$J$3</f>
        <v>6.0151130971807295E-3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104</v>
      </c>
    </row>
    <row r="11" spans="1:17" ht="25" customHeight="1" x14ac:dyDescent="0.45">
      <c r="A11" s="5"/>
      <c r="B11" s="30"/>
      <c r="C11" s="65">
        <v>96</v>
      </c>
      <c r="D11" s="59">
        <f t="shared" si="1"/>
        <v>147</v>
      </c>
      <c r="E11" s="59">
        <f t="shared" si="0"/>
        <v>1</v>
      </c>
      <c r="F11" s="60">
        <f t="shared" si="3"/>
        <v>99.04</v>
      </c>
      <c r="G11" s="61">
        <f>IF(D11=D10,"",_xlfn.IFNA(VLOOKUP(D11,'인원 입력 기능(국수)'!$F$5:$I$103,4,FALSE),0))</f>
        <v>1445</v>
      </c>
      <c r="H11" s="62">
        <f t="shared" si="4"/>
        <v>7.2552908392538853E-3</v>
      </c>
      <c r="I11" s="72">
        <f>SUM($G$7:G11)</f>
        <v>2643</v>
      </c>
      <c r="J11" s="64">
        <f t="shared" si="5"/>
        <v>1.3270403936434614E-2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90</v>
      </c>
    </row>
    <row r="12" spans="1:17" ht="25" customHeight="1" x14ac:dyDescent="0.45">
      <c r="A12" s="5"/>
      <c r="B12" s="30"/>
      <c r="C12" s="65">
        <v>95</v>
      </c>
      <c r="D12" s="172">
        <f t="shared" si="1"/>
        <v>146</v>
      </c>
      <c r="E12" s="172">
        <f t="shared" si="0"/>
        <v>1</v>
      </c>
      <c r="F12" s="176">
        <f t="shared" si="3"/>
        <v>98.66</v>
      </c>
      <c r="G12" s="178">
        <f>IF(D12=D11,"",_xlfn.IFNA(VLOOKUP(D12,'인원 입력 기능(국수)'!$F$5:$I$103,4,FALSE),0))</f>
        <v>71</v>
      </c>
      <c r="H12" s="180">
        <f t="shared" si="4"/>
        <v>3.5648833881455076E-4</v>
      </c>
      <c r="I12" s="191">
        <f>SUM($G$7:G12)</f>
        <v>2714</v>
      </c>
      <c r="J12" s="170">
        <f t="shared" si="5"/>
        <v>1.3626892275249165E-2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65">
        <v>94</v>
      </c>
      <c r="D13" s="173"/>
      <c r="E13" s="173"/>
      <c r="F13" s="177"/>
      <c r="G13" s="179"/>
      <c r="H13" s="181"/>
      <c r="I13" s="192"/>
      <c r="J13" s="171"/>
      <c r="K13" s="31"/>
      <c r="L13" s="20" t="str">
        <f t="shared" si="2"/>
        <v>경고</v>
      </c>
      <c r="N13" s="1"/>
      <c r="P13" s="1">
        <v>7</v>
      </c>
      <c r="Q13" s="1">
        <f>'표점등급&amp;절평인원 입력 기능'!C19</f>
        <v>77</v>
      </c>
    </row>
    <row r="14" spans="1:17" ht="25" customHeight="1" x14ac:dyDescent="0.45">
      <c r="A14" s="5"/>
      <c r="B14" s="30"/>
      <c r="C14" s="65">
        <v>93</v>
      </c>
      <c r="D14" s="59">
        <f t="shared" si="1"/>
        <v>145</v>
      </c>
      <c r="E14" s="59">
        <f t="shared" si="0"/>
        <v>1</v>
      </c>
      <c r="F14" s="60">
        <f t="shared" si="3"/>
        <v>98.56</v>
      </c>
      <c r="G14" s="61">
        <f>IF(D14=D13,"",_xlfn.IFNA(VLOOKUP(D14,'인원 입력 기능(국수)'!$F$5:$I$103,4,FALSE),0))</f>
        <v>326</v>
      </c>
      <c r="H14" s="62">
        <f t="shared" si="4"/>
        <v>1.6368337810358246E-3</v>
      </c>
      <c r="I14" s="72">
        <f>SUM($G$7:G14)</f>
        <v>3040</v>
      </c>
      <c r="J14" s="64">
        <f t="shared" si="5"/>
        <v>1.5263726056284991E-2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74</v>
      </c>
    </row>
    <row r="15" spans="1:17" ht="25" customHeight="1" x14ac:dyDescent="0.45">
      <c r="A15" s="5"/>
      <c r="B15" s="30"/>
      <c r="C15" s="65">
        <v>92</v>
      </c>
      <c r="D15" s="59">
        <f t="shared" si="1"/>
        <v>144</v>
      </c>
      <c r="E15" s="59">
        <f t="shared" si="0"/>
        <v>1</v>
      </c>
      <c r="F15" s="60">
        <f t="shared" si="3"/>
        <v>98.03</v>
      </c>
      <c r="G15" s="61">
        <f>IF(D15=D14,"",_xlfn.IFNA(VLOOKUP(D15,'인원 입력 기능(국수)'!$F$5:$I$103,4,FALSE),0))</f>
        <v>1784</v>
      </c>
      <c r="H15" s="62">
        <f t="shared" si="4"/>
        <v>8.9573971330304016E-3</v>
      </c>
      <c r="I15" s="72">
        <f>SUM($G$7:G15)</f>
        <v>4824</v>
      </c>
      <c r="J15" s="64">
        <f t="shared" si="5"/>
        <v>2.422112318931539E-2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5">
        <v>91</v>
      </c>
      <c r="D16" s="59">
        <f t="shared" si="1"/>
        <v>143</v>
      </c>
      <c r="E16" s="59">
        <f t="shared" si="0"/>
        <v>1</v>
      </c>
      <c r="F16" s="60">
        <f t="shared" si="3"/>
        <v>97.57</v>
      </c>
      <c r="G16" s="61">
        <f>IF(D16=D15,"",_xlfn.IFNA(VLOOKUP(D16,'인원 입력 기능(국수)'!$F$5:$I$103,4,FALSE),0))</f>
        <v>17</v>
      </c>
      <c r="H16" s="62">
        <f t="shared" si="4"/>
        <v>8.5356362814751591E-5</v>
      </c>
      <c r="I16" s="72">
        <f>SUM($G$7:G16)</f>
        <v>4841</v>
      </c>
      <c r="J16" s="64">
        <f t="shared" si="5"/>
        <v>2.4306479552130143E-2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5">
        <v>90</v>
      </c>
      <c r="D17" s="59">
        <f t="shared" si="1"/>
        <v>142</v>
      </c>
      <c r="E17" s="59">
        <f t="shared" si="0"/>
        <v>1</v>
      </c>
      <c r="F17" s="60">
        <f t="shared" si="3"/>
        <v>97.54</v>
      </c>
      <c r="G17" s="61">
        <f>IF(D17=D16,"",_xlfn.IFNA(VLOOKUP(D17,'인원 입력 기능(국수)'!$F$5:$I$103,4,FALSE),0))</f>
        <v>128</v>
      </c>
      <c r="H17" s="62">
        <f t="shared" si="4"/>
        <v>6.4268320236989429E-4</v>
      </c>
      <c r="I17" s="72">
        <f>SUM($G$7:G17)</f>
        <v>4969</v>
      </c>
      <c r="J17" s="64">
        <f t="shared" si="5"/>
        <v>2.4949162754500039E-2</v>
      </c>
      <c r="K17" s="31"/>
      <c r="L17" s="20" t="str">
        <f t="shared" si="2"/>
        <v/>
      </c>
      <c r="N17" s="1"/>
      <c r="Q17" s="1">
        <f>Q7*H3*H4*J3*IFERROR(IF(J107=1, 1, 0), 0)</f>
        <v>26160979795.334999</v>
      </c>
    </row>
    <row r="18" spans="1:17" ht="25" customHeight="1" x14ac:dyDescent="0.45">
      <c r="A18" s="5"/>
      <c r="B18" s="30"/>
      <c r="C18" s="65">
        <v>89</v>
      </c>
      <c r="D18" s="59">
        <f t="shared" si="1"/>
        <v>141</v>
      </c>
      <c r="E18" s="59">
        <f t="shared" si="0"/>
        <v>1</v>
      </c>
      <c r="F18" s="60">
        <f t="shared" si="3"/>
        <v>97.36</v>
      </c>
      <c r="G18" s="61">
        <f>IF(D18=D17,"",_xlfn.IFNA(VLOOKUP(D18,'인원 입력 기능(국수)'!$F$5:$I$103,4,FALSE),0))</f>
        <v>588</v>
      </c>
      <c r="H18" s="62">
        <f t="shared" si="4"/>
        <v>2.9523259608867018E-3</v>
      </c>
      <c r="I18" s="72">
        <f>SUM($G$7:G18)</f>
        <v>5557</v>
      </c>
      <c r="J18" s="64">
        <f t="shared" si="5"/>
        <v>2.7901488715386738E-2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5">
        <v>88</v>
      </c>
      <c r="D19" s="172">
        <f t="shared" si="1"/>
        <v>140</v>
      </c>
      <c r="E19" s="174">
        <f t="shared" si="0"/>
        <v>1</v>
      </c>
      <c r="F19" s="176">
        <f t="shared" si="3"/>
        <v>96.67</v>
      </c>
      <c r="G19" s="178">
        <f>IF(D19=D18,"",_xlfn.IFNA(VLOOKUP(D19,'인원 입력 기능(국수)'!$F$5:$I$103,4,FALSE),0))</f>
        <v>2147</v>
      </c>
      <c r="H19" s="180">
        <f t="shared" si="4"/>
        <v>1.0780006527251274E-2</v>
      </c>
      <c r="I19" s="191">
        <f>SUM($G$7:G19)</f>
        <v>7704</v>
      </c>
      <c r="J19" s="170">
        <f t="shared" si="5"/>
        <v>3.8681495242638017E-2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5">
        <v>87</v>
      </c>
      <c r="D20" s="173"/>
      <c r="E20" s="175"/>
      <c r="F20" s="177"/>
      <c r="G20" s="179"/>
      <c r="H20" s="181"/>
      <c r="I20" s="192"/>
      <c r="J20" s="171"/>
      <c r="K20" s="31"/>
      <c r="L20" s="20" t="str">
        <f t="shared" si="2"/>
        <v>경고</v>
      </c>
      <c r="N20" s="1"/>
    </row>
    <row r="21" spans="1:17" ht="25" customHeight="1" x14ac:dyDescent="0.45">
      <c r="A21" s="5"/>
      <c r="B21" s="30"/>
      <c r="C21" s="65">
        <v>86</v>
      </c>
      <c r="D21" s="59">
        <f t="shared" si="1"/>
        <v>139</v>
      </c>
      <c r="E21" s="74">
        <f t="shared" si="0"/>
        <v>1</v>
      </c>
      <c r="F21" s="60">
        <f t="shared" si="3"/>
        <v>96.07</v>
      </c>
      <c r="G21" s="61">
        <f>IF(D21=D20,"",_xlfn.IFNA(VLOOKUP(D21,'인원 입력 기능(국수)'!$F$5:$I$103,4,FALSE),0))</f>
        <v>227</v>
      </c>
      <c r="H21" s="62">
        <f t="shared" si="4"/>
        <v>1.1397584917028595E-3</v>
      </c>
      <c r="I21" s="72">
        <f>SUM($G$7:G21)</f>
        <v>7931</v>
      </c>
      <c r="J21" s="64">
        <f t="shared" si="5"/>
        <v>3.9821253734340874E-2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5">
        <v>85</v>
      </c>
      <c r="D22" s="59">
        <f t="shared" si="1"/>
        <v>138</v>
      </c>
      <c r="E22" s="74">
        <f t="shared" si="0"/>
        <v>1</v>
      </c>
      <c r="F22" s="60">
        <f t="shared" si="3"/>
        <v>95.79</v>
      </c>
      <c r="G22" s="61">
        <f>IF(D22=D21,"",_xlfn.IFNA(VLOOKUP(D22,'인원 입력 기능(국수)'!$F$5:$I$103,4,FALSE),0))</f>
        <v>925</v>
      </c>
      <c r="H22" s="62">
        <f t="shared" si="4"/>
        <v>4.6443903296261892E-3</v>
      </c>
      <c r="I22" s="72">
        <f>SUM($G$7:G22)</f>
        <v>8856</v>
      </c>
      <c r="J22" s="64">
        <f t="shared" si="5"/>
        <v>4.4465644063967059E-2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5">
        <v>84</v>
      </c>
      <c r="D23" s="59">
        <f t="shared" si="1"/>
        <v>137</v>
      </c>
      <c r="E23" s="74">
        <f t="shared" si="0"/>
        <v>2</v>
      </c>
      <c r="F23" s="60">
        <f t="shared" si="3"/>
        <v>94.98</v>
      </c>
      <c r="G23" s="61">
        <f>IF(D23=D22,"",_xlfn.IFNA(VLOOKUP(D23,'인원 입력 기능(국수)'!$F$5:$I$103,4,FALSE),0))</f>
        <v>2295</v>
      </c>
      <c r="H23" s="62">
        <f t="shared" si="4"/>
        <v>1.1523108979991464E-2</v>
      </c>
      <c r="I23" s="72">
        <f>SUM($G$7:G23)</f>
        <v>11151</v>
      </c>
      <c r="J23" s="64">
        <f t="shared" si="5"/>
        <v>5.5988753043958527E-2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73">
        <v>83</v>
      </c>
      <c r="D24" s="74">
        <f t="shared" si="1"/>
        <v>136</v>
      </c>
      <c r="E24" s="74">
        <f t="shared" si="0"/>
        <v>2</v>
      </c>
      <c r="F24" s="60">
        <f t="shared" si="3"/>
        <v>94.38</v>
      </c>
      <c r="G24" s="61">
        <f>IF(D24=D23,"",_xlfn.IFNA(VLOOKUP(D24,'인원 입력 기능(국수)'!$F$5:$I$103,4,FALSE),0))</f>
        <v>65</v>
      </c>
      <c r="H24" s="62">
        <f t="shared" si="4"/>
        <v>3.2636256370346196E-4</v>
      </c>
      <c r="I24" s="75">
        <f>SUM($G$7:G24)</f>
        <v>11216</v>
      </c>
      <c r="J24" s="64">
        <f t="shared" si="5"/>
        <v>5.6315115607661989E-2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73">
        <v>82</v>
      </c>
      <c r="D25" s="74">
        <f t="shared" si="1"/>
        <v>135</v>
      </c>
      <c r="E25" s="74">
        <f t="shared" si="0"/>
        <v>2</v>
      </c>
      <c r="F25" s="60">
        <f t="shared" si="3"/>
        <v>94.28</v>
      </c>
      <c r="G25" s="61">
        <f>IF(D25=D24,"",_xlfn.IFNA(VLOOKUP(D25,'인원 입력 기능(국수)'!$F$5:$I$103,4,FALSE),0))</f>
        <v>367</v>
      </c>
      <c r="H25" s="62">
        <f t="shared" si="4"/>
        <v>1.8426932442949314E-3</v>
      </c>
      <c r="I25" s="75">
        <f>SUM($G$7:G25)</f>
        <v>11583</v>
      </c>
      <c r="J25" s="64">
        <f t="shared" si="5"/>
        <v>5.815780885195692E-2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73">
        <v>81</v>
      </c>
      <c r="D26" s="174">
        <f t="shared" si="1"/>
        <v>134</v>
      </c>
      <c r="E26" s="174">
        <f t="shared" si="0"/>
        <v>2</v>
      </c>
      <c r="F26" s="176">
        <f t="shared" si="3"/>
        <v>93.28</v>
      </c>
      <c r="G26" s="178">
        <f>IF(D26=D25,"",_xlfn.IFNA(VLOOKUP(D26,'인원 입력 기능(국수)'!$F$5:$I$103,4,FALSE),0))</f>
        <v>3606</v>
      </c>
      <c r="H26" s="180">
        <f t="shared" si="4"/>
        <v>1.8105590841764368E-2</v>
      </c>
      <c r="I26" s="168">
        <f>SUM($G$7:G26)</f>
        <v>15189</v>
      </c>
      <c r="J26" s="170">
        <f t="shared" si="5"/>
        <v>7.6263399693721284E-2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73">
        <v>80</v>
      </c>
      <c r="D27" s="175"/>
      <c r="E27" s="175"/>
      <c r="F27" s="177"/>
      <c r="G27" s="179"/>
      <c r="H27" s="181"/>
      <c r="I27" s="169"/>
      <c r="J27" s="171"/>
      <c r="K27" s="31"/>
      <c r="L27" s="20" t="str">
        <f t="shared" si="2"/>
        <v>경고</v>
      </c>
      <c r="N27" s="1"/>
    </row>
    <row r="28" spans="1:17" ht="25" customHeight="1" x14ac:dyDescent="0.45">
      <c r="A28" s="5"/>
      <c r="B28" s="30"/>
      <c r="C28" s="73">
        <v>79</v>
      </c>
      <c r="D28" s="74">
        <f t="shared" si="1"/>
        <v>133</v>
      </c>
      <c r="E28" s="74">
        <f t="shared" si="0"/>
        <v>2</v>
      </c>
      <c r="F28" s="60">
        <f t="shared" si="3"/>
        <v>92.34</v>
      </c>
      <c r="G28" s="61">
        <f>IF(D28=D27,"",_xlfn.IFNA(VLOOKUP(D28,'인원 입력 기능(국수)'!$F$5:$I$103,4,FALSE),0))</f>
        <v>129</v>
      </c>
      <c r="H28" s="62">
        <f t="shared" si="4"/>
        <v>6.4770416488840906E-4</v>
      </c>
      <c r="I28" s="75">
        <f>SUM($G$7:G28)</f>
        <v>15318</v>
      </c>
      <c r="J28" s="64">
        <f t="shared" si="5"/>
        <v>7.6911103858609692E-2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73">
        <v>78</v>
      </c>
      <c r="D29" s="74">
        <f t="shared" si="1"/>
        <v>132</v>
      </c>
      <c r="E29" s="74">
        <f t="shared" si="0"/>
        <v>2</v>
      </c>
      <c r="F29" s="60">
        <f t="shared" si="3"/>
        <v>92.18</v>
      </c>
      <c r="G29" s="61">
        <f>IF(D29=D28,"",_xlfn.IFNA(VLOOKUP(D29,'인원 입력 기능(국수)'!$F$5:$I$103,4,FALSE),0))</f>
        <v>533</v>
      </c>
      <c r="H29" s="62">
        <f t="shared" si="4"/>
        <v>2.676173022368388E-3</v>
      </c>
      <c r="I29" s="75">
        <f>SUM($G$7:G29)</f>
        <v>15851</v>
      </c>
      <c r="J29" s="64">
        <f t="shared" si="5"/>
        <v>7.9587276880978081E-2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73">
        <v>77</v>
      </c>
      <c r="D30" s="74">
        <f t="shared" si="1"/>
        <v>131</v>
      </c>
      <c r="E30" s="74">
        <f t="shared" si="0"/>
        <v>2</v>
      </c>
      <c r="F30" s="60">
        <f t="shared" si="3"/>
        <v>91.6</v>
      </c>
      <c r="G30" s="61">
        <f>IF(D30=D29,"",_xlfn.IFNA(VLOOKUP(D30,'인원 입력 기능(국수)'!$F$5:$I$103,4,FALSE),0))</f>
        <v>1749</v>
      </c>
      <c r="H30" s="62">
        <f t="shared" si="4"/>
        <v>8.7816634448823847E-3</v>
      </c>
      <c r="I30" s="75">
        <f>SUM($G$7:G30)</f>
        <v>17600</v>
      </c>
      <c r="J30" s="64">
        <f t="shared" si="5"/>
        <v>8.8368940325860471E-2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73">
        <v>76</v>
      </c>
      <c r="D31" s="74">
        <f t="shared" si="1"/>
        <v>130</v>
      </c>
      <c r="E31" s="74">
        <f t="shared" si="0"/>
        <v>2</v>
      </c>
      <c r="F31" s="60">
        <f t="shared" si="3"/>
        <v>90.54</v>
      </c>
      <c r="G31" s="61">
        <f>IF(D31=D30,"",_xlfn.IFNA(VLOOKUP(D31,'인원 입력 기능(국수)'!$F$5:$I$103,4,FALSE),0))</f>
        <v>2487</v>
      </c>
      <c r="H31" s="62">
        <f t="shared" si="4"/>
        <v>1.2487133783546305E-2</v>
      </c>
      <c r="I31" s="75">
        <f>SUM($G$7:G31)</f>
        <v>20087</v>
      </c>
      <c r="J31" s="64">
        <f t="shared" si="5"/>
        <v>0.10085607410940678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73">
        <v>75</v>
      </c>
      <c r="D32" s="74">
        <f t="shared" si="1"/>
        <v>129</v>
      </c>
      <c r="E32" s="74">
        <f t="shared" si="0"/>
        <v>2</v>
      </c>
      <c r="F32" s="60">
        <f t="shared" si="3"/>
        <v>89.63</v>
      </c>
      <c r="G32" s="61">
        <f>IF(D32=D31,"",_xlfn.IFNA(VLOOKUP(D32,'인원 입력 기능(국수)'!$F$5:$I$103,4,FALSE),0))</f>
        <v>1124</v>
      </c>
      <c r="H32" s="62">
        <f t="shared" si="4"/>
        <v>5.6435618708106346E-3</v>
      </c>
      <c r="I32" s="75">
        <f>SUM($G$7:G32)</f>
        <v>21211</v>
      </c>
      <c r="J32" s="64">
        <f t="shared" si="5"/>
        <v>0.1064996359802174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73">
        <v>74</v>
      </c>
      <c r="D33" s="174">
        <f t="shared" si="1"/>
        <v>128</v>
      </c>
      <c r="E33" s="174">
        <f t="shared" si="0"/>
        <v>2</v>
      </c>
      <c r="F33" s="176">
        <f t="shared" si="3"/>
        <v>88.79</v>
      </c>
      <c r="G33" s="178">
        <f>IF(D33=D32,"",_xlfn.IFNA(VLOOKUP(D33,'인원 입력 기능(국수)'!$F$5:$I$103,4,FALSE),0))</f>
        <v>2241</v>
      </c>
      <c r="H33" s="180">
        <f t="shared" si="4"/>
        <v>1.1251977003991664E-2</v>
      </c>
      <c r="I33" s="168">
        <f>SUM($G$7:G33)</f>
        <v>23452</v>
      </c>
      <c r="J33" s="170">
        <f t="shared" si="5"/>
        <v>0.11775161298420907</v>
      </c>
      <c r="K33" s="31"/>
      <c r="L33" s="20" t="str">
        <f t="shared" si="2"/>
        <v>경고</v>
      </c>
      <c r="N33" s="1"/>
    </row>
    <row r="34" spans="1:14" ht="25" customHeight="1" x14ac:dyDescent="0.45">
      <c r="A34" s="5"/>
      <c r="B34" s="30"/>
      <c r="C34" s="73">
        <v>73</v>
      </c>
      <c r="D34" s="175"/>
      <c r="E34" s="175"/>
      <c r="F34" s="177"/>
      <c r="G34" s="179"/>
      <c r="H34" s="181"/>
      <c r="I34" s="169"/>
      <c r="J34" s="171"/>
      <c r="K34" s="31"/>
      <c r="L34" s="20" t="str">
        <f t="shared" si="2"/>
        <v>경고</v>
      </c>
      <c r="N34" s="1"/>
    </row>
    <row r="35" spans="1:14" ht="25" customHeight="1" x14ac:dyDescent="0.45">
      <c r="A35" s="5"/>
      <c r="B35" s="30"/>
      <c r="C35" s="73">
        <v>72</v>
      </c>
      <c r="D35" s="74">
        <f t="shared" si="1"/>
        <v>127</v>
      </c>
      <c r="E35" s="74">
        <f t="shared" si="0"/>
        <v>3</v>
      </c>
      <c r="F35" s="60">
        <f t="shared" si="3"/>
        <v>87.66</v>
      </c>
      <c r="G35" s="61">
        <f>IF(D35=D34,"",_xlfn.IFNA(VLOOKUP(D35,'인원 입력 기능(국수)'!$F$5:$I$103,4,FALSE),0))</f>
        <v>2265</v>
      </c>
      <c r="H35" s="62">
        <f t="shared" si="4"/>
        <v>1.137248010443602E-2</v>
      </c>
      <c r="I35" s="75">
        <f>SUM($G$7:G35)</f>
        <v>25717</v>
      </c>
      <c r="J35" s="64">
        <f t="shared" si="5"/>
        <v>0.12912409308864509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73">
        <v>71</v>
      </c>
      <c r="D36" s="74">
        <f t="shared" si="1"/>
        <v>126</v>
      </c>
      <c r="E36" s="74">
        <f t="shared" si="0"/>
        <v>3</v>
      </c>
      <c r="F36" s="60">
        <f t="shared" si="3"/>
        <v>86.98</v>
      </c>
      <c r="G36" s="61">
        <f>IF(D36=D35,"",_xlfn.IFNA(VLOOKUP(D36,'인원 입력 기능(국수)'!$F$5:$I$103,4,FALSE),0))</f>
        <v>447</v>
      </c>
      <c r="H36" s="62">
        <f t="shared" si="4"/>
        <v>2.2443702457761155E-3</v>
      </c>
      <c r="I36" s="75">
        <f>SUM($G$7:G36)</f>
        <v>26164</v>
      </c>
      <c r="J36" s="64">
        <f t="shared" si="5"/>
        <v>0.1313684633344212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73">
        <v>70</v>
      </c>
      <c r="D37" s="74">
        <f t="shared" si="1"/>
        <v>125</v>
      </c>
      <c r="E37" s="74">
        <f t="shared" si="0"/>
        <v>3</v>
      </c>
      <c r="F37" s="60">
        <f t="shared" si="3"/>
        <v>86.53</v>
      </c>
      <c r="G37" s="61">
        <f>IF(D37=D36,"",_xlfn.IFNA(VLOOKUP(D37,'인원 입력 기능(국수)'!$F$5:$I$103,4,FALSE),0))</f>
        <v>1312</v>
      </c>
      <c r="H37" s="62">
        <f t="shared" si="4"/>
        <v>6.5875028242914167E-3</v>
      </c>
      <c r="I37" s="75">
        <f>SUM($G$7:G37)</f>
        <v>27476</v>
      </c>
      <c r="J37" s="64">
        <f t="shared" si="5"/>
        <v>0.13795596615871261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73">
        <v>69</v>
      </c>
      <c r="D38" s="74">
        <f t="shared" si="1"/>
        <v>124</v>
      </c>
      <c r="E38" s="74">
        <f t="shared" si="0"/>
        <v>3</v>
      </c>
      <c r="F38" s="60">
        <f t="shared" si="3"/>
        <v>85.57</v>
      </c>
      <c r="G38" s="61">
        <f>IF(D38=D37,"",_xlfn.IFNA(VLOOKUP(D38,'인원 입력 기능(국수)'!$F$5:$I$103,4,FALSE),0))</f>
        <v>2521</v>
      </c>
      <c r="H38" s="62">
        <f t="shared" si="4"/>
        <v>1.265784650917581E-2</v>
      </c>
      <c r="I38" s="75">
        <f>SUM($G$7:G38)</f>
        <v>29997</v>
      </c>
      <c r="J38" s="64">
        <f t="shared" si="5"/>
        <v>0.15061381266788842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73">
        <v>68</v>
      </c>
      <c r="D39" s="174">
        <f t="shared" si="1"/>
        <v>123</v>
      </c>
      <c r="E39" s="174">
        <f t="shared" si="0"/>
        <v>3</v>
      </c>
      <c r="F39" s="176">
        <f t="shared" si="3"/>
        <v>84.22</v>
      </c>
      <c r="G39" s="178">
        <f>IF(D39=D38,"",_xlfn.IFNA(VLOOKUP(D39,'인원 입력 기능(국수)'!$F$5:$I$103,4,FALSE),0))</f>
        <v>2843</v>
      </c>
      <c r="H39" s="180">
        <f t="shared" si="4"/>
        <v>1.4274596440137574E-2</v>
      </c>
      <c r="I39" s="168">
        <f>SUM($G$7:G39)</f>
        <v>32840</v>
      </c>
      <c r="J39" s="170">
        <f t="shared" si="5"/>
        <v>0.16488840910802602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73">
        <v>67</v>
      </c>
      <c r="D40" s="175"/>
      <c r="E40" s="175"/>
      <c r="F40" s="177"/>
      <c r="G40" s="179"/>
      <c r="H40" s="181"/>
      <c r="I40" s="169"/>
      <c r="J40" s="171"/>
      <c r="K40" s="31"/>
      <c r="L40" s="20" t="str">
        <f t="shared" si="2"/>
        <v>경고</v>
      </c>
      <c r="N40" s="1"/>
    </row>
    <row r="41" spans="1:14" ht="25" customHeight="1" x14ac:dyDescent="0.45">
      <c r="A41" s="5"/>
      <c r="B41" s="30"/>
      <c r="C41" s="73">
        <v>66</v>
      </c>
      <c r="D41" s="74">
        <f t="shared" ref="D41:D72" si="6">ROUND(20*(C41-$H$3)/$H$4+100,0)</f>
        <v>122</v>
      </c>
      <c r="E41" s="74">
        <f t="shared" si="0"/>
        <v>3</v>
      </c>
      <c r="F41" s="60">
        <f t="shared" si="3"/>
        <v>83.03</v>
      </c>
      <c r="G41" s="61">
        <f>IF(D41=D40,"",_xlfn.IFNA(VLOOKUP(D41,'인원 입력 기능(국수)'!$F$5:$I$103,4,FALSE),0))</f>
        <v>1924</v>
      </c>
      <c r="H41" s="62">
        <f t="shared" si="4"/>
        <v>9.6603318856224741E-3</v>
      </c>
      <c r="I41" s="75">
        <f>SUM($G$7:G41)</f>
        <v>34764</v>
      </c>
      <c r="J41" s="64">
        <f t="shared" si="5"/>
        <v>0.17454874099364848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74">
        <f t="shared" si="6"/>
        <v>121</v>
      </c>
      <c r="E42" s="74">
        <f t="shared" si="0"/>
        <v>3</v>
      </c>
      <c r="F42" s="60">
        <f t="shared" si="3"/>
        <v>81.849999999999994</v>
      </c>
      <c r="G42" s="61">
        <f>IF(D42=D41,"",_xlfn.IFNA(VLOOKUP(D42,'인원 입력 기능(국수)'!$F$5:$I$103,4,FALSE),0))</f>
        <v>2775</v>
      </c>
      <c r="H42" s="62">
        <f t="shared" si="4"/>
        <v>1.3933170988878568E-2</v>
      </c>
      <c r="I42" s="75">
        <f>SUM($G$7:G42)</f>
        <v>37539</v>
      </c>
      <c r="J42" s="64">
        <f t="shared" si="5"/>
        <v>0.18848191198252706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74">
        <f t="shared" si="6"/>
        <v>120</v>
      </c>
      <c r="E43" s="74">
        <f t="shared" si="0"/>
        <v>3</v>
      </c>
      <c r="F43" s="60">
        <f t="shared" si="3"/>
        <v>80.739999999999995</v>
      </c>
      <c r="G43" s="61">
        <f>IF(D43=D42,"",_xlfn.IFNA(VLOOKUP(D43,'인원 입력 기능(국수)'!$F$5:$I$103,4,FALSE),0))</f>
        <v>1658</v>
      </c>
      <c r="H43" s="62">
        <f t="shared" si="4"/>
        <v>8.3247558556975368E-3</v>
      </c>
      <c r="I43" s="75">
        <f>SUM($G$7:G43)</f>
        <v>39197</v>
      </c>
      <c r="J43" s="64">
        <f t="shared" si="5"/>
        <v>0.19680666783822459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74">
        <f t="shared" si="6"/>
        <v>119</v>
      </c>
      <c r="E44" s="74">
        <f t="shared" si="0"/>
        <v>3</v>
      </c>
      <c r="F44" s="60">
        <f t="shared" si="3"/>
        <v>80.010000000000005</v>
      </c>
      <c r="G44" s="61">
        <f>IF(D44=D43,"",_xlfn.IFNA(VLOOKUP(D44,'인원 입력 기능(국수)'!$F$5:$I$103,4,FALSE),0))</f>
        <v>1234</v>
      </c>
      <c r="H44" s="62">
        <f t="shared" si="4"/>
        <v>6.1958677478472623E-3</v>
      </c>
      <c r="I44" s="75">
        <f>SUM($G$7:G44)</f>
        <v>40431</v>
      </c>
      <c r="J44" s="64">
        <f t="shared" si="5"/>
        <v>0.20300253558607184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74">
        <f t="shared" si="6"/>
        <v>118</v>
      </c>
      <c r="E45" s="74">
        <f t="shared" si="0"/>
        <v>3</v>
      </c>
      <c r="F45" s="60">
        <f t="shared" si="3"/>
        <v>79.08</v>
      </c>
      <c r="G45" s="61">
        <f>IF(D45=D44,"",_xlfn.IFNA(VLOOKUP(D45,'인원 입력 기능(국수)'!$F$5:$I$103,4,FALSE),0))</f>
        <v>2463</v>
      </c>
      <c r="H45" s="62">
        <f t="shared" si="4"/>
        <v>1.236663068310195E-2</v>
      </c>
      <c r="I45" s="75">
        <f>SUM($G$7:G45)</f>
        <v>42894</v>
      </c>
      <c r="J45" s="64">
        <f t="shared" si="5"/>
        <v>0.2153691662691738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174">
        <f t="shared" si="6"/>
        <v>117</v>
      </c>
      <c r="E46" s="174">
        <f t="shared" si="0"/>
        <v>3</v>
      </c>
      <c r="F46" s="176">
        <f t="shared" si="3"/>
        <v>77.489999999999995</v>
      </c>
      <c r="G46" s="178">
        <f>IF(D46=D45,"",_xlfn.IFNA(VLOOKUP(D46,'인원 입력 기능(국수)'!$F$5:$I$103,4,FALSE),0))</f>
        <v>3888</v>
      </c>
      <c r="H46" s="180">
        <f t="shared" si="4"/>
        <v>1.9521502271985541E-2</v>
      </c>
      <c r="I46" s="168">
        <f>SUM($G$7:G46)</f>
        <v>46782</v>
      </c>
      <c r="J46" s="170">
        <f t="shared" si="5"/>
        <v>0.23489066854115934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73">
        <v>60</v>
      </c>
      <c r="D47" s="175"/>
      <c r="E47" s="175"/>
      <c r="F47" s="177"/>
      <c r="G47" s="179"/>
      <c r="H47" s="181"/>
      <c r="I47" s="169"/>
      <c r="J47" s="171"/>
      <c r="K47" s="31"/>
      <c r="L47" s="20" t="str">
        <f t="shared" si="7"/>
        <v>경고</v>
      </c>
      <c r="N47" s="1"/>
    </row>
    <row r="48" spans="1:14" ht="25" customHeight="1" x14ac:dyDescent="0.45">
      <c r="A48" s="5"/>
      <c r="B48" s="30"/>
      <c r="C48" s="73">
        <v>59</v>
      </c>
      <c r="D48" s="74">
        <f t="shared" si="6"/>
        <v>116</v>
      </c>
      <c r="E48" s="74">
        <f t="shared" si="0"/>
        <v>4</v>
      </c>
      <c r="F48" s="60">
        <f t="shared" si="3"/>
        <v>76.02</v>
      </c>
      <c r="G48" s="61">
        <f>IF(D48=D47,"",_xlfn.IFNA(VLOOKUP(D48,'인원 입력 기능(국수)'!$F$5:$I$103,4,FALSE),0))</f>
        <v>1937</v>
      </c>
      <c r="H48" s="62">
        <f t="shared" si="4"/>
        <v>9.7256043983631659E-3</v>
      </c>
      <c r="I48" s="75">
        <f>SUM($G$7:G48)</f>
        <v>48719</v>
      </c>
      <c r="J48" s="64">
        <f t="shared" si="5"/>
        <v>0.24461627293952251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73">
        <v>58</v>
      </c>
      <c r="D49" s="74">
        <f t="shared" si="6"/>
        <v>115</v>
      </c>
      <c r="E49" s="74">
        <f t="shared" si="0"/>
        <v>4</v>
      </c>
      <c r="F49" s="60">
        <f t="shared" si="3"/>
        <v>74.849999999999994</v>
      </c>
      <c r="G49" s="61">
        <f>IF(D49=D48,"",_xlfn.IFNA(VLOOKUP(D49,'인원 입력 기능(국수)'!$F$5:$I$103,4,FALSE),0))</f>
        <v>2761</v>
      </c>
      <c r="H49" s="62">
        <f t="shared" si="4"/>
        <v>1.3862877513619361E-2</v>
      </c>
      <c r="I49" s="75">
        <f>SUM($G$7:G49)</f>
        <v>51480</v>
      </c>
      <c r="J49" s="64">
        <f t="shared" si="5"/>
        <v>0.25847915045314185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74">
        <f t="shared" si="6"/>
        <v>114</v>
      </c>
      <c r="E50" s="74">
        <f t="shared" si="0"/>
        <v>4</v>
      </c>
      <c r="F50" s="60">
        <f t="shared" si="3"/>
        <v>73.64</v>
      </c>
      <c r="G50" s="61">
        <f>IF(D50=D49,"",_xlfn.IFNA(VLOOKUP(D50,'인원 입력 기능(국수)'!$F$5:$I$103,4,FALSE),0))</f>
        <v>2033</v>
      </c>
      <c r="H50" s="62">
        <f t="shared" si="4"/>
        <v>1.0207616800140587E-2</v>
      </c>
      <c r="I50" s="75">
        <f>SUM($G$7:G50)</f>
        <v>53513</v>
      </c>
      <c r="J50" s="64">
        <f t="shared" si="5"/>
        <v>0.26868676725328244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74">
        <f t="shared" si="6"/>
        <v>113</v>
      </c>
      <c r="E51" s="74">
        <f t="shared" si="0"/>
        <v>4</v>
      </c>
      <c r="F51" s="60">
        <f t="shared" si="3"/>
        <v>72.75</v>
      </c>
      <c r="G51" s="61">
        <f>IF(D51=D50,"",_xlfn.IFNA(VLOOKUP(D51,'인원 입력 기능(국수)'!$F$5:$I$103,4,FALSE),0))</f>
        <v>1533</v>
      </c>
      <c r="H51" s="62">
        <f t="shared" si="4"/>
        <v>7.6971355408831871E-3</v>
      </c>
      <c r="I51" s="75">
        <f>SUM($G$7:G51)</f>
        <v>55046</v>
      </c>
      <c r="J51" s="64">
        <f t="shared" si="5"/>
        <v>0.27638390279416564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74">
        <f t="shared" si="6"/>
        <v>112</v>
      </c>
      <c r="E52" s="74">
        <f t="shared" si="0"/>
        <v>4</v>
      </c>
      <c r="F52" s="60">
        <f t="shared" si="3"/>
        <v>71.73</v>
      </c>
      <c r="G52" s="61">
        <f>IF(D52=D51,"",_xlfn.IFNA(VLOOKUP(D52,'인원 입력 기능(국수)'!$F$5:$I$103,4,FALSE),0))</f>
        <v>2502</v>
      </c>
      <c r="H52" s="62">
        <f t="shared" si="4"/>
        <v>1.2562448221324027E-2</v>
      </c>
      <c r="I52" s="75">
        <f>SUM($G$7:G52)</f>
        <v>57548</v>
      </c>
      <c r="J52" s="64">
        <f t="shared" si="5"/>
        <v>0.28894635101548966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174">
        <f t="shared" si="6"/>
        <v>111</v>
      </c>
      <c r="E53" s="174">
        <f t="shared" si="0"/>
        <v>4</v>
      </c>
      <c r="F53" s="176">
        <f t="shared" si="3"/>
        <v>70.010000000000005</v>
      </c>
      <c r="G53" s="178">
        <f>IF(D53=D52,"",_xlfn.IFNA(VLOOKUP(D53,'인원 입력 기능(국수)'!$F$5:$I$103,4,FALSE),0))</f>
        <v>4366</v>
      </c>
      <c r="H53" s="180">
        <f t="shared" si="4"/>
        <v>2.1921522355835613E-2</v>
      </c>
      <c r="I53" s="168">
        <f>SUM($G$7:G53)</f>
        <v>61914</v>
      </c>
      <c r="J53" s="170">
        <f t="shared" si="5"/>
        <v>0.31086787337132527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175"/>
      <c r="E54" s="175"/>
      <c r="F54" s="177"/>
      <c r="G54" s="179"/>
      <c r="H54" s="181"/>
      <c r="I54" s="169"/>
      <c r="J54" s="171"/>
      <c r="K54" s="31"/>
      <c r="L54" s="20" t="str">
        <f t="shared" si="7"/>
        <v>경고</v>
      </c>
      <c r="N54" s="1"/>
    </row>
    <row r="55" spans="1:14" ht="25" customHeight="1" x14ac:dyDescent="0.45">
      <c r="A55" s="5"/>
      <c r="B55" s="30"/>
      <c r="C55" s="73">
        <v>52</v>
      </c>
      <c r="D55" s="74">
        <f t="shared" si="6"/>
        <v>110</v>
      </c>
      <c r="E55" s="74">
        <f t="shared" si="0"/>
        <v>4</v>
      </c>
      <c r="F55" s="60">
        <f t="shared" si="3"/>
        <v>68.38</v>
      </c>
      <c r="G55" s="61">
        <f>IF(D55=D54,"",_xlfn.IFNA(VLOOKUP(D55,'인원 입력 기능(국수)'!$F$5:$I$103,4,FALSE),0))</f>
        <v>2116</v>
      </c>
      <c r="H55" s="62">
        <f t="shared" si="4"/>
        <v>1.0624356689177316E-2</v>
      </c>
      <c r="I55" s="75">
        <f>SUM($G$7:G55)</f>
        <v>64030</v>
      </c>
      <c r="J55" s="64">
        <f t="shared" si="5"/>
        <v>0.32149223006050259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74">
        <f t="shared" si="6"/>
        <v>109</v>
      </c>
      <c r="E56" s="74">
        <f t="shared" si="0"/>
        <v>4</v>
      </c>
      <c r="F56" s="60">
        <f t="shared" si="3"/>
        <v>67.17</v>
      </c>
      <c r="G56" s="61">
        <f>IF(D56=D55,"",_xlfn.IFNA(VLOOKUP(D56,'인원 입력 기능(국수)'!$F$5:$I$103,4,FALSE),0))</f>
        <v>2722</v>
      </c>
      <c r="H56" s="62">
        <f t="shared" si="4"/>
        <v>1.3667059975397284E-2</v>
      </c>
      <c r="I56" s="75">
        <f>SUM($G$7:G56)</f>
        <v>66752</v>
      </c>
      <c r="J56" s="64">
        <f t="shared" si="5"/>
        <v>0.33515929003589989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74">
        <f t="shared" si="6"/>
        <v>108</v>
      </c>
      <c r="E57" s="74">
        <f t="shared" si="0"/>
        <v>4</v>
      </c>
      <c r="F57" s="60">
        <f t="shared" si="3"/>
        <v>65.98</v>
      </c>
      <c r="G57" s="61">
        <f>IF(D57=D56,"",_xlfn.IFNA(VLOOKUP(D57,'인원 입력 기능(국수)'!$F$5:$I$103,4,FALSE),0))</f>
        <v>2027</v>
      </c>
      <c r="H57" s="62">
        <f t="shared" si="4"/>
        <v>1.0177491025029498E-2</v>
      </c>
      <c r="I57" s="75">
        <f>SUM($G$7:G57)</f>
        <v>68779</v>
      </c>
      <c r="J57" s="64">
        <f t="shared" si="5"/>
        <v>0.34533678106092935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74">
        <f t="shared" si="6"/>
        <v>107</v>
      </c>
      <c r="E58" s="74">
        <f t="shared" si="0"/>
        <v>4</v>
      </c>
      <c r="F58" s="60">
        <f t="shared" si="3"/>
        <v>64.959999999999994</v>
      </c>
      <c r="G58" s="61">
        <f>IF(D58=D57,"",_xlfn.IFNA(VLOOKUP(D58,'인원 입력 기능(국수)'!$F$5:$I$103,4,FALSE),0))</f>
        <v>1999</v>
      </c>
      <c r="H58" s="62">
        <f t="shared" si="4"/>
        <v>1.0036904074511084E-2</v>
      </c>
      <c r="I58" s="75">
        <f>SUM($G$7:G58)</f>
        <v>70778</v>
      </c>
      <c r="J58" s="64">
        <f t="shared" si="5"/>
        <v>0.35537368513544049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74">
        <f t="shared" si="6"/>
        <v>106</v>
      </c>
      <c r="E59" s="74">
        <f t="shared" si="0"/>
        <v>4</v>
      </c>
      <c r="F59" s="60">
        <f t="shared" si="3"/>
        <v>63.82</v>
      </c>
      <c r="G59" s="61">
        <f>IF(D59=D58,"",_xlfn.IFNA(VLOOKUP(D59,'인원 입력 기능(국수)'!$F$5:$I$103,4,FALSE),0))</f>
        <v>2572</v>
      </c>
      <c r="H59" s="62">
        <f t="shared" si="4"/>
        <v>1.2913915597620064E-2</v>
      </c>
      <c r="I59" s="75">
        <f>SUM($G$7:G59)</f>
        <v>73350</v>
      </c>
      <c r="J59" s="64">
        <f t="shared" si="5"/>
        <v>0.36828760073306055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73">
        <v>47</v>
      </c>
      <c r="D60" s="174">
        <f t="shared" si="6"/>
        <v>105</v>
      </c>
      <c r="E60" s="174">
        <f t="shared" si="0"/>
        <v>4</v>
      </c>
      <c r="F60" s="176">
        <f t="shared" si="3"/>
        <v>62.09</v>
      </c>
      <c r="G60" s="178">
        <f>IF(D60=D59,"",_xlfn.IFNA(VLOOKUP(D60,'인원 입력 기능(국수)'!$F$5:$I$103,4,FALSE),0))</f>
        <v>4296</v>
      </c>
      <c r="H60" s="180">
        <f t="shared" si="4"/>
        <v>2.1570054979539576E-2</v>
      </c>
      <c r="I60" s="168">
        <f>SUM($G$7:G60)</f>
        <v>77646</v>
      </c>
      <c r="J60" s="170">
        <f t="shared" si="5"/>
        <v>0.38985765571260012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175"/>
      <c r="E61" s="175"/>
      <c r="F61" s="177"/>
      <c r="G61" s="179"/>
      <c r="H61" s="181"/>
      <c r="I61" s="169"/>
      <c r="J61" s="171"/>
      <c r="K61" s="31"/>
      <c r="L61" s="20" t="str">
        <f t="shared" si="7"/>
        <v>경고</v>
      </c>
      <c r="N61" s="1"/>
    </row>
    <row r="62" spans="1:14" ht="25" customHeight="1" x14ac:dyDescent="0.45">
      <c r="A62" s="5"/>
      <c r="B62" s="30"/>
      <c r="C62" s="73">
        <v>45</v>
      </c>
      <c r="D62" s="74">
        <f t="shared" si="6"/>
        <v>104</v>
      </c>
      <c r="E62" s="74">
        <f t="shared" si="0"/>
        <v>4</v>
      </c>
      <c r="F62" s="60">
        <f t="shared" si="3"/>
        <v>60.41</v>
      </c>
      <c r="G62" s="61">
        <f>IF(D62=D61,"",_xlfn.IFNA(VLOOKUP(D62,'인원 입력 기능(국수)'!$F$5:$I$103,4,FALSE),0))</f>
        <v>2400</v>
      </c>
      <c r="H62" s="62">
        <f t="shared" si="4"/>
        <v>1.2050310044435518E-2</v>
      </c>
      <c r="I62" s="75">
        <f>SUM($G$7:G62)</f>
        <v>80046</v>
      </c>
      <c r="J62" s="64">
        <f t="shared" si="5"/>
        <v>0.40190796575703563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74">
        <f t="shared" si="6"/>
        <v>103</v>
      </c>
      <c r="E63" s="74">
        <f t="shared" si="0"/>
        <v>5</v>
      </c>
      <c r="F63" s="60">
        <f t="shared" si="3"/>
        <v>59.16</v>
      </c>
      <c r="G63" s="61">
        <f>IF(D63=D62,"",_xlfn.IFNA(VLOOKUP(D63,'인원 입력 기능(국수)'!$F$5:$I$103,4,FALSE),0))</f>
        <v>2569</v>
      </c>
      <c r="H63" s="62">
        <f t="shared" si="4"/>
        <v>1.289885271006452E-2</v>
      </c>
      <c r="I63" s="75">
        <f>SUM($G$7:G63)</f>
        <v>82615</v>
      </c>
      <c r="J63" s="64">
        <f t="shared" si="5"/>
        <v>0.41480681846710016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74">
        <f t="shared" si="6"/>
        <v>102</v>
      </c>
      <c r="E64" s="74">
        <f t="shared" si="0"/>
        <v>5</v>
      </c>
      <c r="F64" s="60">
        <f t="shared" si="3"/>
        <v>58.01</v>
      </c>
      <c r="G64" s="61">
        <f>IF(D64=D63,"",_xlfn.IFNA(VLOOKUP(D64,'인원 입력 기능(국수)'!$F$5:$I$103,4,FALSE),0))</f>
        <v>2010</v>
      </c>
      <c r="H64" s="62">
        <f t="shared" si="4"/>
        <v>1.0092134662214746E-2</v>
      </c>
      <c r="I64" s="75">
        <f>SUM($G$7:G64)</f>
        <v>84625</v>
      </c>
      <c r="J64" s="64">
        <f t="shared" si="5"/>
        <v>0.42489895312931492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74">
        <f t="shared" si="6"/>
        <v>101</v>
      </c>
      <c r="E65" s="74">
        <f t="shared" si="0"/>
        <v>5</v>
      </c>
      <c r="F65" s="60">
        <f t="shared" si="3"/>
        <v>56.94</v>
      </c>
      <c r="G65" s="61">
        <f>IF(D65=D64,"",_xlfn.IFNA(VLOOKUP(D65,'인원 입력 기능(국수)'!$F$5:$I$103,4,FALSE),0))</f>
        <v>2265</v>
      </c>
      <c r="H65" s="62">
        <f t="shared" si="4"/>
        <v>1.137248010443602E-2</v>
      </c>
      <c r="I65" s="75">
        <f>SUM($G$7:G65)</f>
        <v>86890</v>
      </c>
      <c r="J65" s="64">
        <f t="shared" si="5"/>
        <v>0.43627143323375089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174">
        <f t="shared" si="6"/>
        <v>100</v>
      </c>
      <c r="E66" s="174">
        <f t="shared" si="0"/>
        <v>5</v>
      </c>
      <c r="F66" s="176">
        <f t="shared" si="3"/>
        <v>55.13</v>
      </c>
      <c r="G66" s="178">
        <f>IF(D66=D65,"",_xlfn.IFNA(VLOOKUP(D66,'인원 입력 기능(국수)'!$F$5:$I$103,4,FALSE),0))</f>
        <v>4955</v>
      </c>
      <c r="H66" s="180">
        <f t="shared" si="4"/>
        <v>2.487886927924083E-2</v>
      </c>
      <c r="I66" s="168">
        <f>SUM($G$7:G66)</f>
        <v>91845</v>
      </c>
      <c r="J66" s="170">
        <f t="shared" si="5"/>
        <v>0.46115030251299172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175"/>
      <c r="E67" s="175"/>
      <c r="F67" s="177"/>
      <c r="G67" s="179"/>
      <c r="H67" s="181"/>
      <c r="I67" s="169"/>
      <c r="J67" s="171"/>
      <c r="K67" s="31"/>
      <c r="L67" s="20" t="str">
        <f t="shared" si="7"/>
        <v>경고</v>
      </c>
      <c r="N67" s="1"/>
    </row>
    <row r="68" spans="1:14" ht="25" customHeight="1" x14ac:dyDescent="0.45">
      <c r="A68" s="5"/>
      <c r="B68" s="30"/>
      <c r="C68" s="73">
        <v>39</v>
      </c>
      <c r="D68" s="74">
        <f t="shared" si="6"/>
        <v>99</v>
      </c>
      <c r="E68" s="74">
        <f t="shared" si="0"/>
        <v>5</v>
      </c>
      <c r="F68" s="60">
        <f t="shared" si="3"/>
        <v>53.33</v>
      </c>
      <c r="G68" s="61">
        <f>IF(D68=D67,"",_xlfn.IFNA(VLOOKUP(D68,'인원 입력 기능(국수)'!$F$5:$I$103,4,FALSE),0))</f>
        <v>2202</v>
      </c>
      <c r="H68" s="62">
        <f t="shared" si="4"/>
        <v>1.1056159465769587E-2</v>
      </c>
      <c r="I68" s="75">
        <f>SUM($G$7:G68)</f>
        <v>94047</v>
      </c>
      <c r="J68" s="64">
        <f t="shared" si="5"/>
        <v>0.47220646197876132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73">
        <v>38</v>
      </c>
      <c r="D69" s="74">
        <f t="shared" si="6"/>
        <v>98</v>
      </c>
      <c r="E69" s="74">
        <f t="shared" si="0"/>
        <v>5</v>
      </c>
      <c r="F69" s="60">
        <f t="shared" si="3"/>
        <v>52.07</v>
      </c>
      <c r="G69" s="61">
        <f>IF(D69=D68,"",_xlfn.IFNA(VLOOKUP(D69,'인원 입력 기능(국수)'!$F$5:$I$103,4,FALSE),0))</f>
        <v>2810</v>
      </c>
      <c r="H69" s="62">
        <f t="shared" si="4"/>
        <v>1.4108904677026586E-2</v>
      </c>
      <c r="I69" s="75">
        <f>SUM($G$7:G69)</f>
        <v>96857</v>
      </c>
      <c r="J69" s="64">
        <f t="shared" si="5"/>
        <v>0.4863153666557879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74">
        <f t="shared" si="6"/>
        <v>97</v>
      </c>
      <c r="E70" s="74">
        <f t="shared" si="0"/>
        <v>5</v>
      </c>
      <c r="F70" s="60">
        <f t="shared" si="3"/>
        <v>50.73</v>
      </c>
      <c r="G70" s="61">
        <f>IF(D70=D69,"",_xlfn.IFNA(VLOOKUP(D70,'인원 입력 기능(국수)'!$F$5:$I$103,4,FALSE),0))</f>
        <v>2526</v>
      </c>
      <c r="H70" s="62">
        <f t="shared" si="4"/>
        <v>1.2682951321768382E-2</v>
      </c>
      <c r="I70" s="75">
        <f>SUM($G$7:G70)</f>
        <v>99383</v>
      </c>
      <c r="J70" s="64">
        <f t="shared" si="5"/>
        <v>0.49899831797755628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74">
        <f t="shared" si="6"/>
        <v>96</v>
      </c>
      <c r="E71" s="74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60">
        <f t="shared" si="3"/>
        <v>49.53</v>
      </c>
      <c r="G71" s="61">
        <f>IF(D71=D70,"",_xlfn.IFNA(VLOOKUP(D71,'인원 입력 기능(국수)'!$F$5:$I$103,4,FALSE),0))</f>
        <v>2285</v>
      </c>
      <c r="H71" s="62">
        <f t="shared" si="4"/>
        <v>1.1472899354806316E-2</v>
      </c>
      <c r="I71" s="75">
        <f>SUM($G$7:G71)</f>
        <v>101668</v>
      </c>
      <c r="J71" s="64">
        <f t="shared" si="5"/>
        <v>0.51047121733236256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74">
        <f t="shared" si="6"/>
        <v>95</v>
      </c>
      <c r="E72" s="74">
        <f t="shared" si="8"/>
        <v>5</v>
      </c>
      <c r="F72" s="60">
        <f t="shared" si="3"/>
        <v>48.23</v>
      </c>
      <c r="G72" s="61">
        <f>IF(D72=D71,"",_xlfn.IFNA(VLOOKUP(D72,'인원 입력 기능(국수)'!$F$5:$I$103,4,FALSE),0))</f>
        <v>2896</v>
      </c>
      <c r="H72" s="62">
        <f t="shared" si="4"/>
        <v>1.4540707453618859E-2</v>
      </c>
      <c r="I72" s="75">
        <f>SUM($G$7:G72)</f>
        <v>104564</v>
      </c>
      <c r="J72" s="64">
        <f t="shared" si="5"/>
        <v>0.52501192478598147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73">
        <v>34</v>
      </c>
      <c r="D73" s="174">
        <f t="shared" ref="D73:D104" si="9">ROUND(20*(C73-$H$3)/$H$4+100,0)</f>
        <v>94</v>
      </c>
      <c r="E73" s="174">
        <f t="shared" si="8"/>
        <v>5</v>
      </c>
      <c r="F73" s="176">
        <f t="shared" si="3"/>
        <v>46.2</v>
      </c>
      <c r="G73" s="178">
        <f>IF(D73=D72,"",_xlfn.IFNA(VLOOKUP(D73,'인원 입력 기능(국수)'!$F$5:$I$103,4,FALSE),0))</f>
        <v>5155</v>
      </c>
      <c r="H73" s="180">
        <f t="shared" si="4"/>
        <v>2.5883061782943792E-2</v>
      </c>
      <c r="I73" s="168">
        <f>SUM($G$7:G73)</f>
        <v>109719</v>
      </c>
      <c r="J73" s="170">
        <f t="shared" si="5"/>
        <v>0.55089498656892522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175"/>
      <c r="E74" s="175"/>
      <c r="F74" s="177"/>
      <c r="G74" s="179"/>
      <c r="H74" s="181"/>
      <c r="I74" s="169"/>
      <c r="J74" s="171"/>
      <c r="K74" s="31"/>
      <c r="L74" s="20" t="str">
        <f t="shared" si="10"/>
        <v>경고</v>
      </c>
      <c r="N74" s="1"/>
    </row>
    <row r="75" spans="1:14" ht="25" customHeight="1" x14ac:dyDescent="0.45">
      <c r="A75" s="5"/>
      <c r="B75" s="30"/>
      <c r="C75" s="73">
        <v>32</v>
      </c>
      <c r="D75" s="74">
        <f t="shared" si="9"/>
        <v>93</v>
      </c>
      <c r="E75" s="74">
        <f t="shared" si="8"/>
        <v>5</v>
      </c>
      <c r="F75" s="60">
        <f t="shared" ref="F75:F105" si="11">IF(I74=0,ROUND(100*(1-(I73+I75)/2/$J$3),2),ROUND(100*(1-(I74+I75)/2/$J$3),2))</f>
        <v>44.14</v>
      </c>
      <c r="G75" s="61">
        <f>IF(D75=D74,"",_xlfn.IFNA(VLOOKUP(D75,'인원 입력 기능(국수)'!$F$5:$I$103,4,FALSE),0))</f>
        <v>3089</v>
      </c>
      <c r="H75" s="62">
        <f t="shared" ref="H75:H105" si="12">G75/$J$3</f>
        <v>1.5509753219692215E-2</v>
      </c>
      <c r="I75" s="75">
        <f>SUM($G$7:G75)</f>
        <v>112808</v>
      </c>
      <c r="J75" s="64">
        <f t="shared" ref="J75:J105" si="13">I75/$J$3</f>
        <v>0.5664047397886175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73">
        <v>31</v>
      </c>
      <c r="D76" s="74">
        <f t="shared" si="9"/>
        <v>92</v>
      </c>
      <c r="E76" s="74">
        <f t="shared" si="8"/>
        <v>5</v>
      </c>
      <c r="F76" s="60">
        <f t="shared" si="11"/>
        <v>42.58</v>
      </c>
      <c r="G76" s="61">
        <f>IF(D76=D75,"",_xlfn.IFNA(VLOOKUP(D76,'인원 입력 기능(국수)'!$F$5:$I$103,4,FALSE),0))</f>
        <v>3107</v>
      </c>
      <c r="H76" s="62">
        <f t="shared" si="12"/>
        <v>1.5600130545025482E-2</v>
      </c>
      <c r="I76" s="75">
        <f>SUM($G$7:G76)</f>
        <v>115915</v>
      </c>
      <c r="J76" s="64">
        <f t="shared" si="13"/>
        <v>0.58200487033364301</v>
      </c>
      <c r="K76" s="31"/>
      <c r="L76" s="20" t="str">
        <f t="shared" si="10"/>
        <v/>
      </c>
      <c r="N76" s="1"/>
    </row>
    <row r="77" spans="1:14" ht="25" customHeight="1" x14ac:dyDescent="0.45">
      <c r="A77" s="5"/>
      <c r="B77" s="30"/>
      <c r="C77" s="73">
        <v>30</v>
      </c>
      <c r="D77" s="74">
        <f t="shared" si="9"/>
        <v>91</v>
      </c>
      <c r="E77" s="74">
        <f t="shared" si="8"/>
        <v>5</v>
      </c>
      <c r="F77" s="60">
        <f t="shared" si="11"/>
        <v>41.12</v>
      </c>
      <c r="G77" s="61">
        <f>IF(D77=D76,"",_xlfn.IFNA(VLOOKUP(D77,'인원 입력 기능(국수)'!$F$5:$I$103,4,FALSE),0))</f>
        <v>2719</v>
      </c>
      <c r="H77" s="62">
        <f t="shared" si="12"/>
        <v>1.365199708784174E-2</v>
      </c>
      <c r="I77" s="75">
        <f>SUM($G$7:G77)</f>
        <v>118634</v>
      </c>
      <c r="J77" s="64">
        <f t="shared" si="13"/>
        <v>0.59565686742148471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73">
        <v>29</v>
      </c>
      <c r="D78" s="74">
        <f t="shared" si="9"/>
        <v>90</v>
      </c>
      <c r="E78" s="74">
        <f t="shared" si="8"/>
        <v>5</v>
      </c>
      <c r="F78" s="60">
        <f t="shared" si="11"/>
        <v>39.61</v>
      </c>
      <c r="G78" s="61">
        <f>IF(D78=D77,"",_xlfn.IFNA(VLOOKUP(D78,'인원 입력 기능(국수)'!$F$5:$I$103,4,FALSE),0))</f>
        <v>3264</v>
      </c>
      <c r="H78" s="62">
        <f t="shared" si="12"/>
        <v>1.6388421660432306E-2</v>
      </c>
      <c r="I78" s="75">
        <f>SUM($G$7:G78)</f>
        <v>121898</v>
      </c>
      <c r="J78" s="64">
        <f t="shared" si="13"/>
        <v>0.61204528908191702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73">
        <v>28</v>
      </c>
      <c r="D79" s="74">
        <f t="shared" si="9"/>
        <v>89</v>
      </c>
      <c r="E79" s="74">
        <f t="shared" si="8"/>
        <v>6</v>
      </c>
      <c r="F79" s="60">
        <f t="shared" si="11"/>
        <v>37.950000000000003</v>
      </c>
      <c r="G79" s="61">
        <f>IF(D79=D78,"",_xlfn.IFNA(VLOOKUP(D79,'인원 입력 기능(국수)'!$F$5:$I$103,4,FALSE),0))</f>
        <v>3365</v>
      </c>
      <c r="H79" s="62">
        <f t="shared" si="12"/>
        <v>1.6895538874802298E-2</v>
      </c>
      <c r="I79" s="75">
        <f>SUM($G$7:G79)</f>
        <v>125263</v>
      </c>
      <c r="J79" s="64">
        <f t="shared" si="13"/>
        <v>0.62894082795671935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73">
        <v>27</v>
      </c>
      <c r="D80" s="174">
        <f t="shared" si="9"/>
        <v>88</v>
      </c>
      <c r="E80" s="174">
        <f t="shared" si="8"/>
        <v>6</v>
      </c>
      <c r="F80" s="176">
        <f t="shared" si="11"/>
        <v>35.520000000000003</v>
      </c>
      <c r="G80" s="178">
        <f>IF(D80=D79,"",_xlfn.IFNA(VLOOKUP(D80,'인원 입력 기능(국수)'!$F$5:$I$103,4,FALSE),0))</f>
        <v>6329</v>
      </c>
      <c r="H80" s="180">
        <f t="shared" si="12"/>
        <v>3.1777671779680168E-2</v>
      </c>
      <c r="I80" s="168">
        <f>SUM($G$7:G80)</f>
        <v>131592</v>
      </c>
      <c r="J80" s="170">
        <f t="shared" si="13"/>
        <v>0.66071849973639951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73">
        <v>26</v>
      </c>
      <c r="D81" s="175"/>
      <c r="E81" s="175"/>
      <c r="F81" s="177"/>
      <c r="G81" s="179"/>
      <c r="H81" s="181"/>
      <c r="I81" s="169"/>
      <c r="J81" s="171"/>
      <c r="K81" s="31"/>
      <c r="L81" s="20" t="str">
        <f t="shared" si="10"/>
        <v>경고</v>
      </c>
      <c r="N81" s="1"/>
    </row>
    <row r="82" spans="1:14" ht="25" customHeight="1" x14ac:dyDescent="0.45">
      <c r="A82" s="5"/>
      <c r="B82" s="30"/>
      <c r="C82" s="73">
        <v>25</v>
      </c>
      <c r="D82" s="74">
        <f t="shared" si="9"/>
        <v>87</v>
      </c>
      <c r="E82" s="74">
        <f t="shared" si="8"/>
        <v>6</v>
      </c>
      <c r="F82" s="60">
        <f t="shared" si="11"/>
        <v>33.01</v>
      </c>
      <c r="G82" s="61">
        <f>IF(D82=D81,"",_xlfn.IFNA(VLOOKUP(D82,'인원 입력 기능(국수)'!$F$5:$I$103,4,FALSE),0))</f>
        <v>3666</v>
      </c>
      <c r="H82" s="62">
        <f t="shared" si="12"/>
        <v>1.8406848592875256E-2</v>
      </c>
      <c r="I82" s="75">
        <f>SUM($G$7:G82)</f>
        <v>135258</v>
      </c>
      <c r="J82" s="64">
        <f t="shared" si="13"/>
        <v>0.67912534832927474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73">
        <v>24</v>
      </c>
      <c r="D83" s="74">
        <f t="shared" si="9"/>
        <v>86</v>
      </c>
      <c r="E83" s="74">
        <f t="shared" si="8"/>
        <v>6</v>
      </c>
      <c r="F83" s="60">
        <f t="shared" si="11"/>
        <v>31.29</v>
      </c>
      <c r="G83" s="61">
        <f>IF(D83=D82,"",_xlfn.IFNA(VLOOKUP(D83,'인원 입력 기능(국수)'!$F$5:$I$103,4,FALSE),0))</f>
        <v>3176</v>
      </c>
      <c r="H83" s="62">
        <f t="shared" si="12"/>
        <v>1.5946576958803003E-2</v>
      </c>
      <c r="I83" s="75">
        <f>SUM($G$7:G83)</f>
        <v>138434</v>
      </c>
      <c r="J83" s="64">
        <f t="shared" si="13"/>
        <v>0.69507192528807771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73">
        <v>23</v>
      </c>
      <c r="D84" s="74">
        <f t="shared" si="9"/>
        <v>85</v>
      </c>
      <c r="E84" s="74">
        <f t="shared" si="8"/>
        <v>6</v>
      </c>
      <c r="F84" s="60">
        <f t="shared" si="11"/>
        <v>29.58</v>
      </c>
      <c r="G84" s="61">
        <f>IF(D84=D83,"",_xlfn.IFNA(VLOOKUP(D84,'인원 입력 기능(국수)'!$F$5:$I$103,4,FALSE),0))</f>
        <v>3624</v>
      </c>
      <c r="H84" s="62">
        <f t="shared" si="12"/>
        <v>1.8195968167097634E-2</v>
      </c>
      <c r="I84" s="75">
        <f>SUM($G$7:G84)</f>
        <v>142058</v>
      </c>
      <c r="J84" s="64">
        <f t="shared" si="13"/>
        <v>0.71326789345517538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73">
        <v>22</v>
      </c>
      <c r="D85" s="74">
        <f t="shared" si="9"/>
        <v>84</v>
      </c>
      <c r="E85" s="74">
        <f t="shared" si="8"/>
        <v>6</v>
      </c>
      <c r="F85" s="60">
        <f t="shared" si="11"/>
        <v>27.7</v>
      </c>
      <c r="G85" s="61">
        <f>IF(D85=D84,"",_xlfn.IFNA(VLOOKUP(D85,'인원 입력 기능(국수)'!$F$5:$I$103,4,FALSE),0))</f>
        <v>3859</v>
      </c>
      <c r="H85" s="62">
        <f t="shared" si="12"/>
        <v>1.9375894358948612E-2</v>
      </c>
      <c r="I85" s="75">
        <f>SUM($G$7:G85)</f>
        <v>145917</v>
      </c>
      <c r="J85" s="64">
        <f t="shared" si="13"/>
        <v>0.73264378781412398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73">
        <v>21</v>
      </c>
      <c r="D86" s="74">
        <f t="shared" si="9"/>
        <v>83</v>
      </c>
      <c r="E86" s="74">
        <f t="shared" si="8"/>
        <v>6</v>
      </c>
      <c r="F86" s="60">
        <f t="shared" si="11"/>
        <v>25.88</v>
      </c>
      <c r="G86" s="61">
        <f>IF(D86=D85,"",_xlfn.IFNA(VLOOKUP(D86,'인원 입력 기능(국수)'!$F$5:$I$103,4,FALSE),0))</f>
        <v>3398</v>
      </c>
      <c r="H86" s="62">
        <f t="shared" si="12"/>
        <v>1.7061230637913288E-2</v>
      </c>
      <c r="I86" s="75">
        <f>SUM($G$7:G86)</f>
        <v>149315</v>
      </c>
      <c r="J86" s="64">
        <f t="shared" si="13"/>
        <v>0.7497050184520373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73">
        <v>20</v>
      </c>
      <c r="D87" s="174">
        <f t="shared" si="9"/>
        <v>82</v>
      </c>
      <c r="E87" s="174">
        <f t="shared" si="8"/>
        <v>6</v>
      </c>
      <c r="F87" s="176">
        <f t="shared" si="11"/>
        <v>23.13</v>
      </c>
      <c r="G87" s="178">
        <f>IF(D87=D86,"",_xlfn.IFNA(VLOOKUP(D87,'인원 입력 기능(국수)'!$F$5:$I$103,4,FALSE),0))</f>
        <v>7572</v>
      </c>
      <c r="H87" s="180">
        <f t="shared" si="12"/>
        <v>3.8018728190194064E-2</v>
      </c>
      <c r="I87" s="168">
        <f>SUM($G$7:G87)</f>
        <v>156887</v>
      </c>
      <c r="J87" s="170">
        <f t="shared" si="13"/>
        <v>0.78772374664223133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73">
        <v>19</v>
      </c>
      <c r="D88" s="175"/>
      <c r="E88" s="175"/>
      <c r="F88" s="177"/>
      <c r="G88" s="179"/>
      <c r="H88" s="181"/>
      <c r="I88" s="169"/>
      <c r="J88" s="171"/>
      <c r="K88" s="31"/>
      <c r="L88" s="20" t="str">
        <f t="shared" si="10"/>
        <v>경고</v>
      </c>
      <c r="N88" s="1"/>
    </row>
    <row r="89" spans="1:14" ht="25" customHeight="1" x14ac:dyDescent="0.45">
      <c r="A89" s="5"/>
      <c r="B89" s="30"/>
      <c r="C89" s="73">
        <v>18</v>
      </c>
      <c r="D89" s="74">
        <f t="shared" si="9"/>
        <v>81</v>
      </c>
      <c r="E89" s="74">
        <f t="shared" si="8"/>
        <v>7</v>
      </c>
      <c r="F89" s="60">
        <f t="shared" si="11"/>
        <v>20.32</v>
      </c>
      <c r="G89" s="61">
        <f>IF(D89=D88,"",_xlfn.IFNA(VLOOKUP(D89,'인원 입력 기능(국수)'!$F$5:$I$103,4,FALSE),0))</f>
        <v>3633</v>
      </c>
      <c r="H89" s="62">
        <f t="shared" si="12"/>
        <v>1.8241156829764266E-2</v>
      </c>
      <c r="I89" s="75">
        <f>SUM($G$7:G89)</f>
        <v>160520</v>
      </c>
      <c r="J89" s="64">
        <f t="shared" si="13"/>
        <v>0.80596490347199556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73">
        <v>17</v>
      </c>
      <c r="D90" s="74">
        <f t="shared" si="9"/>
        <v>80</v>
      </c>
      <c r="E90" s="74">
        <f t="shared" si="8"/>
        <v>7</v>
      </c>
      <c r="F90" s="60">
        <f t="shared" si="11"/>
        <v>18.46</v>
      </c>
      <c r="G90" s="61">
        <f>IF(D90=D89,"",_xlfn.IFNA(VLOOKUP(D90,'인원 입력 기능(국수)'!$F$5:$I$103,4,FALSE),0))</f>
        <v>3749</v>
      </c>
      <c r="H90" s="62">
        <f t="shared" si="12"/>
        <v>1.8823588481911981E-2</v>
      </c>
      <c r="I90" s="75">
        <f>SUM($G$7:G90)</f>
        <v>164269</v>
      </c>
      <c r="J90" s="64">
        <f t="shared" si="13"/>
        <v>0.82478849195390758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73">
        <v>16</v>
      </c>
      <c r="D91" s="74">
        <f t="shared" si="9"/>
        <v>79</v>
      </c>
      <c r="E91" s="74">
        <f t="shared" si="8"/>
        <v>7</v>
      </c>
      <c r="F91" s="60">
        <f t="shared" si="11"/>
        <v>16.350000000000001</v>
      </c>
      <c r="G91" s="61">
        <f>IF(D91=D90,"",_xlfn.IFNA(VLOOKUP(D91,'인원 입력 기능(국수)'!$F$5:$I$103,4,FALSE),0))</f>
        <v>4672</v>
      </c>
      <c r="H91" s="62">
        <f t="shared" si="12"/>
        <v>2.3457936886501142E-2</v>
      </c>
      <c r="I91" s="75">
        <f>SUM($G$7:G91)</f>
        <v>168941</v>
      </c>
      <c r="J91" s="64">
        <f t="shared" si="13"/>
        <v>0.84824642884040868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73">
        <v>15</v>
      </c>
      <c r="D92" s="74">
        <f t="shared" si="9"/>
        <v>78</v>
      </c>
      <c r="E92" s="74">
        <f t="shared" si="8"/>
        <v>7</v>
      </c>
      <c r="F92" s="60">
        <f t="shared" si="11"/>
        <v>14.13</v>
      </c>
      <c r="G92" s="61">
        <f>IF(D92=D91,"",_xlfn.IFNA(VLOOKUP(D92,'인원 입력 기능(국수)'!$F$5:$I$103,4,FALSE),0))</f>
        <v>4173</v>
      </c>
      <c r="H92" s="62">
        <f t="shared" si="12"/>
        <v>2.0952476589762258E-2</v>
      </c>
      <c r="I92" s="75">
        <f>SUM($G$7:G92)</f>
        <v>173114</v>
      </c>
      <c r="J92" s="64">
        <f t="shared" si="13"/>
        <v>0.86919890543017098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73">
        <v>14</v>
      </c>
      <c r="D93" s="74">
        <f t="shared" si="9"/>
        <v>77</v>
      </c>
      <c r="E93" s="74">
        <f t="shared" si="8"/>
        <v>7</v>
      </c>
      <c r="F93" s="60">
        <f t="shared" si="11"/>
        <v>12.03</v>
      </c>
      <c r="G93" s="61">
        <f>IF(D93=D92,"",_xlfn.IFNA(VLOOKUP(D93,'인원 입력 기능(국수)'!$F$5:$I$103,4,FALSE),0))</f>
        <v>4196</v>
      </c>
      <c r="H93" s="62">
        <f t="shared" si="12"/>
        <v>2.1067958727688098E-2</v>
      </c>
      <c r="I93" s="75">
        <f>SUM($G$7:G93)</f>
        <v>177310</v>
      </c>
      <c r="J93" s="64">
        <f t="shared" si="13"/>
        <v>0.89026686415785905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73">
        <v>13</v>
      </c>
      <c r="D94" s="174">
        <f t="shared" si="9"/>
        <v>76</v>
      </c>
      <c r="E94" s="174">
        <f t="shared" si="8"/>
        <v>8</v>
      </c>
      <c r="F94" s="176">
        <f t="shared" si="11"/>
        <v>8.18</v>
      </c>
      <c r="G94" s="178">
        <f>IF(D94=D93,"",_xlfn.IFNA(VLOOKUP(D94,'인원 입력 기능(국수)'!$F$5:$I$103,4,FALSE),0))</f>
        <v>11126</v>
      </c>
      <c r="H94" s="180">
        <f t="shared" si="12"/>
        <v>5.5863228980995654E-2</v>
      </c>
      <c r="I94" s="168">
        <f>SUM($G$7:G94)</f>
        <v>188436</v>
      </c>
      <c r="J94" s="170">
        <f t="shared" si="13"/>
        <v>0.94613009313885477</v>
      </c>
      <c r="K94" s="31"/>
      <c r="L94" s="20" t="str">
        <f t="shared" si="10"/>
        <v/>
      </c>
      <c r="N94" s="1"/>
    </row>
    <row r="95" spans="1:14" ht="25" customHeight="1" x14ac:dyDescent="0.45">
      <c r="A95" s="5"/>
      <c r="B95" s="30"/>
      <c r="C95" s="73">
        <v>12</v>
      </c>
      <c r="D95" s="175"/>
      <c r="E95" s="175"/>
      <c r="F95" s="177"/>
      <c r="G95" s="179"/>
      <c r="H95" s="181"/>
      <c r="I95" s="169"/>
      <c r="J95" s="171"/>
      <c r="K95" s="31"/>
      <c r="L95" s="20" t="str">
        <f t="shared" si="10"/>
        <v>경고</v>
      </c>
      <c r="N95" s="1"/>
    </row>
    <row r="96" spans="1:14" ht="25" customHeight="1" x14ac:dyDescent="0.45">
      <c r="A96" s="5"/>
      <c r="B96" s="30"/>
      <c r="C96" s="73">
        <v>11</v>
      </c>
      <c r="D96" s="74">
        <f t="shared" si="9"/>
        <v>75</v>
      </c>
      <c r="E96" s="74">
        <f t="shared" si="8"/>
        <v>8</v>
      </c>
      <c r="F96" s="60">
        <f t="shared" si="11"/>
        <v>4.92</v>
      </c>
      <c r="G96" s="61">
        <f>IF(D96=D95,"",_xlfn.IFNA(VLOOKUP(D96,'인원 입력 기능(국수)'!$F$5:$I$103,4,FALSE),0))</f>
        <v>1870</v>
      </c>
      <c r="H96" s="62">
        <f t="shared" si="12"/>
        <v>9.3891999096226749E-3</v>
      </c>
      <c r="I96" s="75">
        <f>SUM($G$7:G96)</f>
        <v>190306</v>
      </c>
      <c r="J96" s="64">
        <f t="shared" si="13"/>
        <v>0.95551929304847738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73">
        <v>10</v>
      </c>
      <c r="D97" s="74">
        <f t="shared" si="9"/>
        <v>74</v>
      </c>
      <c r="E97" s="74">
        <f t="shared" si="8"/>
        <v>8</v>
      </c>
      <c r="F97" s="60">
        <f t="shared" si="11"/>
        <v>3.9</v>
      </c>
      <c r="G97" s="61">
        <f>IF(D97=D96,"",_xlfn.IFNA(VLOOKUP(D97,'인원 입력 기능(국수)'!$F$5:$I$103,4,FALSE),0))</f>
        <v>2168</v>
      </c>
      <c r="H97" s="62">
        <f t="shared" si="12"/>
        <v>1.0885446740140085E-2</v>
      </c>
      <c r="I97" s="75">
        <f>SUM($G$7:G97)</f>
        <v>192474</v>
      </c>
      <c r="J97" s="64">
        <f t="shared" si="13"/>
        <v>0.96640473978861752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73">
        <v>9</v>
      </c>
      <c r="D98" s="74">
        <f t="shared" si="9"/>
        <v>73</v>
      </c>
      <c r="E98" s="74">
        <f t="shared" si="8"/>
        <v>9</v>
      </c>
      <c r="F98" s="60">
        <f t="shared" si="11"/>
        <v>2.95</v>
      </c>
      <c r="G98" s="61">
        <f>IF(D98=D97,"",_xlfn.IFNA(VLOOKUP(D98,'인원 입력 기능(국수)'!$F$5:$I$103,4,FALSE),0))</f>
        <v>1614</v>
      </c>
      <c r="H98" s="62">
        <f t="shared" si="12"/>
        <v>8.1038335048828868E-3</v>
      </c>
      <c r="I98" s="75">
        <f>SUM($G$7:G98)</f>
        <v>194088</v>
      </c>
      <c r="J98" s="64">
        <f t="shared" si="13"/>
        <v>0.97450857329350038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73">
        <v>8</v>
      </c>
      <c r="D99" s="74">
        <f t="shared" si="9"/>
        <v>72</v>
      </c>
      <c r="E99" s="74">
        <f t="shared" si="8"/>
        <v>9</v>
      </c>
      <c r="F99" s="60">
        <f t="shared" si="11"/>
        <v>2.21</v>
      </c>
      <c r="G99" s="61">
        <f>IF(D99=D98,"",_xlfn.IFNA(VLOOKUP(D99,'인원 입력 기능(국수)'!$F$5:$I$103,4,FALSE),0))</f>
        <v>1338</v>
      </c>
      <c r="H99" s="62">
        <f t="shared" si="12"/>
        <v>6.7180478497728012E-3</v>
      </c>
      <c r="I99" s="75">
        <f>SUM($G$7:G99)</f>
        <v>195426</v>
      </c>
      <c r="J99" s="64">
        <f t="shared" si="13"/>
        <v>0.98122662114327319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73">
        <v>7</v>
      </c>
      <c r="D100" s="174">
        <f t="shared" si="9"/>
        <v>71</v>
      </c>
      <c r="E100" s="174">
        <f t="shared" si="8"/>
        <v>9</v>
      </c>
      <c r="F100" s="176">
        <f t="shared" si="11"/>
        <v>1.46</v>
      </c>
      <c r="G100" s="178">
        <f>IF(D100=D99,"",_xlfn.IFNA(VLOOKUP(D100,'인원 입력 기능(국수)'!$F$5:$I$103,4,FALSE),0))</f>
        <v>1673</v>
      </c>
      <c r="H100" s="180">
        <f t="shared" si="12"/>
        <v>8.4000702934752588E-3</v>
      </c>
      <c r="I100" s="168">
        <f>SUM($G$7:G100)</f>
        <v>197099</v>
      </c>
      <c r="J100" s="170">
        <f t="shared" si="13"/>
        <v>0.98962669143674842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5">
        <v>6</v>
      </c>
      <c r="D101" s="175"/>
      <c r="E101" s="175"/>
      <c r="F101" s="177"/>
      <c r="G101" s="179"/>
      <c r="H101" s="181"/>
      <c r="I101" s="169"/>
      <c r="J101" s="171"/>
      <c r="K101" s="31"/>
      <c r="L101" s="20" t="str">
        <f t="shared" si="10"/>
        <v>경고</v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9"/>
        <v>70</v>
      </c>
      <c r="E102" s="74">
        <f t="shared" si="8"/>
        <v>9</v>
      </c>
      <c r="F102" s="60">
        <f t="shared" si="11"/>
        <v>0.92</v>
      </c>
      <c r="G102" s="61">
        <f>IF(D102=D101,"",_xlfn.IFNA(VLOOKUP(D102,'인원 입력 기능(국수)'!$F$5:$I$103,4,FALSE),0))</f>
        <v>472</v>
      </c>
      <c r="H102" s="62">
        <f t="shared" si="12"/>
        <v>2.3698943087389853E-3</v>
      </c>
      <c r="I102" s="72">
        <f>SUM($G$7:G102)</f>
        <v>197571</v>
      </c>
      <c r="J102" s="64">
        <f t="shared" si="13"/>
        <v>0.99199658574548744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9"/>
        <v>69</v>
      </c>
      <c r="E103" s="74">
        <f t="shared" si="8"/>
        <v>9</v>
      </c>
      <c r="F103" s="60">
        <f t="shared" si="11"/>
        <v>0.72</v>
      </c>
      <c r="G103" s="61">
        <f>IF(D103=D102,"",_xlfn.IFNA(VLOOKUP(D103,'인원 입력 기능(국수)'!$F$5:$I$103,4,FALSE),0))</f>
        <v>337</v>
      </c>
      <c r="H103" s="62">
        <f t="shared" si="12"/>
        <v>1.6920643687394874E-3</v>
      </c>
      <c r="I103" s="72">
        <f>SUM($G$7:G103)</f>
        <v>197908</v>
      </c>
      <c r="J103" s="64">
        <f t="shared" si="13"/>
        <v>0.99368865011422691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9"/>
        <v>68</v>
      </c>
      <c r="E104" s="59">
        <f t="shared" si="8"/>
        <v>9</v>
      </c>
      <c r="F104" s="60">
        <f t="shared" si="11"/>
        <v>0.56999999999999995</v>
      </c>
      <c r="G104" s="61">
        <f>IF(D104=D103,"",_xlfn.IFNA(VLOOKUP(D104,'인원 입력 기능(국수)'!$F$5:$I$103,4,FALSE),0))</f>
        <v>257</v>
      </c>
      <c r="H104" s="62">
        <f t="shared" si="12"/>
        <v>1.2903873672583035E-3</v>
      </c>
      <c r="I104" s="72">
        <f>SUM($G$7:G104)</f>
        <v>198165</v>
      </c>
      <c r="J104" s="64">
        <f t="shared" si="13"/>
        <v>0.9949790374814852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ref="D105" si="14">ROUND(20*(C105-$H$3)/$H$4+100,0)</f>
        <v>67</v>
      </c>
      <c r="E105" s="59">
        <f t="shared" si="8"/>
        <v>9</v>
      </c>
      <c r="F105" s="60">
        <f t="shared" si="11"/>
        <v>0.45</v>
      </c>
      <c r="G105" s="61">
        <f>IF(D105=D104,"",_xlfn.IFNA(VLOOKUP(D105,'인원 입력 기능(국수)'!$F$5:$I$103,4,FALSE),0))</f>
        <v>196</v>
      </c>
      <c r="H105" s="62">
        <f t="shared" si="12"/>
        <v>9.841086536289006E-4</v>
      </c>
      <c r="I105" s="72">
        <f>SUM($G$7:G105)</f>
        <v>198361</v>
      </c>
      <c r="J105" s="64">
        <f t="shared" si="13"/>
        <v>0.99596314613511405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65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</v>
      </c>
      <c r="G107" s="80">
        <f>_xlfn.IFNA(VLOOKUP(D107,'인원 입력 기능(국수)'!$F$5:$I$103,4,FALSE),0)</f>
        <v>804</v>
      </c>
      <c r="H107" s="81">
        <f>G107/$J$3</f>
        <v>4.036853864885899E-3</v>
      </c>
      <c r="I107" s="82">
        <f>SUM($G$7:G107)</f>
        <v>199165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01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19:I20"/>
    <mergeCell ref="J19:J20"/>
    <mergeCell ref="D26:D27"/>
    <mergeCell ref="E26:E27"/>
    <mergeCell ref="F26:F27"/>
    <mergeCell ref="G26:G27"/>
    <mergeCell ref="H26:H27"/>
    <mergeCell ref="I26:I27"/>
    <mergeCell ref="J26:J27"/>
    <mergeCell ref="D19:D20"/>
    <mergeCell ref="E19:E20"/>
    <mergeCell ref="F19:F20"/>
    <mergeCell ref="G19:G20"/>
    <mergeCell ref="H19:H20"/>
    <mergeCell ref="I33:I34"/>
    <mergeCell ref="J33:J34"/>
    <mergeCell ref="D39:D40"/>
    <mergeCell ref="E39:E40"/>
    <mergeCell ref="F39:F40"/>
    <mergeCell ref="G39:G40"/>
    <mergeCell ref="H39:H40"/>
    <mergeCell ref="I39:I40"/>
    <mergeCell ref="J39:J40"/>
    <mergeCell ref="D33:D34"/>
    <mergeCell ref="E33:E34"/>
    <mergeCell ref="F33:F34"/>
    <mergeCell ref="G33:G34"/>
    <mergeCell ref="H33:H34"/>
    <mergeCell ref="I46:I47"/>
    <mergeCell ref="J46:J47"/>
    <mergeCell ref="D53:D54"/>
    <mergeCell ref="E53:E54"/>
    <mergeCell ref="F53:F54"/>
    <mergeCell ref="G53:G54"/>
    <mergeCell ref="H53:H54"/>
    <mergeCell ref="I53:I54"/>
    <mergeCell ref="J53:J54"/>
    <mergeCell ref="D46:D47"/>
    <mergeCell ref="E46:E47"/>
    <mergeCell ref="F46:F47"/>
    <mergeCell ref="G46:G47"/>
    <mergeCell ref="H46:H47"/>
    <mergeCell ref="I60:I61"/>
    <mergeCell ref="J60:J61"/>
    <mergeCell ref="D66:D67"/>
    <mergeCell ref="E66:E67"/>
    <mergeCell ref="F66:F67"/>
    <mergeCell ref="G66:G67"/>
    <mergeCell ref="H66:H67"/>
    <mergeCell ref="I66:I67"/>
    <mergeCell ref="J66:J67"/>
    <mergeCell ref="D60:D61"/>
    <mergeCell ref="E60:E61"/>
    <mergeCell ref="F60:F61"/>
    <mergeCell ref="G60:G61"/>
    <mergeCell ref="H60:H61"/>
    <mergeCell ref="I73:I74"/>
    <mergeCell ref="J73:J74"/>
    <mergeCell ref="D80:D81"/>
    <mergeCell ref="E80:E81"/>
    <mergeCell ref="F80:F81"/>
    <mergeCell ref="G80:G81"/>
    <mergeCell ref="H80:H81"/>
    <mergeCell ref="I80:I81"/>
    <mergeCell ref="J80:J81"/>
    <mergeCell ref="D73:D74"/>
    <mergeCell ref="E73:E74"/>
    <mergeCell ref="F73:F74"/>
    <mergeCell ref="G73:G74"/>
    <mergeCell ref="H73:H74"/>
    <mergeCell ref="I100:I101"/>
    <mergeCell ref="J100:J101"/>
    <mergeCell ref="D100:D101"/>
    <mergeCell ref="E100:E101"/>
    <mergeCell ref="F100:F101"/>
    <mergeCell ref="G100:G101"/>
    <mergeCell ref="H100:H101"/>
    <mergeCell ref="I87:I88"/>
    <mergeCell ref="J87:J88"/>
    <mergeCell ref="D94:D95"/>
    <mergeCell ref="E94:E95"/>
    <mergeCell ref="F94:F95"/>
    <mergeCell ref="G94:G95"/>
    <mergeCell ref="H94:H95"/>
    <mergeCell ref="I94:I95"/>
    <mergeCell ref="J94:J95"/>
    <mergeCell ref="D87:D88"/>
    <mergeCell ref="E87:E88"/>
    <mergeCell ref="F87:F88"/>
    <mergeCell ref="G87:G88"/>
    <mergeCell ref="H87:H88"/>
  </mergeCells>
  <phoneticPr fontId="1" type="noConversion"/>
  <conditionalFormatting sqref="D7:G12 I7:J12 D14:G19 I14:J19 D21:G26 I21:J26 D28:G33 I28:J33 D35:G39 I35:J39 D41:G46 I41:J46 D48:G53 I48:J53 D55:G60 I55:J60 D62:G66 I62:J66 D68:G73 I68:J73 D75:G80 I75:J80 D82:G87 I82:J87 D89:G94 I89:J94 D96:G100 I96:J100 D102:G107 I102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12 D14:D19 D21:D26 D28:D33 D35:D39 D41:D46 D48:D53 D55:D60 D62:D66 D68:D73 D75:D80 D82:D87 D89:D94 D96:D100 D102:D106">
    <cfRule type="expression" dxfId="54" priority="2">
      <formula>$D7=$D8</formula>
    </cfRule>
  </conditionalFormatting>
  <conditionalFormatting sqref="H7:H12 H14:H19 H21:H26 H28:H33 H35:H39 H41:H46 H48:H53 H55:H60 H62:H66 H68:H73 H75:H80 H82:H87 H89:H94 H96:H100 H102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기능'!D6</f>
        <v>54.79</v>
      </c>
      <c r="I3" s="21" t="s">
        <v>70</v>
      </c>
      <c r="J3" s="50">
        <f>'통계 및 응시자 수 입력 기능'!C6</f>
        <v>196892</v>
      </c>
      <c r="K3" s="31"/>
    </row>
    <row r="4" spans="1:12" ht="25" customHeight="1" thickBot="1" x14ac:dyDescent="0.5">
      <c r="A4" s="5"/>
      <c r="B4" s="30"/>
      <c r="C4" s="51" t="s">
        <v>71</v>
      </c>
      <c r="D4" s="185" t="s">
        <v>83</v>
      </c>
      <c r="E4" s="186"/>
      <c r="F4" s="187"/>
      <c r="G4" s="52" t="s">
        <v>73</v>
      </c>
      <c r="H4" s="53" t="str">
        <f>'통계 및 응시자 수 입력 기능'!E6</f>
        <v>20.94</v>
      </c>
      <c r="I4" s="188"/>
      <c r="J4" s="189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93"/>
      <c r="J5" s="193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59">
        <v>1</v>
      </c>
      <c r="D7" s="86">
        <v>90</v>
      </c>
      <c r="E7" s="87">
        <f>'표점등급&amp;절평인원 입력 기능'!D22</f>
        <v>8623</v>
      </c>
      <c r="F7" s="88">
        <f>E7/$J$3</f>
        <v>4.3795583365499866E-2</v>
      </c>
      <c r="G7" s="89">
        <f>SUM($E$7:E7)</f>
        <v>8623</v>
      </c>
      <c r="H7" s="90">
        <f>G7/$J$3</f>
        <v>4.3795583365499866E-2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92">
        <v>80</v>
      </c>
      <c r="E8" s="93">
        <f>'표점등급&amp;절평인원 입력 기능'!D23</f>
        <v>17000</v>
      </c>
      <c r="F8" s="94">
        <f t="shared" ref="F8:F15" si="0">E8/$J$3</f>
        <v>8.6341750807549314E-2</v>
      </c>
      <c r="G8" s="95">
        <f>SUM($E$7:E8)</f>
        <v>25623</v>
      </c>
      <c r="H8" s="96">
        <f t="shared" ref="H8:H15" si="1">G8/$J$3</f>
        <v>0.13013733417304918</v>
      </c>
      <c r="I8" s="20"/>
      <c r="J8" s="20"/>
      <c r="K8" s="31"/>
      <c r="L8" s="5"/>
    </row>
    <row r="9" spans="1:12" ht="25" customHeight="1" x14ac:dyDescent="0.45">
      <c r="A9" s="5"/>
      <c r="B9" s="30"/>
      <c r="C9" s="91">
        <v>3</v>
      </c>
      <c r="D9" s="92">
        <v>70</v>
      </c>
      <c r="E9" s="93">
        <f>'표점등급&amp;절평인원 입력 기능'!D24</f>
        <v>27453</v>
      </c>
      <c r="F9" s="94">
        <f t="shared" si="0"/>
        <v>0.13943176970115595</v>
      </c>
      <c r="G9" s="95">
        <f>SUM($E$7:E9)</f>
        <v>53076</v>
      </c>
      <c r="H9" s="96">
        <f t="shared" si="1"/>
        <v>0.26956910387420513</v>
      </c>
      <c r="I9" s="20"/>
      <c r="J9" s="20"/>
      <c r="K9" s="31"/>
      <c r="L9" s="5"/>
    </row>
    <row r="10" spans="1:12" ht="25" customHeight="1" x14ac:dyDescent="0.45">
      <c r="A10" s="5"/>
      <c r="B10" s="30"/>
      <c r="C10" s="91">
        <v>4</v>
      </c>
      <c r="D10" s="92">
        <v>60</v>
      </c>
      <c r="E10" s="93">
        <f>'표점등급&amp;절평인원 입력 기능'!D25</f>
        <v>33603</v>
      </c>
      <c r="F10" s="94">
        <f t="shared" si="0"/>
        <v>0.17066716778741645</v>
      </c>
      <c r="G10" s="95">
        <f>SUM($E$7:E10)</f>
        <v>86679</v>
      </c>
      <c r="H10" s="96">
        <f t="shared" si="1"/>
        <v>0.4402362716616216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1">
        <v>5</v>
      </c>
      <c r="D11" s="92">
        <v>50</v>
      </c>
      <c r="E11" s="93">
        <f>'표점등급&amp;절평인원 입력 기능'!D26</f>
        <v>30455</v>
      </c>
      <c r="F11" s="94">
        <f t="shared" si="0"/>
        <v>0.15467870710846557</v>
      </c>
      <c r="G11" s="95">
        <f>SUM($E$7:E11)</f>
        <v>117134</v>
      </c>
      <c r="H11" s="96">
        <f t="shared" si="1"/>
        <v>0.59491497877008714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1">
        <v>6</v>
      </c>
      <c r="D12" s="92">
        <v>40</v>
      </c>
      <c r="E12" s="93">
        <f>'표점등급&amp;절평인원 입력 기능'!D27</f>
        <v>27501</v>
      </c>
      <c r="F12" s="94">
        <f t="shared" si="0"/>
        <v>0.13967555817402433</v>
      </c>
      <c r="G12" s="95">
        <f>SUM($E$7:E12)</f>
        <v>144635</v>
      </c>
      <c r="H12" s="96">
        <f t="shared" si="1"/>
        <v>0.73459053694411147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1">
        <v>7</v>
      </c>
      <c r="D13" s="92">
        <v>30</v>
      </c>
      <c r="E13" s="93">
        <f>'표점등급&amp;절평인원 입력 기능'!D28</f>
        <v>24403</v>
      </c>
      <c r="F13" s="94">
        <f t="shared" si="0"/>
        <v>0.12394104382097799</v>
      </c>
      <c r="G13" s="95">
        <f>SUM($E$7:E13)</f>
        <v>169038</v>
      </c>
      <c r="H13" s="96">
        <f t="shared" si="1"/>
        <v>0.85853158076508951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1">
        <v>8</v>
      </c>
      <c r="D14" s="92">
        <v>20</v>
      </c>
      <c r="E14" s="93">
        <f>'표점등급&amp;절평인원 입력 기능'!D29</f>
        <v>21105</v>
      </c>
      <c r="F14" s="94">
        <f t="shared" si="0"/>
        <v>0.10719074416431343</v>
      </c>
      <c r="G14" s="95">
        <f>SUM($E$7:E14)</f>
        <v>190143</v>
      </c>
      <c r="H14" s="96">
        <f t="shared" si="1"/>
        <v>0.96572232492940291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7">
        <v>9</v>
      </c>
      <c r="D15" s="98">
        <v>0</v>
      </c>
      <c r="E15" s="99">
        <f>'표점등급&amp;절평인원 입력 기능'!D30</f>
        <v>6749</v>
      </c>
      <c r="F15" s="100">
        <f t="shared" si="0"/>
        <v>3.4277675070597077E-2</v>
      </c>
      <c r="G15" s="101">
        <f>SUM($E$7:E15)</f>
        <v>196892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기능'!D7</f>
        <v>29.74</v>
      </c>
      <c r="I3" s="21" t="s">
        <v>70</v>
      </c>
      <c r="J3" s="50">
        <f>'통계 및 응시자 수 입력 기능'!C7</f>
        <v>195053</v>
      </c>
      <c r="K3" s="31"/>
    </row>
    <row r="4" spans="1:12" ht="25" customHeight="1" thickBot="1" x14ac:dyDescent="0.5">
      <c r="A4" s="5"/>
      <c r="B4" s="30"/>
      <c r="C4" s="51" t="s">
        <v>71</v>
      </c>
      <c r="D4" s="185" t="s">
        <v>84</v>
      </c>
      <c r="E4" s="186"/>
      <c r="F4" s="187"/>
      <c r="G4" s="52" t="s">
        <v>73</v>
      </c>
      <c r="H4" s="53" t="str">
        <f>'통계 및 응시자 수 입력 기능'!E7</f>
        <v>12.72</v>
      </c>
      <c r="I4" s="188"/>
      <c r="J4" s="189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93"/>
      <c r="J5" s="193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61">
        <v>1</v>
      </c>
      <c r="D7" s="103">
        <v>40</v>
      </c>
      <c r="E7" s="87">
        <f>'표점등급&amp;절평인원 입력 기능'!D31</f>
        <v>52962</v>
      </c>
      <c r="F7" s="88">
        <f>E7/$J$3</f>
        <v>0.27152620057112681</v>
      </c>
      <c r="G7" s="89">
        <f>SUM($E$7:E7)</f>
        <v>52962</v>
      </c>
      <c r="H7" s="90">
        <f>G7/$J$3</f>
        <v>0.27152620057112681</v>
      </c>
      <c r="I7" s="20"/>
      <c r="J7" s="20"/>
      <c r="K7" s="31"/>
      <c r="L7" s="5"/>
    </row>
    <row r="8" spans="1:12" ht="25" customHeight="1" x14ac:dyDescent="0.45">
      <c r="A8" s="5"/>
      <c r="B8" s="30"/>
      <c r="C8" s="153">
        <v>2</v>
      </c>
      <c r="D8" s="105">
        <v>35</v>
      </c>
      <c r="E8" s="93">
        <f>'표점등급&amp;절평인원 입력 기능'!D32</f>
        <v>26394</v>
      </c>
      <c r="F8" s="94">
        <f t="shared" ref="F8:F15" si="0">E8/$J$3</f>
        <v>0.13531706766878746</v>
      </c>
      <c r="G8" s="95">
        <f>SUM($E$7:E8)</f>
        <v>79356</v>
      </c>
      <c r="H8" s="96">
        <f t="shared" ref="H8:H15" si="1">G8/$J$3</f>
        <v>0.40684326823991429</v>
      </c>
      <c r="I8" s="20"/>
      <c r="J8" s="20"/>
      <c r="K8" s="31"/>
      <c r="L8" s="5"/>
    </row>
    <row r="9" spans="1:12" ht="25" customHeight="1" x14ac:dyDescent="0.45">
      <c r="A9" s="5"/>
      <c r="B9" s="30"/>
      <c r="C9" s="104">
        <v>3</v>
      </c>
      <c r="D9" s="105">
        <v>30</v>
      </c>
      <c r="E9" s="93">
        <f>'표점등급&amp;절평인원 입력 기능'!D33</f>
        <v>25135</v>
      </c>
      <c r="F9" s="94">
        <f t="shared" si="0"/>
        <v>0.12886241175475383</v>
      </c>
      <c r="G9" s="95">
        <f>SUM($E$7:E9)</f>
        <v>104491</v>
      </c>
      <c r="H9" s="96">
        <f t="shared" si="1"/>
        <v>0.53570567999466812</v>
      </c>
      <c r="I9" s="20"/>
      <c r="J9" s="20"/>
      <c r="K9" s="31"/>
      <c r="L9" s="5"/>
    </row>
    <row r="10" spans="1:12" ht="25" customHeight="1" x14ac:dyDescent="0.45">
      <c r="A10" s="5"/>
      <c r="B10" s="30"/>
      <c r="C10" s="104">
        <v>4</v>
      </c>
      <c r="D10" s="105">
        <v>25</v>
      </c>
      <c r="E10" s="93">
        <f>'표점등급&amp;절평인원 입력 기능'!D34</f>
        <v>22165</v>
      </c>
      <c r="F10" s="94">
        <f t="shared" si="0"/>
        <v>0.11363578104412647</v>
      </c>
      <c r="G10" s="95">
        <f>SUM($E$7:E10)</f>
        <v>126656</v>
      </c>
      <c r="H10" s="96">
        <f t="shared" si="1"/>
        <v>0.64934146103879453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04">
        <v>5</v>
      </c>
      <c r="D11" s="105">
        <v>20</v>
      </c>
      <c r="E11" s="93">
        <f>'표점등급&amp;절평인원 입력 기능'!D35</f>
        <v>18447</v>
      </c>
      <c r="F11" s="94">
        <f t="shared" si="0"/>
        <v>9.4574295191563323E-2</v>
      </c>
      <c r="G11" s="95">
        <f>SUM($E$7:E11)</f>
        <v>145103</v>
      </c>
      <c r="H11" s="96">
        <f t="shared" si="1"/>
        <v>0.74391575623035788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04">
        <v>6</v>
      </c>
      <c r="D12" s="105">
        <v>15</v>
      </c>
      <c r="E12" s="93">
        <f>'표점등급&amp;절평인원 입력 기능'!D36</f>
        <v>16738</v>
      </c>
      <c r="F12" s="94">
        <f t="shared" si="0"/>
        <v>8.5812574018343732E-2</v>
      </c>
      <c r="G12" s="95">
        <f>SUM($E$7:E12)</f>
        <v>161841</v>
      </c>
      <c r="H12" s="96">
        <f t="shared" si="1"/>
        <v>0.82972833024870163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04">
        <v>7</v>
      </c>
      <c r="D13" s="105">
        <v>10</v>
      </c>
      <c r="E13" s="93">
        <f>'표점등급&amp;절평인원 입력 기능'!D37</f>
        <v>22556</v>
      </c>
      <c r="F13" s="94">
        <f t="shared" si="0"/>
        <v>0.11564036441377472</v>
      </c>
      <c r="G13" s="95">
        <f>SUM($E$7:E13)</f>
        <v>184397</v>
      </c>
      <c r="H13" s="96">
        <f t="shared" si="1"/>
        <v>0.94536869466247631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04">
        <v>8</v>
      </c>
      <c r="D14" s="105">
        <v>5</v>
      </c>
      <c r="E14" s="93">
        <f>'표점등급&amp;절평인원 입력 기능'!D38</f>
        <v>8750</v>
      </c>
      <c r="F14" s="94">
        <f t="shared" si="0"/>
        <v>4.4859602261949315E-2</v>
      </c>
      <c r="G14" s="95">
        <f>SUM($E$7:E14)</f>
        <v>193147</v>
      </c>
      <c r="H14" s="96">
        <f t="shared" si="1"/>
        <v>0.99022829692442571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06">
        <v>9</v>
      </c>
      <c r="D15" s="107">
        <v>0</v>
      </c>
      <c r="E15" s="99">
        <f>'표점등급&amp;절평인원 입력 기능'!D39</f>
        <v>1906</v>
      </c>
      <c r="F15" s="100">
        <f t="shared" si="0"/>
        <v>9.7717030755743312E-3</v>
      </c>
      <c r="G15" s="101">
        <f>SUM($E$7:E15)</f>
        <v>195053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topLeftCell="A46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기능'!D8</f>
        <v>32.59</v>
      </c>
      <c r="I3" s="21" t="s">
        <v>70</v>
      </c>
      <c r="J3" s="50">
        <f>'통계 및 응시자 수 입력 기능'!C8</f>
        <v>41388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91</v>
      </c>
      <c r="E4" s="186"/>
      <c r="F4" s="187"/>
      <c r="G4" s="52" t="s">
        <v>73</v>
      </c>
      <c r="H4" s="53" t="str">
        <f>'통계 및 응시자 수 입력 기능'!E8</f>
        <v>12.16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64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</v>
      </c>
      <c r="G7" s="61">
        <f>_xlfn.IFNA(VLOOKUP(D7,'인원 입력 기능(사과탐)'!$A$5:$D$59,4,FALSE),0)</f>
        <v>749</v>
      </c>
      <c r="H7" s="62">
        <f>G7/$J$3</f>
        <v>1.8097032956412486E-2</v>
      </c>
      <c r="I7" s="63">
        <f>G7</f>
        <v>749</v>
      </c>
      <c r="J7" s="64">
        <f>I7/$J$3</f>
        <v>1.8097032956412486E-2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63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기능'!C41</f>
        <v>60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63</v>
      </c>
      <c r="E9" s="59">
        <f t="shared" si="0"/>
        <v>1</v>
      </c>
      <c r="F9" s="60">
        <f>IF(I8=0,ROUND(100*(1-(I7+I9)/2/$J$3),2),ROUND(100*(1-(I8+I9)/2/$J$3),2))</f>
        <v>96.54</v>
      </c>
      <c r="G9" s="61">
        <f>_xlfn.IFNA(VLOOKUP(D9,'인원 입력 기능(사과탐)'!$A$5:$D$59,4,FALSE),0)</f>
        <v>1362</v>
      </c>
      <c r="H9" s="62">
        <f t="shared" ref="H9:H55" si="1">G9/$J$3</f>
        <v>3.2908089301246737E-2</v>
      </c>
      <c r="I9" s="72">
        <f>SUM($G$7:G9)</f>
        <v>2111</v>
      </c>
      <c r="J9" s="64">
        <f>I9/$J$3</f>
        <v>5.1005122257659227E-2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62</v>
      </c>
      <c r="E10" s="59">
        <f t="shared" si="0"/>
        <v>2</v>
      </c>
      <c r="F10" s="60">
        <f t="shared" ref="F10:F55" si="4">IF(I9=0,ROUND(100*(1-(I8+I10)/2/$J$3),2),ROUND(100*(1-(I9+I10)/2/$J$3),2))</f>
        <v>93.55</v>
      </c>
      <c r="G10" s="61">
        <f>IF(D10=D9,"",_xlfn.IFNA(VLOOKUP(D10,'인원 입력 기능(사과탐)'!$A$5:$D$59,4,FALSE),0))</f>
        <v>1120</v>
      </c>
      <c r="H10" s="62">
        <f t="shared" si="1"/>
        <v>2.7060983860056054E-2</v>
      </c>
      <c r="I10" s="72">
        <f>SUM($G$7:G10)</f>
        <v>3231</v>
      </c>
      <c r="J10" s="64">
        <f t="shared" ref="J10:J55" si="5">I10/$J$3</f>
        <v>7.8066106117715278E-2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55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61</v>
      </c>
      <c r="E11" s="59">
        <f t="shared" si="0"/>
        <v>2</v>
      </c>
      <c r="F11" s="60">
        <f t="shared" si="4"/>
        <v>91.34</v>
      </c>
      <c r="G11" s="61">
        <f>IF(D11=D10,"",_xlfn.IFNA(VLOOKUP(D11,'인원 입력 기능(사과탐)'!$A$5:$D$59,4,FALSE),0))</f>
        <v>709</v>
      </c>
      <c r="H11" s="62">
        <f t="shared" si="1"/>
        <v>1.713056924712477E-2</v>
      </c>
      <c r="I11" s="72">
        <f>SUM($G$7:G11)</f>
        <v>3940</v>
      </c>
      <c r="J11" s="64">
        <f t="shared" si="5"/>
        <v>9.5196675364840055E-2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50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60</v>
      </c>
      <c r="E12" s="59">
        <f t="shared" si="0"/>
        <v>2</v>
      </c>
      <c r="F12" s="60">
        <f t="shared" si="4"/>
        <v>87.43</v>
      </c>
      <c r="G12" s="61">
        <f>IF(D12=D11,"",_xlfn.IFNA(VLOOKUP(D12,'인원 입력 기능(사과탐)'!$A$5:$D$59,4,FALSE),0))</f>
        <v>2523</v>
      </c>
      <c r="H12" s="62">
        <f t="shared" si="1"/>
        <v>6.0959698463322699E-2</v>
      </c>
      <c r="I12" s="72">
        <f>SUM($G$7:G12)</f>
        <v>6463</v>
      </c>
      <c r="J12" s="64">
        <f t="shared" si="5"/>
        <v>0.15615637382816275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43</v>
      </c>
    </row>
    <row r="13" spans="1:17" s="22" customFormat="1" ht="25" customHeight="1" x14ac:dyDescent="0.45">
      <c r="A13" s="20"/>
      <c r="B13" s="35"/>
      <c r="C13" s="58">
        <v>44</v>
      </c>
      <c r="D13" s="172">
        <f t="shared" si="3"/>
        <v>59</v>
      </c>
      <c r="E13" s="172">
        <f t="shared" si="0"/>
        <v>3</v>
      </c>
      <c r="F13" s="176">
        <f t="shared" si="4"/>
        <v>80.959999999999994</v>
      </c>
      <c r="G13" s="178">
        <f>IF(D13=D12,"",_xlfn.IFNA(VLOOKUP(D13,'인원 입력 기능(사과탐)'!$A$5:$D$59,4,FALSE),0))</f>
        <v>2833</v>
      </c>
      <c r="H13" s="180">
        <f t="shared" si="1"/>
        <v>6.8449792210302507E-2</v>
      </c>
      <c r="I13" s="191">
        <f>SUM($G$7:G13)</f>
        <v>9296</v>
      </c>
      <c r="J13" s="170">
        <f t="shared" si="5"/>
        <v>0.22460616603846525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33</v>
      </c>
    </row>
    <row r="14" spans="1:17" s="22" customFormat="1" ht="25" customHeight="1" x14ac:dyDescent="0.45">
      <c r="A14" s="20"/>
      <c r="B14" s="35"/>
      <c r="C14" s="65">
        <v>43</v>
      </c>
      <c r="D14" s="173"/>
      <c r="E14" s="173"/>
      <c r="F14" s="177"/>
      <c r="G14" s="179"/>
      <c r="H14" s="181"/>
      <c r="I14" s="192"/>
      <c r="J14" s="171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기능'!C47</f>
        <v>31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58</v>
      </c>
      <c r="E15" s="59">
        <f t="shared" si="0"/>
        <v>3</v>
      </c>
      <c r="F15" s="60">
        <f t="shared" si="4"/>
        <v>74.52</v>
      </c>
      <c r="G15" s="61">
        <f>IF(D15=D14,"",_xlfn.IFNA(VLOOKUP(D15,'인원 입력 기능(사과탐)'!$A$5:$D$59,4,FALSE),0))</f>
        <v>2502</v>
      </c>
      <c r="H15" s="62">
        <f t="shared" si="1"/>
        <v>6.0452305015946652E-2</v>
      </c>
      <c r="I15" s="72">
        <f>SUM($G$7:G15)</f>
        <v>11798</v>
      </c>
      <c r="J15" s="64">
        <f t="shared" si="5"/>
        <v>0.2850584710544119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57</v>
      </c>
      <c r="E16" s="59">
        <f t="shared" si="0"/>
        <v>4</v>
      </c>
      <c r="F16" s="60">
        <f t="shared" si="4"/>
        <v>70.11</v>
      </c>
      <c r="G16" s="61">
        <f>IF(D16=D15,"",_xlfn.IFNA(VLOOKUP(D16,'인원 입력 기능(사과탐)'!$A$5:$D$59,4,FALSE),0))</f>
        <v>1146</v>
      </c>
      <c r="H16" s="62">
        <f t="shared" si="1"/>
        <v>2.768918527109307E-2</v>
      </c>
      <c r="I16" s="72">
        <f>SUM($G$7:G16)</f>
        <v>12944</v>
      </c>
      <c r="J16" s="64">
        <f t="shared" si="5"/>
        <v>0.312747656325505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56</v>
      </c>
      <c r="E17" s="59">
        <f t="shared" si="0"/>
        <v>4</v>
      </c>
      <c r="F17" s="60">
        <f t="shared" si="4"/>
        <v>65.95</v>
      </c>
      <c r="G17" s="61">
        <f>IF(D17=D16,"",_xlfn.IFNA(VLOOKUP(D17,'인원 입력 기능(사과탐)'!$A$5:$D$59,4,FALSE),0))</f>
        <v>2297</v>
      </c>
      <c r="H17" s="62">
        <f t="shared" si="1"/>
        <v>5.5499178505847103E-2</v>
      </c>
      <c r="I17" s="72">
        <f>SUM($G$7:G17)</f>
        <v>15241</v>
      </c>
      <c r="J17" s="64">
        <f t="shared" si="5"/>
        <v>0.36824683483135207</v>
      </c>
      <c r="K17" s="36"/>
      <c r="L17" s="20" t="str">
        <f t="shared" si="2"/>
        <v/>
      </c>
      <c r="N17" s="24"/>
      <c r="Q17" s="24">
        <f>Q7*H3*H4*J3*IFERROR(IF(J57=1, 1, 0), 0)</f>
        <v>1033315455.5136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55</v>
      </c>
      <c r="E18" s="59">
        <f t="shared" si="0"/>
        <v>4</v>
      </c>
      <c r="F18" s="60">
        <f t="shared" si="4"/>
        <v>61.12</v>
      </c>
      <c r="G18" s="61">
        <f>IF(D18=D17,"",_xlfn.IFNA(VLOOKUP(D18,'인원 입력 기능(사과탐)'!$A$5:$D$59,4,FALSE),0))</f>
        <v>1702</v>
      </c>
      <c r="H18" s="62">
        <f t="shared" si="1"/>
        <v>4.1123030830192329E-2</v>
      </c>
      <c r="I18" s="72">
        <f>SUM($G$7:G18)</f>
        <v>16943</v>
      </c>
      <c r="J18" s="64">
        <f t="shared" si="5"/>
        <v>0.40936986566154443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172">
        <f t="shared" si="3"/>
        <v>54</v>
      </c>
      <c r="E19" s="172">
        <f t="shared" si="0"/>
        <v>5</v>
      </c>
      <c r="F19" s="176">
        <f t="shared" si="4"/>
        <v>55.09</v>
      </c>
      <c r="G19" s="178">
        <f>IF(D19=D18,"",_xlfn.IFNA(VLOOKUP(D19,'인원 입력 기능(사과탐)'!$A$5:$D$59,4,FALSE),0))</f>
        <v>3290</v>
      </c>
      <c r="H19" s="180">
        <f t="shared" si="1"/>
        <v>7.9491640088914656E-2</v>
      </c>
      <c r="I19" s="191">
        <f>SUM($G$7:G19)</f>
        <v>20233</v>
      </c>
      <c r="J19" s="170">
        <f t="shared" si="5"/>
        <v>0.48886150575045906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173"/>
      <c r="E20" s="173"/>
      <c r="F20" s="177"/>
      <c r="G20" s="179"/>
      <c r="H20" s="181"/>
      <c r="I20" s="192"/>
      <c r="J20" s="171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53</v>
      </c>
      <c r="E21" s="74">
        <f t="shared" si="0"/>
        <v>5</v>
      </c>
      <c r="F21" s="60">
        <f t="shared" si="4"/>
        <v>49.69</v>
      </c>
      <c r="G21" s="61">
        <f>IF(D21=D20,"",_xlfn.IFNA(VLOOKUP(D21,'인원 입력 기능(사과탐)'!$A$5:$D$59,4,FALSE),0))</f>
        <v>1181</v>
      </c>
      <c r="H21" s="62">
        <f t="shared" si="1"/>
        <v>2.8534841016719822E-2</v>
      </c>
      <c r="I21" s="72">
        <f>SUM($G$7:G21)</f>
        <v>21414</v>
      </c>
      <c r="J21" s="64">
        <f t="shared" si="5"/>
        <v>0.51739634676717894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52</v>
      </c>
      <c r="E22" s="74">
        <f t="shared" si="0"/>
        <v>5</v>
      </c>
      <c r="F22" s="60">
        <f t="shared" si="4"/>
        <v>46.59</v>
      </c>
      <c r="G22" s="61">
        <f>IF(D22=D21,"",_xlfn.IFNA(VLOOKUP(D22,'인원 입력 기능(사과탐)'!$A$5:$D$59,4,FALSE),0))</f>
        <v>1382</v>
      </c>
      <c r="H22" s="62">
        <f t="shared" si="1"/>
        <v>3.3391321155890594E-2</v>
      </c>
      <c r="I22" s="72">
        <f>SUM($G$7:G22)</f>
        <v>22796</v>
      </c>
      <c r="J22" s="64">
        <f t="shared" si="5"/>
        <v>0.55078766792306944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51</v>
      </c>
      <c r="E23" s="74">
        <f t="shared" si="0"/>
        <v>5</v>
      </c>
      <c r="F23" s="60">
        <f t="shared" si="4"/>
        <v>43.32</v>
      </c>
      <c r="G23" s="61">
        <f>IF(D23=D22,"",_xlfn.IFNA(VLOOKUP(D23,'인원 입력 기능(사과탐)'!$A$5:$D$59,4,FALSE),0))</f>
        <v>1323</v>
      </c>
      <c r="H23" s="62">
        <f t="shared" si="1"/>
        <v>3.1965787184691216E-2</v>
      </c>
      <c r="I23" s="72">
        <f>SUM($G$7:G23)</f>
        <v>24119</v>
      </c>
      <c r="J23" s="64">
        <f t="shared" si="5"/>
        <v>0.58275345510776067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174">
        <f t="shared" si="3"/>
        <v>50</v>
      </c>
      <c r="E24" s="174">
        <f t="shared" si="0"/>
        <v>5</v>
      </c>
      <c r="F24" s="176">
        <f t="shared" si="4"/>
        <v>39.11</v>
      </c>
      <c r="G24" s="178">
        <f>IF(D24=D23,"",_xlfn.IFNA(VLOOKUP(D24,'인원 입력 기능(사과탐)'!$A$5:$D$59,4,FALSE),0))</f>
        <v>2168</v>
      </c>
      <c r="H24" s="180">
        <f t="shared" si="1"/>
        <v>5.2382333043394222E-2</v>
      </c>
      <c r="I24" s="191">
        <f>SUM($G$7:G24)</f>
        <v>26287</v>
      </c>
      <c r="J24" s="170">
        <f t="shared" si="5"/>
        <v>0.6351357881511549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175"/>
      <c r="E25" s="175"/>
      <c r="F25" s="177"/>
      <c r="G25" s="179"/>
      <c r="H25" s="181"/>
      <c r="I25" s="192"/>
      <c r="J25" s="171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49</v>
      </c>
      <c r="E26" s="74">
        <f t="shared" si="0"/>
        <v>6</v>
      </c>
      <c r="F26" s="60">
        <f t="shared" si="4"/>
        <v>35.44</v>
      </c>
      <c r="G26" s="61">
        <f>IF(D26=D25,"",_xlfn.IFNA(VLOOKUP(D26,'인원 입력 기능(사과탐)'!$A$5:$D$59,4,FALSE),0))</f>
        <v>868</v>
      </c>
      <c r="H26" s="62">
        <f t="shared" si="1"/>
        <v>2.0972262491543443E-2</v>
      </c>
      <c r="I26" s="72">
        <f>SUM($G$7:G26)</f>
        <v>27155</v>
      </c>
      <c r="J26" s="64">
        <f t="shared" si="5"/>
        <v>0.65610805064269839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48</v>
      </c>
      <c r="E27" s="74">
        <f t="shared" si="0"/>
        <v>6</v>
      </c>
      <c r="F27" s="60">
        <f t="shared" si="4"/>
        <v>33.33</v>
      </c>
      <c r="G27" s="61">
        <f>IF(D27=D26,"",_xlfn.IFNA(VLOOKUP(D27,'인원 입력 기능(사과탐)'!$A$5:$D$59,4,FALSE),0))</f>
        <v>878</v>
      </c>
      <c r="H27" s="62">
        <f t="shared" si="1"/>
        <v>2.1213878418865371E-2</v>
      </c>
      <c r="I27" s="72">
        <f>SUM($G$7:G27)</f>
        <v>28033</v>
      </c>
      <c r="J27" s="64">
        <f t="shared" si="5"/>
        <v>0.67732192906156374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47</v>
      </c>
      <c r="E28" s="74">
        <f t="shared" si="0"/>
        <v>6</v>
      </c>
      <c r="F28" s="60">
        <f t="shared" si="4"/>
        <v>31.34</v>
      </c>
      <c r="G28" s="61">
        <f>IF(D28=D27,"",_xlfn.IFNA(VLOOKUP(D28,'인원 입력 기능(사과탐)'!$A$5:$D$59,4,FALSE),0))</f>
        <v>769</v>
      </c>
      <c r="H28" s="62">
        <f t="shared" si="1"/>
        <v>1.8580264811056346E-2</v>
      </c>
      <c r="I28" s="72">
        <f>SUM($G$7:G28)</f>
        <v>28802</v>
      </c>
      <c r="J28" s="64">
        <f t="shared" si="5"/>
        <v>0.69590219387262009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46</v>
      </c>
      <c r="E29" s="74">
        <f t="shared" si="0"/>
        <v>6</v>
      </c>
      <c r="F29" s="60">
        <f t="shared" si="4"/>
        <v>29.59</v>
      </c>
      <c r="G29" s="61">
        <f>IF(D29=D28,"",_xlfn.IFNA(VLOOKUP(D29,'인원 입력 기능(사과탐)'!$A$5:$D$59,4,FALSE),0))</f>
        <v>681</v>
      </c>
      <c r="H29" s="62">
        <f t="shared" si="1"/>
        <v>1.6454044650623369E-2</v>
      </c>
      <c r="I29" s="72">
        <f>SUM($G$7:G29)</f>
        <v>29483</v>
      </c>
      <c r="J29" s="64">
        <f t="shared" si="5"/>
        <v>0.71235623852324348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174">
        <f t="shared" si="3"/>
        <v>45</v>
      </c>
      <c r="E30" s="174">
        <f t="shared" si="0"/>
        <v>6</v>
      </c>
      <c r="F30" s="176">
        <f t="shared" si="4"/>
        <v>27.19</v>
      </c>
      <c r="G30" s="178">
        <f>IF(D30=D29,"",_xlfn.IFNA(VLOOKUP(D30,'인원 입력 기능(사과탐)'!$A$5:$D$59,4,FALSE),0))</f>
        <v>1302</v>
      </c>
      <c r="H30" s="180">
        <f t="shared" si="1"/>
        <v>3.1458393737315161E-2</v>
      </c>
      <c r="I30" s="191">
        <f>SUM($G$7:G30)</f>
        <v>30785</v>
      </c>
      <c r="J30" s="170">
        <f t="shared" si="5"/>
        <v>0.74381463226055866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175"/>
      <c r="E31" s="175"/>
      <c r="F31" s="177"/>
      <c r="G31" s="179"/>
      <c r="H31" s="181"/>
      <c r="I31" s="192"/>
      <c r="J31" s="171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44</v>
      </c>
      <c r="E32" s="74">
        <f t="shared" si="0"/>
        <v>6</v>
      </c>
      <c r="F32" s="60">
        <f t="shared" si="4"/>
        <v>24.92</v>
      </c>
      <c r="G32" s="61">
        <f>IF(D32=D31,"",_xlfn.IFNA(VLOOKUP(D32,'인원 입력 기능(사과탐)'!$A$5:$D$59,4,FALSE),0))</f>
        <v>576</v>
      </c>
      <c r="H32" s="62">
        <f t="shared" si="1"/>
        <v>1.3917077413743114E-2</v>
      </c>
      <c r="I32" s="72">
        <f>SUM($G$7:G32)</f>
        <v>31361</v>
      </c>
      <c r="J32" s="64">
        <f t="shared" si="5"/>
        <v>0.7577317096743017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43</v>
      </c>
      <c r="E33" s="74">
        <f t="shared" si="0"/>
        <v>6</v>
      </c>
      <c r="F33" s="60">
        <f t="shared" si="4"/>
        <v>23.54</v>
      </c>
      <c r="G33" s="61">
        <f>IF(D33=D32,"",_xlfn.IFNA(VLOOKUP(D33,'인원 입력 기능(사과탐)'!$A$5:$D$59,4,FALSE),0))</f>
        <v>572</v>
      </c>
      <c r="H33" s="62">
        <f t="shared" si="1"/>
        <v>1.3820431042814342E-2</v>
      </c>
      <c r="I33" s="72">
        <f>SUM($G$7:G33)</f>
        <v>31933</v>
      </c>
      <c r="J33" s="64">
        <f t="shared" si="5"/>
        <v>0.77155214071711609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42</v>
      </c>
      <c r="E34" s="74">
        <f t="shared" si="0"/>
        <v>7</v>
      </c>
      <c r="F34" s="60">
        <f t="shared" si="4"/>
        <v>22.34</v>
      </c>
      <c r="G34" s="61">
        <f>IF(D34=D33,"",_xlfn.IFNA(VLOOKUP(D34,'인원 입력 기능(사과탐)'!$A$5:$D$59,4,FALSE),0))</f>
        <v>421</v>
      </c>
      <c r="H34" s="62">
        <f t="shared" si="1"/>
        <v>1.0172030540253214E-2</v>
      </c>
      <c r="I34" s="72">
        <f>SUM($G$7:G34)</f>
        <v>32354</v>
      </c>
      <c r="J34" s="64">
        <f t="shared" si="5"/>
        <v>0.78172417125736926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41</v>
      </c>
      <c r="E35" s="74">
        <f t="shared" si="0"/>
        <v>7</v>
      </c>
      <c r="F35" s="60">
        <f t="shared" si="4"/>
        <v>21.23</v>
      </c>
      <c r="G35" s="61">
        <f>IF(D35=D34,"",_xlfn.IFNA(VLOOKUP(D35,'인원 입력 기능(사과탐)'!$A$5:$D$59,4,FALSE),0))</f>
        <v>492</v>
      </c>
      <c r="H35" s="62">
        <f t="shared" si="1"/>
        <v>1.1887503624238909E-2</v>
      </c>
      <c r="I35" s="72">
        <f>SUM($G$7:G35)</f>
        <v>32846</v>
      </c>
      <c r="J35" s="64">
        <f t="shared" si="5"/>
        <v>0.79361167488160822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174">
        <f t="shared" si="3"/>
        <v>40</v>
      </c>
      <c r="E36" s="174">
        <f t="shared" si="0"/>
        <v>7</v>
      </c>
      <c r="F36" s="176">
        <f t="shared" si="4"/>
        <v>19.59</v>
      </c>
      <c r="G36" s="178">
        <f>IF(D36=D35,"",_xlfn.IFNA(VLOOKUP(D36,'인원 입력 기능(사과탐)'!$A$5:$D$59,4,FALSE),0))</f>
        <v>867</v>
      </c>
      <c r="H36" s="180">
        <f t="shared" si="1"/>
        <v>2.0948100898811248E-2</v>
      </c>
      <c r="I36" s="191">
        <f>SUM($G$7:G36)</f>
        <v>33713</v>
      </c>
      <c r="J36" s="170">
        <f t="shared" si="5"/>
        <v>0.81455977578041949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175"/>
      <c r="E37" s="175"/>
      <c r="F37" s="177"/>
      <c r="G37" s="179"/>
      <c r="H37" s="181"/>
      <c r="I37" s="192"/>
      <c r="J37" s="171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39</v>
      </c>
      <c r="E38" s="74">
        <f t="shared" si="0"/>
        <v>7</v>
      </c>
      <c r="F38" s="60">
        <f t="shared" si="4"/>
        <v>18.079999999999998</v>
      </c>
      <c r="G38" s="61">
        <f>IF(D38=D37,"",_xlfn.IFNA(VLOOKUP(D38,'인원 입력 기능(사과탐)'!$A$5:$D$59,4,FALSE),0))</f>
        <v>385</v>
      </c>
      <c r="H38" s="62">
        <f t="shared" si="1"/>
        <v>9.3022132018942688E-3</v>
      </c>
      <c r="I38" s="72">
        <f>SUM($G$7:G38)</f>
        <v>34098</v>
      </c>
      <c r="J38" s="64">
        <f t="shared" si="5"/>
        <v>0.82386198898231366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38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17.12</v>
      </c>
      <c r="G39" s="61">
        <f>IF(D39=D38,"",_xlfn.IFNA(VLOOKUP(D39,'인원 입력 기능(사과탐)'!$A$5:$D$59,4,FALSE),0))</f>
        <v>411</v>
      </c>
      <c r="H39" s="62">
        <f t="shared" si="1"/>
        <v>9.9304146129312841E-3</v>
      </c>
      <c r="I39" s="72">
        <f>SUM($G$7:G39)</f>
        <v>34509</v>
      </c>
      <c r="J39" s="64">
        <f t="shared" si="5"/>
        <v>0.83379240359524498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37</v>
      </c>
      <c r="E40" s="74">
        <f t="shared" si="6"/>
        <v>7</v>
      </c>
      <c r="F40" s="60">
        <f t="shared" si="4"/>
        <v>16.13</v>
      </c>
      <c r="G40" s="61">
        <f>IF(D40=D39,"",_xlfn.IFNA(VLOOKUP(D40,'인원 입력 기능(사과탐)'!$A$5:$D$59,4,FALSE),0))</f>
        <v>410</v>
      </c>
      <c r="H40" s="62">
        <f t="shared" si="1"/>
        <v>9.9062530201990909E-3</v>
      </c>
      <c r="I40" s="72">
        <f>SUM($G$7:G40)</f>
        <v>34919</v>
      </c>
      <c r="J40" s="64">
        <f t="shared" si="5"/>
        <v>0.84369865661544408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174">
        <f t="shared" si="3"/>
        <v>36</v>
      </c>
      <c r="E41" s="174">
        <f t="shared" si="6"/>
        <v>7</v>
      </c>
      <c r="F41" s="176">
        <f t="shared" si="4"/>
        <v>14.59</v>
      </c>
      <c r="G41" s="178">
        <f>IF(D41=D40,"",_xlfn.IFNA(VLOOKUP(D41,'인원 입력 기능(사과탐)'!$A$5:$D$59,4,FALSE),0))</f>
        <v>862</v>
      </c>
      <c r="H41" s="180">
        <f t="shared" si="1"/>
        <v>2.0827292935150284E-2</v>
      </c>
      <c r="I41" s="191">
        <f>SUM($G$7:G41)</f>
        <v>35781</v>
      </c>
      <c r="J41" s="170">
        <f t="shared" si="5"/>
        <v>0.86452594955059436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175"/>
      <c r="E42" s="175"/>
      <c r="F42" s="177"/>
      <c r="G42" s="179"/>
      <c r="H42" s="181"/>
      <c r="I42" s="192"/>
      <c r="J42" s="171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35</v>
      </c>
      <c r="E43" s="74">
        <f t="shared" si="6"/>
        <v>7</v>
      </c>
      <c r="F43" s="60">
        <f t="shared" si="4"/>
        <v>12.97</v>
      </c>
      <c r="G43" s="61">
        <f>IF(D43=D42,"",_xlfn.IFNA(VLOOKUP(D43,'인원 입력 기능(사과탐)'!$A$5:$D$59,4,FALSE),0))</f>
        <v>482</v>
      </c>
      <c r="H43" s="62">
        <f t="shared" si="1"/>
        <v>1.1645887696916981E-2</v>
      </c>
      <c r="I43" s="72">
        <f>SUM($G$7:G43)</f>
        <v>36263</v>
      </c>
      <c r="J43" s="64">
        <f t="shared" si="5"/>
        <v>0.87617183724751135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34</v>
      </c>
      <c r="E44" s="74">
        <f t="shared" si="6"/>
        <v>7</v>
      </c>
      <c r="F44" s="60">
        <f t="shared" si="4"/>
        <v>11.81</v>
      </c>
      <c r="G44" s="61">
        <f>IF(D44=D43,"",_xlfn.IFNA(VLOOKUP(D44,'인원 입력 기능(사과탐)'!$A$5:$D$59,4,FALSE),0))</f>
        <v>474</v>
      </c>
      <c r="H44" s="62">
        <f t="shared" si="1"/>
        <v>1.1452594955059438E-2</v>
      </c>
      <c r="I44" s="72">
        <f>SUM($G$7:G44)</f>
        <v>36737</v>
      </c>
      <c r="J44" s="64">
        <f t="shared" si="5"/>
        <v>0.88762443220257081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33</v>
      </c>
      <c r="E45" s="74">
        <f t="shared" si="6"/>
        <v>7</v>
      </c>
      <c r="F45" s="60">
        <f t="shared" si="4"/>
        <v>10.26</v>
      </c>
      <c r="G45" s="61">
        <f>IF(D45=D44,"",_xlfn.IFNA(VLOOKUP(D45,'인원 입력 기능(사과탐)'!$A$5:$D$59,4,FALSE),0))</f>
        <v>811</v>
      </c>
      <c r="H45" s="62">
        <f t="shared" si="1"/>
        <v>1.9595051705808449E-2</v>
      </c>
      <c r="I45" s="72">
        <f>SUM($G$7:G45)</f>
        <v>37548</v>
      </c>
      <c r="J45" s="64">
        <f t="shared" si="5"/>
        <v>0.90721948390837925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32</v>
      </c>
      <c r="E46" s="74">
        <f t="shared" si="6"/>
        <v>8</v>
      </c>
      <c r="F46" s="60">
        <f t="shared" si="4"/>
        <v>8.65</v>
      </c>
      <c r="G46" s="61">
        <f>IF(D46=D45,"",_xlfn.IFNA(VLOOKUP(D46,'인원 입력 기능(사과탐)'!$A$5:$D$59,4,FALSE),0))</f>
        <v>517</v>
      </c>
      <c r="H46" s="62">
        <f t="shared" si="1"/>
        <v>1.2491543442543733E-2</v>
      </c>
      <c r="I46" s="72">
        <f>SUM($G$7:G46)</f>
        <v>38065</v>
      </c>
      <c r="J46" s="64">
        <f t="shared" si="5"/>
        <v>0.91971102735092303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174">
        <f t="shared" si="3"/>
        <v>31</v>
      </c>
      <c r="E47" s="174">
        <f t="shared" si="6"/>
        <v>8</v>
      </c>
      <c r="F47" s="176">
        <f t="shared" si="4"/>
        <v>5.7</v>
      </c>
      <c r="G47" s="178">
        <f>IF(D47=D46,"",_xlfn.IFNA(VLOOKUP(D47,'인원 입력 기능(사과탐)'!$A$5:$D$59,4,FALSE),0))</f>
        <v>1926</v>
      </c>
      <c r="H47" s="180">
        <f t="shared" si="1"/>
        <v>4.6535227602203535E-2</v>
      </c>
      <c r="I47" s="191">
        <f>SUM($G$7:G47)</f>
        <v>39991</v>
      </c>
      <c r="J47" s="170">
        <f t="shared" si="5"/>
        <v>0.96624625495312655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175"/>
      <c r="E48" s="175"/>
      <c r="F48" s="177"/>
      <c r="G48" s="179"/>
      <c r="H48" s="181"/>
      <c r="I48" s="192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30</v>
      </c>
      <c r="E49" s="74">
        <f t="shared" si="6"/>
        <v>9</v>
      </c>
      <c r="F49" s="60">
        <f t="shared" si="4"/>
        <v>2.96</v>
      </c>
      <c r="G49" s="61">
        <f>IF(D49=D48,"",_xlfn.IFNA(VLOOKUP(D49,'인원 입력 기능(사과탐)'!$A$5:$D$59,4,FALSE),0))</f>
        <v>340</v>
      </c>
      <c r="H49" s="62">
        <f t="shared" si="1"/>
        <v>8.2149415289455886E-3</v>
      </c>
      <c r="I49" s="72">
        <f>SUM($G$7:G49)</f>
        <v>40331</v>
      </c>
      <c r="J49" s="64">
        <f t="shared" si="5"/>
        <v>0.97446119648207208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29</v>
      </c>
      <c r="E50" s="74">
        <f t="shared" si="6"/>
        <v>9</v>
      </c>
      <c r="F50" s="60">
        <f t="shared" si="4"/>
        <v>2.2000000000000002</v>
      </c>
      <c r="G50" s="61">
        <f>IF(D50=D49,"",_xlfn.IFNA(VLOOKUP(D50,'인원 입력 기능(사과탐)'!$A$5:$D$59,4,FALSE),0))</f>
        <v>293</v>
      </c>
      <c r="H50" s="62">
        <f t="shared" si="1"/>
        <v>7.0793466705325213E-3</v>
      </c>
      <c r="I50" s="72">
        <f>SUM($G$7:G50)</f>
        <v>40624</v>
      </c>
      <c r="J50" s="64">
        <f t="shared" si="5"/>
        <v>0.98154054315260464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28</v>
      </c>
      <c r="E51" s="74">
        <f t="shared" si="6"/>
        <v>9</v>
      </c>
      <c r="F51" s="60">
        <f t="shared" si="4"/>
        <v>1.6</v>
      </c>
      <c r="G51" s="61">
        <f>IF(D51=D50,"",_xlfn.IFNA(VLOOKUP(D51,'인원 입력 기능(사과탐)'!$A$5:$D$59,4,FALSE),0))</f>
        <v>201</v>
      </c>
      <c r="H51" s="62">
        <f t="shared" si="1"/>
        <v>4.8564801391707746E-3</v>
      </c>
      <c r="I51" s="72">
        <f>SUM($G$7:G51)</f>
        <v>40825</v>
      </c>
      <c r="J51" s="64">
        <f t="shared" si="5"/>
        <v>0.98639702329177537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27</v>
      </c>
      <c r="E52" s="74">
        <f t="shared" si="6"/>
        <v>9</v>
      </c>
      <c r="F52" s="60">
        <f t="shared" si="4"/>
        <v>1.07</v>
      </c>
      <c r="G52" s="61">
        <f>IF(D52=D51,"",_xlfn.IFNA(VLOOKUP(D52,'인원 입력 기능(사과탐)'!$A$5:$D$59,4,FALSE),0))</f>
        <v>241</v>
      </c>
      <c r="H52" s="62">
        <f t="shared" si="1"/>
        <v>5.8229438484584907E-3</v>
      </c>
      <c r="I52" s="72">
        <f>SUM($G$7:G52)</f>
        <v>41066</v>
      </c>
      <c r="J52" s="64">
        <f t="shared" si="5"/>
        <v>0.99221996714023386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172">
        <f t="shared" si="3"/>
        <v>26</v>
      </c>
      <c r="E53" s="172">
        <f t="shared" si="6"/>
        <v>9</v>
      </c>
      <c r="F53" s="176">
        <f t="shared" si="4"/>
        <v>0.56000000000000005</v>
      </c>
      <c r="G53" s="178">
        <f>IF(D53=D52,"",_xlfn.IFNA(VLOOKUP(D53,'인원 입력 기능(사과탐)'!$A$5:$D$59,4,FALSE),0))</f>
        <v>181</v>
      </c>
      <c r="H53" s="180">
        <f t="shared" si="1"/>
        <v>4.3732482845269156E-3</v>
      </c>
      <c r="I53" s="191">
        <f>SUM($G$7:G53)</f>
        <v>41247</v>
      </c>
      <c r="J53" s="170">
        <f t="shared" si="5"/>
        <v>0.99659321542476076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173"/>
      <c r="E54" s="173"/>
      <c r="F54" s="177"/>
      <c r="G54" s="179"/>
      <c r="H54" s="181"/>
      <c r="I54" s="192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25</v>
      </c>
      <c r="E55" s="59">
        <f t="shared" si="6"/>
        <v>9</v>
      </c>
      <c r="F55" s="60">
        <f t="shared" si="4"/>
        <v>0.21</v>
      </c>
      <c r="G55" s="61">
        <f>IF(D55=D54,"",_xlfn.IFNA(VLOOKUP(D55,'인원 입력 기능(사과탐)'!$A$5:$D$59,4,FALSE),0))</f>
        <v>109</v>
      </c>
      <c r="H55" s="62">
        <f t="shared" si="1"/>
        <v>2.6336136078090266E-3</v>
      </c>
      <c r="I55" s="72">
        <f>SUM($G$7:G55)</f>
        <v>41356</v>
      </c>
      <c r="J55" s="64">
        <f t="shared" si="5"/>
        <v>0.99922682903256987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23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기능(사과탐)'!$A$5:$D$59,4,FALSE),0)</f>
        <v>32</v>
      </c>
      <c r="H57" s="81">
        <f>G57/$J$3</f>
        <v>7.7317096743017297E-4</v>
      </c>
      <c r="I57" s="82">
        <f>SUM($G$7:G57)</f>
        <v>41388</v>
      </c>
      <c r="J57" s="114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  <mergeCell ref="I19:I20"/>
    <mergeCell ref="J19:J20"/>
    <mergeCell ref="D24:D25"/>
    <mergeCell ref="E24:E25"/>
    <mergeCell ref="F24:F25"/>
    <mergeCell ref="G24:G25"/>
    <mergeCell ref="H24:H25"/>
    <mergeCell ref="I24:I25"/>
    <mergeCell ref="J24:J25"/>
    <mergeCell ref="D19:D20"/>
    <mergeCell ref="E19:E20"/>
    <mergeCell ref="F19:F20"/>
    <mergeCell ref="G19:G20"/>
    <mergeCell ref="H19:H20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I41:I42"/>
    <mergeCell ref="J41:J42"/>
    <mergeCell ref="D47:D48"/>
    <mergeCell ref="E47:E48"/>
    <mergeCell ref="F47:F48"/>
    <mergeCell ref="G47:G48"/>
    <mergeCell ref="H47:H48"/>
    <mergeCell ref="I47:I48"/>
    <mergeCell ref="J47:J48"/>
    <mergeCell ref="D41:D42"/>
    <mergeCell ref="E41:E42"/>
    <mergeCell ref="F41:F42"/>
    <mergeCell ref="G41:G42"/>
    <mergeCell ref="H41:H42"/>
    <mergeCell ref="I53:I54"/>
    <mergeCell ref="J53:J54"/>
    <mergeCell ref="D53:D54"/>
    <mergeCell ref="E53:E54"/>
    <mergeCell ref="F53:F54"/>
    <mergeCell ref="G53:G54"/>
    <mergeCell ref="H53:H54"/>
  </mergeCells>
  <phoneticPr fontId="1" type="noConversion"/>
  <conditionalFormatting sqref="D7:J13 D15:J19 D21:J24 D26:J30 D32:J36 D38:J41 D43:J47 D49:J53 D55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13 D15:D19 D21:D24 D26:D30 D32:D36 D38:D41 D43:D47 D49:D53 D55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topLeftCell="A51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기능'!D9</f>
        <v>32.28</v>
      </c>
      <c r="I3" s="21" t="s">
        <v>70</v>
      </c>
      <c r="J3" s="50">
        <f>'통계 및 응시자 수 입력 기능'!C9</f>
        <v>28094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103</v>
      </c>
      <c r="E4" s="186"/>
      <c r="F4" s="187"/>
      <c r="G4" s="52" t="s">
        <v>73</v>
      </c>
      <c r="H4" s="53" t="str">
        <f>'통계 및 응시자 수 입력 기능'!E9</f>
        <v>12.90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64</v>
      </c>
      <c r="E7" s="59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97.13</v>
      </c>
      <c r="G7" s="61">
        <f>_xlfn.IFNA(VLOOKUP(D7,'인원 입력 기능(사과탐)'!$F$5:$I$59,4,FALSE),0)</f>
        <v>1610</v>
      </c>
      <c r="H7" s="62">
        <f>G7/$J$3</f>
        <v>5.7307610165871714E-2</v>
      </c>
      <c r="I7" s="63">
        <f>G7</f>
        <v>1610</v>
      </c>
      <c r="J7" s="64">
        <f>I7/$J$3</f>
        <v>5.7307610165871714E-2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64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기능'!C50</f>
        <v>61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62</v>
      </c>
      <c r="E9" s="59">
        <f t="shared" si="0"/>
        <v>2</v>
      </c>
      <c r="F9" s="60">
        <f>IF(I8=0,ROUND(100*(1-(I7+I9)/2/$J$3),2),ROUND(100*(1-(I8+I9)/2/$J$3),2))</f>
        <v>93.02</v>
      </c>
      <c r="G9" s="61">
        <f>_xlfn.IFNA(VLOOKUP(D9,'인원 입력 기능(사과탐)'!$F$5:$I$59,4,FALSE),0)</f>
        <v>700</v>
      </c>
      <c r="H9" s="62">
        <f t="shared" ref="H9:H54" si="1">G9/$J$3</f>
        <v>2.4916352246031181E-2</v>
      </c>
      <c r="I9" s="72">
        <f>SUM($G$7:G9)</f>
        <v>2310</v>
      </c>
      <c r="J9" s="64">
        <f>I9/$J$3</f>
        <v>8.2223962411902898E-2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59</v>
      </c>
    </row>
    <row r="10" spans="1:17" s="22" customFormat="1" ht="25" customHeight="1" x14ac:dyDescent="0.45">
      <c r="A10" s="20"/>
      <c r="B10" s="35"/>
      <c r="C10" s="65">
        <v>47</v>
      </c>
      <c r="D10" s="172">
        <f t="shared" ref="D10:D54" si="3">ROUND(10*(C10-$H$3)/$H$4+50,0)</f>
        <v>61</v>
      </c>
      <c r="E10" s="172">
        <f t="shared" si="0"/>
        <v>2</v>
      </c>
      <c r="F10" s="176">
        <f t="shared" ref="F10:F54" si="4">IF(I9=0,ROUND(100*(1-(I8+I10)/2/$J$3),2),ROUND(100*(1-(I9+I10)/2/$J$3),2))</f>
        <v>88.33</v>
      </c>
      <c r="G10" s="178">
        <f>IF(D10=D9,"",_xlfn.IFNA(VLOOKUP(D10,'인원 입력 기능(사과탐)'!$F$5:$I$59,4,FALSE),0))</f>
        <v>1938</v>
      </c>
      <c r="H10" s="180">
        <f t="shared" si="1"/>
        <v>6.8982700932583477E-2</v>
      </c>
      <c r="I10" s="191">
        <f>SUM($G$7:G10)</f>
        <v>4248</v>
      </c>
      <c r="J10" s="170">
        <f t="shared" ref="J10:J54" si="5">I10/$J$3</f>
        <v>0.15120666334448638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55</v>
      </c>
    </row>
    <row r="11" spans="1:17" s="22" customFormat="1" ht="25" customHeight="1" x14ac:dyDescent="0.45">
      <c r="A11" s="20"/>
      <c r="B11" s="35"/>
      <c r="C11" s="58">
        <v>46</v>
      </c>
      <c r="D11" s="173"/>
      <c r="E11" s="173"/>
      <c r="F11" s="177"/>
      <c r="G11" s="179"/>
      <c r="H11" s="181"/>
      <c r="I11" s="192"/>
      <c r="J11" s="171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기능'!C53</f>
        <v>49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60</v>
      </c>
      <c r="E12" s="59">
        <f t="shared" si="0"/>
        <v>3</v>
      </c>
      <c r="F12" s="60">
        <f t="shared" si="4"/>
        <v>82.56</v>
      </c>
      <c r="G12" s="61">
        <f>IF(D12=D11,"",_xlfn.IFNA(VLOOKUP(D12,'인원 입력 기능(사과탐)'!$F$5:$I$59,4,FALSE),0))</f>
        <v>1305</v>
      </c>
      <c r="H12" s="62">
        <f t="shared" si="1"/>
        <v>4.6451199544386701E-2</v>
      </c>
      <c r="I12" s="72">
        <f>SUM($G$7:G12)</f>
        <v>5553</v>
      </c>
      <c r="J12" s="64">
        <f t="shared" si="5"/>
        <v>0.19765786288887308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59</v>
      </c>
      <c r="E13" s="59">
        <f t="shared" si="0"/>
        <v>3</v>
      </c>
      <c r="F13" s="60">
        <f t="shared" si="4"/>
        <v>77.819999999999993</v>
      </c>
      <c r="G13" s="61">
        <f>IF(D13=D12,"",_xlfn.IFNA(VLOOKUP(D13,'인원 입력 기능(사과탐)'!$F$5:$I$59,4,FALSE),0))</f>
        <v>1355</v>
      </c>
      <c r="H13" s="62">
        <f t="shared" si="1"/>
        <v>4.823093899053179E-2</v>
      </c>
      <c r="I13" s="72">
        <f>SUM($G$7:G13)</f>
        <v>6908</v>
      </c>
      <c r="J13" s="64">
        <f t="shared" si="5"/>
        <v>0.24588880187940484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34</v>
      </c>
    </row>
    <row r="14" spans="1:17" s="22" customFormat="1" ht="25" customHeight="1" x14ac:dyDescent="0.45">
      <c r="A14" s="20"/>
      <c r="B14" s="35"/>
      <c r="C14" s="65">
        <v>43</v>
      </c>
      <c r="D14" s="172">
        <f t="shared" si="3"/>
        <v>58</v>
      </c>
      <c r="E14" s="172">
        <f t="shared" si="0"/>
        <v>4</v>
      </c>
      <c r="F14" s="176">
        <f t="shared" si="4"/>
        <v>72.14</v>
      </c>
      <c r="G14" s="178">
        <f>IF(D14=D13,"",_xlfn.IFNA(VLOOKUP(D14,'인원 입력 기능(사과탐)'!$F$5:$I$59,4,FALSE),0))</f>
        <v>1840</v>
      </c>
      <c r="H14" s="180">
        <f t="shared" si="1"/>
        <v>6.5494411618139098E-2</v>
      </c>
      <c r="I14" s="191">
        <f>SUM($G$7:G14)</f>
        <v>8748</v>
      </c>
      <c r="J14" s="170">
        <f t="shared" si="5"/>
        <v>0.31138321349754394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32</v>
      </c>
    </row>
    <row r="15" spans="1:17" s="22" customFormat="1" ht="25" customHeight="1" x14ac:dyDescent="0.45">
      <c r="A15" s="20"/>
      <c r="B15" s="35"/>
      <c r="C15" s="58">
        <v>42</v>
      </c>
      <c r="D15" s="173"/>
      <c r="E15" s="173"/>
      <c r="F15" s="177"/>
      <c r="G15" s="179"/>
      <c r="H15" s="181"/>
      <c r="I15" s="192"/>
      <c r="J15" s="171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57</v>
      </c>
      <c r="E16" s="59">
        <f t="shared" si="0"/>
        <v>4</v>
      </c>
      <c r="F16" s="60">
        <f t="shared" si="4"/>
        <v>67.27</v>
      </c>
      <c r="G16" s="61">
        <f>IF(D16=D15,"",_xlfn.IFNA(VLOOKUP(D16,'인원 입력 기능(사과탐)'!$F$5:$I$59,4,FALSE),0))</f>
        <v>895</v>
      </c>
      <c r="H16" s="62">
        <f t="shared" si="1"/>
        <v>3.1857336085997008E-2</v>
      </c>
      <c r="I16" s="72">
        <f>SUM($G$7:G16)</f>
        <v>9643</v>
      </c>
      <c r="J16" s="64">
        <f t="shared" si="5"/>
        <v>0.34324054958354094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56</v>
      </c>
      <c r="E17" s="59">
        <f t="shared" si="0"/>
        <v>4</v>
      </c>
      <c r="F17" s="60">
        <f t="shared" si="4"/>
        <v>64.430000000000007</v>
      </c>
      <c r="G17" s="61">
        <f>IF(D17=D16,"",_xlfn.IFNA(VLOOKUP(D17,'인원 입력 기능(사과탐)'!$F$5:$I$59,4,FALSE),0))</f>
        <v>701</v>
      </c>
      <c r="H17" s="62">
        <f t="shared" si="1"/>
        <v>2.4951947034954083E-2</v>
      </c>
      <c r="I17" s="72">
        <f>SUM($G$7:G17)</f>
        <v>10344</v>
      </c>
      <c r="J17" s="64">
        <f t="shared" si="5"/>
        <v>0.36819249661849507</v>
      </c>
      <c r="K17" s="36"/>
      <c r="L17" s="20" t="str">
        <f t="shared" si="2"/>
        <v/>
      </c>
      <c r="N17" s="24"/>
      <c r="Q17" s="24">
        <f>Q7*H3*H4*J3*IFERROR(IF(J57=1, 1, 0), 0)</f>
        <v>748715438.59200001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55</v>
      </c>
      <c r="E18" s="59">
        <f t="shared" si="0"/>
        <v>4</v>
      </c>
      <c r="F18" s="60">
        <f t="shared" si="4"/>
        <v>61.07</v>
      </c>
      <c r="G18" s="61">
        <f>IF(D18=D17,"",_xlfn.IFNA(VLOOKUP(D18,'인원 입력 기능(사과탐)'!$F$5:$I$59,4,FALSE),0))</f>
        <v>1188</v>
      </c>
      <c r="H18" s="62">
        <f t="shared" si="1"/>
        <v>4.2286609240407204E-2</v>
      </c>
      <c r="I18" s="72">
        <f>SUM($G$7:G18)</f>
        <v>11532</v>
      </c>
      <c r="J18" s="64">
        <f t="shared" si="5"/>
        <v>0.41047910585890224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172">
        <f t="shared" si="3"/>
        <v>54</v>
      </c>
      <c r="E19" s="172">
        <f t="shared" si="0"/>
        <v>5</v>
      </c>
      <c r="F19" s="176">
        <f t="shared" si="4"/>
        <v>56.21</v>
      </c>
      <c r="G19" s="178">
        <f>IF(D19=D18,"",_xlfn.IFNA(VLOOKUP(D19,'인원 입력 기능(사과탐)'!$F$5:$I$59,4,FALSE),0))</f>
        <v>1543</v>
      </c>
      <c r="H19" s="180">
        <f t="shared" si="1"/>
        <v>5.4922759308037306E-2</v>
      </c>
      <c r="I19" s="191">
        <f>SUM($G$7:G19)</f>
        <v>13075</v>
      </c>
      <c r="J19" s="170">
        <f t="shared" si="5"/>
        <v>0.46540186516693954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173"/>
      <c r="E20" s="173"/>
      <c r="F20" s="177"/>
      <c r="G20" s="179"/>
      <c r="H20" s="181"/>
      <c r="I20" s="192"/>
      <c r="J20" s="171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53</v>
      </c>
      <c r="E21" s="74">
        <f t="shared" si="0"/>
        <v>5</v>
      </c>
      <c r="F21" s="60">
        <f t="shared" si="4"/>
        <v>51.96</v>
      </c>
      <c r="G21" s="61">
        <f>IF(D21=D20,"",_xlfn.IFNA(VLOOKUP(D21,'인원 입력 기능(사과탐)'!$F$5:$I$59,4,FALSE),0))</f>
        <v>840</v>
      </c>
      <c r="H21" s="62">
        <f t="shared" si="1"/>
        <v>2.9899622695237417E-2</v>
      </c>
      <c r="I21" s="72">
        <f>SUM($G$7:G21)</f>
        <v>13915</v>
      </c>
      <c r="J21" s="64">
        <f t="shared" si="5"/>
        <v>0.49530148786217698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52</v>
      </c>
      <c r="E22" s="74">
        <f t="shared" si="0"/>
        <v>5</v>
      </c>
      <c r="F22" s="60">
        <f t="shared" si="4"/>
        <v>49.41</v>
      </c>
      <c r="G22" s="61">
        <f>IF(D22=D21,"",_xlfn.IFNA(VLOOKUP(D22,'인원 입력 기능(사과탐)'!$F$5:$I$59,4,FALSE),0))</f>
        <v>594</v>
      </c>
      <c r="H22" s="62">
        <f t="shared" si="1"/>
        <v>2.1143304620203602E-2</v>
      </c>
      <c r="I22" s="72">
        <f>SUM($G$7:G22)</f>
        <v>14509</v>
      </c>
      <c r="J22" s="64">
        <f t="shared" si="5"/>
        <v>0.51644479248238062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174">
        <f t="shared" si="3"/>
        <v>51</v>
      </c>
      <c r="E23" s="174">
        <f t="shared" si="0"/>
        <v>5</v>
      </c>
      <c r="F23" s="176">
        <f t="shared" si="4"/>
        <v>45.82</v>
      </c>
      <c r="G23" s="178">
        <f>IF(D23=D22,"",_xlfn.IFNA(VLOOKUP(D23,'인원 입력 기능(사과탐)'!$F$5:$I$59,4,FALSE),0))</f>
        <v>1424</v>
      </c>
      <c r="H23" s="180">
        <f t="shared" si="1"/>
        <v>5.0686979426212003E-2</v>
      </c>
      <c r="I23" s="191">
        <f>SUM($G$7:G23)</f>
        <v>15933</v>
      </c>
      <c r="J23" s="170">
        <f t="shared" si="5"/>
        <v>0.56713177190859254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175"/>
      <c r="E24" s="175"/>
      <c r="F24" s="177"/>
      <c r="G24" s="179"/>
      <c r="H24" s="181"/>
      <c r="I24" s="192"/>
      <c r="J24" s="17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50</v>
      </c>
      <c r="E25" s="74">
        <f t="shared" si="0"/>
        <v>5</v>
      </c>
      <c r="F25" s="60">
        <f t="shared" si="4"/>
        <v>42.24</v>
      </c>
      <c r="G25" s="61">
        <f>IF(D25=D24,"",_xlfn.IFNA(VLOOKUP(D25,'인원 입력 기능(사과탐)'!$F$5:$I$59,4,FALSE),0))</f>
        <v>589</v>
      </c>
      <c r="H25" s="62">
        <f t="shared" si="1"/>
        <v>2.0965330675589092E-2</v>
      </c>
      <c r="I25" s="72">
        <f>SUM($G$7:G25)</f>
        <v>16522</v>
      </c>
      <c r="J25" s="64">
        <f t="shared" si="5"/>
        <v>0.58809710258418169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49</v>
      </c>
      <c r="E26" s="74">
        <f t="shared" si="0"/>
        <v>5</v>
      </c>
      <c r="F26" s="60">
        <f t="shared" si="4"/>
        <v>40.04</v>
      </c>
      <c r="G26" s="61">
        <f>IF(D26=D25,"",_xlfn.IFNA(VLOOKUP(D26,'인원 입력 기능(사과탐)'!$F$5:$I$59,4,FALSE),0))</f>
        <v>648</v>
      </c>
      <c r="H26" s="62">
        <f t="shared" si="1"/>
        <v>2.3065423222040294E-2</v>
      </c>
      <c r="I26" s="72">
        <f>SUM($G$7:G26)</f>
        <v>17170</v>
      </c>
      <c r="J26" s="64">
        <f t="shared" si="5"/>
        <v>0.61116252580622199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48</v>
      </c>
      <c r="E27" s="74">
        <f t="shared" si="0"/>
        <v>6</v>
      </c>
      <c r="F27" s="60">
        <f t="shared" si="4"/>
        <v>37.950000000000003</v>
      </c>
      <c r="G27" s="61">
        <f>IF(D27=D26,"",_xlfn.IFNA(VLOOKUP(D27,'인원 입력 기능(사과탐)'!$F$5:$I$59,4,FALSE),0))</f>
        <v>523</v>
      </c>
      <c r="H27" s="62">
        <f t="shared" si="1"/>
        <v>1.8616074606677583E-2</v>
      </c>
      <c r="I27" s="72">
        <f>SUM($G$7:G27)</f>
        <v>17693</v>
      </c>
      <c r="J27" s="64">
        <f t="shared" si="5"/>
        <v>0.62977860041289957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174">
        <f t="shared" si="3"/>
        <v>47</v>
      </c>
      <c r="E28" s="174">
        <f t="shared" si="0"/>
        <v>6</v>
      </c>
      <c r="F28" s="176">
        <f t="shared" si="4"/>
        <v>35.06</v>
      </c>
      <c r="G28" s="178">
        <f>IF(D28=D27,"",_xlfn.IFNA(VLOOKUP(D28,'인원 입력 기능(사과탐)'!$F$5:$I$59,4,FALSE),0))</f>
        <v>1100</v>
      </c>
      <c r="H28" s="180">
        <f t="shared" si="1"/>
        <v>3.9154267815191858E-2</v>
      </c>
      <c r="I28" s="191">
        <f>SUM($G$7:G28)</f>
        <v>18793</v>
      </c>
      <c r="J28" s="170">
        <f t="shared" si="5"/>
        <v>0.66893286822809139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175"/>
      <c r="E29" s="175"/>
      <c r="F29" s="177"/>
      <c r="G29" s="179"/>
      <c r="H29" s="181"/>
      <c r="I29" s="192"/>
      <c r="J29" s="171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46</v>
      </c>
      <c r="E30" s="74">
        <f t="shared" si="0"/>
        <v>6</v>
      </c>
      <c r="F30" s="60">
        <f t="shared" si="4"/>
        <v>32.35</v>
      </c>
      <c r="G30" s="61">
        <f>IF(D30=D29,"",_xlfn.IFNA(VLOOKUP(D30,'인원 입력 기능(사과탐)'!$F$5:$I$59,4,FALSE),0))</f>
        <v>423</v>
      </c>
      <c r="H30" s="62">
        <f t="shared" si="1"/>
        <v>1.5056595714387413E-2</v>
      </c>
      <c r="I30" s="72">
        <f>SUM($G$7:G30)</f>
        <v>19216</v>
      </c>
      <c r="J30" s="64">
        <f t="shared" si="5"/>
        <v>0.68398946394247884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45</v>
      </c>
      <c r="E31" s="74">
        <f t="shared" si="0"/>
        <v>6</v>
      </c>
      <c r="F31" s="60">
        <f t="shared" si="4"/>
        <v>30.58</v>
      </c>
      <c r="G31" s="61">
        <f>IF(D31=D30,"",_xlfn.IFNA(VLOOKUP(D31,'인원 입력 기능(사과탐)'!$F$5:$I$59,4,FALSE),0))</f>
        <v>573</v>
      </c>
      <c r="H31" s="62">
        <f t="shared" si="1"/>
        <v>2.0395814052822668E-2</v>
      </c>
      <c r="I31" s="72">
        <f>SUM($G$7:G31)</f>
        <v>19789</v>
      </c>
      <c r="J31" s="64">
        <f t="shared" si="5"/>
        <v>0.70438527799530148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174">
        <f t="shared" si="3"/>
        <v>44</v>
      </c>
      <c r="E32" s="174">
        <f t="shared" si="0"/>
        <v>6</v>
      </c>
      <c r="F32" s="176">
        <f t="shared" si="4"/>
        <v>28.07</v>
      </c>
      <c r="G32" s="178">
        <f>IF(D32=D31,"",_xlfn.IFNA(VLOOKUP(D32,'인원 입력 기능(사과탐)'!$F$5:$I$59,4,FALSE),0))</f>
        <v>840</v>
      </c>
      <c r="H32" s="180">
        <f t="shared" si="1"/>
        <v>2.9899622695237417E-2</v>
      </c>
      <c r="I32" s="191">
        <f>SUM($G$7:G32)</f>
        <v>20629</v>
      </c>
      <c r="J32" s="170">
        <f t="shared" si="5"/>
        <v>0.73428490069053887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175"/>
      <c r="E33" s="175"/>
      <c r="F33" s="177"/>
      <c r="G33" s="179"/>
      <c r="H33" s="181"/>
      <c r="I33" s="192"/>
      <c r="J33" s="17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43</v>
      </c>
      <c r="E34" s="74">
        <f t="shared" si="0"/>
        <v>6</v>
      </c>
      <c r="F34" s="60">
        <f t="shared" si="4"/>
        <v>25.85</v>
      </c>
      <c r="G34" s="61">
        <f>IF(D34=D33,"",_xlfn.IFNA(VLOOKUP(D34,'인원 입력 기능(사과탐)'!$F$5:$I$59,4,FALSE),0))</f>
        <v>403</v>
      </c>
      <c r="H34" s="62">
        <f t="shared" si="1"/>
        <v>1.434469993592938E-2</v>
      </c>
      <c r="I34" s="72">
        <f>SUM($G$7:G34)</f>
        <v>21032</v>
      </c>
      <c r="J34" s="64">
        <f t="shared" si="5"/>
        <v>0.74862960062646833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42</v>
      </c>
      <c r="E35" s="74">
        <f t="shared" si="0"/>
        <v>6</v>
      </c>
      <c r="F35" s="60">
        <f t="shared" si="4"/>
        <v>24.44</v>
      </c>
      <c r="G35" s="61">
        <f>IF(D35=D34,"",_xlfn.IFNA(VLOOKUP(D35,'인원 입력 기능(사과탐)'!$F$5:$I$59,4,FALSE),0))</f>
        <v>393</v>
      </c>
      <c r="H35" s="62">
        <f t="shared" si="1"/>
        <v>1.3988752046700362E-2</v>
      </c>
      <c r="I35" s="72">
        <f>SUM($G$7:G35)</f>
        <v>21425</v>
      </c>
      <c r="J35" s="64">
        <f t="shared" si="5"/>
        <v>0.76261835267316869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41</v>
      </c>
      <c r="E36" s="74">
        <f t="shared" si="0"/>
        <v>6</v>
      </c>
      <c r="F36" s="60">
        <f t="shared" si="4"/>
        <v>23.01</v>
      </c>
      <c r="G36" s="61">
        <f>IF(D36=D35,"",_xlfn.IFNA(VLOOKUP(D36,'인원 입력 기능(사과탐)'!$F$5:$I$59,4,FALSE),0))</f>
        <v>408</v>
      </c>
      <c r="H36" s="62">
        <f t="shared" si="1"/>
        <v>1.4522673880543888E-2</v>
      </c>
      <c r="I36" s="72">
        <f>SUM($G$7:G36)</f>
        <v>21833</v>
      </c>
      <c r="J36" s="64">
        <f t="shared" si="5"/>
        <v>0.77714102655371253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174">
        <f t="shared" si="3"/>
        <v>40</v>
      </c>
      <c r="E37" s="174">
        <f t="shared" si="0"/>
        <v>7</v>
      </c>
      <c r="F37" s="176">
        <f t="shared" si="4"/>
        <v>21.04</v>
      </c>
      <c r="G37" s="178">
        <f>IF(D37=D36,"",_xlfn.IFNA(VLOOKUP(D37,'인원 입력 기능(사과탐)'!$F$5:$I$59,4,FALSE),0))</f>
        <v>700</v>
      </c>
      <c r="H37" s="180">
        <f t="shared" si="1"/>
        <v>2.4916352246031181E-2</v>
      </c>
      <c r="I37" s="191">
        <f>SUM($G$7:G37)</f>
        <v>22533</v>
      </c>
      <c r="J37" s="170">
        <f t="shared" si="5"/>
        <v>0.8020573787997437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175"/>
      <c r="E38" s="175"/>
      <c r="F38" s="177"/>
      <c r="G38" s="179"/>
      <c r="H38" s="181"/>
      <c r="I38" s="192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39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19.18</v>
      </c>
      <c r="G39" s="61">
        <f>IF(D39=D38,"",_xlfn.IFNA(VLOOKUP(D39,'인원 입력 기능(사과탐)'!$F$5:$I$59,4,FALSE),0))</f>
        <v>343</v>
      </c>
      <c r="H39" s="62">
        <f t="shared" si="1"/>
        <v>1.2209012600555279E-2</v>
      </c>
      <c r="I39" s="72">
        <f>SUM($G$7:G39)</f>
        <v>22876</v>
      </c>
      <c r="J39" s="64">
        <f t="shared" si="5"/>
        <v>0.81426639140029899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38</v>
      </c>
      <c r="E40" s="74">
        <f t="shared" si="6"/>
        <v>7</v>
      </c>
      <c r="F40" s="60">
        <f t="shared" si="4"/>
        <v>18.010000000000002</v>
      </c>
      <c r="G40" s="61">
        <f>IF(D40=D39,"",_xlfn.IFNA(VLOOKUP(D40,'인원 입력 기능(사과탐)'!$F$5:$I$59,4,FALSE),0))</f>
        <v>317</v>
      </c>
      <c r="H40" s="62">
        <f t="shared" si="1"/>
        <v>1.1283548088559836E-2</v>
      </c>
      <c r="I40" s="72">
        <f>SUM($G$7:G40)</f>
        <v>23193</v>
      </c>
      <c r="J40" s="64">
        <f t="shared" si="5"/>
        <v>0.8255499394888588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174">
        <f t="shared" si="3"/>
        <v>37</v>
      </c>
      <c r="E41" s="174">
        <f t="shared" si="6"/>
        <v>7</v>
      </c>
      <c r="F41" s="176">
        <f t="shared" si="4"/>
        <v>16.21</v>
      </c>
      <c r="G41" s="178">
        <f>IF(D41=D40,"",_xlfn.IFNA(VLOOKUP(D41,'인원 입력 기능(사과탐)'!$F$5:$I$59,4,FALSE),0))</f>
        <v>693</v>
      </c>
      <c r="H41" s="180">
        <f t="shared" si="1"/>
        <v>2.466718872357087E-2</v>
      </c>
      <c r="I41" s="191">
        <f>SUM($G$7:G41)</f>
        <v>23886</v>
      </c>
      <c r="J41" s="170">
        <f t="shared" si="5"/>
        <v>0.85021712821242967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175"/>
      <c r="E42" s="175"/>
      <c r="F42" s="177"/>
      <c r="G42" s="179"/>
      <c r="H42" s="181"/>
      <c r="I42" s="192"/>
      <c r="J42" s="171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36</v>
      </c>
      <c r="E43" s="74">
        <f t="shared" si="6"/>
        <v>7</v>
      </c>
      <c r="F43" s="60">
        <f t="shared" si="4"/>
        <v>14.26</v>
      </c>
      <c r="G43" s="61">
        <f>IF(D43=D42,"",_xlfn.IFNA(VLOOKUP(D43,'인원 입력 기능(사과탐)'!$F$5:$I$59,4,FALSE),0))</f>
        <v>402</v>
      </c>
      <c r="H43" s="62">
        <f t="shared" si="1"/>
        <v>1.4309105147006479E-2</v>
      </c>
      <c r="I43" s="72">
        <f>SUM($G$7:G43)</f>
        <v>24288</v>
      </c>
      <c r="J43" s="64">
        <f t="shared" si="5"/>
        <v>0.86452623335943612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35</v>
      </c>
      <c r="E44" s="74">
        <f t="shared" si="6"/>
        <v>7</v>
      </c>
      <c r="F44" s="60">
        <f t="shared" si="4"/>
        <v>12.95</v>
      </c>
      <c r="G44" s="61">
        <f>IF(D44=D43,"",_xlfn.IFNA(VLOOKUP(D44,'인원 입력 기능(사과탐)'!$F$5:$I$59,4,FALSE),0))</f>
        <v>338</v>
      </c>
      <c r="H44" s="62">
        <f t="shared" si="1"/>
        <v>1.203103865594077E-2</v>
      </c>
      <c r="I44" s="72">
        <f>SUM($G$7:G44)</f>
        <v>24626</v>
      </c>
      <c r="J44" s="64">
        <f t="shared" si="5"/>
        <v>0.87655727201537692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174">
        <f t="shared" si="3"/>
        <v>34</v>
      </c>
      <c r="E45" s="174">
        <f t="shared" si="6"/>
        <v>7</v>
      </c>
      <c r="F45" s="176">
        <f t="shared" si="4"/>
        <v>10.51</v>
      </c>
      <c r="G45" s="178">
        <f>IF(D45=D44,"",_xlfn.IFNA(VLOOKUP(D45,'인원 입력 기능(사과탐)'!$F$5:$I$59,4,FALSE),0))</f>
        <v>1028</v>
      </c>
      <c r="H45" s="180">
        <f t="shared" si="1"/>
        <v>3.6591443012742933E-2</v>
      </c>
      <c r="I45" s="191">
        <f>SUM($G$7:G45)</f>
        <v>25654</v>
      </c>
      <c r="J45" s="170">
        <f t="shared" si="5"/>
        <v>0.9131487150281199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175"/>
      <c r="E46" s="175"/>
      <c r="F46" s="177"/>
      <c r="G46" s="179"/>
      <c r="H46" s="181"/>
      <c r="I46" s="192"/>
      <c r="J46" s="171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33</v>
      </c>
      <c r="E47" s="74">
        <f t="shared" si="6"/>
        <v>8</v>
      </c>
      <c r="F47" s="60">
        <f t="shared" si="4"/>
        <v>6.67</v>
      </c>
      <c r="G47" s="61">
        <f>IF(D47=D46,"",_xlfn.IFNA(VLOOKUP(D47,'인원 입력 기능(사과탐)'!$F$5:$I$59,4,FALSE),0))</f>
        <v>1130</v>
      </c>
      <c r="H47" s="62">
        <f t="shared" si="1"/>
        <v>4.0222111482878908E-2</v>
      </c>
      <c r="I47" s="72">
        <f>SUM($G$7:G47)</f>
        <v>26784</v>
      </c>
      <c r="J47" s="64">
        <f t="shared" si="5"/>
        <v>0.9533708265109988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32</v>
      </c>
      <c r="E48" s="74">
        <f t="shared" si="6"/>
        <v>8</v>
      </c>
      <c r="F48" s="60">
        <f t="shared" si="4"/>
        <v>4.18</v>
      </c>
      <c r="G48" s="61">
        <f>IF(D48=D47,"",_xlfn.IFNA(VLOOKUP(D48,'인원 입력 기능(사과탐)'!$F$5:$I$59,4,FALSE),0))</f>
        <v>274</v>
      </c>
      <c r="H48" s="62">
        <f t="shared" si="1"/>
        <v>9.7529721648750619E-3</v>
      </c>
      <c r="I48" s="72">
        <f>SUM($G$7:G48)</f>
        <v>27058</v>
      </c>
      <c r="J48" s="64">
        <f t="shared" si="5"/>
        <v>0.96312379867587383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31</v>
      </c>
      <c r="E49" s="74">
        <f t="shared" si="6"/>
        <v>9</v>
      </c>
      <c r="F49" s="60">
        <f t="shared" si="4"/>
        <v>3.29</v>
      </c>
      <c r="G49" s="61">
        <f>IF(D49=D48,"",_xlfn.IFNA(VLOOKUP(D49,'인원 입력 기능(사과탐)'!$F$5:$I$59,4,FALSE),0))</f>
        <v>222</v>
      </c>
      <c r="H49" s="62">
        <f t="shared" si="1"/>
        <v>7.9020431408841751E-3</v>
      </c>
      <c r="I49" s="72">
        <f>SUM($G$7:G49)</f>
        <v>27280</v>
      </c>
      <c r="J49" s="64">
        <f t="shared" si="5"/>
        <v>0.971025841816758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174">
        <f t="shared" si="3"/>
        <v>30</v>
      </c>
      <c r="E50" s="174">
        <f t="shared" si="6"/>
        <v>9</v>
      </c>
      <c r="F50" s="176">
        <f t="shared" si="4"/>
        <v>2.08</v>
      </c>
      <c r="G50" s="178">
        <f>IF(D50=D49,"",_xlfn.IFNA(VLOOKUP(D50,'인원 입력 기능(사과탐)'!$F$5:$I$59,4,FALSE),0))</f>
        <v>462</v>
      </c>
      <c r="H50" s="180">
        <f t="shared" si="1"/>
        <v>1.644479248238058E-2</v>
      </c>
      <c r="I50" s="191">
        <f>SUM($G$7:G50)</f>
        <v>27742</v>
      </c>
      <c r="J50" s="170">
        <f t="shared" si="5"/>
        <v>0.98747063429913862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175"/>
      <c r="E51" s="175"/>
      <c r="F51" s="177"/>
      <c r="G51" s="179"/>
      <c r="H51" s="181"/>
      <c r="I51" s="192"/>
      <c r="J51" s="171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29</v>
      </c>
      <c r="E52" s="74">
        <f t="shared" si="6"/>
        <v>9</v>
      </c>
      <c r="F52" s="60">
        <f t="shared" si="4"/>
        <v>0.99</v>
      </c>
      <c r="G52" s="61">
        <f>IF(D52=D51,"",_xlfn.IFNA(VLOOKUP(D52,'인원 입력 기능(사과탐)'!$F$5:$I$59,4,FALSE),0))</f>
        <v>147</v>
      </c>
      <c r="H52" s="62">
        <f t="shared" si="1"/>
        <v>5.2324339716665483E-3</v>
      </c>
      <c r="I52" s="72">
        <f>SUM($G$7:G52)</f>
        <v>27889</v>
      </c>
      <c r="J52" s="64">
        <f t="shared" si="5"/>
        <v>0.99270306827080512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28</v>
      </c>
      <c r="E53" s="59">
        <f t="shared" si="6"/>
        <v>9</v>
      </c>
      <c r="F53" s="60">
        <f t="shared" si="4"/>
        <v>0.59</v>
      </c>
      <c r="G53" s="61">
        <f>IF(D53=D52,"",_xlfn.IFNA(VLOOKUP(D53,'인원 입력 기능(사과탐)'!$F$5:$I$59,4,FALSE),0))</f>
        <v>81</v>
      </c>
      <c r="H53" s="62">
        <f t="shared" si="1"/>
        <v>2.8831779027550367E-3</v>
      </c>
      <c r="I53" s="72">
        <f>SUM($G$7:G53)</f>
        <v>27970</v>
      </c>
      <c r="J53" s="64">
        <f t="shared" si="5"/>
        <v>0.99558624617356017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172">
        <f t="shared" si="3"/>
        <v>27</v>
      </c>
      <c r="E54" s="172">
        <f t="shared" si="6"/>
        <v>9</v>
      </c>
      <c r="F54" s="176">
        <f t="shared" si="4"/>
        <v>0.26</v>
      </c>
      <c r="G54" s="178">
        <f>IF(D54=D53,"",_xlfn.IFNA(VLOOKUP(D54,'인원 입력 기능(사과탐)'!$F$5:$I$59,4,FALSE),0))</f>
        <v>100</v>
      </c>
      <c r="H54" s="180">
        <f t="shared" si="1"/>
        <v>3.5594788922901689E-3</v>
      </c>
      <c r="I54" s="191">
        <f>SUM($G$7:G54)</f>
        <v>28070</v>
      </c>
      <c r="J54" s="170">
        <f t="shared" si="5"/>
        <v>0.99914572506585031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173"/>
      <c r="E55" s="173"/>
      <c r="F55" s="177"/>
      <c r="G55" s="179"/>
      <c r="H55" s="181"/>
      <c r="I55" s="192"/>
      <c r="J55" s="171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25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기능(사과탐)'!$F$5:$I$59,4,FALSE),0)</f>
        <v>24</v>
      </c>
      <c r="H57" s="81">
        <f>G57/$J$3</f>
        <v>8.5427493414964048E-4</v>
      </c>
      <c r="I57" s="82">
        <f>SUM($G$7:G57)</f>
        <v>28094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0"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14:D15"/>
    <mergeCell ref="E14:E15"/>
    <mergeCell ref="F14:F15"/>
    <mergeCell ref="G14:G15"/>
    <mergeCell ref="H14:H15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I32:I33"/>
    <mergeCell ref="J32:J33"/>
    <mergeCell ref="D37:D38"/>
    <mergeCell ref="E37:E38"/>
    <mergeCell ref="F37:F38"/>
    <mergeCell ref="G37:G38"/>
    <mergeCell ref="H37:H38"/>
    <mergeCell ref="I37:I38"/>
    <mergeCell ref="J37:J38"/>
    <mergeCell ref="D32:D33"/>
    <mergeCell ref="E32:E33"/>
    <mergeCell ref="F32:F33"/>
    <mergeCell ref="G32:G33"/>
    <mergeCell ref="H32:H33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</mergeCells>
  <phoneticPr fontId="1" type="noConversion"/>
  <conditionalFormatting sqref="D7:G10 I7:J10 D12:G14 I12:J14 D16:G19 I16:J19 D21:G23 I21:J23 D25:G28 I25:J28 D30:G32 I30:J32 D34:G37 I34:J37 D39:G41 I39:J41 D43:G45 I43:J45 D47:G50 I47:J50 D52:G54 I52:J54 D56:G57 I56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0 D12:D14 D16:D19 D21:D23 D25:D28 D30:D32 D34:D37 D39:D41 D43:D45 D47:D50 D52:D54 D56:D57">
    <cfRule type="expression" dxfId="45" priority="2">
      <formula>$D7=$D8</formula>
    </cfRule>
  </conditionalFormatting>
  <conditionalFormatting sqref="H7:H10 H12:H14 H16:H19 H21:H23 H25:H28 H30:H32 H34:H37 H39:H41 H43:H45 H47:H50 H52:H54 H56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topLeftCell="A50"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기능'!D10</f>
        <v>28.16</v>
      </c>
      <c r="I3" s="21" t="s">
        <v>70</v>
      </c>
      <c r="J3" s="50">
        <f>'통계 및 응시자 수 입력 기능'!C10</f>
        <v>17663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102</v>
      </c>
      <c r="E4" s="186"/>
      <c r="F4" s="187"/>
      <c r="G4" s="52" t="s">
        <v>73</v>
      </c>
      <c r="H4" s="53" t="str">
        <f>'통계 및 응시자 수 입력 기능'!E10</f>
        <v>10.63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99.66</v>
      </c>
      <c r="G7" s="61">
        <f>_xlfn.IFNA(VLOOKUP(D7,'인원 입력 기능(사과탐)'!$K$5:$N$59,4,FALSE),0)</f>
        <v>119</v>
      </c>
      <c r="H7" s="62">
        <f>G7/$J$3</f>
        <v>6.7372473532242537E-3</v>
      </c>
      <c r="I7" s="63">
        <f>G7</f>
        <v>119</v>
      </c>
      <c r="J7" s="64">
        <f>I7/$J$3</f>
        <v>6.7372473532242537E-3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66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기능'!C59</f>
        <v>62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69</v>
      </c>
      <c r="E9" s="59">
        <f t="shared" si="0"/>
        <v>1</v>
      </c>
      <c r="F9" s="60">
        <f>IF(I8=0,ROUND(100*(1-(I7+I9)/2/$J$3),2),ROUND(100*(1-(I8+I9)/2/$J$3),2))</f>
        <v>98.98</v>
      </c>
      <c r="G9" s="61">
        <f>_xlfn.IFNA(VLOOKUP(D9,'인원 입력 기능(사과탐)'!$K$5:$N$59,4,FALSE),0)</f>
        <v>123</v>
      </c>
      <c r="H9" s="62">
        <f t="shared" ref="H9:H55" si="1">G9/$J$3</f>
        <v>6.9637094491309514E-3</v>
      </c>
      <c r="I9" s="72">
        <f>SUM($G$7:G9)</f>
        <v>242</v>
      </c>
      <c r="J9" s="64">
        <f>I9/$J$3</f>
        <v>1.3700956802355205E-2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68</v>
      </c>
      <c r="E10" s="59">
        <f t="shared" si="0"/>
        <v>1</v>
      </c>
      <c r="F10" s="60">
        <f t="shared" ref="F10:F55" si="4">IF(I9=0,ROUND(100*(1-(I8+I10)/2/$J$3),2),ROUND(100*(1-(I9+I10)/2/$J$3),2))</f>
        <v>98.08</v>
      </c>
      <c r="G10" s="61">
        <f>IF(D10=D9,"",_xlfn.IFNA(VLOOKUP(D10,'인원 입력 기능(사과탐)'!$K$5:$N$59,4,FALSE),0))</f>
        <v>193</v>
      </c>
      <c r="H10" s="62">
        <f t="shared" si="1"/>
        <v>1.092679612749816E-2</v>
      </c>
      <c r="I10" s="72">
        <f>SUM($G$7:G10)</f>
        <v>435</v>
      </c>
      <c r="J10" s="64">
        <f t="shared" ref="J10:J55" si="5">I10/$J$3</f>
        <v>2.4627752929853367E-2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54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67</v>
      </c>
      <c r="E11" s="59">
        <f t="shared" si="0"/>
        <v>1</v>
      </c>
      <c r="F11" s="60">
        <f t="shared" si="4"/>
        <v>97.19</v>
      </c>
      <c r="G11" s="61">
        <f>IF(D11=D10,"",_xlfn.IFNA(VLOOKUP(D11,'인원 입력 기능(사과탐)'!$K$5:$N$59,4,FALSE),0))</f>
        <v>124</v>
      </c>
      <c r="H11" s="62">
        <f t="shared" si="1"/>
        <v>7.0203249731076263E-3</v>
      </c>
      <c r="I11" s="72">
        <f>SUM($G$7:G11)</f>
        <v>559</v>
      </c>
      <c r="J11" s="64">
        <f t="shared" si="5"/>
        <v>3.1648077902960994E-2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기능'!C62</f>
        <v>48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66</v>
      </c>
      <c r="E12" s="59">
        <f t="shared" si="0"/>
        <v>1</v>
      </c>
      <c r="F12" s="60">
        <f t="shared" si="4"/>
        <v>95.92</v>
      </c>
      <c r="G12" s="61">
        <f>IF(D12=D11,"",_xlfn.IFNA(VLOOKUP(D12,'인원 입력 기능(사과탐)'!$K$5:$N$59,4,FALSE),0))</f>
        <v>322</v>
      </c>
      <c r="H12" s="62">
        <f t="shared" si="1"/>
        <v>1.8230198720489157E-2</v>
      </c>
      <c r="I12" s="72">
        <f>SUM($G$7:G12)</f>
        <v>881</v>
      </c>
      <c r="J12" s="64">
        <f t="shared" si="5"/>
        <v>4.9878276623450152E-2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65</v>
      </c>
      <c r="E13" s="59">
        <f t="shared" si="0"/>
        <v>2</v>
      </c>
      <c r="F13" s="60">
        <f t="shared" si="4"/>
        <v>94.41</v>
      </c>
      <c r="G13" s="61">
        <f>IF(D13=D12,"",_xlfn.IFNA(VLOOKUP(D13,'인원 입력 기능(사과탐)'!$K$5:$N$59,4,FALSE),0))</f>
        <v>212</v>
      </c>
      <c r="H13" s="62">
        <f t="shared" si="1"/>
        <v>1.2002491083054973E-2</v>
      </c>
      <c r="I13" s="72">
        <f>SUM($G$7:G13)</f>
        <v>1093</v>
      </c>
      <c r="J13" s="64">
        <f t="shared" si="5"/>
        <v>6.1880767706505121E-2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36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64</v>
      </c>
      <c r="E14" s="59">
        <f t="shared" si="0"/>
        <v>2</v>
      </c>
      <c r="F14" s="60">
        <f t="shared" si="4"/>
        <v>92.91</v>
      </c>
      <c r="G14" s="61">
        <f>IF(D14=D13,"",_xlfn.IFNA(VLOOKUP(D14,'인원 입력 기능(사과탐)'!$K$5:$N$59,4,FALSE),0))</f>
        <v>317</v>
      </c>
      <c r="H14" s="62">
        <f t="shared" si="1"/>
        <v>1.7947121100605787E-2</v>
      </c>
      <c r="I14" s="72">
        <f>SUM($G$7:G14)</f>
        <v>1410</v>
      </c>
      <c r="J14" s="64">
        <f t="shared" si="5"/>
        <v>7.9827888807110906E-2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32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63</v>
      </c>
      <c r="E15" s="59">
        <f t="shared" si="0"/>
        <v>2</v>
      </c>
      <c r="F15" s="60">
        <f t="shared" si="4"/>
        <v>90.8</v>
      </c>
      <c r="G15" s="61">
        <f>IF(D15=D14,"",_xlfn.IFNA(VLOOKUP(D15,'인원 입력 기능(사과탐)'!$K$5:$N$59,4,FALSE),0))</f>
        <v>431</v>
      </c>
      <c r="H15" s="62">
        <f t="shared" si="1"/>
        <v>2.4401290833946668E-2</v>
      </c>
      <c r="I15" s="72">
        <f>SUM($G$7:G15)</f>
        <v>1841</v>
      </c>
      <c r="J15" s="64">
        <f t="shared" si="5"/>
        <v>0.10422917964105757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62</v>
      </c>
      <c r="E16" s="59">
        <f t="shared" si="0"/>
        <v>2</v>
      </c>
      <c r="F16" s="60">
        <f t="shared" si="4"/>
        <v>88.61</v>
      </c>
      <c r="G16" s="61">
        <f>IF(D16=D15,"",_xlfn.IFNA(VLOOKUP(D16,'인원 입력 기능(사과탐)'!$K$5:$N$59,4,FALSE),0))</f>
        <v>341</v>
      </c>
      <c r="H16" s="62">
        <f t="shared" si="1"/>
        <v>1.930589367604597E-2</v>
      </c>
      <c r="I16" s="72">
        <f>SUM($G$7:G16)</f>
        <v>2182</v>
      </c>
      <c r="J16" s="64">
        <f t="shared" si="5"/>
        <v>0.12353507331710355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61</v>
      </c>
      <c r="E17" s="59">
        <f t="shared" si="0"/>
        <v>3</v>
      </c>
      <c r="F17" s="60">
        <f t="shared" si="4"/>
        <v>86.21</v>
      </c>
      <c r="G17" s="61">
        <f>IF(D17=D16,"",_xlfn.IFNA(VLOOKUP(D17,'인원 입력 기능(사과탐)'!$K$5:$N$59,4,FALSE),0))</f>
        <v>509</v>
      </c>
      <c r="H17" s="62">
        <f t="shared" si="1"/>
        <v>2.881730170412727E-2</v>
      </c>
      <c r="I17" s="72">
        <f>SUM($G$7:G17)</f>
        <v>2691</v>
      </c>
      <c r="J17" s="64">
        <f t="shared" si="5"/>
        <v>0.15235237502123083</v>
      </c>
      <c r="K17" s="36"/>
      <c r="L17" s="20" t="str">
        <f t="shared" si="2"/>
        <v/>
      </c>
      <c r="N17" s="24"/>
      <c r="Q17" s="24">
        <f>Q7*H3*H4*J3*IFERROR(IF(J57=1, 1, 0), 0)</f>
        <v>348958932.32639998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60</v>
      </c>
      <c r="E18" s="59">
        <f t="shared" si="0"/>
        <v>3</v>
      </c>
      <c r="F18" s="60">
        <f t="shared" si="4"/>
        <v>83.54</v>
      </c>
      <c r="G18" s="61">
        <f>IF(D18=D17,"",_xlfn.IFNA(VLOOKUP(D18,'인원 입력 기능(사과탐)'!$K$5:$N$59,4,FALSE),0))</f>
        <v>434</v>
      </c>
      <c r="H18" s="62">
        <f t="shared" si="1"/>
        <v>2.457113740587669E-2</v>
      </c>
      <c r="I18" s="72">
        <f>SUM($G$7:G18)</f>
        <v>3125</v>
      </c>
      <c r="J18" s="64">
        <f t="shared" si="5"/>
        <v>0.17692351242710752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59</v>
      </c>
      <c r="E19" s="59">
        <f t="shared" si="0"/>
        <v>3</v>
      </c>
      <c r="F19" s="60">
        <f t="shared" si="4"/>
        <v>80.77</v>
      </c>
      <c r="G19" s="61">
        <f>IF(D19=D18,"",_xlfn.IFNA(VLOOKUP(D19,'인원 입력 기능(사과탐)'!$K$5:$N$59,4,FALSE),0))</f>
        <v>543</v>
      </c>
      <c r="H19" s="62">
        <f t="shared" si="1"/>
        <v>3.07422295193342E-2</v>
      </c>
      <c r="I19" s="72">
        <f>SUM($G$7:G19)</f>
        <v>3668</v>
      </c>
      <c r="J19" s="64">
        <f t="shared" si="5"/>
        <v>0.20766574194644172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58</v>
      </c>
      <c r="E20" s="59">
        <f t="shared" si="0"/>
        <v>3</v>
      </c>
      <c r="F20" s="60">
        <f t="shared" si="4"/>
        <v>77.47</v>
      </c>
      <c r="G20" s="61">
        <f>IF(D20=D19,"",_xlfn.IFNA(VLOOKUP(D20,'인원 입력 기능(사과탐)'!$K$5:$N$59,4,FALSE),0))</f>
        <v>622</v>
      </c>
      <c r="H20" s="62">
        <f t="shared" si="1"/>
        <v>3.521485591349148E-2</v>
      </c>
      <c r="I20" s="72">
        <f>SUM($G$7:G20)</f>
        <v>4290</v>
      </c>
      <c r="J20" s="64">
        <f t="shared" si="5"/>
        <v>0.24288059785993318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57</v>
      </c>
      <c r="E21" s="74">
        <f t="shared" si="0"/>
        <v>4</v>
      </c>
      <c r="F21" s="60">
        <f t="shared" si="4"/>
        <v>74.11</v>
      </c>
      <c r="G21" s="61">
        <f>IF(D21=D20,"",_xlfn.IFNA(VLOOKUP(D21,'인원 입력 기능(사과탐)'!$K$5:$N$59,4,FALSE),0))</f>
        <v>565</v>
      </c>
      <c r="H21" s="62">
        <f t="shared" si="1"/>
        <v>3.1987771046821038E-2</v>
      </c>
      <c r="I21" s="72">
        <f>SUM($G$7:G21)</f>
        <v>4855</v>
      </c>
      <c r="J21" s="64">
        <f t="shared" si="5"/>
        <v>0.27486836890675426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56</v>
      </c>
      <c r="E22" s="74">
        <f t="shared" si="0"/>
        <v>4</v>
      </c>
      <c r="F22" s="60">
        <f t="shared" si="4"/>
        <v>70.760000000000005</v>
      </c>
      <c r="G22" s="61">
        <f>IF(D22=D21,"",_xlfn.IFNA(VLOOKUP(D22,'인원 입력 기능(사과탐)'!$K$5:$N$59,4,FALSE),0))</f>
        <v>620</v>
      </c>
      <c r="H22" s="62">
        <f t="shared" si="1"/>
        <v>3.5101624865538132E-2</v>
      </c>
      <c r="I22" s="72">
        <f>SUM($G$7:G22)</f>
        <v>5475</v>
      </c>
      <c r="J22" s="64">
        <f t="shared" si="5"/>
        <v>0.30996999377229234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174">
        <f t="shared" si="3"/>
        <v>55</v>
      </c>
      <c r="E23" s="174">
        <f t="shared" si="0"/>
        <v>4</v>
      </c>
      <c r="F23" s="176">
        <f t="shared" si="4"/>
        <v>65.41</v>
      </c>
      <c r="G23" s="178">
        <f>IF(D23=D22,"",_xlfn.IFNA(VLOOKUP(D23,'인원 입력 기능(사과탐)'!$K$5:$N$59,4,FALSE),0))</f>
        <v>1269</v>
      </c>
      <c r="H23" s="180">
        <f t="shared" si="1"/>
        <v>7.1845099926399814E-2</v>
      </c>
      <c r="I23" s="191">
        <f>SUM($G$7:G23)</f>
        <v>6744</v>
      </c>
      <c r="J23" s="170">
        <f t="shared" si="5"/>
        <v>0.38181509369869215</v>
      </c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175"/>
      <c r="E24" s="175"/>
      <c r="F24" s="177"/>
      <c r="G24" s="179"/>
      <c r="H24" s="181"/>
      <c r="I24" s="192"/>
      <c r="J24" s="17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54</v>
      </c>
      <c r="E25" s="74">
        <f t="shared" si="0"/>
        <v>4</v>
      </c>
      <c r="F25" s="60">
        <f t="shared" si="4"/>
        <v>59.81</v>
      </c>
      <c r="G25" s="61">
        <f>IF(D25=D24,"",_xlfn.IFNA(VLOOKUP(D25,'인원 입력 기능(사과탐)'!$K$5:$N$59,4,FALSE),0))</f>
        <v>711</v>
      </c>
      <c r="H25" s="62">
        <f t="shared" si="1"/>
        <v>4.0253637547415504E-2</v>
      </c>
      <c r="I25" s="72">
        <f>SUM($G$7:G25)</f>
        <v>7455</v>
      </c>
      <c r="J25" s="64">
        <f t="shared" si="5"/>
        <v>0.42206873124610766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53</v>
      </c>
      <c r="E26" s="74">
        <f t="shared" si="0"/>
        <v>5</v>
      </c>
      <c r="F26" s="60">
        <f t="shared" si="4"/>
        <v>56.23</v>
      </c>
      <c r="G26" s="61">
        <f>IF(D26=D25,"",_xlfn.IFNA(VLOOKUP(D26,'인원 입력 기능(사과탐)'!$K$5:$N$59,4,FALSE),0))</f>
        <v>553</v>
      </c>
      <c r="H26" s="62">
        <f t="shared" si="1"/>
        <v>3.1308384759100943E-2</v>
      </c>
      <c r="I26" s="72">
        <f>SUM($G$7:G26)</f>
        <v>8008</v>
      </c>
      <c r="J26" s="64">
        <f t="shared" si="5"/>
        <v>0.45337711600520864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52</v>
      </c>
      <c r="E27" s="74">
        <f t="shared" si="0"/>
        <v>5</v>
      </c>
      <c r="F27" s="60">
        <f t="shared" si="4"/>
        <v>52.93</v>
      </c>
      <c r="G27" s="61">
        <f>IF(D27=D26,"",_xlfn.IFNA(VLOOKUP(D27,'인원 입력 기능(사과탐)'!$K$5:$N$59,4,FALSE),0))</f>
        <v>611</v>
      </c>
      <c r="H27" s="62">
        <f t="shared" si="1"/>
        <v>3.4592085149748063E-2</v>
      </c>
      <c r="I27" s="72">
        <f>SUM($G$7:G27)</f>
        <v>8619</v>
      </c>
      <c r="J27" s="64">
        <f t="shared" si="5"/>
        <v>0.48796920115495668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51</v>
      </c>
      <c r="E28" s="74">
        <f t="shared" si="0"/>
        <v>5</v>
      </c>
      <c r="F28" s="60">
        <f t="shared" si="4"/>
        <v>49.59</v>
      </c>
      <c r="G28" s="61">
        <f>IF(D28=D27,"",_xlfn.IFNA(VLOOKUP(D28,'인원 입력 기능(사과탐)'!$K$5:$N$59,4,FALSE),0))</f>
        <v>571</v>
      </c>
      <c r="H28" s="62">
        <f t="shared" si="1"/>
        <v>3.2327464190681082E-2</v>
      </c>
      <c r="I28" s="72">
        <f>SUM($G$7:G28)</f>
        <v>9190</v>
      </c>
      <c r="J28" s="64">
        <f t="shared" si="5"/>
        <v>0.52029666534563779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50</v>
      </c>
      <c r="E29" s="74">
        <f t="shared" si="0"/>
        <v>5</v>
      </c>
      <c r="F29" s="60">
        <f t="shared" si="4"/>
        <v>46.34</v>
      </c>
      <c r="G29" s="61">
        <f>IF(D29=D28,"",_xlfn.IFNA(VLOOKUP(D29,'인원 입력 기능(사과탐)'!$K$5:$N$59,4,FALSE),0))</f>
        <v>576</v>
      </c>
      <c r="H29" s="62">
        <f t="shared" si="1"/>
        <v>3.2610541810564456E-2</v>
      </c>
      <c r="I29" s="72">
        <f>SUM($G$7:G29)</f>
        <v>9766</v>
      </c>
      <c r="J29" s="64">
        <f t="shared" si="5"/>
        <v>0.55290720715620223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49</v>
      </c>
      <c r="E30" s="74">
        <f t="shared" si="0"/>
        <v>5</v>
      </c>
      <c r="F30" s="60">
        <f t="shared" si="4"/>
        <v>42.89</v>
      </c>
      <c r="G30" s="61">
        <f>IF(D30=D29,"",_xlfn.IFNA(VLOOKUP(D30,'인원 입력 기능(사과탐)'!$K$5:$N$59,4,FALSE),0))</f>
        <v>642</v>
      </c>
      <c r="H30" s="62">
        <f t="shared" si="1"/>
        <v>3.6347166393024967E-2</v>
      </c>
      <c r="I30" s="72">
        <f>SUM($G$7:G30)</f>
        <v>10408</v>
      </c>
      <c r="J30" s="64">
        <f t="shared" si="5"/>
        <v>0.58925437354922716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48</v>
      </c>
      <c r="E31" s="74">
        <f t="shared" si="0"/>
        <v>5</v>
      </c>
      <c r="F31" s="60">
        <f t="shared" si="4"/>
        <v>39.61</v>
      </c>
      <c r="G31" s="61">
        <f>IF(D31=D30,"",_xlfn.IFNA(VLOOKUP(D31,'인원 입력 기능(사과탐)'!$K$5:$N$59,4,FALSE),0))</f>
        <v>516</v>
      </c>
      <c r="H31" s="62">
        <f t="shared" si="1"/>
        <v>2.9213610371963992E-2</v>
      </c>
      <c r="I31" s="72">
        <f>SUM($G$7:G31)</f>
        <v>10924</v>
      </c>
      <c r="J31" s="64">
        <f t="shared" si="5"/>
        <v>0.61846798392119118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47</v>
      </c>
      <c r="E32" s="74">
        <f t="shared" si="0"/>
        <v>6</v>
      </c>
      <c r="F32" s="60">
        <f t="shared" si="4"/>
        <v>36.520000000000003</v>
      </c>
      <c r="G32" s="61">
        <f>IF(D32=D31,"",_xlfn.IFNA(VLOOKUP(D32,'인원 입력 기능(사과탐)'!$K$5:$N$59,4,FALSE),0))</f>
        <v>578</v>
      </c>
      <c r="H32" s="62">
        <f t="shared" si="1"/>
        <v>3.2723772858517804E-2</v>
      </c>
      <c r="I32" s="72">
        <f>SUM($G$7:G32)</f>
        <v>11502</v>
      </c>
      <c r="J32" s="64">
        <f t="shared" si="5"/>
        <v>0.65119175677970897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46</v>
      </c>
      <c r="E33" s="74">
        <f t="shared" si="0"/>
        <v>6</v>
      </c>
      <c r="F33" s="60">
        <f t="shared" si="4"/>
        <v>33.47</v>
      </c>
      <c r="G33" s="61">
        <f>IF(D33=D32,"",_xlfn.IFNA(VLOOKUP(D33,'인원 입력 기능(사과탐)'!$K$5:$N$59,4,FALSE),0))</f>
        <v>499</v>
      </c>
      <c r="H33" s="62">
        <f t="shared" si="1"/>
        <v>2.8251146464360527E-2</v>
      </c>
      <c r="I33" s="72">
        <f>SUM($G$7:G33)</f>
        <v>12001</v>
      </c>
      <c r="J33" s="64">
        <f t="shared" si="5"/>
        <v>0.67944290324406953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45</v>
      </c>
      <c r="E34" s="74">
        <f t="shared" si="0"/>
        <v>6</v>
      </c>
      <c r="F34" s="60">
        <f t="shared" si="4"/>
        <v>30.75</v>
      </c>
      <c r="G34" s="61">
        <f>IF(D34=D33,"",_xlfn.IFNA(VLOOKUP(D34,'인원 입력 기능(사과탐)'!$K$5:$N$59,4,FALSE),0))</f>
        <v>460</v>
      </c>
      <c r="H34" s="62">
        <f t="shared" si="1"/>
        <v>2.6043141029270227E-2</v>
      </c>
      <c r="I34" s="72">
        <f>SUM($G$7:G34)</f>
        <v>12461</v>
      </c>
      <c r="J34" s="64">
        <f t="shared" si="5"/>
        <v>0.70548604427333972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44</v>
      </c>
      <c r="E35" s="74">
        <f t="shared" si="0"/>
        <v>6</v>
      </c>
      <c r="F35" s="60">
        <f t="shared" si="4"/>
        <v>28.15</v>
      </c>
      <c r="G35" s="61">
        <f>IF(D35=D34,"",_xlfn.IFNA(VLOOKUP(D35,'인원 입력 기능(사과탐)'!$K$5:$N$59,4,FALSE),0))</f>
        <v>460</v>
      </c>
      <c r="H35" s="62">
        <f t="shared" si="1"/>
        <v>2.6043141029270227E-2</v>
      </c>
      <c r="I35" s="72">
        <f>SUM($G$7:G35)</f>
        <v>12921</v>
      </c>
      <c r="J35" s="64">
        <f t="shared" si="5"/>
        <v>0.73152918530261002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43</v>
      </c>
      <c r="E36" s="74">
        <f t="shared" si="0"/>
        <v>6</v>
      </c>
      <c r="F36" s="60">
        <f t="shared" si="4"/>
        <v>25.72</v>
      </c>
      <c r="G36" s="61">
        <f>IF(D36=D35,"",_xlfn.IFNA(VLOOKUP(D36,'인원 입력 기능(사과탐)'!$K$5:$N$59,4,FALSE),0))</f>
        <v>397</v>
      </c>
      <c r="H36" s="62">
        <f t="shared" si="1"/>
        <v>2.2476363018739738E-2</v>
      </c>
      <c r="I36" s="72">
        <f>SUM($G$7:G36)</f>
        <v>13318</v>
      </c>
      <c r="J36" s="64">
        <f t="shared" si="5"/>
        <v>0.75400554832134969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42</v>
      </c>
      <c r="E37" s="74">
        <f t="shared" si="0"/>
        <v>6</v>
      </c>
      <c r="F37" s="60">
        <f t="shared" si="4"/>
        <v>23.59</v>
      </c>
      <c r="G37" s="61">
        <f>IF(D37=D36,"",_xlfn.IFNA(VLOOKUP(D37,'인원 입력 기능(사과탐)'!$K$5:$N$59,4,FALSE),0))</f>
        <v>356</v>
      </c>
      <c r="H37" s="62">
        <f t="shared" si="1"/>
        <v>2.0155126535696087E-2</v>
      </c>
      <c r="I37" s="72">
        <f>SUM($G$7:G37)</f>
        <v>13674</v>
      </c>
      <c r="J37" s="64">
        <f t="shared" si="5"/>
        <v>0.77416067485704576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41</v>
      </c>
      <c r="E38" s="74">
        <f t="shared" si="0"/>
        <v>7</v>
      </c>
      <c r="F38" s="60">
        <f t="shared" si="4"/>
        <v>21.51</v>
      </c>
      <c r="G38" s="61">
        <f>IF(D38=D37,"",_xlfn.IFNA(VLOOKUP(D38,'인원 입력 기능(사과탐)'!$K$5:$N$59,4,FALSE),0))</f>
        <v>378</v>
      </c>
      <c r="H38" s="62">
        <f t="shared" si="1"/>
        <v>2.1400668063182925E-2</v>
      </c>
      <c r="I38" s="72">
        <f>SUM($G$7:G38)</f>
        <v>14052</v>
      </c>
      <c r="J38" s="64">
        <f t="shared" si="5"/>
        <v>0.79556134292022873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40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19.440000000000001</v>
      </c>
      <c r="G39" s="61">
        <f>IF(D39=D38,"",_xlfn.IFNA(VLOOKUP(D39,'인원 입력 기능(사과탐)'!$K$5:$N$59,4,FALSE),0))</f>
        <v>353</v>
      </c>
      <c r="H39" s="62">
        <f t="shared" si="1"/>
        <v>1.9985279963766065E-2</v>
      </c>
      <c r="I39" s="72">
        <f>SUM($G$7:G39)</f>
        <v>14405</v>
      </c>
      <c r="J39" s="64">
        <f t="shared" si="5"/>
        <v>0.81554662288399482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174">
        <v>39</v>
      </c>
      <c r="E40" s="174">
        <f t="shared" si="6"/>
        <v>7</v>
      </c>
      <c r="F40" s="176">
        <f t="shared" si="4"/>
        <v>16.72</v>
      </c>
      <c r="G40" s="178">
        <f>IF(D40=D39,"",_xlfn.IFNA(VLOOKUP(D40,'인원 입력 기능(사과탐)'!$K$5:$N$59,4,FALSE),0))</f>
        <v>611</v>
      </c>
      <c r="H40" s="180">
        <f t="shared" si="1"/>
        <v>3.4592085149748063E-2</v>
      </c>
      <c r="I40" s="191">
        <f>SUM($G$7:G40)</f>
        <v>15016</v>
      </c>
      <c r="J40" s="170">
        <f t="shared" si="5"/>
        <v>0.85013870803374281</v>
      </c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175"/>
      <c r="E41" s="175"/>
      <c r="F41" s="177"/>
      <c r="G41" s="179"/>
      <c r="H41" s="181"/>
      <c r="I41" s="192"/>
      <c r="J41" s="17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38</v>
      </c>
      <c r="E42" s="74">
        <f t="shared" si="6"/>
        <v>7</v>
      </c>
      <c r="F42" s="60">
        <f t="shared" si="4"/>
        <v>14.17</v>
      </c>
      <c r="G42" s="61">
        <f>IF(D42=D41,"",_xlfn.IFNA(VLOOKUP(D42,'인원 입력 기능(사과탐)'!$K$5:$N$59,4,FALSE),0))</f>
        <v>289</v>
      </c>
      <c r="H42" s="62">
        <f t="shared" si="1"/>
        <v>1.6361886429258902E-2</v>
      </c>
      <c r="I42" s="72">
        <f>SUM($G$7:G42)</f>
        <v>15305</v>
      </c>
      <c r="J42" s="64">
        <f t="shared" si="5"/>
        <v>0.86650059446300176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37</v>
      </c>
      <c r="E43" s="74">
        <f t="shared" si="6"/>
        <v>7</v>
      </c>
      <c r="F43" s="60">
        <f t="shared" si="4"/>
        <v>12.5</v>
      </c>
      <c r="G43" s="61">
        <f>IF(D43=D42,"",_xlfn.IFNA(VLOOKUP(D43,'인원 입력 기능(사과탐)'!$K$5:$N$59,4,FALSE),0))</f>
        <v>301</v>
      </c>
      <c r="H43" s="62">
        <f t="shared" si="1"/>
        <v>1.7041272716978997E-2</v>
      </c>
      <c r="I43" s="72">
        <f>SUM($G$7:G43)</f>
        <v>15606</v>
      </c>
      <c r="J43" s="64">
        <f t="shared" si="5"/>
        <v>0.88354186717998073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36</v>
      </c>
      <c r="E44" s="74">
        <f t="shared" si="6"/>
        <v>7</v>
      </c>
      <c r="F44" s="60">
        <f t="shared" si="4"/>
        <v>10.94</v>
      </c>
      <c r="G44" s="61">
        <f>IF(D44=D43,"",_xlfn.IFNA(VLOOKUP(D44,'인원 입력 기능(사과탐)'!$K$5:$N$59,4,FALSE),0))</f>
        <v>249</v>
      </c>
      <c r="H44" s="62">
        <f t="shared" si="1"/>
        <v>1.4097265470191927E-2</v>
      </c>
      <c r="I44" s="72">
        <f>SUM($G$7:G44)</f>
        <v>15855</v>
      </c>
      <c r="J44" s="64">
        <f t="shared" si="5"/>
        <v>0.8976391326501727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35</v>
      </c>
      <c r="E45" s="74">
        <f t="shared" si="6"/>
        <v>8</v>
      </c>
      <c r="F45" s="60">
        <f t="shared" si="4"/>
        <v>9.65</v>
      </c>
      <c r="G45" s="61">
        <f>IF(D45=D44,"",_xlfn.IFNA(VLOOKUP(D45,'인원 입력 기능(사과탐)'!$K$5:$N$59,4,FALSE),0))</f>
        <v>208</v>
      </c>
      <c r="H45" s="62">
        <f t="shared" si="1"/>
        <v>1.1776028987148275E-2</v>
      </c>
      <c r="I45" s="72">
        <f>SUM($G$7:G45)</f>
        <v>16063</v>
      </c>
      <c r="J45" s="64">
        <f t="shared" si="5"/>
        <v>0.90941516163732095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34</v>
      </c>
      <c r="E46" s="74">
        <f t="shared" si="6"/>
        <v>8</v>
      </c>
      <c r="F46" s="60">
        <f t="shared" si="4"/>
        <v>8.07</v>
      </c>
      <c r="G46" s="61">
        <f>IF(D46=D45,"",_xlfn.IFNA(VLOOKUP(D46,'인원 입력 기능(사과탐)'!$K$5:$N$59,4,FALSE),0))</f>
        <v>349</v>
      </c>
      <c r="H46" s="62">
        <f t="shared" si="1"/>
        <v>1.9758817867859366E-2</v>
      </c>
      <c r="I46" s="72">
        <f>SUM($G$7:G46)</f>
        <v>16412</v>
      </c>
      <c r="J46" s="64">
        <f t="shared" si="5"/>
        <v>0.92917397950518033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33</v>
      </c>
      <c r="E47" s="74">
        <f t="shared" si="6"/>
        <v>8</v>
      </c>
      <c r="F47" s="60">
        <f t="shared" si="4"/>
        <v>6.64</v>
      </c>
      <c r="G47" s="61">
        <f>IF(D47=D46,"",_xlfn.IFNA(VLOOKUP(D47,'인원 입력 기능(사과탐)'!$K$5:$N$59,4,FALSE),0))</f>
        <v>157</v>
      </c>
      <c r="H47" s="62">
        <f t="shared" si="1"/>
        <v>8.888637264337881E-3</v>
      </c>
      <c r="I47" s="72">
        <f>SUM($G$7:G47)</f>
        <v>16569</v>
      </c>
      <c r="J47" s="64">
        <f t="shared" si="5"/>
        <v>0.93806261676951819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32</v>
      </c>
      <c r="E48" s="74">
        <f t="shared" si="6"/>
        <v>8</v>
      </c>
      <c r="F48" s="60">
        <f t="shared" si="4"/>
        <v>4.57</v>
      </c>
      <c r="G48" s="61">
        <f>IF(D48=D47,"",_xlfn.IFNA(VLOOKUP(D48,'인원 입력 기능(사과탐)'!$K$5:$N$59,4,FALSE),0))</f>
        <v>575</v>
      </c>
      <c r="H48" s="62">
        <f t="shared" si="1"/>
        <v>3.2553926286587785E-2</v>
      </c>
      <c r="I48" s="72">
        <f>SUM($G$7:G48)</f>
        <v>17144</v>
      </c>
      <c r="J48" s="64">
        <f t="shared" si="5"/>
        <v>0.97061654305610601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31</v>
      </c>
      <c r="E49" s="74">
        <f t="shared" si="6"/>
        <v>9</v>
      </c>
      <c r="F49" s="60">
        <f t="shared" si="4"/>
        <v>2.63</v>
      </c>
      <c r="G49" s="61">
        <f>IF(D49=D48,"",_xlfn.IFNA(VLOOKUP(D49,'인원 입력 기능(사과탐)'!$K$5:$N$59,4,FALSE),0))</f>
        <v>110</v>
      </c>
      <c r="H49" s="62">
        <f t="shared" si="1"/>
        <v>6.2277076374341843E-3</v>
      </c>
      <c r="I49" s="72">
        <f>SUM($G$7:G49)</f>
        <v>17254</v>
      </c>
      <c r="J49" s="64">
        <f t="shared" si="5"/>
        <v>0.97684425069354019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30</v>
      </c>
      <c r="E50" s="74">
        <f t="shared" si="6"/>
        <v>9</v>
      </c>
      <c r="F50" s="60">
        <f t="shared" si="4"/>
        <v>1.88</v>
      </c>
      <c r="G50" s="61">
        <f>IF(D50=D49,"",_xlfn.IFNA(VLOOKUP(D50,'인원 입력 기능(사과탐)'!$K$5:$N$59,4,FALSE),0))</f>
        <v>154</v>
      </c>
      <c r="H50" s="62">
        <f t="shared" si="1"/>
        <v>8.718790692407859E-3</v>
      </c>
      <c r="I50" s="72">
        <f>SUM($G$7:G50)</f>
        <v>17408</v>
      </c>
      <c r="J50" s="64">
        <f t="shared" si="5"/>
        <v>0.98556304138594808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29</v>
      </c>
      <c r="E51" s="74">
        <f t="shared" si="6"/>
        <v>9</v>
      </c>
      <c r="F51" s="60">
        <f t="shared" si="4"/>
        <v>1.25</v>
      </c>
      <c r="G51" s="61">
        <f>IF(D51=D50,"",_xlfn.IFNA(VLOOKUP(D51,'인원 입력 기능(사과탐)'!$K$5:$N$59,4,FALSE),0))</f>
        <v>69</v>
      </c>
      <c r="H51" s="62">
        <f t="shared" si="1"/>
        <v>3.9064711543905341E-3</v>
      </c>
      <c r="I51" s="72">
        <f>SUM($G$7:G51)</f>
        <v>17477</v>
      </c>
      <c r="J51" s="64">
        <f t="shared" si="5"/>
        <v>0.98946951254033855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28</v>
      </c>
      <c r="E52" s="74">
        <f t="shared" si="6"/>
        <v>9</v>
      </c>
      <c r="F52" s="60">
        <f t="shared" si="4"/>
        <v>0.85</v>
      </c>
      <c r="G52" s="61">
        <f>IF(D52=D51,"",_xlfn.IFNA(VLOOKUP(D52,'인원 입력 기능(사과탐)'!$K$5:$N$59,4,FALSE),0))</f>
        <v>73</v>
      </c>
      <c r="H52" s="62">
        <f t="shared" si="1"/>
        <v>4.1329332502972318E-3</v>
      </c>
      <c r="I52" s="72">
        <f>SUM($G$7:G52)</f>
        <v>17550</v>
      </c>
      <c r="J52" s="64">
        <f t="shared" si="5"/>
        <v>0.99360244579063584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27</v>
      </c>
      <c r="E53" s="59">
        <f t="shared" si="6"/>
        <v>9</v>
      </c>
      <c r="F53" s="60">
        <f t="shared" si="4"/>
        <v>0.51</v>
      </c>
      <c r="G53" s="61">
        <f>IF(D53=D52,"",_xlfn.IFNA(VLOOKUP(D53,'인원 입력 기능(사과탐)'!$K$5:$N$59,4,FALSE),0))</f>
        <v>45</v>
      </c>
      <c r="H53" s="62">
        <f t="shared" si="1"/>
        <v>2.5476985789503483E-3</v>
      </c>
      <c r="I53" s="72">
        <f>SUM($G$7:G53)</f>
        <v>17595</v>
      </c>
      <c r="J53" s="64">
        <f t="shared" si="5"/>
        <v>0.99615014436958615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26</v>
      </c>
      <c r="E54" s="59">
        <f t="shared" si="6"/>
        <v>9</v>
      </c>
      <c r="F54" s="60">
        <f t="shared" si="4"/>
        <v>0.28999999999999998</v>
      </c>
      <c r="G54" s="61">
        <f>IF(D54=D53,"",_xlfn.IFNA(VLOOKUP(D54,'인원 입력 기능(사과탐)'!$K$5:$N$59,4,FALSE),0))</f>
        <v>32</v>
      </c>
      <c r="H54" s="62">
        <f t="shared" si="1"/>
        <v>1.811696767253581E-3</v>
      </c>
      <c r="I54" s="72">
        <f>SUM($G$7:G54)</f>
        <v>17627</v>
      </c>
      <c r="J54" s="64">
        <f t="shared" si="5"/>
        <v>0.99796184113683972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25</v>
      </c>
      <c r="E55" s="59">
        <f t="shared" si="6"/>
        <v>9</v>
      </c>
      <c r="F55" s="60">
        <f t="shared" si="4"/>
        <v>0.12</v>
      </c>
      <c r="G55" s="61">
        <f>IF(D55=D54,"",_xlfn.IFNA(VLOOKUP(D55,'인원 입력 기능(사과탐)'!$K$5:$N$59,4,FALSE),0))</f>
        <v>29</v>
      </c>
      <c r="H55" s="62">
        <f t="shared" si="1"/>
        <v>1.6418501953235577E-3</v>
      </c>
      <c r="I55" s="72">
        <f>SUM($G$7:G55)</f>
        <v>17656</v>
      </c>
      <c r="J55" s="64">
        <f t="shared" si="5"/>
        <v>0.99960369133216331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24</v>
      </c>
      <c r="E57" s="112">
        <f t="shared" si="6"/>
        <v>9</v>
      </c>
      <c r="F57" s="79">
        <f>IF(I55=0,ROUND(100*(1-(I54+I57)/2/$J$3),2),ROUND(100*(1-(I55+I57)/2/$J$3),2))</f>
        <v>0.02</v>
      </c>
      <c r="G57" s="113">
        <f>_xlfn.IFNA(VLOOKUP(D57,'인원 입력 기능(사과탐)'!$K$5:$N$59,4,FALSE),0)</f>
        <v>7</v>
      </c>
      <c r="H57" s="81">
        <f>G57/$J$3</f>
        <v>3.9630866783672082E-4</v>
      </c>
      <c r="I57" s="82">
        <f>SUM($G$7:G57)</f>
        <v>17663</v>
      </c>
      <c r="J57" s="114">
        <f>I57/$J$3</f>
        <v>1</v>
      </c>
      <c r="K57" s="36"/>
      <c r="L57" s="20" t="str">
        <f t="shared" si="2"/>
        <v>경고</v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D3:F3"/>
    <mergeCell ref="D4:F4"/>
    <mergeCell ref="I4:J5"/>
    <mergeCell ref="D23:D24"/>
    <mergeCell ref="E23:E24"/>
    <mergeCell ref="F23:F24"/>
    <mergeCell ref="G23:G24"/>
    <mergeCell ref="H23:H24"/>
    <mergeCell ref="I23:I24"/>
    <mergeCell ref="J23:J24"/>
    <mergeCell ref="I40:I41"/>
    <mergeCell ref="J40:J41"/>
    <mergeCell ref="D40:D41"/>
    <mergeCell ref="E40:E41"/>
    <mergeCell ref="F40:F41"/>
    <mergeCell ref="G40:G41"/>
    <mergeCell ref="H40:H41"/>
  </mergeCells>
  <phoneticPr fontId="1" type="noConversion"/>
  <conditionalFormatting sqref="D7:G23 I7:J23 D25:G40 I25:J40 D42:G57 I42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23 D25:D40 D42:D57">
    <cfRule type="expression" dxfId="41" priority="2">
      <formula>$D7=$D8</formula>
    </cfRule>
  </conditionalFormatting>
  <conditionalFormatting sqref="H7:H23 H25:H40 H42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기능'!D11</f>
        <v>30.28</v>
      </c>
      <c r="I3" s="21" t="s">
        <v>70</v>
      </c>
      <c r="J3" s="50">
        <f>'통계 및 응시자 수 입력 기능'!C11</f>
        <v>14395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101</v>
      </c>
      <c r="E4" s="186"/>
      <c r="F4" s="187"/>
      <c r="G4" s="52" t="s">
        <v>73</v>
      </c>
      <c r="H4" s="53" t="str">
        <f>'통계 및 응시자 수 입력 기능'!E11</f>
        <v>10.96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99.45</v>
      </c>
      <c r="G7" s="61">
        <f>_xlfn.IFNA(VLOOKUP(D7,'인원 입력 기능(사과탐)'!$P$5:$S$59,4,FALSE),0)</f>
        <v>159</v>
      </c>
      <c r="H7" s="62">
        <f>G7/$J$3</f>
        <v>1.1045501910385551E-2</v>
      </c>
      <c r="I7" s="63">
        <f>G7</f>
        <v>159</v>
      </c>
      <c r="J7" s="64">
        <f>I7/$J$3</f>
        <v>1.1045501910385551E-2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65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기능'!C68</f>
        <v>62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66</v>
      </c>
      <c r="E9" s="59">
        <f t="shared" si="0"/>
        <v>1</v>
      </c>
      <c r="F9" s="60">
        <f>IF(I8=0,ROUND(100*(1-(I7+I9)/2/$J$3),2),ROUND(100*(1-(I8+I9)/2/$J$3),2))</f>
        <v>98.24</v>
      </c>
      <c r="G9" s="61">
        <f>_xlfn.IFNA(VLOOKUP(D9,'인원 입력 기능(사과탐)'!$P$5:$S$59,4,FALSE),0)</f>
        <v>190</v>
      </c>
      <c r="H9" s="62">
        <f t="shared" ref="H9:H55" si="1">G9/$J$3</f>
        <v>1.3199027440083362E-2</v>
      </c>
      <c r="I9" s="72">
        <f>SUM($G$7:G9)</f>
        <v>349</v>
      </c>
      <c r="J9" s="64">
        <f>I9/$J$3</f>
        <v>2.4244529350468912E-2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65</v>
      </c>
      <c r="E10" s="59">
        <f t="shared" si="0"/>
        <v>1</v>
      </c>
      <c r="F10" s="60">
        <f t="shared" ref="F10:F55" si="4">IF(I9=0,ROUND(100*(1-(I8+I10)/2/$J$3),2),ROUND(100*(1-(I9+I10)/2/$J$3),2))</f>
        <v>96.63</v>
      </c>
      <c r="G10" s="61">
        <f>IF(D10=D9,"",_xlfn.IFNA(VLOOKUP(D10,'인원 입력 기능(사과탐)'!$P$5:$S$59,4,FALSE),0))</f>
        <v>271</v>
      </c>
      <c r="H10" s="62">
        <f t="shared" si="1"/>
        <v>1.8825981243487323E-2</v>
      </c>
      <c r="I10" s="72">
        <f>SUM($G$7:G10)</f>
        <v>620</v>
      </c>
      <c r="J10" s="64">
        <f t="shared" ref="J10:J55" si="5">I10/$J$3</f>
        <v>4.3070510593956238E-2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54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64</v>
      </c>
      <c r="E11" s="59">
        <f t="shared" si="0"/>
        <v>2</v>
      </c>
      <c r="F11" s="60">
        <f t="shared" si="4"/>
        <v>95.24</v>
      </c>
      <c r="G11" s="61">
        <f>IF(D11=D10,"",_xlfn.IFNA(VLOOKUP(D11,'인원 입력 기능(사과탐)'!$P$5:$S$59,4,FALSE),0))</f>
        <v>131</v>
      </c>
      <c r="H11" s="62">
        <f t="shared" si="1"/>
        <v>9.1003820771101071E-3</v>
      </c>
      <c r="I11" s="72">
        <f>SUM($G$7:G11)</f>
        <v>751</v>
      </c>
      <c r="J11" s="64">
        <f t="shared" si="5"/>
        <v>5.2170892671066345E-2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49</v>
      </c>
    </row>
    <row r="12" spans="1:17" s="22" customFormat="1" ht="25" customHeight="1" x14ac:dyDescent="0.45">
      <c r="A12" s="20"/>
      <c r="B12" s="35"/>
      <c r="C12" s="65">
        <v>45</v>
      </c>
      <c r="D12" s="172">
        <f t="shared" si="3"/>
        <v>63</v>
      </c>
      <c r="E12" s="172">
        <f t="shared" si="0"/>
        <v>2</v>
      </c>
      <c r="F12" s="176">
        <f t="shared" si="4"/>
        <v>92.26</v>
      </c>
      <c r="G12" s="178">
        <f>IF(D12=D11,"",_xlfn.IFNA(VLOOKUP(D12,'인원 입력 기능(사과탐)'!$P$5:$S$59,4,FALSE),0))</f>
        <v>726</v>
      </c>
      <c r="H12" s="180">
        <f t="shared" si="1"/>
        <v>5.0434178534213267E-2</v>
      </c>
      <c r="I12" s="191">
        <f>SUM($G$7:G12)</f>
        <v>1477</v>
      </c>
      <c r="J12" s="170">
        <f t="shared" si="5"/>
        <v>0.1026050712052796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42</v>
      </c>
    </row>
    <row r="13" spans="1:17" s="22" customFormat="1" ht="25" customHeight="1" x14ac:dyDescent="0.45">
      <c r="A13" s="20"/>
      <c r="B13" s="35"/>
      <c r="C13" s="58">
        <v>44</v>
      </c>
      <c r="D13" s="173"/>
      <c r="E13" s="173"/>
      <c r="F13" s="177"/>
      <c r="G13" s="179"/>
      <c r="H13" s="181"/>
      <c r="I13" s="192"/>
      <c r="J13" s="17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기능'!C73</f>
        <v>35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62</v>
      </c>
      <c r="E14" s="59">
        <f t="shared" si="0"/>
        <v>2</v>
      </c>
      <c r="F14" s="60">
        <f t="shared" si="4"/>
        <v>88.43</v>
      </c>
      <c r="G14" s="61">
        <f>IF(D14=D13,"",_xlfn.IFNA(VLOOKUP(D14,'인원 입력 기능(사과탐)'!$P$5:$S$59,4,FALSE),0))</f>
        <v>377</v>
      </c>
      <c r="H14" s="62">
        <f t="shared" si="1"/>
        <v>2.6189649183744355E-2</v>
      </c>
      <c r="I14" s="72">
        <f>SUM($G$7:G14)</f>
        <v>1854</v>
      </c>
      <c r="J14" s="64">
        <f t="shared" si="5"/>
        <v>0.12879472038902395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31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61</v>
      </c>
      <c r="E15" s="59">
        <f t="shared" si="0"/>
        <v>3</v>
      </c>
      <c r="F15" s="60">
        <f t="shared" si="4"/>
        <v>85.21</v>
      </c>
      <c r="G15" s="61">
        <f>IF(D15=D14,"",_xlfn.IFNA(VLOOKUP(D15,'인원 입력 기능(사과탐)'!$P$5:$S$59,4,FALSE),0))</f>
        <v>550</v>
      </c>
      <c r="H15" s="62">
        <f t="shared" si="1"/>
        <v>3.8207711010767628E-2</v>
      </c>
      <c r="I15" s="72">
        <f>SUM($G$7:G15)</f>
        <v>2404</v>
      </c>
      <c r="J15" s="64">
        <f t="shared" si="5"/>
        <v>0.1670024313997916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60</v>
      </c>
      <c r="E16" s="59">
        <f t="shared" si="0"/>
        <v>3</v>
      </c>
      <c r="F16" s="60">
        <f t="shared" si="4"/>
        <v>82.04</v>
      </c>
      <c r="G16" s="61">
        <f>IF(D16=D15,"",_xlfn.IFNA(VLOOKUP(D16,'인원 입력 기능(사과탐)'!$P$5:$S$59,4,FALSE),0))</f>
        <v>364</v>
      </c>
      <c r="H16" s="62">
        <f t="shared" si="1"/>
        <v>2.5286557832580756E-2</v>
      </c>
      <c r="I16" s="72">
        <f>SUM($G$7:G16)</f>
        <v>2768</v>
      </c>
      <c r="J16" s="64">
        <f t="shared" si="5"/>
        <v>0.19228898923237236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59</v>
      </c>
      <c r="E17" s="59">
        <f t="shared" si="0"/>
        <v>3</v>
      </c>
      <c r="F17" s="60">
        <f t="shared" si="4"/>
        <v>78.989999999999995</v>
      </c>
      <c r="G17" s="61">
        <f>IF(D17=D16,"",_xlfn.IFNA(VLOOKUP(D17,'인원 입력 기능(사과탐)'!$P$5:$S$59,4,FALSE),0))</f>
        <v>514</v>
      </c>
      <c r="H17" s="62">
        <f t="shared" si="1"/>
        <v>3.5706842653699201E-2</v>
      </c>
      <c r="I17" s="72">
        <f>SUM($G$7:G17)</f>
        <v>3282</v>
      </c>
      <c r="J17" s="64">
        <f t="shared" si="5"/>
        <v>0.22799583188607156</v>
      </c>
      <c r="K17" s="36"/>
      <c r="L17" s="20" t="str">
        <f t="shared" si="2"/>
        <v/>
      </c>
      <c r="N17" s="24"/>
      <c r="Q17" s="24">
        <f>Q7*H3*H4*J3*IFERROR(IF(J57=1, 1, 0), 0)</f>
        <v>310521339.44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58</v>
      </c>
      <c r="E18" s="59">
        <f t="shared" si="0"/>
        <v>3</v>
      </c>
      <c r="F18" s="60">
        <f t="shared" si="4"/>
        <v>75.55</v>
      </c>
      <c r="G18" s="61">
        <f>IF(D18=D17,"",_xlfn.IFNA(VLOOKUP(D18,'인원 입력 기능(사과탐)'!$P$5:$S$59,4,FALSE),0))</f>
        <v>475</v>
      </c>
      <c r="H18" s="62">
        <f t="shared" si="1"/>
        <v>3.2997568600208409E-2</v>
      </c>
      <c r="I18" s="72">
        <f>SUM($G$7:G18)</f>
        <v>3757</v>
      </c>
      <c r="J18" s="64">
        <f t="shared" si="5"/>
        <v>0.26099340048627995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57</v>
      </c>
      <c r="E19" s="59">
        <f t="shared" si="0"/>
        <v>4</v>
      </c>
      <c r="F19" s="60">
        <f t="shared" si="4"/>
        <v>72.25</v>
      </c>
      <c r="G19" s="61">
        <f>IF(D19=D18,"",_xlfn.IFNA(VLOOKUP(D19,'인원 입력 기능(사과탐)'!$P$5:$S$59,4,FALSE),0))</f>
        <v>475</v>
      </c>
      <c r="H19" s="62">
        <f t="shared" si="1"/>
        <v>3.2997568600208409E-2</v>
      </c>
      <c r="I19" s="72">
        <f>SUM($G$7:G19)</f>
        <v>4232</v>
      </c>
      <c r="J19" s="64">
        <f t="shared" si="5"/>
        <v>0.29399096908648836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56</v>
      </c>
      <c r="E20" s="59">
        <f t="shared" si="0"/>
        <v>4</v>
      </c>
      <c r="F20" s="60">
        <f t="shared" si="4"/>
        <v>68.650000000000006</v>
      </c>
      <c r="G20" s="61">
        <f>IF(D20=D19,"",_xlfn.IFNA(VLOOKUP(D20,'인원 입력 기능(사과탐)'!$P$5:$S$59,4,FALSE),0))</f>
        <v>563</v>
      </c>
      <c r="H20" s="62">
        <f t="shared" si="1"/>
        <v>3.9110802361931228E-2</v>
      </c>
      <c r="I20" s="72">
        <f>SUM($G$7:G20)</f>
        <v>4795</v>
      </c>
      <c r="J20" s="64">
        <f t="shared" si="5"/>
        <v>0.33310177144841957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55</v>
      </c>
      <c r="E21" s="74">
        <f t="shared" si="0"/>
        <v>4</v>
      </c>
      <c r="F21" s="60">
        <f t="shared" si="4"/>
        <v>65.180000000000007</v>
      </c>
      <c r="G21" s="61">
        <f>IF(D21=D20,"",_xlfn.IFNA(VLOOKUP(D21,'인원 입력 기능(사과탐)'!$P$5:$S$59,4,FALSE),0))</f>
        <v>434</v>
      </c>
      <c r="H21" s="62">
        <f t="shared" si="1"/>
        <v>3.0149357415769365E-2</v>
      </c>
      <c r="I21" s="72">
        <f>SUM($G$7:G21)</f>
        <v>5229</v>
      </c>
      <c r="J21" s="64">
        <f t="shared" si="5"/>
        <v>0.36325112886418898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54</v>
      </c>
      <c r="E22" s="74">
        <f t="shared" si="0"/>
        <v>4</v>
      </c>
      <c r="F22" s="60">
        <f t="shared" si="4"/>
        <v>61.51</v>
      </c>
      <c r="G22" s="61">
        <f>IF(D22=D21,"",_xlfn.IFNA(VLOOKUP(D22,'인원 입력 기능(사과탐)'!$P$5:$S$59,4,FALSE),0))</f>
        <v>624</v>
      </c>
      <c r="H22" s="62">
        <f t="shared" si="1"/>
        <v>4.3348384855852726E-2</v>
      </c>
      <c r="I22" s="72">
        <f>SUM($G$7:G22)</f>
        <v>5853</v>
      </c>
      <c r="J22" s="64">
        <f t="shared" si="5"/>
        <v>0.40659951372004166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53</v>
      </c>
      <c r="E23" s="74">
        <f t="shared" si="0"/>
        <v>5</v>
      </c>
      <c r="F23" s="60">
        <f t="shared" si="4"/>
        <v>57.52</v>
      </c>
      <c r="G23" s="61">
        <f>IF(D23=D22,"",_xlfn.IFNA(VLOOKUP(D23,'인원 입력 기능(사과탐)'!$P$5:$S$59,4,FALSE),0))</f>
        <v>523</v>
      </c>
      <c r="H23" s="62">
        <f t="shared" si="1"/>
        <v>3.6332059742966306E-2</v>
      </c>
      <c r="I23" s="72">
        <f>SUM($G$7:G23)</f>
        <v>6376</v>
      </c>
      <c r="J23" s="64">
        <f t="shared" si="5"/>
        <v>0.44293157346300799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174">
        <f t="shared" si="3"/>
        <v>52</v>
      </c>
      <c r="E24" s="174">
        <f t="shared" si="0"/>
        <v>5</v>
      </c>
      <c r="F24" s="176">
        <f t="shared" si="4"/>
        <v>52.14</v>
      </c>
      <c r="G24" s="178">
        <f>IF(D24=D23,"",_xlfn.IFNA(VLOOKUP(D24,'인원 입력 기능(사과탐)'!$P$5:$S$59,4,FALSE),0))</f>
        <v>1026</v>
      </c>
      <c r="H24" s="180">
        <f t="shared" si="1"/>
        <v>7.1274748176450159E-2</v>
      </c>
      <c r="I24" s="191">
        <f>SUM($G$7:G24)</f>
        <v>7402</v>
      </c>
      <c r="J24" s="170">
        <f t="shared" si="5"/>
        <v>0.51420632163945812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175"/>
      <c r="E25" s="175"/>
      <c r="F25" s="177"/>
      <c r="G25" s="179"/>
      <c r="H25" s="181"/>
      <c r="I25" s="192"/>
      <c r="J25" s="171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51</v>
      </c>
      <c r="E26" s="74">
        <f t="shared" si="0"/>
        <v>5</v>
      </c>
      <c r="F26" s="60">
        <f t="shared" si="4"/>
        <v>46.99</v>
      </c>
      <c r="G26" s="61">
        <f>IF(D26=D25,"",_xlfn.IFNA(VLOOKUP(D26,'인원 입력 기능(사과탐)'!$P$5:$S$59,4,FALSE),0))</f>
        <v>458</v>
      </c>
      <c r="H26" s="62">
        <f t="shared" si="1"/>
        <v>3.1816602987148314E-2</v>
      </c>
      <c r="I26" s="72">
        <f>SUM($G$7:G26)</f>
        <v>7860</v>
      </c>
      <c r="J26" s="64">
        <f t="shared" si="5"/>
        <v>0.54602292462660651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50</v>
      </c>
      <c r="E27" s="74">
        <f t="shared" si="0"/>
        <v>5</v>
      </c>
      <c r="F27" s="60">
        <f t="shared" si="4"/>
        <v>43.74</v>
      </c>
      <c r="G27" s="61">
        <f>IF(D27=D26,"",_xlfn.IFNA(VLOOKUP(D27,'인원 입력 기능(사과탐)'!$P$5:$S$59,4,FALSE),0))</f>
        <v>478</v>
      </c>
      <c r="H27" s="62">
        <f t="shared" si="1"/>
        <v>3.3205974296630775E-2</v>
      </c>
      <c r="I27" s="72">
        <f>SUM($G$7:G27)</f>
        <v>8338</v>
      </c>
      <c r="J27" s="64">
        <f t="shared" si="5"/>
        <v>0.57922889892323726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49</v>
      </c>
      <c r="E28" s="74">
        <f t="shared" si="0"/>
        <v>5</v>
      </c>
      <c r="F28" s="60">
        <f t="shared" si="4"/>
        <v>40.58</v>
      </c>
      <c r="G28" s="61">
        <f>IF(D28=D27,"",_xlfn.IFNA(VLOOKUP(D28,'인원 입력 기능(사과탐)'!$P$5:$S$59,4,FALSE),0))</f>
        <v>432</v>
      </c>
      <c r="H28" s="62">
        <f t="shared" si="1"/>
        <v>3.0010420284821118E-2</v>
      </c>
      <c r="I28" s="72">
        <f>SUM($G$7:G28)</f>
        <v>8770</v>
      </c>
      <c r="J28" s="64">
        <f t="shared" si="5"/>
        <v>0.60923931920805841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48</v>
      </c>
      <c r="E29" s="74">
        <f t="shared" si="0"/>
        <v>6</v>
      </c>
      <c r="F29" s="60">
        <f t="shared" si="4"/>
        <v>37.71</v>
      </c>
      <c r="G29" s="61">
        <f>IF(D29=D28,"",_xlfn.IFNA(VLOOKUP(D29,'인원 입력 기능(사과탐)'!$P$5:$S$59,4,FALSE),0))</f>
        <v>394</v>
      </c>
      <c r="H29" s="62">
        <f t="shared" si="1"/>
        <v>2.7370614796804447E-2</v>
      </c>
      <c r="I29" s="72">
        <f>SUM($G$7:G29)</f>
        <v>9164</v>
      </c>
      <c r="J29" s="64">
        <f t="shared" si="5"/>
        <v>0.63660993400486277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47</v>
      </c>
      <c r="E30" s="74">
        <f t="shared" si="0"/>
        <v>6</v>
      </c>
      <c r="F30" s="60">
        <f t="shared" si="4"/>
        <v>34.94</v>
      </c>
      <c r="G30" s="61">
        <f>IF(D30=D29,"",_xlfn.IFNA(VLOOKUP(D30,'인원 입력 기능(사과탐)'!$P$5:$S$59,4,FALSE),0))</f>
        <v>403</v>
      </c>
      <c r="H30" s="62">
        <f t="shared" si="1"/>
        <v>2.7995831886071552E-2</v>
      </c>
      <c r="I30" s="72">
        <f>SUM($G$7:G30)</f>
        <v>9567</v>
      </c>
      <c r="J30" s="64">
        <f t="shared" si="5"/>
        <v>0.66460576589093434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46</v>
      </c>
      <c r="E31" s="74">
        <f t="shared" si="0"/>
        <v>6</v>
      </c>
      <c r="F31" s="60">
        <f t="shared" si="4"/>
        <v>32.369999999999997</v>
      </c>
      <c r="G31" s="61">
        <f>IF(D31=D30,"",_xlfn.IFNA(VLOOKUP(D31,'인원 입력 기능(사과탐)'!$P$5:$S$59,4,FALSE),0))</f>
        <v>336</v>
      </c>
      <c r="H31" s="62">
        <f t="shared" si="1"/>
        <v>2.3341437999305315E-2</v>
      </c>
      <c r="I31" s="72">
        <f>SUM($G$7:G31)</f>
        <v>9903</v>
      </c>
      <c r="J31" s="64">
        <f t="shared" si="5"/>
        <v>0.68794720389023967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45</v>
      </c>
      <c r="E32" s="74">
        <f t="shared" si="0"/>
        <v>6</v>
      </c>
      <c r="F32" s="60">
        <f t="shared" si="4"/>
        <v>30.02</v>
      </c>
      <c r="G32" s="61">
        <f>IF(D32=D31,"",_xlfn.IFNA(VLOOKUP(D32,'인원 입력 기능(사과탐)'!$P$5:$S$59,4,FALSE),0))</f>
        <v>340</v>
      </c>
      <c r="H32" s="62">
        <f t="shared" si="1"/>
        <v>2.3619312261201807E-2</v>
      </c>
      <c r="I32" s="72">
        <f>SUM($G$7:G32)</f>
        <v>10243</v>
      </c>
      <c r="J32" s="64">
        <f t="shared" si="5"/>
        <v>0.71156651615144151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44</v>
      </c>
      <c r="E33" s="74">
        <f t="shared" si="0"/>
        <v>6</v>
      </c>
      <c r="F33" s="60">
        <f t="shared" si="4"/>
        <v>27.72</v>
      </c>
      <c r="G33" s="61">
        <f>IF(D33=D32,"",_xlfn.IFNA(VLOOKUP(D33,'인원 입력 기능(사과탐)'!$P$5:$S$59,4,FALSE),0))</f>
        <v>323</v>
      </c>
      <c r="H33" s="62">
        <f t="shared" si="1"/>
        <v>2.2438346648141715E-2</v>
      </c>
      <c r="I33" s="72">
        <f>SUM($G$7:G33)</f>
        <v>10566</v>
      </c>
      <c r="J33" s="64">
        <f t="shared" si="5"/>
        <v>0.73400486279958321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43</v>
      </c>
      <c r="E34" s="74">
        <f t="shared" si="0"/>
        <v>6</v>
      </c>
      <c r="F34" s="60">
        <f t="shared" si="4"/>
        <v>25.63</v>
      </c>
      <c r="G34" s="61">
        <f>IF(D34=D33,"",_xlfn.IFNA(VLOOKUP(D34,'인원 입력 기능(사과탐)'!$P$5:$S$59,4,FALSE),0))</f>
        <v>278</v>
      </c>
      <c r="H34" s="62">
        <f t="shared" si="1"/>
        <v>1.9312261201806184E-2</v>
      </c>
      <c r="I34" s="72">
        <f>SUM($G$7:G34)</f>
        <v>10844</v>
      </c>
      <c r="J34" s="64">
        <f t="shared" si="5"/>
        <v>0.75331712400138939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174">
        <f t="shared" si="3"/>
        <v>42</v>
      </c>
      <c r="E35" s="174">
        <f t="shared" si="0"/>
        <v>6</v>
      </c>
      <c r="F35" s="176">
        <f t="shared" si="4"/>
        <v>22.82</v>
      </c>
      <c r="G35" s="178">
        <f>IF(D35=D34,"",_xlfn.IFNA(VLOOKUP(D35,'인원 입력 기능(사과탐)'!$P$5:$S$59,4,FALSE),0))</f>
        <v>531</v>
      </c>
      <c r="H35" s="180">
        <f t="shared" si="1"/>
        <v>3.6887808266759289E-2</v>
      </c>
      <c r="I35" s="191">
        <f>SUM($G$7:G35)</f>
        <v>11375</v>
      </c>
      <c r="J35" s="170">
        <f t="shared" si="5"/>
        <v>0.7902049322681487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175"/>
      <c r="E36" s="175"/>
      <c r="F36" s="177"/>
      <c r="G36" s="179"/>
      <c r="H36" s="181"/>
      <c r="I36" s="192"/>
      <c r="J36" s="17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41</v>
      </c>
      <c r="E37" s="74">
        <f t="shared" si="0"/>
        <v>7</v>
      </c>
      <c r="F37" s="60">
        <f t="shared" si="4"/>
        <v>20.170000000000002</v>
      </c>
      <c r="G37" s="61">
        <f>IF(D37=D36,"",_xlfn.IFNA(VLOOKUP(D37,'인원 입력 기능(사과탐)'!$P$5:$S$59,4,FALSE),0))</f>
        <v>233</v>
      </c>
      <c r="H37" s="62">
        <f t="shared" si="1"/>
        <v>1.6186175755470648E-2</v>
      </c>
      <c r="I37" s="72">
        <f>SUM($G$7:G37)</f>
        <v>11608</v>
      </c>
      <c r="J37" s="64">
        <f t="shared" si="5"/>
        <v>0.80639110802361935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40</v>
      </c>
      <c r="E38" s="74">
        <f t="shared" si="0"/>
        <v>7</v>
      </c>
      <c r="F38" s="60">
        <f t="shared" si="4"/>
        <v>18.46</v>
      </c>
      <c r="G38" s="61">
        <f>IF(D38=D37,"",_xlfn.IFNA(VLOOKUP(D38,'인원 입력 기능(사과탐)'!$P$5:$S$59,4,FALSE),0))</f>
        <v>258</v>
      </c>
      <c r="H38" s="62">
        <f t="shared" si="1"/>
        <v>1.7922889892323723E-2</v>
      </c>
      <c r="I38" s="72">
        <f>SUM($G$7:G38)</f>
        <v>11866</v>
      </c>
      <c r="J38" s="64">
        <f t="shared" si="5"/>
        <v>0.82431399791594306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39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16.82</v>
      </c>
      <c r="G39" s="61">
        <f>IF(D39=D38,"",_xlfn.IFNA(VLOOKUP(D39,'인원 입력 기능(사과탐)'!$P$5:$S$59,4,FALSE),0))</f>
        <v>216</v>
      </c>
      <c r="H39" s="62">
        <f t="shared" si="1"/>
        <v>1.5005210142410559E-2</v>
      </c>
      <c r="I39" s="72">
        <f>SUM($G$7:G39)</f>
        <v>12082</v>
      </c>
      <c r="J39" s="64">
        <f t="shared" si="5"/>
        <v>0.83931920805835358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38</v>
      </c>
      <c r="E40" s="74">
        <f t="shared" si="6"/>
        <v>7</v>
      </c>
      <c r="F40" s="60">
        <f t="shared" si="4"/>
        <v>15.28</v>
      </c>
      <c r="G40" s="61">
        <f>IF(D40=D39,"",_xlfn.IFNA(VLOOKUP(D40,'인원 입력 기능(사과탐)'!$P$5:$S$59,4,FALSE),0))</f>
        <v>226</v>
      </c>
      <c r="H40" s="62">
        <f t="shared" si="1"/>
        <v>1.5699895797151787E-2</v>
      </c>
      <c r="I40" s="72">
        <f>SUM($G$7:G40)</f>
        <v>12308</v>
      </c>
      <c r="J40" s="64">
        <f t="shared" si="5"/>
        <v>0.85501910385550539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37</v>
      </c>
      <c r="E41" s="74">
        <f t="shared" si="6"/>
        <v>7</v>
      </c>
      <c r="F41" s="60">
        <f t="shared" si="4"/>
        <v>13.83</v>
      </c>
      <c r="G41" s="61">
        <f>IF(D41=D40,"",_xlfn.IFNA(VLOOKUP(D41,'인원 입력 기능(사과탐)'!$P$5:$S$59,4,FALSE),0))</f>
        <v>193</v>
      </c>
      <c r="H41" s="62">
        <f t="shared" si="1"/>
        <v>1.3407433136505732E-2</v>
      </c>
      <c r="I41" s="72">
        <f>SUM($G$7:G41)</f>
        <v>12501</v>
      </c>
      <c r="J41" s="64">
        <f t="shared" si="5"/>
        <v>0.86842653699201111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36</v>
      </c>
      <c r="E42" s="74">
        <f t="shared" si="6"/>
        <v>7</v>
      </c>
      <c r="F42" s="60">
        <f t="shared" si="4"/>
        <v>12.47</v>
      </c>
      <c r="G42" s="61">
        <f>IF(D42=D41,"",_xlfn.IFNA(VLOOKUP(D42,'인원 입력 기능(사과탐)'!$P$5:$S$59,4,FALSE),0))</f>
        <v>197</v>
      </c>
      <c r="H42" s="62">
        <f t="shared" si="1"/>
        <v>1.3685307398402223E-2</v>
      </c>
      <c r="I42" s="72">
        <f>SUM($G$7:G42)</f>
        <v>12698</v>
      </c>
      <c r="J42" s="64">
        <f t="shared" si="5"/>
        <v>0.88211184439041335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35</v>
      </c>
      <c r="E43" s="74">
        <f t="shared" si="6"/>
        <v>7</v>
      </c>
      <c r="F43" s="60">
        <f t="shared" si="4"/>
        <v>11.16</v>
      </c>
      <c r="G43" s="61">
        <f>IF(D43=D42,"",_xlfn.IFNA(VLOOKUP(D43,'인원 입력 기능(사과탐)'!$P$5:$S$59,4,FALSE),0))</f>
        <v>181</v>
      </c>
      <c r="H43" s="62">
        <f t="shared" si="1"/>
        <v>1.2573810350816256E-2</v>
      </c>
      <c r="I43" s="72">
        <f>SUM($G$7:G43)</f>
        <v>12879</v>
      </c>
      <c r="J43" s="64">
        <f t="shared" si="5"/>
        <v>0.89468565474122963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34</v>
      </c>
      <c r="E44" s="74">
        <f t="shared" si="6"/>
        <v>8</v>
      </c>
      <c r="F44" s="60">
        <f t="shared" si="4"/>
        <v>9.0399999999999991</v>
      </c>
      <c r="G44" s="61">
        <f>IF(D44=D43,"",_xlfn.IFNA(VLOOKUP(D44,'인원 입력 기능(사과탐)'!$P$5:$S$59,4,FALSE),0))</f>
        <v>430</v>
      </c>
      <c r="H44" s="62">
        <f t="shared" si="1"/>
        <v>2.9871483153872874E-2</v>
      </c>
      <c r="I44" s="72">
        <f>SUM($G$7:G44)</f>
        <v>13309</v>
      </c>
      <c r="J44" s="64">
        <f t="shared" si="5"/>
        <v>0.92455713789510252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33</v>
      </c>
      <c r="E45" s="74">
        <f t="shared" si="6"/>
        <v>8</v>
      </c>
      <c r="F45" s="60">
        <f t="shared" si="4"/>
        <v>6.93</v>
      </c>
      <c r="G45" s="61">
        <f>IF(D45=D44,"",_xlfn.IFNA(VLOOKUP(D45,'인원 입력 기능(사과탐)'!$P$5:$S$59,4,FALSE),0))</f>
        <v>177</v>
      </c>
      <c r="H45" s="62">
        <f t="shared" si="1"/>
        <v>1.2295936088919764E-2</v>
      </c>
      <c r="I45" s="72">
        <f>SUM($G$7:G45)</f>
        <v>13486</v>
      </c>
      <c r="J45" s="64">
        <f t="shared" si="5"/>
        <v>0.93685307398402218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32</v>
      </c>
      <c r="E46" s="74">
        <f t="shared" si="6"/>
        <v>8</v>
      </c>
      <c r="F46" s="60">
        <f t="shared" si="4"/>
        <v>5.94</v>
      </c>
      <c r="G46" s="61">
        <f>IF(D46=D45,"",_xlfn.IFNA(VLOOKUP(D46,'인원 입력 기능(사과탐)'!$P$5:$S$59,4,FALSE),0))</f>
        <v>109</v>
      </c>
      <c r="H46" s="62">
        <f t="shared" si="1"/>
        <v>7.5720736366794023E-3</v>
      </c>
      <c r="I46" s="72">
        <f>SUM($G$7:G46)</f>
        <v>13595</v>
      </c>
      <c r="J46" s="64">
        <f t="shared" si="5"/>
        <v>0.94442514762070162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174">
        <f t="shared" si="3"/>
        <v>31</v>
      </c>
      <c r="E47" s="174">
        <f t="shared" si="6"/>
        <v>8</v>
      </c>
      <c r="F47" s="176">
        <f t="shared" si="4"/>
        <v>4.0999999999999996</v>
      </c>
      <c r="G47" s="178">
        <f>IF(D47=D46,"",_xlfn.IFNA(VLOOKUP(D47,'인원 입력 기능(사과탐)'!$P$5:$S$59,4,FALSE),0))</f>
        <v>420</v>
      </c>
      <c r="H47" s="180">
        <f t="shared" si="1"/>
        <v>2.9176797499131643E-2</v>
      </c>
      <c r="I47" s="191">
        <f>SUM($G$7:G47)</f>
        <v>14015</v>
      </c>
      <c r="J47" s="170">
        <f t="shared" si="5"/>
        <v>0.97360194511983322</v>
      </c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175"/>
      <c r="E48" s="175"/>
      <c r="F48" s="177"/>
      <c r="G48" s="179"/>
      <c r="H48" s="181"/>
      <c r="I48" s="192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30</v>
      </c>
      <c r="E49" s="74">
        <f t="shared" si="6"/>
        <v>9</v>
      </c>
      <c r="F49" s="60">
        <f t="shared" si="4"/>
        <v>2.2999999999999998</v>
      </c>
      <c r="G49" s="61">
        <f>IF(D49=D48,"",_xlfn.IFNA(VLOOKUP(D49,'인원 입력 기능(사과탐)'!$P$5:$S$59,4,FALSE),0))</f>
        <v>97</v>
      </c>
      <c r="H49" s="62">
        <f t="shared" si="1"/>
        <v>6.738450850989927E-3</v>
      </c>
      <c r="I49" s="72">
        <f>SUM($G$7:G49)</f>
        <v>14112</v>
      </c>
      <c r="J49" s="64">
        <f t="shared" si="5"/>
        <v>0.98034039597082323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29</v>
      </c>
      <c r="E50" s="74">
        <f t="shared" si="6"/>
        <v>9</v>
      </c>
      <c r="F50" s="60">
        <f t="shared" si="4"/>
        <v>1.69</v>
      </c>
      <c r="G50" s="61">
        <f>IF(D50=D49,"",_xlfn.IFNA(VLOOKUP(D50,'인원 입력 기능(사과탐)'!$P$5:$S$59,4,FALSE),0))</f>
        <v>80</v>
      </c>
      <c r="H50" s="62">
        <f t="shared" si="1"/>
        <v>5.5574852379298365E-3</v>
      </c>
      <c r="I50" s="72">
        <f>SUM($G$7:G50)</f>
        <v>14192</v>
      </c>
      <c r="J50" s="64">
        <f t="shared" si="5"/>
        <v>0.98589788120875299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28</v>
      </c>
      <c r="E51" s="74">
        <f t="shared" si="6"/>
        <v>9</v>
      </c>
      <c r="F51" s="60">
        <f t="shared" si="4"/>
        <v>1.1599999999999999</v>
      </c>
      <c r="G51" s="61">
        <f>IF(D51=D50,"",_xlfn.IFNA(VLOOKUP(D51,'인원 입력 기능(사과탐)'!$P$5:$S$59,4,FALSE),0))</f>
        <v>71</v>
      </c>
      <c r="H51" s="62">
        <f t="shared" si="1"/>
        <v>4.9322681486627298E-3</v>
      </c>
      <c r="I51" s="72">
        <f>SUM($G$7:G51)</f>
        <v>14263</v>
      </c>
      <c r="J51" s="64">
        <f t="shared" si="5"/>
        <v>0.99083014935741576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27</v>
      </c>
      <c r="E52" s="74">
        <f t="shared" si="6"/>
        <v>9</v>
      </c>
      <c r="F52" s="60">
        <f t="shared" si="4"/>
        <v>0.71</v>
      </c>
      <c r="G52" s="61">
        <f>IF(D52=D51,"",_xlfn.IFNA(VLOOKUP(D52,'인원 입력 기능(사과탐)'!$P$5:$S$59,4,FALSE),0))</f>
        <v>59</v>
      </c>
      <c r="H52" s="62">
        <f t="shared" si="1"/>
        <v>4.0986453629732545E-3</v>
      </c>
      <c r="I52" s="72">
        <f>SUM($G$7:G52)</f>
        <v>14322</v>
      </c>
      <c r="J52" s="64">
        <f t="shared" si="5"/>
        <v>0.99492879472038898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26</v>
      </c>
      <c r="E53" s="59">
        <f t="shared" si="6"/>
        <v>9</v>
      </c>
      <c r="F53" s="60">
        <f t="shared" si="4"/>
        <v>0.43</v>
      </c>
      <c r="G53" s="61">
        <f>IF(D53=D52,"",_xlfn.IFNA(VLOOKUP(D53,'인원 입력 기능(사과탐)'!$P$5:$S$59,4,FALSE),0))</f>
        <v>21</v>
      </c>
      <c r="H53" s="62">
        <f t="shared" si="1"/>
        <v>1.4588398749565822E-3</v>
      </c>
      <c r="I53" s="72">
        <f>SUM($G$7:G53)</f>
        <v>14343</v>
      </c>
      <c r="J53" s="64">
        <f t="shared" si="5"/>
        <v>0.99638763459534563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25</v>
      </c>
      <c r="E54" s="59">
        <f t="shared" si="6"/>
        <v>9</v>
      </c>
      <c r="F54" s="60">
        <f t="shared" si="4"/>
        <v>0.28999999999999998</v>
      </c>
      <c r="G54" s="61">
        <f>IF(D54=D53,"",_xlfn.IFNA(VLOOKUP(D54,'인원 입력 기능(사과탐)'!$P$5:$S$59,4,FALSE),0))</f>
        <v>21</v>
      </c>
      <c r="H54" s="62">
        <f t="shared" si="1"/>
        <v>1.4588398749565822E-3</v>
      </c>
      <c r="I54" s="72">
        <f>SUM($G$7:G54)</f>
        <v>14364</v>
      </c>
      <c r="J54" s="64">
        <f t="shared" si="5"/>
        <v>0.99784647447030217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24</v>
      </c>
      <c r="E55" s="59">
        <f t="shared" si="6"/>
        <v>9</v>
      </c>
      <c r="F55" s="60">
        <f t="shared" si="4"/>
        <v>0.14000000000000001</v>
      </c>
      <c r="G55" s="61">
        <f>IF(D55=D54,"",_xlfn.IFNA(VLOOKUP(D55,'인원 입력 기능(사과탐)'!$P$5:$S$59,4,FALSE),0))</f>
        <v>23</v>
      </c>
      <c r="H55" s="62">
        <f t="shared" si="1"/>
        <v>1.5977770059048282E-3</v>
      </c>
      <c r="I55" s="72">
        <f>SUM($G$7:G55)</f>
        <v>14387</v>
      </c>
      <c r="J55" s="64">
        <f t="shared" si="5"/>
        <v>0.99944425147620697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22</v>
      </c>
      <c r="E57" s="112">
        <f t="shared" si="6"/>
        <v>9</v>
      </c>
      <c r="F57" s="79">
        <f>IF(I55=0,ROUND(100*(1-(I54+I57)/2/$J$3),2),ROUND(100*(1-(I55+I57)/2/$J$3),2))</f>
        <v>0.03</v>
      </c>
      <c r="G57" s="113">
        <f>_xlfn.IFNA(VLOOKUP(D57,'인원 입력 기능(사과탐)'!$P$5:$S$59,4,FALSE),0)</f>
        <v>8</v>
      </c>
      <c r="H57" s="81">
        <f>G57/$J$3</f>
        <v>5.5574852379298371E-4</v>
      </c>
      <c r="I57" s="82">
        <f>SUM($G$7:G57)</f>
        <v>14395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1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24:I25"/>
    <mergeCell ref="J24:J25"/>
    <mergeCell ref="D35:D36"/>
    <mergeCell ref="E35:E36"/>
    <mergeCell ref="F35:F36"/>
    <mergeCell ref="G35:G36"/>
    <mergeCell ref="H35:H36"/>
    <mergeCell ref="I35:I36"/>
    <mergeCell ref="J35:J36"/>
    <mergeCell ref="D24:D25"/>
    <mergeCell ref="E24:E25"/>
    <mergeCell ref="F24:F25"/>
    <mergeCell ref="G24:G25"/>
    <mergeCell ref="H24:H25"/>
    <mergeCell ref="I47:I48"/>
    <mergeCell ref="J47:J48"/>
    <mergeCell ref="D47:D48"/>
    <mergeCell ref="E47:E48"/>
    <mergeCell ref="F47:F48"/>
    <mergeCell ref="G47:G48"/>
    <mergeCell ref="H47:H48"/>
  </mergeCells>
  <phoneticPr fontId="1" type="noConversion"/>
  <conditionalFormatting sqref="D7:G12 I7:J12 D14:G24 I14:J24 D26:G35 I26:J35 D37:G47 I37:J47 D49:G57 I49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2 D14:D24 D26:D35 D37:D47 D49:D57">
    <cfRule type="expression" dxfId="37" priority="2">
      <formula>$D7=$D8</formula>
    </cfRule>
  </conditionalFormatting>
  <conditionalFormatting sqref="H7:H12 H14:H24 H26:H35 H37:H47 H49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기능'!D12</f>
        <v>21.49</v>
      </c>
      <c r="I3" s="21" t="s">
        <v>70</v>
      </c>
      <c r="J3" s="50">
        <f>'통계 및 응시자 수 입력 기능'!C12</f>
        <v>6143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100</v>
      </c>
      <c r="E4" s="186"/>
      <c r="F4" s="187"/>
      <c r="G4" s="52" t="s">
        <v>73</v>
      </c>
      <c r="H4" s="53" t="str">
        <f>'통계 및 응시자 수 입력 기능'!E12</f>
        <v>10.72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77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99.78</v>
      </c>
      <c r="G7" s="61">
        <f>_xlfn.IFNA(VLOOKUP(D7,'인원 입력 기능(사과탐)'!$A$64:$D$116,4,FALSE),0)</f>
        <v>27</v>
      </c>
      <c r="H7" s="62">
        <f>G7/$J$3</f>
        <v>4.3952466221715775E-3</v>
      </c>
      <c r="I7" s="63">
        <f>G7</f>
        <v>27</v>
      </c>
      <c r="J7" s="64">
        <f>I7/$J$3</f>
        <v>4.3952466221715775E-3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기능'!C77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75</v>
      </c>
      <c r="E9" s="59">
        <f t="shared" si="0"/>
        <v>1</v>
      </c>
      <c r="F9" s="60">
        <f>IF(I8=0,ROUND(100*(1-(I7+I9)/2/$J$3),2),ROUND(100*(1-(I8+I9)/2/$J$3),2))</f>
        <v>99.45</v>
      </c>
      <c r="G9" s="61">
        <f>_xlfn.IFNA(VLOOKUP(D9,'인원 입력 기능(사과탐)'!$A$64:$D$116,4,FALSE),0)</f>
        <v>13</v>
      </c>
      <c r="H9" s="62">
        <f t="shared" ref="H9:H55" si="1">G9/$J$3</f>
        <v>2.1162298551196486E-3</v>
      </c>
      <c r="I9" s="72">
        <f>SUM($G$7:G9)</f>
        <v>40</v>
      </c>
      <c r="J9" s="64">
        <f>I9/$J$3</f>
        <v>6.5114764772912261E-3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74</v>
      </c>
      <c r="E10" s="59">
        <f t="shared" si="0"/>
        <v>1</v>
      </c>
      <c r="F10" s="60">
        <f t="shared" ref="F10:F55" si="4">IF(I9=0,ROUND(100*(1-(I8+I10)/2/$J$3),2),ROUND(100*(1-(I9+I10)/2/$J$3),2))</f>
        <v>98.81</v>
      </c>
      <c r="G10" s="61">
        <f>IF(D10=D9,"",_xlfn.IFNA(VLOOKUP(D10,'인원 입력 기능(사과탐)'!$A$64:$D$116,4,FALSE),0))</f>
        <v>66</v>
      </c>
      <c r="H10" s="62">
        <f t="shared" si="1"/>
        <v>1.0743936187530523E-2</v>
      </c>
      <c r="I10" s="72">
        <f>SUM($G$7:G10)</f>
        <v>106</v>
      </c>
      <c r="J10" s="64">
        <f t="shared" ref="J10:J55" si="5">I10/$J$3</f>
        <v>1.7255412664821747E-2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73</v>
      </c>
      <c r="E11" s="59">
        <f t="shared" si="0"/>
        <v>1</v>
      </c>
      <c r="F11" s="60">
        <f t="shared" si="4"/>
        <v>98.27</v>
      </c>
      <c r="G11" s="61">
        <f>IF(D11=D10,"",_xlfn.IFNA(VLOOKUP(D11,'인원 입력 기능(사과탐)'!$A$64:$D$116,4,FALSE),0))</f>
        <v>0</v>
      </c>
      <c r="H11" s="62">
        <f t="shared" si="1"/>
        <v>0</v>
      </c>
      <c r="I11" s="72">
        <f>SUM($G$7:G11)</f>
        <v>106</v>
      </c>
      <c r="J11" s="64">
        <f t="shared" si="5"/>
        <v>1.7255412664821747E-2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72</v>
      </c>
      <c r="E12" s="59">
        <f t="shared" si="0"/>
        <v>1</v>
      </c>
      <c r="F12" s="60">
        <f t="shared" si="4"/>
        <v>97.89</v>
      </c>
      <c r="G12" s="61">
        <f>IF(D12=D11,"",_xlfn.IFNA(VLOOKUP(D12,'인원 입력 기능(사과탐)'!$A$64:$D$116,4,FALSE),0))</f>
        <v>47</v>
      </c>
      <c r="H12" s="62">
        <f t="shared" si="1"/>
        <v>7.6509848608171905E-3</v>
      </c>
      <c r="I12" s="72">
        <f>SUM($G$7:G12)</f>
        <v>153</v>
      </c>
      <c r="J12" s="64">
        <f t="shared" si="5"/>
        <v>2.4906397525638939E-2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96.92</v>
      </c>
      <c r="G13" s="61">
        <f>IF(D13=D12,"",_xlfn.IFNA(VLOOKUP(D13,'인원 입력 기능(사과탐)'!$A$64:$D$116,4,FALSE),0))</f>
        <v>72</v>
      </c>
      <c r="H13" s="62">
        <f t="shared" si="1"/>
        <v>1.1720657659124207E-2</v>
      </c>
      <c r="I13" s="72">
        <f>SUM($G$7:G13)</f>
        <v>225</v>
      </c>
      <c r="J13" s="64">
        <f t="shared" si="5"/>
        <v>3.6627055184763148E-2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1</v>
      </c>
      <c r="F14" s="60">
        <f t="shared" si="4"/>
        <v>96.08</v>
      </c>
      <c r="G14" s="61">
        <f>IF(D14=D13,"",_xlfn.IFNA(VLOOKUP(D14,'인원 입력 기능(사과탐)'!$A$64:$D$116,4,FALSE),0))</f>
        <v>31</v>
      </c>
      <c r="H14" s="62">
        <f t="shared" si="1"/>
        <v>5.0463942699006999E-3</v>
      </c>
      <c r="I14" s="72">
        <f>SUM($G$7:G14)</f>
        <v>256</v>
      </c>
      <c r="J14" s="64">
        <f t="shared" si="5"/>
        <v>4.1673449454663843E-2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기능'!C83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2</v>
      </c>
      <c r="F15" s="60">
        <f t="shared" si="4"/>
        <v>95.2</v>
      </c>
      <c r="G15" s="61">
        <f>IF(D15=D14,"",_xlfn.IFNA(VLOOKUP(D15,'인원 입력 기능(사과탐)'!$A$64:$D$116,4,FALSE),0))</f>
        <v>78</v>
      </c>
      <c r="H15" s="62">
        <f t="shared" si="1"/>
        <v>1.269737913071789E-2</v>
      </c>
      <c r="I15" s="72">
        <f>SUM($G$7:G15)</f>
        <v>334</v>
      </c>
      <c r="J15" s="64">
        <f t="shared" si="5"/>
        <v>5.4370828585381732E-2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94.12</v>
      </c>
      <c r="G16" s="61">
        <f>IF(D16=D15,"",_xlfn.IFNA(VLOOKUP(D16,'인원 입력 기능(사과탐)'!$A$64:$D$116,4,FALSE),0))</f>
        <v>54</v>
      </c>
      <c r="H16" s="62">
        <f t="shared" si="1"/>
        <v>8.790493244343155E-3</v>
      </c>
      <c r="I16" s="72">
        <f>SUM($G$7:G16)</f>
        <v>388</v>
      </c>
      <c r="J16" s="64">
        <f t="shared" si="5"/>
        <v>6.3161321829724892E-2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93.2</v>
      </c>
      <c r="G17" s="61">
        <f>IF(D17=D16,"",_xlfn.IFNA(VLOOKUP(D17,'인원 입력 기능(사과탐)'!$A$64:$D$116,4,FALSE),0))</f>
        <v>60</v>
      </c>
      <c r="H17" s="62">
        <f t="shared" si="1"/>
        <v>9.7672147159368391E-3</v>
      </c>
      <c r="I17" s="72">
        <f>SUM($G$7:G17)</f>
        <v>448</v>
      </c>
      <c r="J17" s="64">
        <f t="shared" si="5"/>
        <v>7.2928536545661726E-2</v>
      </c>
      <c r="K17" s="36"/>
      <c r="L17" s="20" t="str">
        <f t="shared" si="2"/>
        <v/>
      </c>
      <c r="N17" s="24"/>
      <c r="Q17" s="24">
        <f>Q7*H3*H4*J3*IFERROR(IF(J57=1, 1, 0), 0)</f>
        <v>99062607.728000015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92.09</v>
      </c>
      <c r="G18" s="61">
        <f>IF(D18=D17,"",_xlfn.IFNA(VLOOKUP(D18,'인원 입력 기능(사과탐)'!$A$64:$D$116,4,FALSE),0))</f>
        <v>76</v>
      </c>
      <c r="H18" s="62">
        <f t="shared" si="1"/>
        <v>1.2371805306853329E-2</v>
      </c>
      <c r="I18" s="72">
        <f>SUM($G$7:G18)</f>
        <v>524</v>
      </c>
      <c r="J18" s="64">
        <f t="shared" si="5"/>
        <v>8.530034185251506E-2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91.11</v>
      </c>
      <c r="G19" s="61">
        <f>IF(D19=D18,"",_xlfn.IFNA(VLOOKUP(D19,'인원 입력 기능(사과탐)'!$A$64:$D$116,4,FALSE),0))</f>
        <v>44</v>
      </c>
      <c r="H19" s="62">
        <f t="shared" si="1"/>
        <v>7.1626241250203485E-3</v>
      </c>
      <c r="I19" s="72">
        <f>SUM($G$7:G19)</f>
        <v>568</v>
      </c>
      <c r="J19" s="64">
        <f t="shared" si="5"/>
        <v>9.2462965977535408E-2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172">
        <f t="shared" si="3"/>
        <v>64</v>
      </c>
      <c r="E20" s="172">
        <f t="shared" si="0"/>
        <v>2</v>
      </c>
      <c r="F20" s="176">
        <f t="shared" si="4"/>
        <v>89.23</v>
      </c>
      <c r="G20" s="178">
        <f>IF(D20=D19,"",_xlfn.IFNA(VLOOKUP(D20,'인원 입력 기능(사과탐)'!$A$64:$D$116,4,FALSE),0))</f>
        <v>187</v>
      </c>
      <c r="H20" s="180">
        <f t="shared" si="1"/>
        <v>3.0441152531336481E-2</v>
      </c>
      <c r="I20" s="191">
        <f>SUM($G$7:G20)</f>
        <v>755</v>
      </c>
      <c r="J20" s="170">
        <f t="shared" si="5"/>
        <v>0.12290411850887188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173"/>
      <c r="E21" s="173"/>
      <c r="F21" s="177"/>
      <c r="G21" s="179"/>
      <c r="H21" s="181"/>
      <c r="I21" s="192"/>
      <c r="J21" s="17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63</v>
      </c>
      <c r="E22" s="74">
        <f t="shared" si="0"/>
        <v>3</v>
      </c>
      <c r="F22" s="60">
        <f t="shared" si="4"/>
        <v>87.07</v>
      </c>
      <c r="G22" s="61">
        <f>IF(D22=D21,"",_xlfn.IFNA(VLOOKUP(D22,'인원 입력 기능(사과탐)'!$A$64:$D$116,4,FALSE),0))</f>
        <v>79</v>
      </c>
      <c r="H22" s="62">
        <f t="shared" si="1"/>
        <v>1.2860166042650171E-2</v>
      </c>
      <c r="I22" s="72">
        <f>SUM($G$7:G22)</f>
        <v>834</v>
      </c>
      <c r="J22" s="64">
        <f t="shared" si="5"/>
        <v>0.13576428455152206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62</v>
      </c>
      <c r="E23" s="74">
        <f t="shared" si="0"/>
        <v>3</v>
      </c>
      <c r="F23" s="60">
        <f t="shared" si="4"/>
        <v>85.61</v>
      </c>
      <c r="G23" s="61">
        <f>IF(D23=D22,"",_xlfn.IFNA(VLOOKUP(D23,'인원 입력 기능(사과탐)'!$A$64:$D$116,4,FALSE),0))</f>
        <v>100</v>
      </c>
      <c r="H23" s="62">
        <f t="shared" si="1"/>
        <v>1.6278691193228063E-2</v>
      </c>
      <c r="I23" s="72">
        <f>SUM($G$7:G23)</f>
        <v>934</v>
      </c>
      <c r="J23" s="64">
        <f t="shared" si="5"/>
        <v>0.15204297574475012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61</v>
      </c>
      <c r="E24" s="74">
        <f t="shared" si="0"/>
        <v>3</v>
      </c>
      <c r="F24" s="60">
        <f t="shared" si="4"/>
        <v>83.8</v>
      </c>
      <c r="G24" s="61">
        <f>IF(D24=D23,"",_xlfn.IFNA(VLOOKUP(D24,'인원 입력 기능(사과탐)'!$A$64:$D$116,4,FALSE),0))</f>
        <v>122</v>
      </c>
      <c r="H24" s="62">
        <f t="shared" si="1"/>
        <v>1.9860003255738237E-2</v>
      </c>
      <c r="I24" s="72">
        <f>SUM($G$7:G24)</f>
        <v>1056</v>
      </c>
      <c r="J24" s="64">
        <f t="shared" si="5"/>
        <v>0.17190297900048837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60</v>
      </c>
      <c r="E25" s="74">
        <f t="shared" si="0"/>
        <v>3</v>
      </c>
      <c r="F25" s="60">
        <f t="shared" si="4"/>
        <v>81.83</v>
      </c>
      <c r="G25" s="61">
        <f>IF(D25=D24,"",_xlfn.IFNA(VLOOKUP(D25,'인원 입력 기능(사과탐)'!$A$64:$D$116,4,FALSE),0))</f>
        <v>120</v>
      </c>
      <c r="H25" s="62">
        <f t="shared" si="1"/>
        <v>1.9534429431873678E-2</v>
      </c>
      <c r="I25" s="72">
        <f>SUM($G$7:G25)</f>
        <v>1176</v>
      </c>
      <c r="J25" s="64">
        <f t="shared" si="5"/>
        <v>0.19143740843236204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59</v>
      </c>
      <c r="E26" s="74">
        <f t="shared" si="0"/>
        <v>3</v>
      </c>
      <c r="F26" s="60">
        <f t="shared" si="4"/>
        <v>79.72</v>
      </c>
      <c r="G26" s="61">
        <f>IF(D26=D25,"",_xlfn.IFNA(VLOOKUP(D26,'인원 입력 기능(사과탐)'!$A$64:$D$116,4,FALSE),0))</f>
        <v>139</v>
      </c>
      <c r="H26" s="62">
        <f t="shared" si="1"/>
        <v>2.2627380758587008E-2</v>
      </c>
      <c r="I26" s="72">
        <f>SUM($G$7:G26)</f>
        <v>1315</v>
      </c>
      <c r="J26" s="64">
        <f t="shared" si="5"/>
        <v>0.21406478919094904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77.53</v>
      </c>
      <c r="G27" s="61">
        <f>IF(D27=D26,"",_xlfn.IFNA(VLOOKUP(D27,'인원 입력 기능(사과탐)'!$A$64:$D$116,4,FALSE),0))</f>
        <v>131</v>
      </c>
      <c r="H27" s="62">
        <f t="shared" si="1"/>
        <v>2.1325085463128765E-2</v>
      </c>
      <c r="I27" s="72">
        <f>SUM($G$7:G27)</f>
        <v>1446</v>
      </c>
      <c r="J27" s="64">
        <f t="shared" si="5"/>
        <v>0.23538987465407782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75.37</v>
      </c>
      <c r="G28" s="61">
        <f>IF(D28=D27,"",_xlfn.IFNA(VLOOKUP(D28,'인원 입력 기능(사과탐)'!$A$64:$D$116,4,FALSE),0))</f>
        <v>134</v>
      </c>
      <c r="H28" s="62">
        <f t="shared" si="1"/>
        <v>2.1813446198925605E-2</v>
      </c>
      <c r="I28" s="72">
        <f>SUM($G$7:G28)</f>
        <v>1580</v>
      </c>
      <c r="J28" s="64">
        <f t="shared" si="5"/>
        <v>0.2572033208530034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73.02</v>
      </c>
      <c r="G29" s="61">
        <f>IF(D29=D28,"",_xlfn.IFNA(VLOOKUP(D29,'인원 입력 기능(사과탐)'!$A$64:$D$116,4,FALSE),0))</f>
        <v>155</v>
      </c>
      <c r="H29" s="62">
        <f t="shared" si="1"/>
        <v>2.5231971349503501E-2</v>
      </c>
      <c r="I29" s="72">
        <f>SUM($G$7:G29)</f>
        <v>1735</v>
      </c>
      <c r="J29" s="64">
        <f t="shared" si="5"/>
        <v>0.2824352922025069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70.34</v>
      </c>
      <c r="G30" s="61">
        <f>IF(D30=D29,"",_xlfn.IFNA(VLOOKUP(D30,'인원 입력 기능(사과탐)'!$A$64:$D$116,4,FALSE),0))</f>
        <v>174</v>
      </c>
      <c r="H30" s="62">
        <f t="shared" si="1"/>
        <v>2.8324922676216831E-2</v>
      </c>
      <c r="I30" s="72">
        <f>SUM($G$7:G30)</f>
        <v>1909</v>
      </c>
      <c r="J30" s="64">
        <f t="shared" si="5"/>
        <v>0.31076021487872374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67.430000000000007</v>
      </c>
      <c r="G31" s="61">
        <f>IF(D31=D30,"",_xlfn.IFNA(VLOOKUP(D31,'인원 입력 기능(사과탐)'!$A$64:$D$116,4,FALSE),0))</f>
        <v>184</v>
      </c>
      <c r="H31" s="62">
        <f t="shared" si="1"/>
        <v>2.9952791795539637E-2</v>
      </c>
      <c r="I31" s="72">
        <f>SUM($G$7:G31)</f>
        <v>2093</v>
      </c>
      <c r="J31" s="64">
        <f t="shared" si="5"/>
        <v>0.34071300667426341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64.66</v>
      </c>
      <c r="G32" s="61">
        <f>IF(D32=D31,"",_xlfn.IFNA(VLOOKUP(D32,'인원 입력 기능(사과탐)'!$A$64:$D$116,4,FALSE),0))</f>
        <v>156</v>
      </c>
      <c r="H32" s="62">
        <f t="shared" si="1"/>
        <v>2.5394758261435779E-2</v>
      </c>
      <c r="I32" s="72">
        <f>SUM($G$7:G32)</f>
        <v>2249</v>
      </c>
      <c r="J32" s="64">
        <f t="shared" si="5"/>
        <v>0.36610776493569919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62.06</v>
      </c>
      <c r="G33" s="61">
        <f>IF(D33=D32,"",_xlfn.IFNA(VLOOKUP(D33,'인원 입력 기능(사과탐)'!$A$64:$D$116,4,FALSE),0))</f>
        <v>163</v>
      </c>
      <c r="H33" s="62">
        <f t="shared" si="1"/>
        <v>2.6534266644961745E-2</v>
      </c>
      <c r="I33" s="72">
        <f>SUM($G$7:G33)</f>
        <v>2412</v>
      </c>
      <c r="J33" s="64">
        <f t="shared" si="5"/>
        <v>0.39264203158066091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59.25</v>
      </c>
      <c r="G34" s="61">
        <f>IF(D34=D33,"",_xlfn.IFNA(VLOOKUP(D34,'인원 입력 기능(사과탐)'!$A$64:$D$116,4,FALSE),0))</f>
        <v>182</v>
      </c>
      <c r="H34" s="62">
        <f t="shared" si="1"/>
        <v>2.9627217971675078E-2</v>
      </c>
      <c r="I34" s="72">
        <f>SUM($G$7:G34)</f>
        <v>2594</v>
      </c>
      <c r="J34" s="64">
        <f t="shared" si="5"/>
        <v>0.42226924955233597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174">
        <f t="shared" si="3"/>
        <v>50</v>
      </c>
      <c r="E35" s="174">
        <f t="shared" si="0"/>
        <v>5</v>
      </c>
      <c r="F35" s="176">
        <f t="shared" si="4"/>
        <v>54.64</v>
      </c>
      <c r="G35" s="178">
        <f>IF(D35=D34,"",_xlfn.IFNA(VLOOKUP(D35,'인원 입력 기능(사과탐)'!$A$64:$D$116,4,FALSE),0))</f>
        <v>385</v>
      </c>
      <c r="H35" s="180">
        <f t="shared" si="1"/>
        <v>6.2672961093928045E-2</v>
      </c>
      <c r="I35" s="191">
        <f>SUM($G$7:G35)</f>
        <v>2979</v>
      </c>
      <c r="J35" s="170">
        <f t="shared" si="5"/>
        <v>0.48494221064626403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175"/>
      <c r="E36" s="175"/>
      <c r="F36" s="177"/>
      <c r="G36" s="179"/>
      <c r="H36" s="181"/>
      <c r="I36" s="192"/>
      <c r="J36" s="17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50</v>
      </c>
      <c r="G37" s="61">
        <f>IF(D37=D36,"",_xlfn.IFNA(VLOOKUP(D37,'인원 입력 기능(사과탐)'!$A$64:$D$116,4,FALSE),0))</f>
        <v>185</v>
      </c>
      <c r="H37" s="62">
        <f t="shared" si="1"/>
        <v>3.0115578707471918E-2</v>
      </c>
      <c r="I37" s="72">
        <f>SUM($G$7:G37)</f>
        <v>3164</v>
      </c>
      <c r="J37" s="64">
        <f t="shared" si="5"/>
        <v>0.51505778935373592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46.73</v>
      </c>
      <c r="G38" s="61">
        <f>IF(D38=D37,"",_xlfn.IFNA(VLOOKUP(D38,'인원 입력 기능(사과탐)'!$A$64:$D$116,4,FALSE),0))</f>
        <v>217</v>
      </c>
      <c r="H38" s="62">
        <f t="shared" si="1"/>
        <v>3.5324759889304898E-2</v>
      </c>
      <c r="I38" s="72">
        <f>SUM($G$7:G38)</f>
        <v>3381</v>
      </c>
      <c r="J38" s="64">
        <f t="shared" si="5"/>
        <v>0.55038254924304086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43.42</v>
      </c>
      <c r="G39" s="61">
        <f>IF(D39=D38,"",_xlfn.IFNA(VLOOKUP(D39,'인원 입력 기능(사과탐)'!$A$64:$D$116,4,FALSE),0))</f>
        <v>190</v>
      </c>
      <c r="H39" s="62">
        <f t="shared" si="1"/>
        <v>3.0929513267133321E-2</v>
      </c>
      <c r="I39" s="72">
        <f>SUM($G$7:G39)</f>
        <v>3571</v>
      </c>
      <c r="J39" s="64">
        <f t="shared" si="5"/>
        <v>0.5813120625101742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40.200000000000003</v>
      </c>
      <c r="G40" s="61">
        <f>IF(D40=D39,"",_xlfn.IFNA(VLOOKUP(D40,'인원 입력 기능(사과탐)'!$A$64:$D$116,4,FALSE),0))</f>
        <v>205</v>
      </c>
      <c r="H40" s="62">
        <f t="shared" si="1"/>
        <v>3.337131694611753E-2</v>
      </c>
      <c r="I40" s="72">
        <f>SUM($G$7:G40)</f>
        <v>3776</v>
      </c>
      <c r="J40" s="64">
        <f t="shared" si="5"/>
        <v>0.6146833794562917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36.9</v>
      </c>
      <c r="G41" s="61">
        <f>IF(D41=D40,"",_xlfn.IFNA(VLOOKUP(D41,'인원 입력 기능(사과탐)'!$A$64:$D$116,4,FALSE),0))</f>
        <v>201</v>
      </c>
      <c r="H41" s="62">
        <f t="shared" si="1"/>
        <v>3.2720169298388412E-2</v>
      </c>
      <c r="I41" s="72">
        <f>SUM($G$7:G41)</f>
        <v>3977</v>
      </c>
      <c r="J41" s="64">
        <f t="shared" si="5"/>
        <v>0.64740354875468009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33.79</v>
      </c>
      <c r="G42" s="61">
        <f>IF(D42=D41,"",_xlfn.IFNA(VLOOKUP(D42,'인원 입력 기능(사과탐)'!$A$64:$D$116,4,FALSE),0))</f>
        <v>181</v>
      </c>
      <c r="H42" s="62">
        <f t="shared" si="1"/>
        <v>2.9464431059742797E-2</v>
      </c>
      <c r="I42" s="72">
        <f>SUM($G$7:G42)</f>
        <v>4158</v>
      </c>
      <c r="J42" s="64">
        <f t="shared" si="5"/>
        <v>0.67686797981442293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30.51</v>
      </c>
      <c r="G43" s="61">
        <f>IF(D43=D42,"",_xlfn.IFNA(VLOOKUP(D43,'인원 입력 기능(사과탐)'!$A$64:$D$116,4,FALSE),0))</f>
        <v>221</v>
      </c>
      <c r="H43" s="62">
        <f t="shared" si="1"/>
        <v>3.5975907537034023E-2</v>
      </c>
      <c r="I43" s="72">
        <f>SUM($G$7:G43)</f>
        <v>4379</v>
      </c>
      <c r="J43" s="64">
        <f t="shared" si="5"/>
        <v>0.71284388735145698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27.12</v>
      </c>
      <c r="G44" s="61">
        <f>IF(D44=D43,"",_xlfn.IFNA(VLOOKUP(D44,'인원 입력 기능(사과탐)'!$A$64:$D$116,4,FALSE),0))</f>
        <v>196</v>
      </c>
      <c r="H44" s="62">
        <f t="shared" si="1"/>
        <v>3.1906234738727009E-2</v>
      </c>
      <c r="I44" s="72">
        <f>SUM($G$7:G44)</f>
        <v>4575</v>
      </c>
      <c r="J44" s="64">
        <f t="shared" si="5"/>
        <v>0.74475012209018399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23.58</v>
      </c>
      <c r="G45" s="61">
        <f>IF(D45=D44,"",_xlfn.IFNA(VLOOKUP(D45,'인원 입력 기능(사과탐)'!$A$64:$D$116,4,FALSE),0))</f>
        <v>239</v>
      </c>
      <c r="H45" s="62">
        <f t="shared" si="1"/>
        <v>3.8906071951815072E-2</v>
      </c>
      <c r="I45" s="72">
        <f>SUM($G$7:G45)</f>
        <v>4814</v>
      </c>
      <c r="J45" s="64">
        <f t="shared" si="5"/>
        <v>0.78365619404199904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18.600000000000001</v>
      </c>
      <c r="G46" s="61">
        <f>IF(D46=D45,"",_xlfn.IFNA(VLOOKUP(D46,'인원 입력 기능(사과탐)'!$A$64:$D$116,4,FALSE),0))</f>
        <v>373</v>
      </c>
      <c r="H46" s="62">
        <f t="shared" si="1"/>
        <v>6.0719518150740677E-2</v>
      </c>
      <c r="I46" s="72">
        <f>SUM($G$7:G46)</f>
        <v>5187</v>
      </c>
      <c r="J46" s="64">
        <f t="shared" si="5"/>
        <v>0.84437571219273966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14.2</v>
      </c>
      <c r="G47" s="61">
        <f>IF(D47=D46,"",_xlfn.IFNA(VLOOKUP(D47,'인원 입력 기능(사과탐)'!$A$64:$D$116,4,FALSE),0))</f>
        <v>167</v>
      </c>
      <c r="H47" s="62">
        <f t="shared" si="1"/>
        <v>2.7185414292690866E-2</v>
      </c>
      <c r="I47" s="72">
        <f>SUM($G$7:G47)</f>
        <v>5354</v>
      </c>
      <c r="J47" s="64">
        <f t="shared" si="5"/>
        <v>0.8715611264854306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7</v>
      </c>
      <c r="F48" s="60">
        <f t="shared" si="4"/>
        <v>10.25</v>
      </c>
      <c r="G48" s="61">
        <f>IF(D48=D47,"",_xlfn.IFNA(VLOOKUP(D48,'인원 입력 기능(사과탐)'!$A$64:$D$116,4,FALSE),0))</f>
        <v>319</v>
      </c>
      <c r="H48" s="62">
        <f t="shared" si="1"/>
        <v>5.1929024906397524E-2</v>
      </c>
      <c r="I48" s="72">
        <f>SUM($G$7:G48)</f>
        <v>5673</v>
      </c>
      <c r="J48" s="64">
        <f t="shared" si="5"/>
        <v>0.92349015139182811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6.58</v>
      </c>
      <c r="G49" s="61">
        <f>IF(D49=D48,"",_xlfn.IFNA(VLOOKUP(D49,'인원 입력 기능(사과탐)'!$A$64:$D$116,4,FALSE),0))</f>
        <v>131</v>
      </c>
      <c r="H49" s="62">
        <f t="shared" si="1"/>
        <v>2.1325085463128765E-2</v>
      </c>
      <c r="I49" s="72">
        <f>SUM($G$7:G49)</f>
        <v>5804</v>
      </c>
      <c r="J49" s="64">
        <f t="shared" si="5"/>
        <v>0.94481523685495683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174">
        <f t="shared" si="3"/>
        <v>36</v>
      </c>
      <c r="E50" s="174">
        <f t="shared" si="6"/>
        <v>8</v>
      </c>
      <c r="F50" s="176">
        <f t="shared" si="4"/>
        <v>3.96</v>
      </c>
      <c r="G50" s="178">
        <f>IF(D50=D49,"",_xlfn.IFNA(VLOOKUP(D50,'인원 입력 기능(사과탐)'!$A$64:$D$116,4,FALSE),0))</f>
        <v>191</v>
      </c>
      <c r="H50" s="180">
        <f t="shared" si="1"/>
        <v>3.1092300179065602E-2</v>
      </c>
      <c r="I50" s="191">
        <f>SUM($G$7:G50)</f>
        <v>5995</v>
      </c>
      <c r="J50" s="170">
        <f t="shared" si="5"/>
        <v>0.97590753703402244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175"/>
      <c r="E51" s="175"/>
      <c r="F51" s="177"/>
      <c r="G51" s="179"/>
      <c r="H51" s="181"/>
      <c r="I51" s="192"/>
      <c r="J51" s="171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6"/>
        <v>9</v>
      </c>
      <c r="F52" s="60">
        <f t="shared" si="4"/>
        <v>1.96</v>
      </c>
      <c r="G52" s="61">
        <f>IF(D52=D51,"",_xlfn.IFNA(VLOOKUP(D52,'인원 입력 기능(사과탐)'!$A$64:$D$116,4,FALSE),0))</f>
        <v>55</v>
      </c>
      <c r="H52" s="62">
        <f t="shared" si="1"/>
        <v>8.9532801562754363E-3</v>
      </c>
      <c r="I52" s="72">
        <f>SUM($G$7:G52)</f>
        <v>6050</v>
      </c>
      <c r="J52" s="64">
        <f t="shared" si="5"/>
        <v>0.98486081719029794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1.1100000000000001</v>
      </c>
      <c r="G53" s="61">
        <f>IF(D53=D52,"",_xlfn.IFNA(VLOOKUP(D53,'인원 입력 기능(사과탐)'!$A$64:$D$116,4,FALSE),0))</f>
        <v>50</v>
      </c>
      <c r="H53" s="62">
        <f t="shared" si="1"/>
        <v>8.1393455966140317E-3</v>
      </c>
      <c r="I53" s="72">
        <f>SUM($G$7:G53)</f>
        <v>6100</v>
      </c>
      <c r="J53" s="64">
        <f t="shared" si="5"/>
        <v>0.99300016278691194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0.56000000000000005</v>
      </c>
      <c r="G54" s="61">
        <f>IF(D54=D53,"",_xlfn.IFNA(VLOOKUP(D54,'인원 입력 기능(사과탐)'!$A$64:$D$116,4,FALSE),0))</f>
        <v>17</v>
      </c>
      <c r="H54" s="62">
        <f t="shared" si="1"/>
        <v>2.767377502848771E-3</v>
      </c>
      <c r="I54" s="72">
        <f>SUM($G$7:G54)</f>
        <v>6117</v>
      </c>
      <c r="J54" s="64">
        <f t="shared" si="5"/>
        <v>0.99576754028976067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0.27</v>
      </c>
      <c r="G55" s="61">
        <f>IF(D55=D54,"",_xlfn.IFNA(VLOOKUP(D55,'인원 입력 기능(사과탐)'!$A$64:$D$116,4,FALSE),0))</f>
        <v>19</v>
      </c>
      <c r="H55" s="62">
        <f t="shared" si="1"/>
        <v>3.0929513267133322E-3</v>
      </c>
      <c r="I55" s="72">
        <f>SUM($G$7:G55)</f>
        <v>6136</v>
      </c>
      <c r="J55" s="64">
        <f t="shared" si="5"/>
        <v>0.99886049161647406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기능(사과탐)'!$A$64:$D$116,4,FALSE),0)</f>
        <v>7</v>
      </c>
      <c r="H57" s="81">
        <f>G57/$J$3</f>
        <v>1.1395083835259645E-3</v>
      </c>
      <c r="I57" s="82">
        <f>SUM($G$7:G57)</f>
        <v>6143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  <mergeCell ref="I35:I36"/>
    <mergeCell ref="J35:J36"/>
    <mergeCell ref="D50:D51"/>
    <mergeCell ref="E50:E51"/>
    <mergeCell ref="F50:F51"/>
    <mergeCell ref="G50:G51"/>
    <mergeCell ref="H50:H51"/>
    <mergeCell ref="I50:I51"/>
    <mergeCell ref="J50:J51"/>
    <mergeCell ref="D35:D36"/>
    <mergeCell ref="E35:E36"/>
    <mergeCell ref="F35:F36"/>
    <mergeCell ref="G35:G36"/>
    <mergeCell ref="H35:H36"/>
  </mergeCells>
  <phoneticPr fontId="1" type="noConversion"/>
  <conditionalFormatting sqref="D7:G20 I7:J20 D22:G35 I22:J35 D37:G50 I37:J50 D52:G57 I52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20 D22:D35 D37:D50 D52:D57">
    <cfRule type="expression" dxfId="33" priority="2">
      <formula>$D7=$D8</formula>
    </cfRule>
  </conditionalFormatting>
  <conditionalFormatting sqref="H7:H20 H22:H35 H37:H50 H52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기능'!D13</f>
        <v>22.29</v>
      </c>
      <c r="I3" s="21" t="s">
        <v>70</v>
      </c>
      <c r="J3" s="50">
        <f>'통계 및 응시자 수 입력 기능'!C13</f>
        <v>11409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99</v>
      </c>
      <c r="E4" s="186"/>
      <c r="F4" s="187"/>
      <c r="G4" s="52" t="s">
        <v>73</v>
      </c>
      <c r="H4" s="53" t="str">
        <f>'통계 및 응시자 수 입력 기능'!E13</f>
        <v xml:space="preserve"> 9.50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99.89</v>
      </c>
      <c r="G7" s="61">
        <f>_xlfn.IFNA(VLOOKUP(D7,'인원 입력 기능(사과탐)'!$F$64:$I$116,4,FALSE),0)</f>
        <v>24</v>
      </c>
      <c r="H7" s="62">
        <f>G7/$J$3</f>
        <v>2.1036024191427821E-3</v>
      </c>
      <c r="I7" s="63">
        <f>G7</f>
        <v>24</v>
      </c>
      <c r="J7" s="64">
        <f>I7/$J$3</f>
        <v>2.1036024191427821E-3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기능'!C86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77</v>
      </c>
      <c r="E9" s="59">
        <f t="shared" si="0"/>
        <v>1</v>
      </c>
      <c r="F9" s="60">
        <f>IF(I8=0,ROUND(100*(1-(I7+I9)/2/$J$3),2),ROUND(100*(1-(I8+I9)/2/$J$3),2))</f>
        <v>99.67</v>
      </c>
      <c r="G9" s="61">
        <f>_xlfn.IFNA(VLOOKUP(D9,'인원 입력 기능(사과탐)'!$F$64:$I$116,4,FALSE),0)</f>
        <v>27</v>
      </c>
      <c r="H9" s="62">
        <f t="shared" ref="H9:H55" si="1">G9/$J$3</f>
        <v>2.3665527215356299E-3</v>
      </c>
      <c r="I9" s="72">
        <f>SUM($G$7:G9)</f>
        <v>51</v>
      </c>
      <c r="J9" s="64">
        <f>I9/$J$3</f>
        <v>4.4701551406784116E-3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57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76</v>
      </c>
      <c r="E10" s="59">
        <f t="shared" si="0"/>
        <v>1</v>
      </c>
      <c r="F10" s="60">
        <f t="shared" ref="F10:F55" si="4">IF(I9=0,ROUND(100*(1-(I8+I10)/2/$J$3),2),ROUND(100*(1-(I9+I10)/2/$J$3),2))</f>
        <v>99.41</v>
      </c>
      <c r="G10" s="61">
        <f>IF(D10=D9,"",_xlfn.IFNA(VLOOKUP(D10,'인원 입력 기능(사과탐)'!$F$64:$I$116,4,FALSE),0))</f>
        <v>33</v>
      </c>
      <c r="H10" s="62">
        <f t="shared" si="1"/>
        <v>2.8924533263213251E-3</v>
      </c>
      <c r="I10" s="72">
        <f>SUM($G$7:G10)</f>
        <v>84</v>
      </c>
      <c r="J10" s="64">
        <f t="shared" ref="J10:J55" si="5">I10/$J$3</f>
        <v>7.3626084669997371E-3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75</v>
      </c>
      <c r="E11" s="59">
        <f t="shared" si="0"/>
        <v>1</v>
      </c>
      <c r="F11" s="60">
        <f t="shared" si="4"/>
        <v>99.17</v>
      </c>
      <c r="G11" s="61">
        <f>IF(D11=D10,"",_xlfn.IFNA(VLOOKUP(D11,'인원 입력 기능(사과탐)'!$F$64:$I$116,4,FALSE),0))</f>
        <v>22</v>
      </c>
      <c r="H11" s="62">
        <f t="shared" si="1"/>
        <v>1.9283022175475501E-3</v>
      </c>
      <c r="I11" s="72">
        <f>SUM($G$7:G11)</f>
        <v>106</v>
      </c>
      <c r="J11" s="64">
        <f t="shared" si="5"/>
        <v>9.2909106845472881E-3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74</v>
      </c>
      <c r="E12" s="59">
        <f t="shared" si="0"/>
        <v>1</v>
      </c>
      <c r="F12" s="60">
        <f t="shared" si="4"/>
        <v>98.74</v>
      </c>
      <c r="G12" s="61">
        <f>IF(D12=D11,"",_xlfn.IFNA(VLOOKUP(D12,'인원 입력 기능(사과탐)'!$F$64:$I$116,4,FALSE),0))</f>
        <v>75</v>
      </c>
      <c r="H12" s="62">
        <f t="shared" si="1"/>
        <v>6.5737575598211941E-3</v>
      </c>
      <c r="I12" s="72">
        <f>SUM($G$7:G12)</f>
        <v>181</v>
      </c>
      <c r="J12" s="64">
        <f t="shared" si="5"/>
        <v>1.5864668244368482E-2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73</v>
      </c>
      <c r="E13" s="59">
        <f t="shared" si="0"/>
        <v>1</v>
      </c>
      <c r="F13" s="60">
        <f t="shared" si="4"/>
        <v>98.23</v>
      </c>
      <c r="G13" s="61">
        <f>IF(D13=D12,"",_xlfn.IFNA(VLOOKUP(D13,'인원 입력 기능(사과탐)'!$F$64:$I$116,4,FALSE),0))</f>
        <v>41</v>
      </c>
      <c r="H13" s="62">
        <f t="shared" si="1"/>
        <v>3.5936541327022528E-3</v>
      </c>
      <c r="I13" s="72">
        <f>SUM($G$7:G13)</f>
        <v>222</v>
      </c>
      <c r="J13" s="64">
        <f t="shared" si="5"/>
        <v>1.9458322377070732E-2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37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72</v>
      </c>
      <c r="E14" s="59">
        <f t="shared" si="0"/>
        <v>1</v>
      </c>
      <c r="F14" s="60">
        <f t="shared" si="4"/>
        <v>97.79</v>
      </c>
      <c r="G14" s="61">
        <f>IF(D14=D13,"",_xlfn.IFNA(VLOOKUP(D14,'인원 입력 기능(사과탐)'!$F$64:$I$116,4,FALSE),0))</f>
        <v>60</v>
      </c>
      <c r="H14" s="62">
        <f t="shared" si="1"/>
        <v>5.2590060478569546E-3</v>
      </c>
      <c r="I14" s="72">
        <f>SUM($G$7:G14)</f>
        <v>282</v>
      </c>
      <c r="J14" s="64">
        <f t="shared" si="5"/>
        <v>2.4717328424927687E-2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71</v>
      </c>
      <c r="E15" s="59">
        <f t="shared" si="0"/>
        <v>1</v>
      </c>
      <c r="F15" s="60">
        <f t="shared" si="4"/>
        <v>97.14</v>
      </c>
      <c r="G15" s="61">
        <f>IF(D15=D14,"",_xlfn.IFNA(VLOOKUP(D15,'인원 입력 기능(사과탐)'!$F$64:$I$116,4,FALSE),0))</f>
        <v>88</v>
      </c>
      <c r="H15" s="62">
        <f t="shared" si="1"/>
        <v>7.7132088701902003E-3</v>
      </c>
      <c r="I15" s="72">
        <f>SUM($G$7:G15)</f>
        <v>370</v>
      </c>
      <c r="J15" s="64">
        <f t="shared" si="5"/>
        <v>3.2430537295117891E-2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70</v>
      </c>
      <c r="E16" s="59">
        <f t="shared" si="0"/>
        <v>1</v>
      </c>
      <c r="F16" s="60">
        <f t="shared" si="4"/>
        <v>96.54</v>
      </c>
      <c r="G16" s="61">
        <f>IF(D16=D15,"",_xlfn.IFNA(VLOOKUP(D16,'인원 입력 기능(사과탐)'!$F$64:$I$116,4,FALSE),0))</f>
        <v>49</v>
      </c>
      <c r="H16" s="62">
        <f t="shared" si="1"/>
        <v>4.29485493908318E-3</v>
      </c>
      <c r="I16" s="72">
        <f>SUM($G$7:G16)</f>
        <v>419</v>
      </c>
      <c r="J16" s="64">
        <f t="shared" si="5"/>
        <v>3.6725392234201071E-2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69</v>
      </c>
      <c r="E17" s="59">
        <f t="shared" si="0"/>
        <v>1</v>
      </c>
      <c r="F17" s="60">
        <f t="shared" si="4"/>
        <v>95.81</v>
      </c>
      <c r="G17" s="61">
        <f>IF(D17=D16,"",_xlfn.IFNA(VLOOKUP(D17,'인원 입력 기능(사과탐)'!$F$64:$I$116,4,FALSE),0))</f>
        <v>117</v>
      </c>
      <c r="H17" s="62">
        <f t="shared" si="1"/>
        <v>1.0255061793321063E-2</v>
      </c>
      <c r="I17" s="72">
        <f>SUM($G$7:G17)</f>
        <v>536</v>
      </c>
      <c r="J17" s="64">
        <f t="shared" si="5"/>
        <v>4.6980454027522128E-2</v>
      </c>
      <c r="K17" s="36"/>
      <c r="L17" s="20" t="str">
        <f t="shared" si="2"/>
        <v/>
      </c>
      <c r="N17" s="24"/>
      <c r="Q17" s="24">
        <f>Q7*H3*H4*J3*IFERROR(IF(J57=1, 1, 0), 0)</f>
        <v>166697982.85499999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68</v>
      </c>
      <c r="E18" s="59">
        <f t="shared" si="0"/>
        <v>2</v>
      </c>
      <c r="F18" s="60">
        <f t="shared" si="4"/>
        <v>94.84</v>
      </c>
      <c r="G18" s="61">
        <f>IF(D18=D17,"",_xlfn.IFNA(VLOOKUP(D18,'인원 입력 기능(사과탐)'!$F$64:$I$116,4,FALSE),0))</f>
        <v>106</v>
      </c>
      <c r="H18" s="62">
        <f t="shared" si="1"/>
        <v>9.2909106845472881E-3</v>
      </c>
      <c r="I18" s="72">
        <f>SUM($G$7:G18)</f>
        <v>642</v>
      </c>
      <c r="J18" s="64">
        <f t="shared" si="5"/>
        <v>5.6271364712069422E-2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67</v>
      </c>
      <c r="E19" s="59">
        <f t="shared" si="0"/>
        <v>2</v>
      </c>
      <c r="F19" s="60">
        <f t="shared" si="4"/>
        <v>93.83</v>
      </c>
      <c r="G19" s="61">
        <f>IF(D19=D18,"",_xlfn.IFNA(VLOOKUP(D19,'인원 입력 기능(사과탐)'!$F$64:$I$116,4,FALSE),0))</f>
        <v>123</v>
      </c>
      <c r="H19" s="62">
        <f t="shared" si="1"/>
        <v>1.0780962398106757E-2</v>
      </c>
      <c r="I19" s="72">
        <f>SUM($G$7:G19)</f>
        <v>765</v>
      </c>
      <c r="J19" s="64">
        <f t="shared" si="5"/>
        <v>6.7052327110176183E-2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65</v>
      </c>
      <c r="E20" s="59">
        <f t="shared" si="0"/>
        <v>2</v>
      </c>
      <c r="F20" s="60">
        <f t="shared" si="4"/>
        <v>92.62</v>
      </c>
      <c r="G20" s="61">
        <f>IF(D20=D19,"",_xlfn.IFNA(VLOOKUP(D20,'인원 입력 기능(사과탐)'!$F$64:$I$116,4,FALSE),0))</f>
        <v>153</v>
      </c>
      <c r="H20" s="62">
        <f t="shared" si="1"/>
        <v>1.3410465422035235E-2</v>
      </c>
      <c r="I20" s="72">
        <f>SUM($G$7:G20)</f>
        <v>918</v>
      </c>
      <c r="J20" s="64">
        <f t="shared" si="5"/>
        <v>8.0462792532211405E-2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64</v>
      </c>
      <c r="E21" s="74">
        <f t="shared" si="0"/>
        <v>2</v>
      </c>
      <c r="F21" s="60">
        <f t="shared" si="4"/>
        <v>91.32</v>
      </c>
      <c r="G21" s="61">
        <f>IF(D21=D20,"",_xlfn.IFNA(VLOOKUP(D21,'인원 입력 기능(사과탐)'!$F$64:$I$116,4,FALSE),0))</f>
        <v>145</v>
      </c>
      <c r="H21" s="62">
        <f t="shared" si="1"/>
        <v>1.2709264615654308E-2</v>
      </c>
      <c r="I21" s="72">
        <f>SUM($G$7:G21)</f>
        <v>1063</v>
      </c>
      <c r="J21" s="64">
        <f t="shared" si="5"/>
        <v>9.3172057147865722E-2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63</v>
      </c>
      <c r="E22" s="74">
        <f t="shared" si="0"/>
        <v>2</v>
      </c>
      <c r="F22" s="60">
        <f t="shared" si="4"/>
        <v>89.67</v>
      </c>
      <c r="G22" s="61">
        <f>IF(D22=D21,"",_xlfn.IFNA(VLOOKUP(D22,'인원 입력 기능(사과탐)'!$F$64:$I$116,4,FALSE),0))</f>
        <v>231</v>
      </c>
      <c r="H22" s="62">
        <f t="shared" si="1"/>
        <v>2.0247173284249277E-2</v>
      </c>
      <c r="I22" s="72">
        <f>SUM($G$7:G22)</f>
        <v>1294</v>
      </c>
      <c r="J22" s="64">
        <f t="shared" si="5"/>
        <v>0.11341923043211499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62</v>
      </c>
      <c r="E23" s="74">
        <f t="shared" si="0"/>
        <v>3</v>
      </c>
      <c r="F23" s="60">
        <f t="shared" si="4"/>
        <v>87.85</v>
      </c>
      <c r="G23" s="61">
        <f>IF(D23=D22,"",_xlfn.IFNA(VLOOKUP(D23,'인원 입력 기능(사과탐)'!$F$64:$I$116,4,FALSE),0))</f>
        <v>184</v>
      </c>
      <c r="H23" s="62">
        <f t="shared" si="1"/>
        <v>1.612761854676133E-2</v>
      </c>
      <c r="I23" s="72">
        <f>SUM($G$7:G23)</f>
        <v>1478</v>
      </c>
      <c r="J23" s="64">
        <f t="shared" si="5"/>
        <v>0.12954684897887633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61</v>
      </c>
      <c r="E24" s="74">
        <f t="shared" si="0"/>
        <v>3</v>
      </c>
      <c r="F24" s="60">
        <f t="shared" si="4"/>
        <v>86.05</v>
      </c>
      <c r="G24" s="61">
        <f>IF(D24=D23,"",_xlfn.IFNA(VLOOKUP(D24,'인원 입력 기능(사과탐)'!$F$64:$I$116,4,FALSE),0))</f>
        <v>227</v>
      </c>
      <c r="H24" s="62">
        <f t="shared" si="1"/>
        <v>1.9896572881058814E-2</v>
      </c>
      <c r="I24" s="72">
        <f>SUM($G$7:G24)</f>
        <v>1705</v>
      </c>
      <c r="J24" s="64">
        <f t="shared" si="5"/>
        <v>0.14944342185993514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60</v>
      </c>
      <c r="E25" s="74">
        <f t="shared" si="0"/>
        <v>3</v>
      </c>
      <c r="F25" s="60">
        <f t="shared" si="4"/>
        <v>83.79</v>
      </c>
      <c r="G25" s="61">
        <f>IF(D25=D24,"",_xlfn.IFNA(VLOOKUP(D25,'인원 입력 기능(사과탐)'!$F$64:$I$116,4,FALSE),0))</f>
        <v>289</v>
      </c>
      <c r="H25" s="62">
        <f t="shared" si="1"/>
        <v>2.5330879130510998E-2</v>
      </c>
      <c r="I25" s="72">
        <f>SUM($G$7:G25)</f>
        <v>1994</v>
      </c>
      <c r="J25" s="64">
        <f t="shared" si="5"/>
        <v>0.17477430099044614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59</v>
      </c>
      <c r="E26" s="74">
        <f t="shared" si="0"/>
        <v>3</v>
      </c>
      <c r="F26" s="60">
        <f t="shared" si="4"/>
        <v>81.510000000000005</v>
      </c>
      <c r="G26" s="61">
        <f>IF(D26=D25,"",_xlfn.IFNA(VLOOKUP(D26,'인원 입력 기능(사과탐)'!$F$64:$I$116,4,FALSE),0))</f>
        <v>230</v>
      </c>
      <c r="H26" s="62">
        <f t="shared" si="1"/>
        <v>2.0159523183451662E-2</v>
      </c>
      <c r="I26" s="72">
        <f>SUM($G$7:G26)</f>
        <v>2224</v>
      </c>
      <c r="J26" s="64">
        <f t="shared" si="5"/>
        <v>0.19493382417389779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78.989999999999995</v>
      </c>
      <c r="G27" s="61">
        <f>IF(D27=D26,"",_xlfn.IFNA(VLOOKUP(D27,'인원 입력 기능(사과탐)'!$F$64:$I$116,4,FALSE),0))</f>
        <v>346</v>
      </c>
      <c r="H27" s="62">
        <f t="shared" si="1"/>
        <v>3.0326934875975108E-2</v>
      </c>
      <c r="I27" s="72">
        <f>SUM($G$7:G27)</f>
        <v>2570</v>
      </c>
      <c r="J27" s="64">
        <f t="shared" si="5"/>
        <v>0.22526075904987292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3</v>
      </c>
      <c r="F28" s="60">
        <f t="shared" si="4"/>
        <v>76.05</v>
      </c>
      <c r="G28" s="61">
        <f>IF(D28=D27,"",_xlfn.IFNA(VLOOKUP(D28,'인원 입력 기능(사과탐)'!$F$64:$I$116,4,FALSE),0))</f>
        <v>325</v>
      </c>
      <c r="H28" s="62">
        <f t="shared" si="1"/>
        <v>2.8486282759225174E-2</v>
      </c>
      <c r="I28" s="72">
        <f>SUM($G$7:G28)</f>
        <v>2895</v>
      </c>
      <c r="J28" s="64">
        <f t="shared" si="5"/>
        <v>0.25374704180909807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72.98</v>
      </c>
      <c r="G29" s="61">
        <f>IF(D29=D28,"",_xlfn.IFNA(VLOOKUP(D29,'인원 입력 기능(사과탐)'!$F$64:$I$116,4,FALSE),0))</f>
        <v>376</v>
      </c>
      <c r="H29" s="62">
        <f t="shared" si="1"/>
        <v>3.2956437899903587E-2</v>
      </c>
      <c r="I29" s="72">
        <f>SUM($G$7:G29)</f>
        <v>3271</v>
      </c>
      <c r="J29" s="64">
        <f t="shared" si="5"/>
        <v>0.28670347970900167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69.290000000000006</v>
      </c>
      <c r="G30" s="61">
        <f>IF(D30=D29,"",_xlfn.IFNA(VLOOKUP(D30,'인원 입력 기능(사과탐)'!$F$64:$I$116,4,FALSE),0))</f>
        <v>466</v>
      </c>
      <c r="H30" s="62">
        <f t="shared" si="1"/>
        <v>4.0844946971689014E-2</v>
      </c>
      <c r="I30" s="72">
        <f>SUM($G$7:G30)</f>
        <v>3737</v>
      </c>
      <c r="J30" s="64">
        <f t="shared" si="5"/>
        <v>0.32754842668069067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65.760000000000005</v>
      </c>
      <c r="G31" s="61">
        <f>IF(D31=D30,"",_xlfn.IFNA(VLOOKUP(D31,'인원 입력 기능(사과탐)'!$F$64:$I$116,4,FALSE),0))</f>
        <v>339</v>
      </c>
      <c r="H31" s="62">
        <f t="shared" si="1"/>
        <v>2.9713384170391797E-2</v>
      </c>
      <c r="I31" s="72">
        <f>SUM($G$7:G31)</f>
        <v>4076</v>
      </c>
      <c r="J31" s="64">
        <f t="shared" si="5"/>
        <v>0.3572618108510825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62.09</v>
      </c>
      <c r="G32" s="61">
        <f>IF(D32=D31,"",_xlfn.IFNA(VLOOKUP(D32,'인원 입력 기능(사과탐)'!$F$64:$I$116,4,FALSE),0))</f>
        <v>499</v>
      </c>
      <c r="H32" s="62">
        <f t="shared" si="1"/>
        <v>4.3737400298010341E-2</v>
      </c>
      <c r="I32" s="72">
        <f>SUM($G$7:G32)</f>
        <v>4575</v>
      </c>
      <c r="J32" s="64">
        <f t="shared" si="5"/>
        <v>0.40099921114909282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5</v>
      </c>
      <c r="F33" s="60">
        <f t="shared" si="4"/>
        <v>58.1</v>
      </c>
      <c r="G33" s="61">
        <f>IF(D33=D32,"",_xlfn.IFNA(VLOOKUP(D33,'인원 입력 기능(사과탐)'!$F$64:$I$116,4,FALSE),0))</f>
        <v>411</v>
      </c>
      <c r="H33" s="62">
        <f t="shared" si="1"/>
        <v>3.6024191427820144E-2</v>
      </c>
      <c r="I33" s="72">
        <f>SUM($G$7:G33)</f>
        <v>4986</v>
      </c>
      <c r="J33" s="64">
        <f t="shared" si="5"/>
        <v>0.43702340257691297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5</v>
      </c>
      <c r="F34" s="60">
        <f t="shared" si="4"/>
        <v>54.54</v>
      </c>
      <c r="G34" s="61">
        <f>IF(D34=D33,"",_xlfn.IFNA(VLOOKUP(D34,'인원 입력 기능(사과탐)'!$F$64:$I$116,4,FALSE),0))</f>
        <v>402</v>
      </c>
      <c r="H34" s="62">
        <f t="shared" si="1"/>
        <v>3.5235340520641596E-2</v>
      </c>
      <c r="I34" s="72">
        <f>SUM($G$7:G34)</f>
        <v>5388</v>
      </c>
      <c r="J34" s="64">
        <f t="shared" si="5"/>
        <v>0.47225874309755456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50.71</v>
      </c>
      <c r="G35" s="61">
        <f>IF(D35=D34,"",_xlfn.IFNA(VLOOKUP(D35,'인원 입력 기능(사과탐)'!$F$64:$I$116,4,FALSE),0))</f>
        <v>472</v>
      </c>
      <c r="H35" s="62">
        <f t="shared" si="1"/>
        <v>4.1370847576474711E-2</v>
      </c>
      <c r="I35" s="72">
        <f>SUM($G$7:G35)</f>
        <v>5860</v>
      </c>
      <c r="J35" s="64">
        <f t="shared" si="5"/>
        <v>0.51362959067402925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46.82</v>
      </c>
      <c r="G36" s="61">
        <f>IF(D36=D35,"",_xlfn.IFNA(VLOOKUP(D36,'인원 입력 기능(사과탐)'!$F$64:$I$116,4,FALSE),0))</f>
        <v>415</v>
      </c>
      <c r="H36" s="62">
        <f t="shared" si="1"/>
        <v>3.6374791831010604E-2</v>
      </c>
      <c r="I36" s="72">
        <f>SUM($G$7:G36)</f>
        <v>6275</v>
      </c>
      <c r="J36" s="64">
        <f t="shared" si="5"/>
        <v>0.55000438250503991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43.09</v>
      </c>
      <c r="G37" s="61">
        <f>IF(D37=D36,"",_xlfn.IFNA(VLOOKUP(D37,'인원 입력 기능(사과탐)'!$F$64:$I$116,4,FALSE),0))</f>
        <v>435</v>
      </c>
      <c r="H37" s="62">
        <f t="shared" si="1"/>
        <v>3.8127793846962924E-2</v>
      </c>
      <c r="I37" s="72">
        <f>SUM($G$7:G37)</f>
        <v>6710</v>
      </c>
      <c r="J37" s="64">
        <f t="shared" si="5"/>
        <v>0.58813217635200277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39.26</v>
      </c>
      <c r="G38" s="61">
        <f>IF(D38=D37,"",_xlfn.IFNA(VLOOKUP(D38,'인원 입력 기능(사과탐)'!$F$64:$I$116,4,FALSE),0))</f>
        <v>439</v>
      </c>
      <c r="H38" s="62">
        <f t="shared" si="1"/>
        <v>3.847839425015339E-2</v>
      </c>
      <c r="I38" s="72">
        <f>SUM($G$7:G38)</f>
        <v>7149</v>
      </c>
      <c r="J38" s="64">
        <f t="shared" si="5"/>
        <v>0.62661057060215619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35.590000000000003</v>
      </c>
      <c r="G39" s="61">
        <f>IF(D39=D38,"",_xlfn.IFNA(VLOOKUP(D39,'인원 입력 기능(사과탐)'!$F$64:$I$116,4,FALSE),0))</f>
        <v>399</v>
      </c>
      <c r="H39" s="62">
        <f t="shared" si="1"/>
        <v>3.4972390218248751E-2</v>
      </c>
      <c r="I39" s="72">
        <f>SUM($G$7:G39)</f>
        <v>7548</v>
      </c>
      <c r="J39" s="64">
        <f t="shared" si="5"/>
        <v>0.66158296082040491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31.91</v>
      </c>
      <c r="G40" s="61">
        <f>IF(D40=D39,"",_xlfn.IFNA(VLOOKUP(D40,'인원 입력 기능(사과탐)'!$F$64:$I$116,4,FALSE),0))</f>
        <v>440</v>
      </c>
      <c r="H40" s="62">
        <f t="shared" si="1"/>
        <v>3.8566044350951005E-2</v>
      </c>
      <c r="I40" s="72">
        <f>SUM($G$7:G40)</f>
        <v>7988</v>
      </c>
      <c r="J40" s="64">
        <f t="shared" si="5"/>
        <v>0.70014900517135592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28.5</v>
      </c>
      <c r="G41" s="61">
        <f>IF(D41=D40,"",_xlfn.IFNA(VLOOKUP(D41,'인원 입력 기능(사과탐)'!$F$64:$I$116,4,FALSE),0))</f>
        <v>340</v>
      </c>
      <c r="H41" s="62">
        <f t="shared" si="1"/>
        <v>2.9801034271189412E-2</v>
      </c>
      <c r="I41" s="72">
        <f>SUM($G$7:G41)</f>
        <v>8328</v>
      </c>
      <c r="J41" s="64">
        <f t="shared" si="5"/>
        <v>0.72995003944254533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25.28</v>
      </c>
      <c r="G42" s="61">
        <f>IF(D42=D41,"",_xlfn.IFNA(VLOOKUP(D42,'인원 입력 기능(사과탐)'!$F$64:$I$116,4,FALSE),0))</f>
        <v>394</v>
      </c>
      <c r="H42" s="62">
        <f t="shared" si="1"/>
        <v>3.453413971426067E-2</v>
      </c>
      <c r="I42" s="72">
        <f>SUM($G$7:G42)</f>
        <v>8722</v>
      </c>
      <c r="J42" s="64">
        <f t="shared" si="5"/>
        <v>0.764484179156806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6</v>
      </c>
      <c r="F43" s="60">
        <f t="shared" si="4"/>
        <v>22.01</v>
      </c>
      <c r="G43" s="61">
        <f>IF(D43=D42,"",_xlfn.IFNA(VLOOKUP(D43,'인원 입력 기능(사과탐)'!$F$64:$I$116,4,FALSE),0))</f>
        <v>351</v>
      </c>
      <c r="H43" s="62">
        <f t="shared" si="1"/>
        <v>3.0765185379963186E-2</v>
      </c>
      <c r="I43" s="72">
        <f>SUM($G$7:G43)</f>
        <v>9073</v>
      </c>
      <c r="J43" s="64">
        <f t="shared" si="5"/>
        <v>0.7952493645367692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40</v>
      </c>
      <c r="E44" s="74">
        <f t="shared" si="6"/>
        <v>7</v>
      </c>
      <c r="F44" s="60">
        <f t="shared" si="4"/>
        <v>18.62</v>
      </c>
      <c r="G44" s="61">
        <f>IF(D44=D43,"",_xlfn.IFNA(VLOOKUP(D44,'인원 입력 기능(사과탐)'!$F$64:$I$116,4,FALSE),0))</f>
        <v>423</v>
      </c>
      <c r="H44" s="62">
        <f t="shared" si="1"/>
        <v>3.7075992637391531E-2</v>
      </c>
      <c r="I44" s="72">
        <f>SUM($G$7:G44)</f>
        <v>9496</v>
      </c>
      <c r="J44" s="64">
        <f t="shared" si="5"/>
        <v>0.83232535717416078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15.44</v>
      </c>
      <c r="G45" s="61">
        <f>IF(D45=D44,"",_xlfn.IFNA(VLOOKUP(D45,'인원 입력 기능(사과탐)'!$F$64:$I$116,4,FALSE),0))</f>
        <v>304</v>
      </c>
      <c r="H45" s="62">
        <f t="shared" si="1"/>
        <v>2.664563064247524E-2</v>
      </c>
      <c r="I45" s="72">
        <f>SUM($G$7:G45)</f>
        <v>9800</v>
      </c>
      <c r="J45" s="64">
        <f t="shared" si="5"/>
        <v>0.85897098781663594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12.98</v>
      </c>
      <c r="G46" s="61">
        <f>IF(D46=D45,"",_xlfn.IFNA(VLOOKUP(D46,'인원 입력 기능(사과탐)'!$F$64:$I$116,4,FALSE),0))</f>
        <v>256</v>
      </c>
      <c r="H46" s="62">
        <f t="shared" si="1"/>
        <v>2.2438425804189675E-2</v>
      </c>
      <c r="I46" s="72">
        <f>SUM($G$7:G46)</f>
        <v>10056</v>
      </c>
      <c r="J46" s="64">
        <f t="shared" si="5"/>
        <v>0.8814094136208257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7</v>
      </c>
      <c r="F47" s="60">
        <f t="shared" si="4"/>
        <v>10.18</v>
      </c>
      <c r="G47" s="61">
        <f>IF(D47=D46,"",_xlfn.IFNA(VLOOKUP(D47,'인원 입력 기능(사과탐)'!$F$64:$I$116,4,FALSE),0))</f>
        <v>384</v>
      </c>
      <c r="H47" s="62">
        <f t="shared" si="1"/>
        <v>3.3657638706284514E-2</v>
      </c>
      <c r="I47" s="72">
        <f>SUM($G$7:G47)</f>
        <v>10440</v>
      </c>
      <c r="J47" s="64">
        <f t="shared" si="5"/>
        <v>0.91506705232711016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36</v>
      </c>
      <c r="E48" s="74">
        <f t="shared" si="6"/>
        <v>8</v>
      </c>
      <c r="F48" s="60">
        <f t="shared" si="4"/>
        <v>7.61</v>
      </c>
      <c r="G48" s="61">
        <f>IF(D48=D47,"",_xlfn.IFNA(VLOOKUP(D48,'인원 입력 기능(사과탐)'!$F$64:$I$116,4,FALSE),0))</f>
        <v>201</v>
      </c>
      <c r="H48" s="62">
        <f t="shared" si="1"/>
        <v>1.7617670260320798E-2</v>
      </c>
      <c r="I48" s="72">
        <f>SUM($G$7:G48)</f>
        <v>10641</v>
      </c>
      <c r="J48" s="64">
        <f t="shared" si="5"/>
        <v>0.93268472258743096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35</v>
      </c>
      <c r="E49" s="74">
        <f t="shared" si="6"/>
        <v>8</v>
      </c>
      <c r="F49" s="60">
        <f t="shared" si="4"/>
        <v>4.8600000000000003</v>
      </c>
      <c r="G49" s="61">
        <f>IF(D49=D48,"",_xlfn.IFNA(VLOOKUP(D49,'인원 입력 기능(사과탐)'!$F$64:$I$116,4,FALSE),0))</f>
        <v>428</v>
      </c>
      <c r="H49" s="62">
        <f t="shared" si="1"/>
        <v>3.7514243141379612E-2</v>
      </c>
      <c r="I49" s="72">
        <f>SUM($G$7:G49)</f>
        <v>11069</v>
      </c>
      <c r="J49" s="64">
        <f t="shared" si="5"/>
        <v>0.97019896572881059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34</v>
      </c>
      <c r="E50" s="74">
        <f t="shared" si="6"/>
        <v>9</v>
      </c>
      <c r="F50" s="60">
        <f t="shared" si="4"/>
        <v>2.4900000000000002</v>
      </c>
      <c r="G50" s="61">
        <f>IF(D50=D49,"",_xlfn.IFNA(VLOOKUP(D50,'인원 입력 기능(사과탐)'!$F$64:$I$116,4,FALSE),0))</f>
        <v>112</v>
      </c>
      <c r="H50" s="62">
        <f t="shared" si="1"/>
        <v>9.8168112893329829E-3</v>
      </c>
      <c r="I50" s="72">
        <f>SUM($G$7:G50)</f>
        <v>11181</v>
      </c>
      <c r="J50" s="64">
        <f t="shared" si="5"/>
        <v>0.98001577701814357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33</v>
      </c>
      <c r="E51" s="74">
        <f t="shared" si="6"/>
        <v>9</v>
      </c>
      <c r="F51" s="60">
        <f t="shared" si="4"/>
        <v>1.67</v>
      </c>
      <c r="G51" s="61">
        <f>IF(D51=D50,"",_xlfn.IFNA(VLOOKUP(D51,'인원 입력 기능(사과탐)'!$F$64:$I$116,4,FALSE),0))</f>
        <v>76</v>
      </c>
      <c r="H51" s="62">
        <f t="shared" si="1"/>
        <v>6.6614076606188099E-3</v>
      </c>
      <c r="I51" s="72">
        <f>SUM($G$7:G51)</f>
        <v>11257</v>
      </c>
      <c r="J51" s="64">
        <f t="shared" si="5"/>
        <v>0.98667718467876242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32</v>
      </c>
      <c r="E52" s="74">
        <f t="shared" si="6"/>
        <v>9</v>
      </c>
      <c r="F52" s="60">
        <f t="shared" si="4"/>
        <v>1.04</v>
      </c>
      <c r="G52" s="61">
        <f>IF(D52=D51,"",_xlfn.IFNA(VLOOKUP(D52,'인원 입력 기능(사과탐)'!$F$64:$I$116,4,FALSE),0))</f>
        <v>66</v>
      </c>
      <c r="H52" s="62">
        <f t="shared" si="1"/>
        <v>5.7849066526426502E-3</v>
      </c>
      <c r="I52" s="72">
        <f>SUM($G$7:G52)</f>
        <v>11323</v>
      </c>
      <c r="J52" s="64">
        <f t="shared" si="5"/>
        <v>0.99246209133140506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31</v>
      </c>
      <c r="E53" s="59">
        <f t="shared" si="6"/>
        <v>9</v>
      </c>
      <c r="F53" s="60">
        <f t="shared" si="4"/>
        <v>0.57999999999999996</v>
      </c>
      <c r="G53" s="61">
        <f>IF(D53=D52,"",_xlfn.IFNA(VLOOKUP(D53,'인원 입력 기능(사과탐)'!$F$64:$I$116,4,FALSE),0))</f>
        <v>40</v>
      </c>
      <c r="H53" s="62">
        <f t="shared" si="1"/>
        <v>3.5060040319046365E-3</v>
      </c>
      <c r="I53" s="72">
        <f>SUM($G$7:G53)</f>
        <v>11363</v>
      </c>
      <c r="J53" s="64">
        <f t="shared" si="5"/>
        <v>0.99596809536330966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30</v>
      </c>
      <c r="E54" s="59">
        <f t="shared" si="6"/>
        <v>9</v>
      </c>
      <c r="F54" s="60">
        <f t="shared" si="4"/>
        <v>0.35</v>
      </c>
      <c r="G54" s="61">
        <f>IF(D54=D53,"",_xlfn.IFNA(VLOOKUP(D54,'인원 입력 기능(사과탐)'!$F$64:$I$116,4,FALSE),0))</f>
        <v>12</v>
      </c>
      <c r="H54" s="62">
        <f t="shared" si="1"/>
        <v>1.0518012095713911E-3</v>
      </c>
      <c r="I54" s="72">
        <f>SUM($G$7:G54)</f>
        <v>11375</v>
      </c>
      <c r="J54" s="64">
        <f t="shared" si="5"/>
        <v>0.99701989657288104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29</v>
      </c>
      <c r="E55" s="59">
        <f t="shared" si="6"/>
        <v>9</v>
      </c>
      <c r="F55" s="60">
        <f t="shared" si="4"/>
        <v>0.2</v>
      </c>
      <c r="G55" s="61">
        <f>IF(D55=D54,"",_xlfn.IFNA(VLOOKUP(D55,'인원 입력 기능(사과탐)'!$F$64:$I$116,4,FALSE),0))</f>
        <v>23</v>
      </c>
      <c r="H55" s="62">
        <f t="shared" si="1"/>
        <v>2.0159523183451663E-3</v>
      </c>
      <c r="I55" s="72">
        <f>SUM($G$7:G55)</f>
        <v>11398</v>
      </c>
      <c r="J55" s="64">
        <f t="shared" si="5"/>
        <v>0.99903584889122621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27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기능(사과탐)'!$F$64:$I$116,4,FALSE),0)</f>
        <v>11</v>
      </c>
      <c r="H57" s="81">
        <f>G57/$J$3</f>
        <v>9.6415110877377504E-4</v>
      </c>
      <c r="I57" s="82">
        <f>SUM($G$7:G57)</f>
        <v>11409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57">
    <cfRule type="expression" dxfId="29" priority="2">
      <formula>$D7=$D8</formula>
    </cfRule>
  </conditionalFormatting>
  <conditionalFormatting sqref="H7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기능'!D14</f>
        <v>21.00</v>
      </c>
      <c r="I3" s="21" t="s">
        <v>70</v>
      </c>
      <c r="J3" s="50">
        <f>'통계 및 응시자 수 입력 기능'!C14</f>
        <v>9198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98</v>
      </c>
      <c r="E4" s="186"/>
      <c r="F4" s="187"/>
      <c r="G4" s="52" t="s">
        <v>73</v>
      </c>
      <c r="H4" s="53" t="str">
        <f>'통계 및 응시자 수 입력 기능'!E14</f>
        <v>10.33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</v>
      </c>
      <c r="G7" s="61">
        <f>_xlfn.IFNA(VLOOKUP(D7,'인원 입력 기능(사과탐)'!$K$64:$N$116,4,FALSE),0)</f>
        <v>18</v>
      </c>
      <c r="H7" s="62">
        <f>G7/$J$3</f>
        <v>1.9569471624266144E-3</v>
      </c>
      <c r="I7" s="63">
        <f>G7</f>
        <v>18</v>
      </c>
      <c r="J7" s="64">
        <f>I7/$J$3</f>
        <v>1.9569471624266144E-3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76</v>
      </c>
      <c r="E9" s="59">
        <f t="shared" si="0"/>
        <v>1</v>
      </c>
      <c r="F9" s="60">
        <f>IF(I8=0,ROUND(100*(1-(I7+I9)/2/$J$3),2),ROUND(100*(1-(I8+I9)/2/$J$3),2))</f>
        <v>99.73</v>
      </c>
      <c r="G9" s="61">
        <f>_xlfn.IFNA(VLOOKUP(D9,'인원 입력 기능(사과탐)'!$K$64:$N$116,4,FALSE),0)</f>
        <v>14</v>
      </c>
      <c r="H9" s="62">
        <f t="shared" ref="H9:H55" si="1">G9/$J$3</f>
        <v>1.5220700152207001E-3</v>
      </c>
      <c r="I9" s="72">
        <f>SUM($G$7:G9)</f>
        <v>32</v>
      </c>
      <c r="J9" s="64">
        <f>I9/$J$3</f>
        <v>3.4790171776473144E-3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75</v>
      </c>
      <c r="E10" s="59">
        <f t="shared" si="0"/>
        <v>1</v>
      </c>
      <c r="F10" s="60">
        <f t="shared" ref="F10:F55" si="4">IF(I9=0,ROUND(100*(1-(I8+I10)/2/$J$3),2),ROUND(100*(1-(I9+I10)/2/$J$3),2))</f>
        <v>99.47</v>
      </c>
      <c r="G10" s="61">
        <f>IF(D10=D9,"",_xlfn.IFNA(VLOOKUP(D10,'인원 입력 기능(사과탐)'!$K$64:$N$116,4,FALSE),0))</f>
        <v>34</v>
      </c>
      <c r="H10" s="62">
        <f t="shared" si="1"/>
        <v>3.6964557512502716E-3</v>
      </c>
      <c r="I10" s="72">
        <f>SUM($G$7:G10)</f>
        <v>66</v>
      </c>
      <c r="J10" s="64">
        <f t="shared" ref="J10:J55" si="5">I10/$J$3</f>
        <v>7.175472928897586E-3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74</v>
      </c>
      <c r="E11" s="59">
        <f t="shared" si="0"/>
        <v>1</v>
      </c>
      <c r="F11" s="60">
        <f t="shared" si="4"/>
        <v>99.27</v>
      </c>
      <c r="G11" s="61">
        <f>IF(D11=D10,"",_xlfn.IFNA(VLOOKUP(D11,'인원 입력 기능(사과탐)'!$K$64:$N$116,4,FALSE),0))</f>
        <v>3</v>
      </c>
      <c r="H11" s="62">
        <f t="shared" si="1"/>
        <v>3.2615786040443573E-4</v>
      </c>
      <c r="I11" s="72">
        <f>SUM($G$7:G11)</f>
        <v>69</v>
      </c>
      <c r="J11" s="64">
        <f t="shared" si="5"/>
        <v>7.5016307893020218E-3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73</v>
      </c>
      <c r="E12" s="59">
        <f t="shared" si="0"/>
        <v>1</v>
      </c>
      <c r="F12" s="60">
        <f t="shared" si="4"/>
        <v>99.12</v>
      </c>
      <c r="G12" s="61">
        <f>IF(D12=D11,"",_xlfn.IFNA(VLOOKUP(D12,'인원 입력 기능(사과탐)'!$K$64:$N$116,4,FALSE),0))</f>
        <v>23</v>
      </c>
      <c r="H12" s="62">
        <f t="shared" si="1"/>
        <v>2.5005435964340073E-3</v>
      </c>
      <c r="I12" s="72">
        <f>SUM($G$7:G12)</f>
        <v>92</v>
      </c>
      <c r="J12" s="64">
        <f t="shared" si="5"/>
        <v>1.0002174385736029E-2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72</v>
      </c>
      <c r="E13" s="59">
        <f t="shared" si="0"/>
        <v>1</v>
      </c>
      <c r="F13" s="60">
        <f t="shared" si="4"/>
        <v>98.7</v>
      </c>
      <c r="G13" s="61">
        <f>IF(D13=D12,"",_xlfn.IFNA(VLOOKUP(D13,'인원 입력 기능(사과탐)'!$K$64:$N$116,4,FALSE),0))</f>
        <v>55</v>
      </c>
      <c r="H13" s="62">
        <f t="shared" si="1"/>
        <v>5.9795607740813217E-3</v>
      </c>
      <c r="I13" s="72">
        <f>SUM($G$7:G13)</f>
        <v>147</v>
      </c>
      <c r="J13" s="64">
        <f t="shared" si="5"/>
        <v>1.5981735159817351E-2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71</v>
      </c>
      <c r="E14" s="59">
        <f t="shared" si="0"/>
        <v>1</v>
      </c>
      <c r="F14" s="60">
        <f t="shared" si="4"/>
        <v>98.25</v>
      </c>
      <c r="G14" s="61">
        <f>IF(D14=D13,"",_xlfn.IFNA(VLOOKUP(D14,'인원 입력 기능(사과탐)'!$K$64:$N$116,4,FALSE),0))</f>
        <v>28</v>
      </c>
      <c r="H14" s="62">
        <f t="shared" si="1"/>
        <v>3.0441400304414001E-3</v>
      </c>
      <c r="I14" s="72">
        <f>SUM($G$7:G14)</f>
        <v>175</v>
      </c>
      <c r="J14" s="64">
        <f t="shared" si="5"/>
        <v>1.9025875190258751E-2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70</v>
      </c>
      <c r="E15" s="59">
        <f t="shared" si="0"/>
        <v>1</v>
      </c>
      <c r="F15" s="60">
        <f t="shared" si="4"/>
        <v>97.59</v>
      </c>
      <c r="G15" s="61">
        <f>IF(D15=D14,"",_xlfn.IFNA(VLOOKUP(D15,'인원 입력 기능(사과탐)'!$K$64:$N$116,4,FALSE),0))</f>
        <v>94</v>
      </c>
      <c r="H15" s="62">
        <f t="shared" si="1"/>
        <v>1.0219612959338986E-2</v>
      </c>
      <c r="I15" s="72">
        <f>SUM($G$7:G15)</f>
        <v>269</v>
      </c>
      <c r="J15" s="64">
        <f t="shared" si="5"/>
        <v>2.9245488149597737E-2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69</v>
      </c>
      <c r="E16" s="59">
        <f t="shared" si="0"/>
        <v>1</v>
      </c>
      <c r="F16" s="60">
        <f t="shared" si="4"/>
        <v>96.76</v>
      </c>
      <c r="G16" s="61">
        <f>IF(D16=D15,"",_xlfn.IFNA(VLOOKUP(D16,'인원 입력 기능(사과탐)'!$K$64:$N$116,4,FALSE),0))</f>
        <v>58</v>
      </c>
      <c r="H16" s="62">
        <f t="shared" si="1"/>
        <v>6.3057186344857574E-3</v>
      </c>
      <c r="I16" s="72">
        <f>SUM($G$7:G16)</f>
        <v>327</v>
      </c>
      <c r="J16" s="64">
        <f t="shared" si="5"/>
        <v>3.5551206784083494E-2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68</v>
      </c>
      <c r="E17" s="59">
        <f t="shared" si="0"/>
        <v>1</v>
      </c>
      <c r="F17" s="60">
        <f t="shared" si="4"/>
        <v>96.08</v>
      </c>
      <c r="G17" s="61">
        <f>IF(D17=D16,"",_xlfn.IFNA(VLOOKUP(D17,'인원 입력 기능(사과탐)'!$K$64:$N$116,4,FALSE),0))</f>
        <v>67</v>
      </c>
      <c r="H17" s="62">
        <f t="shared" si="1"/>
        <v>7.2841922156990646E-3</v>
      </c>
      <c r="I17" s="72">
        <f>SUM($G$7:G17)</f>
        <v>394</v>
      </c>
      <c r="J17" s="64">
        <f t="shared" si="5"/>
        <v>4.2835398999782559E-2</v>
      </c>
      <c r="K17" s="36"/>
      <c r="L17" s="20" t="str">
        <f t="shared" si="2"/>
        <v/>
      </c>
      <c r="N17" s="24"/>
      <c r="Q17" s="24">
        <f>Q7*H3*H4*J3*IFERROR(IF(J57=1, 1, 0), 0)</f>
        <v>135681905.52000001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67</v>
      </c>
      <c r="E18" s="59">
        <f t="shared" si="0"/>
        <v>2</v>
      </c>
      <c r="F18" s="60">
        <f t="shared" si="4"/>
        <v>94.93</v>
      </c>
      <c r="G18" s="61">
        <f>IF(D18=D17,"",_xlfn.IFNA(VLOOKUP(D18,'인원 입력 기능(사과탐)'!$K$64:$N$116,4,FALSE),0))</f>
        <v>144</v>
      </c>
      <c r="H18" s="62">
        <f t="shared" si="1"/>
        <v>1.5655577299412915E-2</v>
      </c>
      <c r="I18" s="72">
        <f>SUM($G$7:G18)</f>
        <v>538</v>
      </c>
      <c r="J18" s="64">
        <f t="shared" si="5"/>
        <v>5.8490976299195474E-2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66</v>
      </c>
      <c r="E19" s="59">
        <f t="shared" si="0"/>
        <v>2</v>
      </c>
      <c r="F19" s="60">
        <f t="shared" si="4"/>
        <v>93.57</v>
      </c>
      <c r="G19" s="61">
        <f>IF(D19=D18,"",_xlfn.IFNA(VLOOKUP(D19,'인원 입력 기능(사과탐)'!$K$64:$N$116,4,FALSE),0))</f>
        <v>107</v>
      </c>
      <c r="H19" s="62">
        <f t="shared" si="1"/>
        <v>1.1632963687758208E-2</v>
      </c>
      <c r="I19" s="72">
        <f>SUM($G$7:G19)</f>
        <v>645</v>
      </c>
      <c r="J19" s="64">
        <f t="shared" si="5"/>
        <v>7.0123939986953682E-2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172">
        <f t="shared" si="3"/>
        <v>65</v>
      </c>
      <c r="E20" s="172">
        <f t="shared" si="0"/>
        <v>2</v>
      </c>
      <c r="F20" s="176">
        <f t="shared" si="4"/>
        <v>91.28</v>
      </c>
      <c r="G20" s="178">
        <f>IF(D20=D19,"",_xlfn.IFNA(VLOOKUP(D20,'인원 입력 기능(사과탐)'!$K$64:$N$116,4,FALSE),0))</f>
        <v>314</v>
      </c>
      <c r="H20" s="180">
        <f t="shared" si="1"/>
        <v>3.4137856055664273E-2</v>
      </c>
      <c r="I20" s="191">
        <f>SUM($G$7:G20)</f>
        <v>959</v>
      </c>
      <c r="J20" s="170">
        <f t="shared" si="5"/>
        <v>0.10426179604261795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173"/>
      <c r="E21" s="173"/>
      <c r="F21" s="177"/>
      <c r="G21" s="179"/>
      <c r="H21" s="181"/>
      <c r="I21" s="192"/>
      <c r="J21" s="17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64</v>
      </c>
      <c r="E22" s="74">
        <f t="shared" si="0"/>
        <v>2</v>
      </c>
      <c r="F22" s="60">
        <f t="shared" si="4"/>
        <v>88.83</v>
      </c>
      <c r="G22" s="61">
        <f>IF(D22=D21,"",_xlfn.IFNA(VLOOKUP(D22,'인원 입력 기능(사과탐)'!$K$64:$N$116,4,FALSE),0))</f>
        <v>136</v>
      </c>
      <c r="H22" s="62">
        <f t="shared" si="1"/>
        <v>1.4785823005001086E-2</v>
      </c>
      <c r="I22" s="72">
        <f>SUM($G$7:G22)</f>
        <v>1095</v>
      </c>
      <c r="J22" s="64">
        <f t="shared" si="5"/>
        <v>0.11904761904761904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63</v>
      </c>
      <c r="E23" s="74">
        <f t="shared" si="0"/>
        <v>3</v>
      </c>
      <c r="F23" s="60">
        <f t="shared" si="4"/>
        <v>87.06</v>
      </c>
      <c r="G23" s="61">
        <f>IF(D23=D22,"",_xlfn.IFNA(VLOOKUP(D23,'인원 입력 기능(사과탐)'!$K$64:$N$116,4,FALSE),0))</f>
        <v>190</v>
      </c>
      <c r="H23" s="62">
        <f t="shared" si="1"/>
        <v>2.0656664492280929E-2</v>
      </c>
      <c r="I23" s="72">
        <f>SUM($G$7:G23)</f>
        <v>1285</v>
      </c>
      <c r="J23" s="64">
        <f t="shared" si="5"/>
        <v>0.13970428353989997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62</v>
      </c>
      <c r="E24" s="74">
        <f t="shared" si="0"/>
        <v>3</v>
      </c>
      <c r="F24" s="60">
        <f t="shared" si="4"/>
        <v>85.09</v>
      </c>
      <c r="G24" s="61">
        <f>IF(D24=D23,"",_xlfn.IFNA(VLOOKUP(D24,'인원 입력 기능(사과탐)'!$K$64:$N$116,4,FALSE),0))</f>
        <v>172</v>
      </c>
      <c r="H24" s="62">
        <f t="shared" si="1"/>
        <v>1.8699717329854315E-2</v>
      </c>
      <c r="I24" s="72">
        <f>SUM($G$7:G24)</f>
        <v>1457</v>
      </c>
      <c r="J24" s="64">
        <f t="shared" si="5"/>
        <v>0.15840400086975429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61</v>
      </c>
      <c r="E25" s="74">
        <f t="shared" si="0"/>
        <v>3</v>
      </c>
      <c r="F25" s="60">
        <f t="shared" si="4"/>
        <v>82.92</v>
      </c>
      <c r="G25" s="61">
        <f>IF(D25=D24,"",_xlfn.IFNA(VLOOKUP(D25,'인원 입력 기능(사과탐)'!$K$64:$N$116,4,FALSE),0))</f>
        <v>228</v>
      </c>
      <c r="H25" s="62">
        <f t="shared" si="1"/>
        <v>2.4787997390737115E-2</v>
      </c>
      <c r="I25" s="72">
        <f>SUM($G$7:G25)</f>
        <v>1685</v>
      </c>
      <c r="J25" s="64">
        <f t="shared" si="5"/>
        <v>0.1831919982604914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60</v>
      </c>
      <c r="E26" s="74">
        <f t="shared" si="0"/>
        <v>3</v>
      </c>
      <c r="F26" s="60">
        <f t="shared" si="4"/>
        <v>80.47</v>
      </c>
      <c r="G26" s="61">
        <f>IF(D26=D25,"",_xlfn.IFNA(VLOOKUP(D26,'인원 입력 기능(사과탐)'!$K$64:$N$116,4,FALSE),0))</f>
        <v>223</v>
      </c>
      <c r="H26" s="62">
        <f t="shared" si="1"/>
        <v>2.4244400956729723E-2</v>
      </c>
      <c r="I26" s="72">
        <f>SUM($G$7:G26)</f>
        <v>1908</v>
      </c>
      <c r="J26" s="64">
        <f t="shared" si="5"/>
        <v>0.20743639921722112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59</v>
      </c>
      <c r="E27" s="74">
        <f t="shared" si="0"/>
        <v>3</v>
      </c>
      <c r="F27" s="60">
        <f t="shared" si="4"/>
        <v>78.13</v>
      </c>
      <c r="G27" s="61">
        <f>IF(D27=D26,"",_xlfn.IFNA(VLOOKUP(D27,'인원 입력 기능(사과탐)'!$K$64:$N$116,4,FALSE),0))</f>
        <v>207</v>
      </c>
      <c r="H27" s="62">
        <f t="shared" si="1"/>
        <v>2.2504892367906065E-2</v>
      </c>
      <c r="I27" s="72">
        <f>SUM($G$7:G27)</f>
        <v>2115</v>
      </c>
      <c r="J27" s="64">
        <f t="shared" si="5"/>
        <v>0.22994129158512719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58</v>
      </c>
      <c r="E28" s="74">
        <f t="shared" si="0"/>
        <v>3</v>
      </c>
      <c r="F28" s="60">
        <f t="shared" si="4"/>
        <v>75.62</v>
      </c>
      <c r="G28" s="61">
        <f>IF(D28=D27,"",_xlfn.IFNA(VLOOKUP(D28,'인원 입력 기능(사과탐)'!$K$64:$N$116,4,FALSE),0))</f>
        <v>255</v>
      </c>
      <c r="H28" s="62">
        <f t="shared" si="1"/>
        <v>2.7723418134377037E-2</v>
      </c>
      <c r="I28" s="72">
        <f>SUM($G$7:G28)</f>
        <v>2370</v>
      </c>
      <c r="J28" s="64">
        <f t="shared" si="5"/>
        <v>0.25766470971950423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57</v>
      </c>
      <c r="E29" s="74">
        <f t="shared" si="0"/>
        <v>4</v>
      </c>
      <c r="F29" s="60">
        <f t="shared" si="4"/>
        <v>73.010000000000005</v>
      </c>
      <c r="G29" s="61">
        <f>IF(D29=D28,"",_xlfn.IFNA(VLOOKUP(D29,'인원 입력 기능(사과탐)'!$K$64:$N$116,4,FALSE),0))</f>
        <v>225</v>
      </c>
      <c r="H29" s="62">
        <f t="shared" si="1"/>
        <v>2.446183953033268E-2</v>
      </c>
      <c r="I29" s="72">
        <f>SUM($G$7:G29)</f>
        <v>2595</v>
      </c>
      <c r="J29" s="64">
        <f t="shared" si="5"/>
        <v>0.28212654924983693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56</v>
      </c>
      <c r="E30" s="74">
        <f t="shared" si="0"/>
        <v>4</v>
      </c>
      <c r="F30" s="60">
        <f t="shared" si="4"/>
        <v>70.38</v>
      </c>
      <c r="G30" s="61">
        <f>IF(D30=D29,"",_xlfn.IFNA(VLOOKUP(D30,'인원 입력 기능(사과탐)'!$K$64:$N$116,4,FALSE),0))</f>
        <v>258</v>
      </c>
      <c r="H30" s="62">
        <f t="shared" si="1"/>
        <v>2.8049575994781473E-2</v>
      </c>
      <c r="I30" s="72">
        <f>SUM($G$7:G30)</f>
        <v>2853</v>
      </c>
      <c r="J30" s="64">
        <f t="shared" si="5"/>
        <v>0.31017612524461841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55</v>
      </c>
      <c r="E31" s="74">
        <f t="shared" si="0"/>
        <v>4</v>
      </c>
      <c r="F31" s="60">
        <f t="shared" si="4"/>
        <v>67.48</v>
      </c>
      <c r="G31" s="61">
        <f>IF(D31=D30,"",_xlfn.IFNA(VLOOKUP(D31,'인원 입력 기능(사과탐)'!$K$64:$N$116,4,FALSE),0))</f>
        <v>276</v>
      </c>
      <c r="H31" s="62">
        <f t="shared" si="1"/>
        <v>3.0006523157208087E-2</v>
      </c>
      <c r="I31" s="72">
        <f>SUM($G$7:G31)</f>
        <v>3129</v>
      </c>
      <c r="J31" s="64">
        <f t="shared" si="5"/>
        <v>0.34018264840182649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64.45</v>
      </c>
      <c r="G32" s="61">
        <f>IF(D32=D31,"",_xlfn.IFNA(VLOOKUP(D32,'인원 입력 기능(사과탐)'!$K$64:$N$116,4,FALSE),0))</f>
        <v>282</v>
      </c>
      <c r="H32" s="62">
        <f t="shared" si="1"/>
        <v>3.0658838878016959E-2</v>
      </c>
      <c r="I32" s="72">
        <f>SUM($G$7:G32)</f>
        <v>3411</v>
      </c>
      <c r="J32" s="64">
        <f t="shared" si="5"/>
        <v>0.37084148727984345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61.62</v>
      </c>
      <c r="G33" s="61">
        <f>IF(D33=D32,"",_xlfn.IFNA(VLOOKUP(D33,'인원 입력 기능(사과탐)'!$K$64:$N$116,4,FALSE),0))</f>
        <v>239</v>
      </c>
      <c r="H33" s="62">
        <f t="shared" si="1"/>
        <v>2.598390954555338E-2</v>
      </c>
      <c r="I33" s="72">
        <f>SUM($G$7:G33)</f>
        <v>3650</v>
      </c>
      <c r="J33" s="64">
        <f t="shared" si="5"/>
        <v>0.3968253968253968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58.91</v>
      </c>
      <c r="G34" s="61">
        <f>IF(D34=D33,"",_xlfn.IFNA(VLOOKUP(D34,'인원 입력 기능(사과탐)'!$K$64:$N$116,4,FALSE),0))</f>
        <v>259</v>
      </c>
      <c r="H34" s="62">
        <f t="shared" si="1"/>
        <v>2.8158295281582951E-2</v>
      </c>
      <c r="I34" s="72">
        <f>SUM($G$7:G34)</f>
        <v>3909</v>
      </c>
      <c r="J34" s="64">
        <f t="shared" si="5"/>
        <v>0.42498369210697978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5</v>
      </c>
      <c r="F35" s="60">
        <f t="shared" si="4"/>
        <v>55.95</v>
      </c>
      <c r="G35" s="61">
        <f>IF(D35=D34,"",_xlfn.IFNA(VLOOKUP(D35,'인원 입력 기능(사과탐)'!$K$64:$N$116,4,FALSE),0))</f>
        <v>286</v>
      </c>
      <c r="H35" s="62">
        <f t="shared" si="1"/>
        <v>3.1093716025222873E-2</v>
      </c>
      <c r="I35" s="72">
        <f>SUM($G$7:G35)</f>
        <v>4195</v>
      </c>
      <c r="J35" s="64">
        <f t="shared" si="5"/>
        <v>0.45607740813220266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5</v>
      </c>
      <c r="F36" s="60">
        <f t="shared" si="4"/>
        <v>52.95</v>
      </c>
      <c r="G36" s="61">
        <f>IF(D36=D35,"",_xlfn.IFNA(VLOOKUP(D36,'인원 입력 기능(사과탐)'!$K$64:$N$116,4,FALSE),0))</f>
        <v>265</v>
      </c>
      <c r="H36" s="62">
        <f t="shared" si="1"/>
        <v>2.8810611002391823E-2</v>
      </c>
      <c r="I36" s="72">
        <f>SUM($G$7:G36)</f>
        <v>4460</v>
      </c>
      <c r="J36" s="64">
        <f t="shared" si="5"/>
        <v>0.48488801913459445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50.08</v>
      </c>
      <c r="G37" s="61">
        <f>IF(D37=D36,"",_xlfn.IFNA(VLOOKUP(D37,'인원 입력 기능(사과탐)'!$K$64:$N$116,4,FALSE),0))</f>
        <v>263</v>
      </c>
      <c r="H37" s="62">
        <f t="shared" si="1"/>
        <v>2.8593172428788866E-2</v>
      </c>
      <c r="I37" s="72">
        <f>SUM($G$7:G37)</f>
        <v>4723</v>
      </c>
      <c r="J37" s="64">
        <f t="shared" si="5"/>
        <v>0.51348119156338334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47.21</v>
      </c>
      <c r="G38" s="61">
        <f>IF(D38=D37,"",_xlfn.IFNA(VLOOKUP(D38,'인원 입력 기능(사과탐)'!$K$64:$N$116,4,FALSE),0))</f>
        <v>265</v>
      </c>
      <c r="H38" s="62">
        <f t="shared" si="1"/>
        <v>2.8810611002391823E-2</v>
      </c>
      <c r="I38" s="72">
        <f>SUM($G$7:G38)</f>
        <v>4988</v>
      </c>
      <c r="J38" s="64">
        <f t="shared" si="5"/>
        <v>0.54229180256577514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44.29</v>
      </c>
      <c r="G39" s="61">
        <f>IF(D39=D38,"",_xlfn.IFNA(VLOOKUP(D39,'인원 입력 기능(사과탐)'!$K$64:$N$116,4,FALSE),0))</f>
        <v>272</v>
      </c>
      <c r="H39" s="62">
        <f t="shared" si="1"/>
        <v>2.9571646010002173E-2</v>
      </c>
      <c r="I39" s="72">
        <f>SUM($G$7:G39)</f>
        <v>5260</v>
      </c>
      <c r="J39" s="64">
        <f t="shared" si="5"/>
        <v>0.57186344857577731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41.27</v>
      </c>
      <c r="G40" s="61">
        <f>IF(D40=D39,"",_xlfn.IFNA(VLOOKUP(D40,'인원 입력 기능(사과탐)'!$K$64:$N$116,4,FALSE),0))</f>
        <v>284</v>
      </c>
      <c r="H40" s="62">
        <f t="shared" si="1"/>
        <v>3.0876277451619916E-2</v>
      </c>
      <c r="I40" s="72">
        <f>SUM($G$7:G40)</f>
        <v>5544</v>
      </c>
      <c r="J40" s="64">
        <f t="shared" si="5"/>
        <v>0.60273972602739723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6</v>
      </c>
      <c r="F41" s="60">
        <f t="shared" si="4"/>
        <v>38.130000000000003</v>
      </c>
      <c r="G41" s="61">
        <f>IF(D41=D40,"",_xlfn.IFNA(VLOOKUP(D41,'인원 입력 기능(사과탐)'!$K$64:$N$116,4,FALSE),0))</f>
        <v>293</v>
      </c>
      <c r="H41" s="62">
        <f t="shared" si="1"/>
        <v>3.1854751032833223E-2</v>
      </c>
      <c r="I41" s="72">
        <f>SUM($G$7:G41)</f>
        <v>5837</v>
      </c>
      <c r="J41" s="64">
        <f t="shared" si="5"/>
        <v>0.63459447706023053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6"/>
        <v>6</v>
      </c>
      <c r="F42" s="60">
        <f t="shared" si="4"/>
        <v>34.85</v>
      </c>
      <c r="G42" s="61">
        <f>IF(D42=D41,"",_xlfn.IFNA(VLOOKUP(D42,'인원 입력 기능(사과탐)'!$K$64:$N$116,4,FALSE),0))</f>
        <v>311</v>
      </c>
      <c r="H42" s="62">
        <f t="shared" si="1"/>
        <v>3.3811698195259837E-2</v>
      </c>
      <c r="I42" s="72">
        <f>SUM($G$7:G42)</f>
        <v>6148</v>
      </c>
      <c r="J42" s="64">
        <f t="shared" si="5"/>
        <v>0.66840617525549029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31.59</v>
      </c>
      <c r="G43" s="61">
        <f>IF(D43=D42,"",_xlfn.IFNA(VLOOKUP(D43,'인원 입력 기능(사과탐)'!$K$64:$N$116,4,FALSE),0))</f>
        <v>288</v>
      </c>
      <c r="H43" s="62">
        <f t="shared" si="1"/>
        <v>3.131115459882583E-2</v>
      </c>
      <c r="I43" s="72">
        <f>SUM($G$7:G43)</f>
        <v>6436</v>
      </c>
      <c r="J43" s="64">
        <f t="shared" si="5"/>
        <v>0.69971732985431612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28.34</v>
      </c>
      <c r="G44" s="61">
        <f>IF(D44=D43,"",_xlfn.IFNA(VLOOKUP(D44,'인원 입력 기능(사과탐)'!$K$64:$N$116,4,FALSE),0))</f>
        <v>310</v>
      </c>
      <c r="H44" s="62">
        <f t="shared" si="1"/>
        <v>3.3702978908458359E-2</v>
      </c>
      <c r="I44" s="72">
        <f>SUM($G$7:G44)</f>
        <v>6746</v>
      </c>
      <c r="J44" s="64">
        <f t="shared" si="5"/>
        <v>0.73342030876277453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6</v>
      </c>
      <c r="F45" s="60">
        <f t="shared" si="4"/>
        <v>24.96</v>
      </c>
      <c r="G45" s="61">
        <f>IF(D45=D44,"",_xlfn.IFNA(VLOOKUP(D45,'인원 입력 기능(사과탐)'!$K$64:$N$116,4,FALSE),0))</f>
        <v>313</v>
      </c>
      <c r="H45" s="62">
        <f t="shared" si="1"/>
        <v>3.4029136768862794E-2</v>
      </c>
      <c r="I45" s="72">
        <f>SUM($G$7:G45)</f>
        <v>7059</v>
      </c>
      <c r="J45" s="64">
        <f t="shared" si="5"/>
        <v>0.7674494455316373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6</v>
      </c>
      <c r="F46" s="60">
        <f t="shared" si="4"/>
        <v>21.46</v>
      </c>
      <c r="G46" s="61">
        <f>IF(D46=D45,"",_xlfn.IFNA(VLOOKUP(D46,'인원 입력 기능(사과탐)'!$K$64:$N$116,4,FALSE),0))</f>
        <v>331</v>
      </c>
      <c r="H46" s="62">
        <f t="shared" si="1"/>
        <v>3.5986083931289409E-2</v>
      </c>
      <c r="I46" s="72">
        <f>SUM($G$7:G46)</f>
        <v>7390</v>
      </c>
      <c r="J46" s="64">
        <f t="shared" si="5"/>
        <v>0.80343552946292673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16.39</v>
      </c>
      <c r="G47" s="61">
        <f>IF(D47=D46,"",_xlfn.IFNA(VLOOKUP(D47,'인원 입력 기능(사과탐)'!$K$64:$N$116,4,FALSE),0))</f>
        <v>600</v>
      </c>
      <c r="H47" s="62">
        <f t="shared" si="1"/>
        <v>6.5231572080887146E-2</v>
      </c>
      <c r="I47" s="72">
        <f>SUM($G$7:G47)</f>
        <v>7990</v>
      </c>
      <c r="J47" s="64">
        <f t="shared" si="5"/>
        <v>0.86866710154381388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7</v>
      </c>
      <c r="F48" s="60">
        <f t="shared" si="4"/>
        <v>10.96</v>
      </c>
      <c r="G48" s="61">
        <f>IF(D48=D47,"",_xlfn.IFNA(VLOOKUP(D48,'인원 입력 기능(사과탐)'!$K$64:$N$116,4,FALSE),0))</f>
        <v>399</v>
      </c>
      <c r="H48" s="62">
        <f t="shared" si="1"/>
        <v>4.3378995433789952E-2</v>
      </c>
      <c r="I48" s="72">
        <f>SUM($G$7:G48)</f>
        <v>8389</v>
      </c>
      <c r="J48" s="64">
        <f t="shared" si="5"/>
        <v>0.91204609697760386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7.37</v>
      </c>
      <c r="G49" s="61">
        <f>IF(D49=D48,"",_xlfn.IFNA(VLOOKUP(D49,'인원 입력 기능(사과탐)'!$K$64:$N$116,4,FALSE),0))</f>
        <v>263</v>
      </c>
      <c r="H49" s="62">
        <f t="shared" si="1"/>
        <v>2.8593172428788866E-2</v>
      </c>
      <c r="I49" s="72">
        <f>SUM($G$7:G49)</f>
        <v>8652</v>
      </c>
      <c r="J49" s="64">
        <f t="shared" si="5"/>
        <v>0.94063926940639264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5.01</v>
      </c>
      <c r="G50" s="61">
        <f>IF(D50=D49,"",_xlfn.IFNA(VLOOKUP(D50,'인원 입력 기능(사과탐)'!$K$64:$N$116,4,FALSE),0))</f>
        <v>171</v>
      </c>
      <c r="H50" s="62">
        <f t="shared" si="1"/>
        <v>1.8590998043052837E-2</v>
      </c>
      <c r="I50" s="72">
        <f>SUM($G$7:G50)</f>
        <v>8823</v>
      </c>
      <c r="J50" s="64">
        <f t="shared" si="5"/>
        <v>0.95923026744944551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174">
        <f t="shared" si="3"/>
        <v>35</v>
      </c>
      <c r="E51" s="174">
        <f t="shared" si="6"/>
        <v>8</v>
      </c>
      <c r="F51" s="176">
        <f t="shared" si="4"/>
        <v>2.93</v>
      </c>
      <c r="G51" s="178">
        <f>IF(D51=D50,"",_xlfn.IFNA(VLOOKUP(D51,'인원 입력 기능(사과탐)'!$K$64:$N$116,4,FALSE),0))</f>
        <v>211</v>
      </c>
      <c r="H51" s="180">
        <f t="shared" si="1"/>
        <v>2.293976951511198E-2</v>
      </c>
      <c r="I51" s="191">
        <f>SUM($G$7:G51)</f>
        <v>9034</v>
      </c>
      <c r="J51" s="170">
        <f t="shared" si="5"/>
        <v>0.98217003696455751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175"/>
      <c r="E52" s="175"/>
      <c r="F52" s="177"/>
      <c r="G52" s="179"/>
      <c r="H52" s="181"/>
      <c r="I52" s="192"/>
      <c r="J52" s="171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34</v>
      </c>
      <c r="E53" s="59">
        <f t="shared" si="6"/>
        <v>9</v>
      </c>
      <c r="F53" s="60">
        <f t="shared" si="4"/>
        <v>1.41</v>
      </c>
      <c r="G53" s="61">
        <f>IF(D53=D52,"",_xlfn.IFNA(VLOOKUP(D53,'인원 입력 기능(사과탐)'!$K$64:$N$116,4,FALSE),0))</f>
        <v>69</v>
      </c>
      <c r="H53" s="62">
        <f t="shared" si="1"/>
        <v>7.5016307893020218E-3</v>
      </c>
      <c r="I53" s="72">
        <f>SUM($G$7:G53)</f>
        <v>9103</v>
      </c>
      <c r="J53" s="64">
        <f t="shared" si="5"/>
        <v>0.98967166775385951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6"/>
        <v>9</v>
      </c>
      <c r="F54" s="60">
        <f t="shared" si="4"/>
        <v>0.81</v>
      </c>
      <c r="G54" s="61">
        <f>IF(D54=D53,"",_xlfn.IFNA(VLOOKUP(D54,'인원 입력 기능(사과탐)'!$K$64:$N$116,4,FALSE),0))</f>
        <v>41</v>
      </c>
      <c r="H54" s="62">
        <f t="shared" si="1"/>
        <v>4.4574907588606216E-3</v>
      </c>
      <c r="I54" s="72">
        <f>SUM($G$7:G54)</f>
        <v>9144</v>
      </c>
      <c r="J54" s="64">
        <f t="shared" si="5"/>
        <v>0.9941291585127201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0.39</v>
      </c>
      <c r="G55" s="61">
        <f>IF(D55=D54,"",_xlfn.IFNA(VLOOKUP(D55,'인원 입력 기능(사과탐)'!$K$64:$N$116,4,FALSE),0))</f>
        <v>36</v>
      </c>
      <c r="H55" s="62">
        <f t="shared" si="1"/>
        <v>3.9138943248532287E-3</v>
      </c>
      <c r="I55" s="72">
        <f>SUM($G$7:G55)</f>
        <v>9180</v>
      </c>
      <c r="J55" s="64">
        <f t="shared" si="5"/>
        <v>0.99804305283757333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0.1</v>
      </c>
      <c r="G57" s="113">
        <f>_xlfn.IFNA(VLOOKUP(D57,'인원 입력 기능(사과탐)'!$K$64:$N$116,4,FALSE),0)</f>
        <v>18</v>
      </c>
      <c r="H57" s="81">
        <f>G57/$J$3</f>
        <v>1.9569471624266144E-3</v>
      </c>
      <c r="I57" s="82">
        <f>SUM($G$7:G57)</f>
        <v>9198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20 I7:J20 D22:G51 I22:J51 D53:G57 I53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20 D22:D51 D53:D57">
    <cfRule type="expression" dxfId="25" priority="2">
      <formula>$D7=$D8</formula>
    </cfRule>
  </conditionalFormatting>
  <conditionalFormatting sqref="H7:H20 H22:H51 H53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기능'!D15</f>
        <v>28.91</v>
      </c>
      <c r="I3" s="21" t="s">
        <v>70</v>
      </c>
      <c r="J3" s="50">
        <f>'통계 및 응시자 수 입력 기능'!C15</f>
        <v>22539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97</v>
      </c>
      <c r="E4" s="186"/>
      <c r="F4" s="187"/>
      <c r="G4" s="52" t="s">
        <v>73</v>
      </c>
      <c r="H4" s="53" t="str">
        <f>'통계 및 응시자 수 입력 기능'!E15</f>
        <v>11.55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98.84</v>
      </c>
      <c r="G7" s="61">
        <f>_xlfn.IFNA(VLOOKUP(D7,'인원 입력 기능(사과탐)'!$P$64:$S$116,4,FALSE),0)</f>
        <v>523</v>
      </c>
      <c r="H7" s="62">
        <f>G7/$J$3</f>
        <v>2.3204223789875328E-2</v>
      </c>
      <c r="I7" s="63">
        <f>G7</f>
        <v>523</v>
      </c>
      <c r="J7" s="64">
        <f>I7/$J$3</f>
        <v>2.3204223789875328E-2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66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기능'!C104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67</v>
      </c>
      <c r="E9" s="59">
        <f t="shared" si="0"/>
        <v>1</v>
      </c>
      <c r="F9" s="60">
        <f>IF(I8=0,ROUND(100*(1-(I7+I9)/2/$J$3),2),ROUND(100*(1-(I8+I9)/2/$J$3),2))</f>
        <v>97.04</v>
      </c>
      <c r="G9" s="61">
        <f>_xlfn.IFNA(VLOOKUP(D9,'인원 입력 기능(사과탐)'!$P$64:$S$116,4,FALSE),0)</f>
        <v>288</v>
      </c>
      <c r="H9" s="62">
        <f t="shared" ref="H9:H55" si="1">G9/$J$3</f>
        <v>1.2777851723678957E-2</v>
      </c>
      <c r="I9" s="72">
        <f>SUM($G$7:G9)</f>
        <v>811</v>
      </c>
      <c r="J9" s="64">
        <f>I9/$J$3</f>
        <v>3.5982075513554285E-2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66</v>
      </c>
      <c r="E10" s="59">
        <f t="shared" si="0"/>
        <v>1</v>
      </c>
      <c r="F10" s="60">
        <f t="shared" ref="F10:F55" si="4">IF(I9=0,ROUND(100*(1-(I8+I10)/2/$J$3),2),ROUND(100*(1-(I9+I10)/2/$J$3),2))</f>
        <v>95.23</v>
      </c>
      <c r="G10" s="61">
        <f>IF(D10=D9,"",_xlfn.IFNA(VLOOKUP(D10,'인원 입력 기능(사과탐)'!$P$64:$S$116,4,FALSE),0))</f>
        <v>529</v>
      </c>
      <c r="H10" s="62">
        <f t="shared" si="1"/>
        <v>2.3470429034118639E-2</v>
      </c>
      <c r="I10" s="72">
        <f>SUM($G$7:G10)</f>
        <v>1340</v>
      </c>
      <c r="J10" s="64">
        <f t="shared" ref="J10:J55" si="5">I10/$J$3</f>
        <v>5.9452504547672924E-2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54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65</v>
      </c>
      <c r="E11" s="59">
        <f t="shared" si="0"/>
        <v>2</v>
      </c>
      <c r="F11" s="60">
        <f t="shared" si="4"/>
        <v>93.78</v>
      </c>
      <c r="G11" s="61">
        <f>IF(D11=D10,"",_xlfn.IFNA(VLOOKUP(D11,'인원 입력 기능(사과탐)'!$P$64:$S$116,4,FALSE),0))</f>
        <v>122</v>
      </c>
      <c r="H11" s="62">
        <f t="shared" si="1"/>
        <v>5.4128399662806692E-3</v>
      </c>
      <c r="I11" s="72">
        <f>SUM($G$7:G11)</f>
        <v>1462</v>
      </c>
      <c r="J11" s="64">
        <f t="shared" si="5"/>
        <v>6.4865344513953593E-2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64</v>
      </c>
      <c r="E12" s="59">
        <f t="shared" si="0"/>
        <v>2</v>
      </c>
      <c r="F12" s="60">
        <f t="shared" si="4"/>
        <v>92.16</v>
      </c>
      <c r="G12" s="61">
        <f>IF(D12=D11,"",_xlfn.IFNA(VLOOKUP(D12,'인원 입력 기능(사과탐)'!$P$64:$S$116,4,FALSE),0))</f>
        <v>612</v>
      </c>
      <c r="H12" s="62">
        <f t="shared" si="1"/>
        <v>2.7152934912817783E-2</v>
      </c>
      <c r="I12" s="72">
        <f>SUM($G$7:G12)</f>
        <v>2074</v>
      </c>
      <c r="J12" s="64">
        <f t="shared" si="5"/>
        <v>9.2018279426771377E-2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63</v>
      </c>
      <c r="E13" s="59">
        <f t="shared" si="0"/>
        <v>2</v>
      </c>
      <c r="F13" s="60">
        <f t="shared" si="4"/>
        <v>89.72</v>
      </c>
      <c r="G13" s="61">
        <f>IF(D13=D12,"",_xlfn.IFNA(VLOOKUP(D13,'인원 입력 기능(사과탐)'!$P$64:$S$116,4,FALSE),0))</f>
        <v>484</v>
      </c>
      <c r="H13" s="62">
        <f t="shared" si="1"/>
        <v>2.1473889702293802E-2</v>
      </c>
      <c r="I13" s="72">
        <f>SUM($G$7:G13)</f>
        <v>2558</v>
      </c>
      <c r="J13" s="64">
        <f t="shared" si="5"/>
        <v>0.11349216912906518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36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62</v>
      </c>
      <c r="E14" s="59">
        <f t="shared" si="0"/>
        <v>3</v>
      </c>
      <c r="F14" s="60">
        <f t="shared" si="4"/>
        <v>87.82</v>
      </c>
      <c r="G14" s="61">
        <f>IF(D14=D13,"",_xlfn.IFNA(VLOOKUP(D14,'인원 입력 기능(사과탐)'!$P$64:$S$116,4,FALSE),0))</f>
        <v>375</v>
      </c>
      <c r="H14" s="62">
        <f t="shared" si="1"/>
        <v>1.6637827765206975E-2</v>
      </c>
      <c r="I14" s="72">
        <f>SUM($G$7:G14)</f>
        <v>2933</v>
      </c>
      <c r="J14" s="64">
        <f t="shared" si="5"/>
        <v>0.13012999689427215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33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61</v>
      </c>
      <c r="E15" s="59">
        <f t="shared" si="0"/>
        <v>3</v>
      </c>
      <c r="F15" s="60">
        <f t="shared" si="4"/>
        <v>85.28</v>
      </c>
      <c r="G15" s="61">
        <f>IF(D15=D14,"",_xlfn.IFNA(VLOOKUP(D15,'인원 입력 기능(사과탐)'!$P$64:$S$116,4,FALSE),0))</f>
        <v>768</v>
      </c>
      <c r="H15" s="62">
        <f t="shared" si="1"/>
        <v>3.4074271263143885E-2</v>
      </c>
      <c r="I15" s="72">
        <f>SUM($G$7:G15)</f>
        <v>3701</v>
      </c>
      <c r="J15" s="64">
        <f t="shared" si="5"/>
        <v>0.16420426815741604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172">
        <f t="shared" si="3"/>
        <v>60</v>
      </c>
      <c r="E16" s="172">
        <f t="shared" si="0"/>
        <v>3</v>
      </c>
      <c r="F16" s="176">
        <f t="shared" si="4"/>
        <v>81.349999999999994</v>
      </c>
      <c r="G16" s="178">
        <f>IF(D16=D15,"",_xlfn.IFNA(VLOOKUP(D16,'인원 입력 기능(사과탐)'!$P$64:$S$116,4,FALSE),0))</f>
        <v>1007</v>
      </c>
      <c r="H16" s="180">
        <f t="shared" si="1"/>
        <v>4.467811349216913E-2</v>
      </c>
      <c r="I16" s="191">
        <f>SUM($G$7:G16)</f>
        <v>4708</v>
      </c>
      <c r="J16" s="170">
        <f t="shared" si="5"/>
        <v>0.20888238164958517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173"/>
      <c r="E17" s="173"/>
      <c r="F17" s="177"/>
      <c r="G17" s="179"/>
      <c r="H17" s="181"/>
      <c r="I17" s="192"/>
      <c r="J17" s="171"/>
      <c r="K17" s="36"/>
      <c r="L17" s="20" t="str">
        <f t="shared" si="2"/>
        <v>경고</v>
      </c>
      <c r="N17" s="24"/>
      <c r="Q17" s="24">
        <f>Q7*H3*H4*J3*IFERROR(IF(J57=1, 1, 0), 0)</f>
        <v>496716578.12700003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59</v>
      </c>
      <c r="E18" s="59">
        <f t="shared" si="0"/>
        <v>3</v>
      </c>
      <c r="F18" s="60">
        <f t="shared" si="4"/>
        <v>77.349999999999994</v>
      </c>
      <c r="G18" s="61">
        <f>IF(D18=D17,"",_xlfn.IFNA(VLOOKUP(D18,'인원 입력 기능(사과탐)'!$P$64:$S$116,4,FALSE),0))</f>
        <v>793</v>
      </c>
      <c r="H18" s="62">
        <f t="shared" si="1"/>
        <v>3.518345978082435E-2</v>
      </c>
      <c r="I18" s="72">
        <f>SUM($G$7:G18)</f>
        <v>5501</v>
      </c>
      <c r="J18" s="64">
        <f t="shared" si="5"/>
        <v>0.24406584143040952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58</v>
      </c>
      <c r="E19" s="59">
        <f t="shared" si="0"/>
        <v>4</v>
      </c>
      <c r="F19" s="60">
        <f t="shared" si="4"/>
        <v>74.569999999999993</v>
      </c>
      <c r="G19" s="61">
        <f>IF(D19=D18,"",_xlfn.IFNA(VLOOKUP(D19,'인원 입력 기능(사과탐)'!$P$64:$S$116,4,FALSE),0))</f>
        <v>463</v>
      </c>
      <c r="H19" s="62">
        <f t="shared" si="1"/>
        <v>2.0542171347442212E-2</v>
      </c>
      <c r="I19" s="72">
        <f>SUM($G$7:G19)</f>
        <v>5964</v>
      </c>
      <c r="J19" s="64">
        <f t="shared" si="5"/>
        <v>0.26460801277785173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57</v>
      </c>
      <c r="E20" s="59">
        <f t="shared" si="0"/>
        <v>4</v>
      </c>
      <c r="F20" s="60">
        <f t="shared" si="4"/>
        <v>71.86</v>
      </c>
      <c r="G20" s="61">
        <f>IF(D20=D19,"",_xlfn.IFNA(VLOOKUP(D20,'인원 입력 기능(사과탐)'!$P$64:$S$116,4,FALSE),0))</f>
        <v>756</v>
      </c>
      <c r="H20" s="62">
        <f t="shared" si="1"/>
        <v>3.3541860774657262E-2</v>
      </c>
      <c r="I20" s="72">
        <f>SUM($G$7:G20)</f>
        <v>6720</v>
      </c>
      <c r="J20" s="64">
        <f t="shared" si="5"/>
        <v>0.29814987355250899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56</v>
      </c>
      <c r="E21" s="74">
        <f t="shared" si="0"/>
        <v>4</v>
      </c>
      <c r="F21" s="60">
        <f t="shared" si="4"/>
        <v>68.62</v>
      </c>
      <c r="G21" s="61">
        <f>IF(D21=D20,"",_xlfn.IFNA(VLOOKUP(D21,'인원 입력 기능(사과탐)'!$P$64:$S$116,4,FALSE),0))</f>
        <v>704</v>
      </c>
      <c r="H21" s="62">
        <f t="shared" si="1"/>
        <v>3.1234748657881894E-2</v>
      </c>
      <c r="I21" s="72">
        <f>SUM($G$7:G21)</f>
        <v>7424</v>
      </c>
      <c r="J21" s="64">
        <f t="shared" si="5"/>
        <v>0.32938462221039089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55</v>
      </c>
      <c r="E22" s="74">
        <f t="shared" si="0"/>
        <v>4</v>
      </c>
      <c r="F22" s="60">
        <f t="shared" si="4"/>
        <v>65.73</v>
      </c>
      <c r="G22" s="61">
        <f>IF(D22=D21,"",_xlfn.IFNA(VLOOKUP(D22,'인원 입력 기능(사과탐)'!$P$64:$S$116,4,FALSE),0))</f>
        <v>598</v>
      </c>
      <c r="H22" s="62">
        <f t="shared" si="1"/>
        <v>2.6531789342916723E-2</v>
      </c>
      <c r="I22" s="72">
        <f>SUM($G$7:G22)</f>
        <v>8022</v>
      </c>
      <c r="J22" s="64">
        <f t="shared" si="5"/>
        <v>0.35591641155330761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174">
        <f t="shared" si="3"/>
        <v>54</v>
      </c>
      <c r="E23" s="174">
        <f t="shared" si="0"/>
        <v>4</v>
      </c>
      <c r="F23" s="176">
        <f t="shared" si="4"/>
        <v>61.39</v>
      </c>
      <c r="G23" s="178">
        <f>IF(D23=D22,"",_xlfn.IFNA(VLOOKUP(D23,'인원 입력 기능(사과탐)'!$P$64:$S$116,4,FALSE),0))</f>
        <v>1360</v>
      </c>
      <c r="H23" s="180">
        <f t="shared" si="1"/>
        <v>6.0339855361817296E-2</v>
      </c>
      <c r="I23" s="191">
        <f>SUM($G$7:G23)</f>
        <v>9382</v>
      </c>
      <c r="J23" s="170">
        <f t="shared" si="5"/>
        <v>0.41625626691512491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175"/>
      <c r="E24" s="175"/>
      <c r="F24" s="177"/>
      <c r="G24" s="179"/>
      <c r="H24" s="181"/>
      <c r="I24" s="192"/>
      <c r="J24" s="17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53</v>
      </c>
      <c r="E25" s="74">
        <f t="shared" si="0"/>
        <v>5</v>
      </c>
      <c r="F25" s="60">
        <f t="shared" si="4"/>
        <v>56.87</v>
      </c>
      <c r="G25" s="61">
        <f>IF(D25=D24,"",_xlfn.IFNA(VLOOKUP(D25,'인원 입력 기능(사과탐)'!$P$64:$S$116,4,FALSE),0))</f>
        <v>679</v>
      </c>
      <c r="H25" s="62">
        <f t="shared" si="1"/>
        <v>3.0125560140201429E-2</v>
      </c>
      <c r="I25" s="72">
        <f>SUM($G$7:G25)</f>
        <v>10061</v>
      </c>
      <c r="J25" s="64">
        <f t="shared" si="5"/>
        <v>0.44638182705532631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52</v>
      </c>
      <c r="E26" s="74">
        <f t="shared" si="0"/>
        <v>5</v>
      </c>
      <c r="F26" s="60">
        <f t="shared" si="4"/>
        <v>53.72</v>
      </c>
      <c r="G26" s="61">
        <f>IF(D26=D25,"",_xlfn.IFNA(VLOOKUP(D26,'인원 입력 기능(사과탐)'!$P$64:$S$116,4,FALSE),0))</f>
        <v>741</v>
      </c>
      <c r="H26" s="62">
        <f t="shared" si="1"/>
        <v>3.2876347664048983E-2</v>
      </c>
      <c r="I26" s="72">
        <f>SUM($G$7:G26)</f>
        <v>10802</v>
      </c>
      <c r="J26" s="64">
        <f t="shared" si="5"/>
        <v>0.47925817471937532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51</v>
      </c>
      <c r="E27" s="74">
        <f t="shared" si="0"/>
        <v>5</v>
      </c>
      <c r="F27" s="60">
        <f t="shared" si="4"/>
        <v>50.75</v>
      </c>
      <c r="G27" s="61">
        <f>IF(D27=D26,"",_xlfn.IFNA(VLOOKUP(D27,'인원 입력 기능(사과탐)'!$P$64:$S$116,4,FALSE),0))</f>
        <v>596</v>
      </c>
      <c r="H27" s="62">
        <f t="shared" si="1"/>
        <v>2.6443054261502286E-2</v>
      </c>
      <c r="I27" s="72">
        <f>SUM($G$7:G27)</f>
        <v>11398</v>
      </c>
      <c r="J27" s="64">
        <f t="shared" si="5"/>
        <v>0.50570122898087755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50</v>
      </c>
      <c r="E28" s="74">
        <f t="shared" si="0"/>
        <v>5</v>
      </c>
      <c r="F28" s="60">
        <f t="shared" si="4"/>
        <v>47.96</v>
      </c>
      <c r="G28" s="61">
        <f>IF(D28=D27,"",_xlfn.IFNA(VLOOKUP(D28,'인원 입력 기능(사과탐)'!$P$64:$S$116,4,FALSE),0))</f>
        <v>664</v>
      </c>
      <c r="H28" s="62">
        <f t="shared" si="1"/>
        <v>2.946004702959315E-2</v>
      </c>
      <c r="I28" s="72">
        <f>SUM($G$7:G28)</f>
        <v>12062</v>
      </c>
      <c r="J28" s="64">
        <f t="shared" si="5"/>
        <v>0.5351612760104707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49</v>
      </c>
      <c r="E29" s="74">
        <f t="shared" si="0"/>
        <v>5</v>
      </c>
      <c r="F29" s="60">
        <f t="shared" si="4"/>
        <v>45.12</v>
      </c>
      <c r="G29" s="61">
        <f>IF(D29=D28,"",_xlfn.IFNA(VLOOKUP(D29,'인원 입력 기능(사과탐)'!$P$64:$S$116,4,FALSE),0))</f>
        <v>613</v>
      </c>
      <c r="H29" s="62">
        <f t="shared" si="1"/>
        <v>2.7197302453525002E-2</v>
      </c>
      <c r="I29" s="72">
        <f>SUM($G$7:G29)</f>
        <v>12675</v>
      </c>
      <c r="J29" s="64">
        <f t="shared" si="5"/>
        <v>0.56235857846399573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48</v>
      </c>
      <c r="E30" s="74">
        <f t="shared" si="0"/>
        <v>5</v>
      </c>
      <c r="F30" s="60">
        <f t="shared" si="4"/>
        <v>42.49</v>
      </c>
      <c r="G30" s="61">
        <f>IF(D30=D29,"",_xlfn.IFNA(VLOOKUP(D30,'인원 입력 기능(사과탐)'!$P$64:$S$116,4,FALSE),0))</f>
        <v>576</v>
      </c>
      <c r="H30" s="62">
        <f t="shared" si="1"/>
        <v>2.5555703447357914E-2</v>
      </c>
      <c r="I30" s="72">
        <f>SUM($G$7:G30)</f>
        <v>13251</v>
      </c>
      <c r="J30" s="64">
        <f t="shared" si="5"/>
        <v>0.58791428191135364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174">
        <f t="shared" si="3"/>
        <v>47</v>
      </c>
      <c r="E31" s="174">
        <f t="shared" si="0"/>
        <v>5</v>
      </c>
      <c r="F31" s="176">
        <f t="shared" si="4"/>
        <v>38.68</v>
      </c>
      <c r="G31" s="178">
        <f>IF(D31=D30,"",_xlfn.IFNA(VLOOKUP(D31,'인원 입력 기능(사과탐)'!$P$64:$S$116,4,FALSE),0))</f>
        <v>1142</v>
      </c>
      <c r="H31" s="180">
        <f t="shared" si="1"/>
        <v>5.0667731487643641E-2</v>
      </c>
      <c r="I31" s="191">
        <f>SUM($G$7:G31)</f>
        <v>14393</v>
      </c>
      <c r="J31" s="170">
        <f t="shared" si="5"/>
        <v>0.63858201339899734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175"/>
      <c r="E32" s="175"/>
      <c r="F32" s="177"/>
      <c r="G32" s="179"/>
      <c r="H32" s="181"/>
      <c r="I32" s="192"/>
      <c r="J32" s="171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46</v>
      </c>
      <c r="E33" s="74">
        <f t="shared" si="0"/>
        <v>6</v>
      </c>
      <c r="F33" s="60">
        <f t="shared" si="4"/>
        <v>34.86</v>
      </c>
      <c r="G33" s="61">
        <f>IF(D33=D32,"",_xlfn.IFNA(VLOOKUP(D33,'인원 입력 기능(사과탐)'!$P$64:$S$116,4,FALSE),0))</f>
        <v>580</v>
      </c>
      <c r="H33" s="62">
        <f t="shared" si="1"/>
        <v>2.5733173610186788E-2</v>
      </c>
      <c r="I33" s="72">
        <f>SUM($G$7:G33)</f>
        <v>14973</v>
      </c>
      <c r="J33" s="64">
        <f t="shared" si="5"/>
        <v>0.66431518700918413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45</v>
      </c>
      <c r="E34" s="74">
        <f t="shared" si="0"/>
        <v>6</v>
      </c>
      <c r="F34" s="60">
        <f t="shared" si="4"/>
        <v>32.369999999999997</v>
      </c>
      <c r="G34" s="61">
        <f>IF(D34=D33,"",_xlfn.IFNA(VLOOKUP(D34,'인원 입력 기능(사과탐)'!$P$64:$S$116,4,FALSE),0))</f>
        <v>539</v>
      </c>
      <c r="H34" s="62">
        <f t="shared" si="1"/>
        <v>2.3914104441190825E-2</v>
      </c>
      <c r="I34" s="72">
        <f>SUM($G$7:G34)</f>
        <v>15512</v>
      </c>
      <c r="J34" s="64">
        <f t="shared" si="5"/>
        <v>0.68822929145037492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44</v>
      </c>
      <c r="E35" s="74">
        <f t="shared" si="0"/>
        <v>6</v>
      </c>
      <c r="F35" s="60">
        <f t="shared" si="4"/>
        <v>30.03</v>
      </c>
      <c r="G35" s="61">
        <f>IF(D35=D34,"",_xlfn.IFNA(VLOOKUP(D35,'인원 입력 기능(사과탐)'!$P$64:$S$116,4,FALSE),0))</f>
        <v>517</v>
      </c>
      <c r="H35" s="62">
        <f t="shared" si="1"/>
        <v>2.2938018545632016E-2</v>
      </c>
      <c r="I35" s="72">
        <f>SUM($G$7:G35)</f>
        <v>16029</v>
      </c>
      <c r="J35" s="64">
        <f t="shared" si="5"/>
        <v>0.71116730999600697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43</v>
      </c>
      <c r="E36" s="74">
        <f t="shared" si="0"/>
        <v>6</v>
      </c>
      <c r="F36" s="60">
        <f t="shared" si="4"/>
        <v>27.67</v>
      </c>
      <c r="G36" s="61">
        <f>IF(D36=D35,"",_xlfn.IFNA(VLOOKUP(D36,'인원 입력 기능(사과탐)'!$P$64:$S$116,4,FALSE),0))</f>
        <v>546</v>
      </c>
      <c r="H36" s="62">
        <f t="shared" si="1"/>
        <v>2.4224677226141356E-2</v>
      </c>
      <c r="I36" s="72">
        <f>SUM($G$7:G36)</f>
        <v>16575</v>
      </c>
      <c r="J36" s="64">
        <f t="shared" si="5"/>
        <v>0.73539198722214827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42</v>
      </c>
      <c r="E37" s="74">
        <f t="shared" si="0"/>
        <v>6</v>
      </c>
      <c r="F37" s="60">
        <f t="shared" si="4"/>
        <v>25.39</v>
      </c>
      <c r="G37" s="61">
        <f>IF(D37=D36,"",_xlfn.IFNA(VLOOKUP(D37,'인원 입력 기능(사과탐)'!$P$64:$S$116,4,FALSE),0))</f>
        <v>484</v>
      </c>
      <c r="H37" s="62">
        <f t="shared" si="1"/>
        <v>2.1473889702293802E-2</v>
      </c>
      <c r="I37" s="72">
        <f>SUM($G$7:G37)</f>
        <v>17059</v>
      </c>
      <c r="J37" s="64">
        <f t="shared" si="5"/>
        <v>0.75686587692444207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174">
        <f t="shared" si="3"/>
        <v>41</v>
      </c>
      <c r="E38" s="174">
        <f t="shared" si="0"/>
        <v>6</v>
      </c>
      <c r="F38" s="176">
        <f t="shared" si="4"/>
        <v>22.23</v>
      </c>
      <c r="G38" s="178">
        <f>IF(D38=D37,"",_xlfn.IFNA(VLOOKUP(D38,'인원 입력 기능(사과탐)'!$P$64:$S$116,4,FALSE),0))</f>
        <v>940</v>
      </c>
      <c r="H38" s="180">
        <f t="shared" si="1"/>
        <v>4.1705488264785484E-2</v>
      </c>
      <c r="I38" s="191">
        <f>SUM($G$7:G38)</f>
        <v>17999</v>
      </c>
      <c r="J38" s="170">
        <f t="shared" si="5"/>
        <v>0.79857136518922756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175"/>
      <c r="E39" s="175"/>
      <c r="F39" s="177"/>
      <c r="G39" s="179"/>
      <c r="H39" s="181"/>
      <c r="I39" s="192"/>
      <c r="J39" s="171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40</v>
      </c>
      <c r="E40" s="74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7</v>
      </c>
      <c r="F40" s="60">
        <f t="shared" si="4"/>
        <v>19.22</v>
      </c>
      <c r="G40" s="61">
        <f>IF(D40=D39,"",_xlfn.IFNA(VLOOKUP(D40,'인원 입력 기능(사과탐)'!$P$64:$S$116,4,FALSE),0))</f>
        <v>417</v>
      </c>
      <c r="H40" s="62">
        <f t="shared" si="1"/>
        <v>1.8501264474910156E-2</v>
      </c>
      <c r="I40" s="72">
        <f>SUM($G$7:G40)</f>
        <v>18416</v>
      </c>
      <c r="J40" s="64">
        <f t="shared" si="5"/>
        <v>0.81707262966413774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39</v>
      </c>
      <c r="E41" s="74">
        <f t="shared" si="6"/>
        <v>7</v>
      </c>
      <c r="F41" s="60">
        <f t="shared" si="4"/>
        <v>17.38</v>
      </c>
      <c r="G41" s="61">
        <f>IF(D41=D40,"",_xlfn.IFNA(VLOOKUP(D41,'인원 입력 기능(사과탐)'!$P$64:$S$116,4,FALSE),0))</f>
        <v>410</v>
      </c>
      <c r="H41" s="62">
        <f t="shared" si="1"/>
        <v>1.8190691689959626E-2</v>
      </c>
      <c r="I41" s="72">
        <f>SUM($G$7:G41)</f>
        <v>18826</v>
      </c>
      <c r="J41" s="64">
        <f t="shared" si="5"/>
        <v>0.83526332135409731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38</v>
      </c>
      <c r="E42" s="74">
        <f t="shared" si="6"/>
        <v>7</v>
      </c>
      <c r="F42" s="60">
        <f t="shared" si="4"/>
        <v>15.66</v>
      </c>
      <c r="G42" s="61">
        <f>IF(D42=D41,"",_xlfn.IFNA(VLOOKUP(D42,'인원 입력 기능(사과탐)'!$P$64:$S$116,4,FALSE),0))</f>
        <v>368</v>
      </c>
      <c r="H42" s="62">
        <f t="shared" si="1"/>
        <v>1.6327254980256445E-2</v>
      </c>
      <c r="I42" s="72">
        <f>SUM($G$7:G42)</f>
        <v>19194</v>
      </c>
      <c r="J42" s="64">
        <f t="shared" si="5"/>
        <v>0.85159057633435375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37</v>
      </c>
      <c r="E43" s="74">
        <f t="shared" si="6"/>
        <v>7</v>
      </c>
      <c r="F43" s="60">
        <f t="shared" si="4"/>
        <v>12.93</v>
      </c>
      <c r="G43" s="61">
        <f>IF(D43=D42,"",_xlfn.IFNA(VLOOKUP(D43,'인원 입력 기능(사과탐)'!$P$64:$S$116,4,FALSE),0))</f>
        <v>860</v>
      </c>
      <c r="H43" s="62">
        <f t="shared" si="1"/>
        <v>3.8156085008207996E-2</v>
      </c>
      <c r="I43" s="72">
        <f>SUM($G$7:G43)</f>
        <v>20054</v>
      </c>
      <c r="J43" s="64">
        <f t="shared" si="5"/>
        <v>0.88974666134256175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36</v>
      </c>
      <c r="E44" s="74">
        <f t="shared" si="6"/>
        <v>7</v>
      </c>
      <c r="F44" s="60">
        <f t="shared" si="4"/>
        <v>10.220000000000001</v>
      </c>
      <c r="G44" s="61">
        <f>IF(D44=D43,"",_xlfn.IFNA(VLOOKUP(D44,'인원 입력 기능(사과탐)'!$P$64:$S$116,4,FALSE),0))</f>
        <v>362</v>
      </c>
      <c r="H44" s="62">
        <f t="shared" si="1"/>
        <v>1.6061049736013133E-2</v>
      </c>
      <c r="I44" s="72">
        <f>SUM($G$7:G44)</f>
        <v>20416</v>
      </c>
      <c r="J44" s="64">
        <f t="shared" si="5"/>
        <v>0.90580771107857494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35</v>
      </c>
      <c r="E45" s="74">
        <f t="shared" si="6"/>
        <v>8</v>
      </c>
      <c r="F45" s="60">
        <f t="shared" si="4"/>
        <v>8.76</v>
      </c>
      <c r="G45" s="61">
        <f>IF(D45=D44,"",_xlfn.IFNA(VLOOKUP(D45,'인원 입력 기능(사과탐)'!$P$64:$S$116,4,FALSE),0))</f>
        <v>296</v>
      </c>
      <c r="H45" s="62">
        <f t="shared" si="1"/>
        <v>1.3132792049336706E-2</v>
      </c>
      <c r="I45" s="72">
        <f>SUM($G$7:G45)</f>
        <v>20712</v>
      </c>
      <c r="J45" s="64">
        <f t="shared" si="5"/>
        <v>0.91894050312791165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174">
        <f t="shared" si="3"/>
        <v>34</v>
      </c>
      <c r="E46" s="174">
        <f t="shared" si="6"/>
        <v>8</v>
      </c>
      <c r="F46" s="176">
        <f t="shared" si="4"/>
        <v>6.65</v>
      </c>
      <c r="G46" s="178">
        <f>IF(D46=D45,"",_xlfn.IFNA(VLOOKUP(D46,'인원 입력 기능(사과탐)'!$P$64:$S$116,4,FALSE),0))</f>
        <v>655</v>
      </c>
      <c r="H46" s="180">
        <f t="shared" si="1"/>
        <v>2.9060739163228183E-2</v>
      </c>
      <c r="I46" s="191">
        <f>SUM($G$7:G46)</f>
        <v>21367</v>
      </c>
      <c r="J46" s="170">
        <f t="shared" si="5"/>
        <v>0.9480012422911398</v>
      </c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9">
        <v>10</v>
      </c>
      <c r="D47" s="175"/>
      <c r="E47" s="175"/>
      <c r="F47" s="177"/>
      <c r="G47" s="179"/>
      <c r="H47" s="181"/>
      <c r="I47" s="192"/>
      <c r="J47" s="171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33</v>
      </c>
      <c r="E48" s="74">
        <f t="shared" si="6"/>
        <v>8</v>
      </c>
      <c r="F48" s="60">
        <f t="shared" si="4"/>
        <v>4.2300000000000004</v>
      </c>
      <c r="G48" s="61">
        <f>IF(D48=D47,"",_xlfn.IFNA(VLOOKUP(D48,'인원 입력 기능(사과탐)'!$P$64:$S$116,4,FALSE),0))</f>
        <v>437</v>
      </c>
      <c r="H48" s="62">
        <f t="shared" si="1"/>
        <v>1.9388615289054528E-2</v>
      </c>
      <c r="I48" s="72">
        <f>SUM($G$7:G48)</f>
        <v>21804</v>
      </c>
      <c r="J48" s="64">
        <f t="shared" si="5"/>
        <v>0.96738985758019436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32</v>
      </c>
      <c r="E49" s="74">
        <f t="shared" si="6"/>
        <v>9</v>
      </c>
      <c r="F49" s="60">
        <f t="shared" si="4"/>
        <v>2.6</v>
      </c>
      <c r="G49" s="61">
        <f>IF(D49=D48,"",_xlfn.IFNA(VLOOKUP(D49,'인원 입력 기능(사과탐)'!$P$64:$S$116,4,FALSE),0))</f>
        <v>296</v>
      </c>
      <c r="H49" s="62">
        <f t="shared" si="1"/>
        <v>1.3132792049336706E-2</v>
      </c>
      <c r="I49" s="72">
        <f>SUM($G$7:G49)</f>
        <v>22100</v>
      </c>
      <c r="J49" s="64">
        <f t="shared" si="5"/>
        <v>0.98052264962953106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31</v>
      </c>
      <c r="E50" s="74">
        <f t="shared" si="6"/>
        <v>9</v>
      </c>
      <c r="F50" s="60">
        <f t="shared" si="4"/>
        <v>1.65</v>
      </c>
      <c r="G50" s="61">
        <f>IF(D50=D49,"",_xlfn.IFNA(VLOOKUP(D50,'인원 입력 기능(사과탐)'!$P$64:$S$116,4,FALSE),0))</f>
        <v>132</v>
      </c>
      <c r="H50" s="62">
        <f t="shared" si="1"/>
        <v>5.8565153733528552E-3</v>
      </c>
      <c r="I50" s="72">
        <f>SUM($G$7:G50)</f>
        <v>22232</v>
      </c>
      <c r="J50" s="64">
        <f t="shared" si="5"/>
        <v>0.98637916500288392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30</v>
      </c>
      <c r="E51" s="74">
        <f t="shared" si="6"/>
        <v>9</v>
      </c>
      <c r="F51" s="60">
        <f t="shared" si="4"/>
        <v>1.2</v>
      </c>
      <c r="G51" s="61">
        <f>IF(D51=D50,"",_xlfn.IFNA(VLOOKUP(D51,'인원 입력 기능(사과탐)'!$P$64:$S$116,4,FALSE),0))</f>
        <v>71</v>
      </c>
      <c r="H51" s="62">
        <f t="shared" si="1"/>
        <v>3.1500953902125206E-3</v>
      </c>
      <c r="I51" s="72">
        <f>SUM($G$7:G51)</f>
        <v>22303</v>
      </c>
      <c r="J51" s="64">
        <f t="shared" si="5"/>
        <v>0.98952926039309641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29</v>
      </c>
      <c r="E52" s="74">
        <f t="shared" si="6"/>
        <v>9</v>
      </c>
      <c r="F52" s="60">
        <f t="shared" si="4"/>
        <v>0.8</v>
      </c>
      <c r="G52" s="61">
        <f>IF(D52=D51,"",_xlfn.IFNA(VLOOKUP(D52,'인원 입력 기능(사과탐)'!$P$64:$S$116,4,FALSE),0))</f>
        <v>112</v>
      </c>
      <c r="H52" s="62">
        <f t="shared" si="1"/>
        <v>4.9691645592084832E-3</v>
      </c>
      <c r="I52" s="72">
        <f>SUM($G$7:G52)</f>
        <v>22415</v>
      </c>
      <c r="J52" s="64">
        <f t="shared" si="5"/>
        <v>0.99449842495230489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172">
        <f t="shared" si="3"/>
        <v>28</v>
      </c>
      <c r="E53" s="172">
        <f t="shared" si="6"/>
        <v>9</v>
      </c>
      <c r="F53" s="176">
        <f t="shared" si="4"/>
        <v>0.37</v>
      </c>
      <c r="G53" s="178">
        <f>IF(D53=D52,"",_xlfn.IFNA(VLOOKUP(D53,'인원 입력 기능(사과탐)'!$P$64:$S$116,4,FALSE),0))</f>
        <v>82</v>
      </c>
      <c r="H53" s="180">
        <f t="shared" si="1"/>
        <v>3.6381383379919252E-3</v>
      </c>
      <c r="I53" s="191">
        <f>SUM($G$7:G53)</f>
        <v>22497</v>
      </c>
      <c r="J53" s="170">
        <f t="shared" si="5"/>
        <v>0.99813656329029687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173"/>
      <c r="E54" s="173"/>
      <c r="F54" s="177"/>
      <c r="G54" s="179"/>
      <c r="H54" s="181"/>
      <c r="I54" s="192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27</v>
      </c>
      <c r="E55" s="59">
        <f t="shared" si="6"/>
        <v>9</v>
      </c>
      <c r="F55" s="60">
        <f t="shared" si="4"/>
        <v>0.12</v>
      </c>
      <c r="G55" s="61">
        <f>IF(D55=D54,"",_xlfn.IFNA(VLOOKUP(D55,'인원 입력 기능(사과탐)'!$P$64:$S$116,4,FALSE),0))</f>
        <v>30</v>
      </c>
      <c r="H55" s="62">
        <f t="shared" si="1"/>
        <v>1.331026221216558E-3</v>
      </c>
      <c r="I55" s="72">
        <f>SUM($G$7:G55)</f>
        <v>22527</v>
      </c>
      <c r="J55" s="64">
        <f t="shared" si="5"/>
        <v>0.99946758951151338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25</v>
      </c>
      <c r="E57" s="112">
        <f t="shared" si="6"/>
        <v>9</v>
      </c>
      <c r="F57" s="79">
        <f>IF(I55=0,ROUND(100*(1-(I54+I57)/2/$J$3),2),ROUND(100*(1-(I55+I57)/2/$J$3),2))</f>
        <v>0.03</v>
      </c>
      <c r="G57" s="113">
        <f>_xlfn.IFNA(VLOOKUP(D57,'인원 입력 기능(사과탐)'!$P$64:$S$116,4,FALSE),0)</f>
        <v>12</v>
      </c>
      <c r="H57" s="81">
        <f>G57/$J$3</f>
        <v>5.324104884866232E-4</v>
      </c>
      <c r="I57" s="82">
        <f>SUM($G$7:G57)</f>
        <v>22539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I4:J5"/>
    <mergeCell ref="D16:D17"/>
    <mergeCell ref="E16:E17"/>
    <mergeCell ref="F16:F17"/>
    <mergeCell ref="G16:G17"/>
    <mergeCell ref="H16:H17"/>
    <mergeCell ref="I16:I17"/>
    <mergeCell ref="J16:J17"/>
    <mergeCell ref="I23:I24"/>
    <mergeCell ref="J23:J24"/>
    <mergeCell ref="D31:D32"/>
    <mergeCell ref="E31:E32"/>
    <mergeCell ref="F31:F32"/>
    <mergeCell ref="G31:G32"/>
    <mergeCell ref="H31:H32"/>
    <mergeCell ref="I31:I32"/>
    <mergeCell ref="J31:J32"/>
    <mergeCell ref="D23:D24"/>
    <mergeCell ref="E23:E24"/>
    <mergeCell ref="F23:F24"/>
    <mergeCell ref="G23:G24"/>
    <mergeCell ref="H23:H24"/>
    <mergeCell ref="I38:I39"/>
    <mergeCell ref="J38:J39"/>
    <mergeCell ref="D46:D47"/>
    <mergeCell ref="E46:E47"/>
    <mergeCell ref="F46:F47"/>
    <mergeCell ref="G46:G47"/>
    <mergeCell ref="H46:H47"/>
    <mergeCell ref="I46:I47"/>
    <mergeCell ref="J46:J47"/>
    <mergeCell ref="D38:D39"/>
    <mergeCell ref="E38:E39"/>
    <mergeCell ref="F38:F39"/>
    <mergeCell ref="G38:G39"/>
    <mergeCell ref="H38:H39"/>
    <mergeCell ref="I53:I54"/>
    <mergeCell ref="J53:J54"/>
    <mergeCell ref="D53:D54"/>
    <mergeCell ref="E53:E54"/>
    <mergeCell ref="F53:F54"/>
    <mergeCell ref="G53:G54"/>
    <mergeCell ref="H53:H54"/>
  </mergeCells>
  <phoneticPr fontId="1" type="noConversion"/>
  <conditionalFormatting sqref="D7:G16 I7:J16 D18:G23 I18:J23 D25:G31 I25:J31 D33:G38 I33:J38 D40:G46 I40:J46 D48:G53 I48:J53 D55:G57 I55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16 D18:D23 D25:D31 D33:D38 D40:D46 D48:D53 D55:D57">
    <cfRule type="expression" dxfId="21" priority="2">
      <formula>$D7=$D8</formula>
    </cfRule>
  </conditionalFormatting>
  <conditionalFormatting sqref="H7:H16 H18:H23 H25:H31 H33:H38 H40:H46 H48:H53 H55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기능'!D16</f>
        <v>28.94</v>
      </c>
      <c r="I3" s="21" t="s">
        <v>70</v>
      </c>
      <c r="J3" s="50">
        <f>'통계 및 응시자 수 입력 기능'!C16</f>
        <v>34670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96</v>
      </c>
      <c r="E4" s="186"/>
      <c r="F4" s="187"/>
      <c r="G4" s="52" t="s">
        <v>73</v>
      </c>
      <c r="H4" s="53" t="str">
        <f>'통계 및 응시자 수 입력 기능'!E16</f>
        <v>11.10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99.47</v>
      </c>
      <c r="G7" s="61">
        <f>_xlfn.IFNA(VLOOKUP(D7,'인원 입력 기능(사과탐)'!$A$121:$D$172,4,FALSE),0)</f>
        <v>367</v>
      </c>
      <c r="H7" s="62">
        <f>G7/$J$3</f>
        <v>1.0585520623017017E-2</v>
      </c>
      <c r="I7" s="63">
        <f>G7</f>
        <v>367</v>
      </c>
      <c r="J7" s="64">
        <f>I7/$J$3</f>
        <v>1.0585520623017017E-2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64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기능'!C113</f>
        <v>62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67</v>
      </c>
      <c r="E9" s="59">
        <f t="shared" si="0"/>
        <v>1</v>
      </c>
      <c r="F9" s="60">
        <f>IF(I8=0,ROUND(100*(1-(I7+I9)/2/$J$3),2),ROUND(100*(1-(I8+I9)/2/$J$3),2))</f>
        <v>98.69</v>
      </c>
      <c r="G9" s="61">
        <f>_xlfn.IFNA(VLOOKUP(D9,'인원 입력 기능(사과탐)'!$A$121:$D$172,4,FALSE),0)</f>
        <v>174</v>
      </c>
      <c r="H9" s="62">
        <f t="shared" ref="H9:H55" si="1">G9/$J$3</f>
        <v>5.0187481972887226E-3</v>
      </c>
      <c r="I9" s="72">
        <f>SUM($G$7:G9)</f>
        <v>541</v>
      </c>
      <c r="J9" s="64">
        <f>I9/$J$3</f>
        <v>1.5604268820305739E-2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66</v>
      </c>
      <c r="E10" s="59">
        <f t="shared" si="0"/>
        <v>1</v>
      </c>
      <c r="F10" s="60">
        <f t="shared" ref="F10:F55" si="4">IF(I9=0,ROUND(100*(1-(I8+I10)/2/$J$3),2),ROUND(100*(1-(I9+I10)/2/$J$3),2))</f>
        <v>97.44</v>
      </c>
      <c r="G10" s="61">
        <f>IF(D10=D9,"",_xlfn.IFNA(VLOOKUP(D10,'인원 입력 기능(사과탐)'!$A$121:$D$172,4,FALSE),0))</f>
        <v>691</v>
      </c>
      <c r="H10" s="62">
        <f t="shared" si="1"/>
        <v>1.9930775886933948E-2</v>
      </c>
      <c r="I10" s="72">
        <f>SUM($G$7:G10)</f>
        <v>1232</v>
      </c>
      <c r="J10" s="64">
        <f t="shared" ref="J10:J55" si="5">I10/$J$3</f>
        <v>3.5535044707239685E-2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55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65</v>
      </c>
      <c r="E11" s="59">
        <f t="shared" si="0"/>
        <v>1</v>
      </c>
      <c r="F11" s="60">
        <f t="shared" si="4"/>
        <v>96.4</v>
      </c>
      <c r="G11" s="61">
        <f>IF(D11=D10,"",_xlfn.IFNA(VLOOKUP(D11,'인원 입력 기능(사과탐)'!$A$121:$D$172,4,FALSE),0))</f>
        <v>31</v>
      </c>
      <c r="H11" s="62">
        <f t="shared" si="1"/>
        <v>8.9414479376982985E-4</v>
      </c>
      <c r="I11" s="72">
        <f>SUM($G$7:G11)</f>
        <v>1263</v>
      </c>
      <c r="J11" s="64">
        <f t="shared" si="5"/>
        <v>3.6429189501009519E-2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49</v>
      </c>
    </row>
    <row r="12" spans="1:17" s="22" customFormat="1" ht="25" customHeight="1" x14ac:dyDescent="0.45">
      <c r="A12" s="20"/>
      <c r="B12" s="35"/>
      <c r="C12" s="65">
        <v>45</v>
      </c>
      <c r="D12" s="172">
        <f t="shared" si="3"/>
        <v>64</v>
      </c>
      <c r="E12" s="172">
        <f t="shared" si="0"/>
        <v>1</v>
      </c>
      <c r="F12" s="176">
        <f t="shared" si="4"/>
        <v>94.07</v>
      </c>
      <c r="G12" s="178">
        <f>IF(D12=D11,"",_xlfn.IFNA(VLOOKUP(D12,'인원 입력 기능(사과탐)'!$A$121:$D$172,4,FALSE),0))</f>
        <v>1585</v>
      </c>
      <c r="H12" s="180">
        <f t="shared" si="1"/>
        <v>4.5716758004038072E-2</v>
      </c>
      <c r="I12" s="191">
        <f>SUM($G$7:G12)</f>
        <v>2848</v>
      </c>
      <c r="J12" s="170">
        <f t="shared" si="5"/>
        <v>8.2145947505047598E-2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42</v>
      </c>
    </row>
    <row r="13" spans="1:17" s="22" customFormat="1" ht="25" customHeight="1" x14ac:dyDescent="0.45">
      <c r="A13" s="20"/>
      <c r="B13" s="35"/>
      <c r="C13" s="58">
        <v>44</v>
      </c>
      <c r="D13" s="173"/>
      <c r="E13" s="173"/>
      <c r="F13" s="177"/>
      <c r="G13" s="179"/>
      <c r="H13" s="181"/>
      <c r="I13" s="192"/>
      <c r="J13" s="17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기능'!C118</f>
        <v>35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63</v>
      </c>
      <c r="E14" s="59">
        <f t="shared" si="0"/>
        <v>2</v>
      </c>
      <c r="F14" s="60">
        <f t="shared" si="4"/>
        <v>91.46</v>
      </c>
      <c r="G14" s="61">
        <f>IF(D14=D13,"",_xlfn.IFNA(VLOOKUP(D14,'인원 입력 기능(사과탐)'!$A$121:$D$172,4,FALSE),0))</f>
        <v>226</v>
      </c>
      <c r="H14" s="62">
        <f t="shared" si="1"/>
        <v>6.5186039803865016E-3</v>
      </c>
      <c r="I14" s="72">
        <f>SUM($G$7:G14)</f>
        <v>3074</v>
      </c>
      <c r="J14" s="64">
        <f t="shared" si="5"/>
        <v>8.866455148543409E-2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32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62</v>
      </c>
      <c r="E15" s="59">
        <f t="shared" si="0"/>
        <v>2</v>
      </c>
      <c r="F15" s="60">
        <f t="shared" si="4"/>
        <v>89.59</v>
      </c>
      <c r="G15" s="61">
        <f>IF(D15=D14,"",_xlfn.IFNA(VLOOKUP(D15,'인원 입력 기능(사과탐)'!$A$121:$D$172,4,FALSE),0))</f>
        <v>1071</v>
      </c>
      <c r="H15" s="62">
        <f t="shared" si="1"/>
        <v>3.0891260455725413E-2</v>
      </c>
      <c r="I15" s="72">
        <f>SUM($G$7:G15)</f>
        <v>4145</v>
      </c>
      <c r="J15" s="64">
        <f t="shared" si="5"/>
        <v>0.11955581194115951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61</v>
      </c>
      <c r="E16" s="59">
        <f t="shared" si="0"/>
        <v>3</v>
      </c>
      <c r="F16" s="60">
        <f t="shared" si="4"/>
        <v>86.28</v>
      </c>
      <c r="G16" s="61">
        <f>IF(D16=D15,"",_xlfn.IFNA(VLOOKUP(D16,'인원 입력 기능(사과탐)'!$A$121:$D$172,4,FALSE),0))</f>
        <v>1224</v>
      </c>
      <c r="H16" s="62">
        <f t="shared" si="1"/>
        <v>3.5304297663686181E-2</v>
      </c>
      <c r="I16" s="72">
        <f>SUM($G$7:G16)</f>
        <v>5369</v>
      </c>
      <c r="J16" s="64">
        <f t="shared" si="5"/>
        <v>0.1548601096048457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60</v>
      </c>
      <c r="E17" s="59">
        <f t="shared" si="0"/>
        <v>3</v>
      </c>
      <c r="F17" s="60">
        <f t="shared" si="4"/>
        <v>83.68</v>
      </c>
      <c r="G17" s="61">
        <f>IF(D17=D16,"",_xlfn.IFNA(VLOOKUP(D17,'인원 입력 기능(사과탐)'!$A$121:$D$172,4,FALSE),0))</f>
        <v>575</v>
      </c>
      <c r="H17" s="62">
        <f t="shared" si="1"/>
        <v>1.6584943755408133E-2</v>
      </c>
      <c r="I17" s="72">
        <f>SUM($G$7:G17)</f>
        <v>5944</v>
      </c>
      <c r="J17" s="64">
        <f t="shared" si="5"/>
        <v>0.17144505336025381</v>
      </c>
      <c r="K17" s="36"/>
      <c r="L17" s="20" t="str">
        <f t="shared" si="2"/>
        <v/>
      </c>
      <c r="N17" s="24"/>
      <c r="Q17" s="24">
        <f>Q7*H3*H4*J3*IFERROR(IF(J57=1, 1, 0), 0)</f>
        <v>712779697.91999996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59</v>
      </c>
      <c r="E18" s="59">
        <f t="shared" si="0"/>
        <v>3</v>
      </c>
      <c r="F18" s="60">
        <f t="shared" si="4"/>
        <v>80.599999999999994</v>
      </c>
      <c r="G18" s="61">
        <f>IF(D18=D17,"",_xlfn.IFNA(VLOOKUP(D18,'인원 입력 기능(사과탐)'!$A$121:$D$172,4,FALSE),0))</f>
        <v>1561</v>
      </c>
      <c r="H18" s="62">
        <f t="shared" si="1"/>
        <v>4.5024516873377558E-2</v>
      </c>
      <c r="I18" s="72">
        <f>SUM($G$7:G18)</f>
        <v>7505</v>
      </c>
      <c r="J18" s="64">
        <f t="shared" si="5"/>
        <v>0.21646957023363139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58</v>
      </c>
      <c r="E19" s="59">
        <f t="shared" si="0"/>
        <v>3</v>
      </c>
      <c r="F19" s="60">
        <f t="shared" si="4"/>
        <v>76.900000000000006</v>
      </c>
      <c r="G19" s="61">
        <f>IF(D19=D18,"",_xlfn.IFNA(VLOOKUP(D19,'인원 입력 기능(사과탐)'!$A$121:$D$172,4,FALSE),0))</f>
        <v>1010</v>
      </c>
      <c r="H19" s="62">
        <f t="shared" si="1"/>
        <v>2.9131814248629938E-2</v>
      </c>
      <c r="I19" s="72">
        <f>SUM($G$7:G19)</f>
        <v>8515</v>
      </c>
      <c r="J19" s="64">
        <f t="shared" si="5"/>
        <v>0.24560138448226132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57</v>
      </c>
      <c r="E20" s="59">
        <f t="shared" si="0"/>
        <v>4</v>
      </c>
      <c r="F20" s="60">
        <f t="shared" si="4"/>
        <v>73.739999999999995</v>
      </c>
      <c r="G20" s="61">
        <f>IF(D20=D19,"",_xlfn.IFNA(VLOOKUP(D20,'인원 입력 기능(사과탐)'!$A$121:$D$172,4,FALSE),0))</f>
        <v>1180</v>
      </c>
      <c r="H20" s="62">
        <f t="shared" si="1"/>
        <v>3.403518892414191E-2</v>
      </c>
      <c r="I20" s="72">
        <f>SUM($G$7:G20)</f>
        <v>9695</v>
      </c>
      <c r="J20" s="64">
        <f t="shared" si="5"/>
        <v>0.27963657340640324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56</v>
      </c>
      <c r="E21" s="74">
        <f t="shared" si="0"/>
        <v>4</v>
      </c>
      <c r="F21" s="60">
        <f t="shared" si="4"/>
        <v>69.650000000000006</v>
      </c>
      <c r="G21" s="61">
        <f>IF(D21=D20,"",_xlfn.IFNA(VLOOKUP(D21,'인원 입력 기능(사과탐)'!$A$121:$D$172,4,FALSE),0))</f>
        <v>1653</v>
      </c>
      <c r="H21" s="62">
        <f t="shared" si="1"/>
        <v>4.7678107874242863E-2</v>
      </c>
      <c r="I21" s="72">
        <f>SUM($G$7:G21)</f>
        <v>11348</v>
      </c>
      <c r="J21" s="64">
        <f t="shared" si="5"/>
        <v>0.32731468128064611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174">
        <f t="shared" si="3"/>
        <v>55</v>
      </c>
      <c r="E22" s="174">
        <f t="shared" si="0"/>
        <v>4</v>
      </c>
      <c r="F22" s="176">
        <f t="shared" si="4"/>
        <v>63.62</v>
      </c>
      <c r="G22" s="178">
        <f>IF(D22=D21,"",_xlfn.IFNA(VLOOKUP(D22,'인원 입력 기능(사과탐)'!$A$121:$D$172,4,FALSE),0))</f>
        <v>2532</v>
      </c>
      <c r="H22" s="180">
        <f t="shared" si="1"/>
        <v>7.3031439284684169E-2</v>
      </c>
      <c r="I22" s="191">
        <f>SUM($G$7:G22)</f>
        <v>13880</v>
      </c>
      <c r="J22" s="170">
        <f t="shared" si="5"/>
        <v>0.40034612056533025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175"/>
      <c r="E23" s="175"/>
      <c r="F23" s="177"/>
      <c r="G23" s="179"/>
      <c r="H23" s="181"/>
      <c r="I23" s="192"/>
      <c r="J23" s="17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54</v>
      </c>
      <c r="E24" s="74">
        <f t="shared" si="0"/>
        <v>5</v>
      </c>
      <c r="F24" s="60">
        <f t="shared" si="4"/>
        <v>58.12</v>
      </c>
      <c r="G24" s="61">
        <f>IF(D24=D23,"",_xlfn.IFNA(VLOOKUP(D24,'인원 입력 기능(사과탐)'!$A$121:$D$172,4,FALSE),0))</f>
        <v>1282</v>
      </c>
      <c r="H24" s="62">
        <f t="shared" si="1"/>
        <v>3.6977213729449093E-2</v>
      </c>
      <c r="I24" s="72">
        <f>SUM($G$7:G24)</f>
        <v>15162</v>
      </c>
      <c r="J24" s="64">
        <f t="shared" si="5"/>
        <v>0.43732333429477938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53</v>
      </c>
      <c r="E25" s="74">
        <f t="shared" si="0"/>
        <v>5</v>
      </c>
      <c r="F25" s="60">
        <f t="shared" si="4"/>
        <v>54.61</v>
      </c>
      <c r="G25" s="61">
        <f>IF(D25=D24,"",_xlfn.IFNA(VLOOKUP(D25,'인원 입력 기능(사과탐)'!$A$121:$D$172,4,FALSE),0))</f>
        <v>1150</v>
      </c>
      <c r="H25" s="62">
        <f t="shared" si="1"/>
        <v>3.3169887510816266E-2</v>
      </c>
      <c r="I25" s="72">
        <f>SUM($G$7:G25)</f>
        <v>16312</v>
      </c>
      <c r="J25" s="64">
        <f t="shared" si="5"/>
        <v>0.47049322180559561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52</v>
      </c>
      <c r="E26" s="74">
        <f t="shared" si="0"/>
        <v>5</v>
      </c>
      <c r="F26" s="60">
        <f t="shared" si="4"/>
        <v>51.02</v>
      </c>
      <c r="G26" s="61">
        <f>IF(D26=D25,"",_xlfn.IFNA(VLOOKUP(D26,'인원 입력 기능(사과탐)'!$A$121:$D$172,4,FALSE),0))</f>
        <v>1339</v>
      </c>
      <c r="H26" s="62">
        <f t="shared" si="1"/>
        <v>3.8621286414767808E-2</v>
      </c>
      <c r="I26" s="72">
        <f>SUM($G$7:G26)</f>
        <v>17651</v>
      </c>
      <c r="J26" s="64">
        <f t="shared" si="5"/>
        <v>0.50911450822036342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51</v>
      </c>
      <c r="E27" s="74">
        <f t="shared" si="0"/>
        <v>5</v>
      </c>
      <c r="F27" s="60">
        <f t="shared" si="4"/>
        <v>47.66</v>
      </c>
      <c r="G27" s="61">
        <f>IF(D27=D26,"",_xlfn.IFNA(VLOOKUP(D27,'인원 입력 기능(사과탐)'!$A$121:$D$172,4,FALSE),0))</f>
        <v>993</v>
      </c>
      <c r="H27" s="62">
        <f t="shared" si="1"/>
        <v>2.8641476781078742E-2</v>
      </c>
      <c r="I27" s="72">
        <f>SUM($G$7:G27)</f>
        <v>18644</v>
      </c>
      <c r="J27" s="64">
        <f t="shared" si="5"/>
        <v>0.53775598500144217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50</v>
      </c>
      <c r="E28" s="74">
        <f t="shared" si="0"/>
        <v>5</v>
      </c>
      <c r="F28" s="60">
        <f t="shared" si="4"/>
        <v>44.49</v>
      </c>
      <c r="G28" s="61">
        <f>IF(D28=D27,"",_xlfn.IFNA(VLOOKUP(D28,'인원 입력 기능(사과탐)'!$A$121:$D$172,4,FALSE),0))</f>
        <v>1205</v>
      </c>
      <c r="H28" s="62">
        <f t="shared" si="1"/>
        <v>3.4756273435246614E-2</v>
      </c>
      <c r="I28" s="72">
        <f>SUM($G$7:G28)</f>
        <v>19849</v>
      </c>
      <c r="J28" s="64">
        <f t="shared" si="5"/>
        <v>0.57251225843668874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49</v>
      </c>
      <c r="E29" s="74">
        <f t="shared" si="0"/>
        <v>5</v>
      </c>
      <c r="F29" s="60">
        <f t="shared" si="4"/>
        <v>41.3</v>
      </c>
      <c r="G29" s="61">
        <f>IF(D29=D28,"",_xlfn.IFNA(VLOOKUP(D29,'인원 입력 기능(사과탐)'!$A$121:$D$172,4,FALSE),0))</f>
        <v>1007</v>
      </c>
      <c r="H29" s="62">
        <f t="shared" si="1"/>
        <v>2.9045284107297377E-2</v>
      </c>
      <c r="I29" s="72">
        <f>SUM($G$7:G29)</f>
        <v>20856</v>
      </c>
      <c r="J29" s="64">
        <f t="shared" si="5"/>
        <v>0.60155754254398619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48</v>
      </c>
      <c r="E30" s="74">
        <f t="shared" si="0"/>
        <v>6</v>
      </c>
      <c r="F30" s="60">
        <f t="shared" si="4"/>
        <v>38.42</v>
      </c>
      <c r="G30" s="61">
        <f>IF(D30=D29,"",_xlfn.IFNA(VLOOKUP(D30,'인원 입력 기능(사과탐)'!$A$121:$D$172,4,FALSE),0))</f>
        <v>986</v>
      </c>
      <c r="H30" s="62">
        <f t="shared" si="1"/>
        <v>2.8439573117969425E-2</v>
      </c>
      <c r="I30" s="72">
        <f>SUM($G$7:G30)</f>
        <v>21842</v>
      </c>
      <c r="J30" s="64">
        <f t="shared" si="5"/>
        <v>0.6299971156619556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47</v>
      </c>
      <c r="E31" s="74">
        <f t="shared" si="0"/>
        <v>6</v>
      </c>
      <c r="F31" s="60">
        <f t="shared" si="4"/>
        <v>35.6</v>
      </c>
      <c r="G31" s="61">
        <f>IF(D31=D30,"",_xlfn.IFNA(VLOOKUP(D31,'인원 입력 기능(사과탐)'!$A$121:$D$172,4,FALSE),0))</f>
        <v>972</v>
      </c>
      <c r="H31" s="62">
        <f t="shared" si="1"/>
        <v>2.8035765791750794E-2</v>
      </c>
      <c r="I31" s="72">
        <f>SUM($G$7:G31)</f>
        <v>22814</v>
      </c>
      <c r="J31" s="64">
        <f t="shared" si="5"/>
        <v>0.65803288145370642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174">
        <f t="shared" si="3"/>
        <v>46</v>
      </c>
      <c r="E32" s="174">
        <f t="shared" si="0"/>
        <v>6</v>
      </c>
      <c r="F32" s="176">
        <f t="shared" si="4"/>
        <v>31.78</v>
      </c>
      <c r="G32" s="178">
        <f>IF(D32=D31,"",_xlfn.IFNA(VLOOKUP(D32,'인원 입력 기능(사과탐)'!$A$121:$D$172,4,FALSE),0))</f>
        <v>1676</v>
      </c>
      <c r="H32" s="180">
        <f t="shared" si="1"/>
        <v>4.8341505624459186E-2</v>
      </c>
      <c r="I32" s="191">
        <f>SUM($G$7:G32)</f>
        <v>24490</v>
      </c>
      <c r="J32" s="170">
        <f t="shared" si="5"/>
        <v>0.70637438707816558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175"/>
      <c r="E33" s="175"/>
      <c r="F33" s="177"/>
      <c r="G33" s="179"/>
      <c r="H33" s="181"/>
      <c r="I33" s="192"/>
      <c r="J33" s="17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45</v>
      </c>
      <c r="E34" s="74">
        <f t="shared" si="0"/>
        <v>6</v>
      </c>
      <c r="F34" s="60">
        <f t="shared" si="4"/>
        <v>28.4</v>
      </c>
      <c r="G34" s="61">
        <f>IF(D34=D33,"",_xlfn.IFNA(VLOOKUP(D34,'인원 입력 기능(사과탐)'!$A$121:$D$172,4,FALSE),0))</f>
        <v>666</v>
      </c>
      <c r="H34" s="62">
        <f t="shared" si="1"/>
        <v>1.9209691375829247E-2</v>
      </c>
      <c r="I34" s="72">
        <f>SUM($G$7:G34)</f>
        <v>25156</v>
      </c>
      <c r="J34" s="64">
        <f t="shared" si="5"/>
        <v>0.72558407845399486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44</v>
      </c>
      <c r="E35" s="74">
        <f t="shared" si="0"/>
        <v>6</v>
      </c>
      <c r="F35" s="60">
        <f t="shared" si="4"/>
        <v>26.45</v>
      </c>
      <c r="G35" s="61">
        <f>IF(D35=D34,"",_xlfn.IFNA(VLOOKUP(D35,'인원 입력 기능(사과탐)'!$A$121:$D$172,4,FALSE),0))</f>
        <v>685</v>
      </c>
      <c r="H35" s="62">
        <f t="shared" si="1"/>
        <v>1.9757715604268821E-2</v>
      </c>
      <c r="I35" s="72">
        <f>SUM($G$7:G35)</f>
        <v>25841</v>
      </c>
      <c r="J35" s="64">
        <f t="shared" si="5"/>
        <v>0.74534179405826362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43</v>
      </c>
      <c r="E36" s="74">
        <f t="shared" si="0"/>
        <v>6</v>
      </c>
      <c r="F36" s="60">
        <f t="shared" si="4"/>
        <v>24.55</v>
      </c>
      <c r="G36" s="61">
        <f>IF(D36=D35,"",_xlfn.IFNA(VLOOKUP(D36,'인원 입력 기능(사과탐)'!$A$121:$D$172,4,FALSE),0))</f>
        <v>636</v>
      </c>
      <c r="H36" s="62">
        <f t="shared" si="1"/>
        <v>1.8344389962503604E-2</v>
      </c>
      <c r="I36" s="72">
        <f>SUM($G$7:G36)</f>
        <v>26477</v>
      </c>
      <c r="J36" s="64">
        <f t="shared" si="5"/>
        <v>0.76368618402076727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42</v>
      </c>
      <c r="E37" s="74">
        <f t="shared" si="0"/>
        <v>6</v>
      </c>
      <c r="F37" s="60">
        <f t="shared" si="4"/>
        <v>22.9</v>
      </c>
      <c r="G37" s="61">
        <f>IF(D37=D36,"",_xlfn.IFNA(VLOOKUP(D37,'인원 입력 기능(사과탐)'!$A$121:$D$172,4,FALSE),0))</f>
        <v>509</v>
      </c>
      <c r="H37" s="62">
        <f t="shared" si="1"/>
        <v>1.4681280646091721E-2</v>
      </c>
      <c r="I37" s="72">
        <f>SUM($G$7:G37)</f>
        <v>26986</v>
      </c>
      <c r="J37" s="64">
        <f t="shared" si="5"/>
        <v>0.77836746466685891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41</v>
      </c>
      <c r="E38" s="74">
        <f t="shared" si="0"/>
        <v>7</v>
      </c>
      <c r="F38" s="60">
        <f t="shared" si="4"/>
        <v>21.3</v>
      </c>
      <c r="G38" s="61">
        <f>IF(D38=D37,"",_xlfn.IFNA(VLOOKUP(D38,'인원 입력 기능(사과탐)'!$A$121:$D$172,4,FALSE),0))</f>
        <v>598</v>
      </c>
      <c r="H38" s="62">
        <f t="shared" si="1"/>
        <v>1.7248341505624459E-2</v>
      </c>
      <c r="I38" s="72">
        <f>SUM($G$7:G38)</f>
        <v>27584</v>
      </c>
      <c r="J38" s="64">
        <f t="shared" si="5"/>
        <v>0.7956158061724834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40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19.71</v>
      </c>
      <c r="G39" s="61">
        <f>IF(D39=D38,"",_xlfn.IFNA(VLOOKUP(D39,'인원 입력 기능(사과탐)'!$A$121:$D$172,4,FALSE),0))</f>
        <v>504</v>
      </c>
      <c r="H39" s="62">
        <f t="shared" si="1"/>
        <v>1.4537063743870782E-2</v>
      </c>
      <c r="I39" s="72">
        <f>SUM($G$7:G39)</f>
        <v>28088</v>
      </c>
      <c r="J39" s="64">
        <f t="shared" si="5"/>
        <v>0.81015286991635416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39</v>
      </c>
      <c r="E40" s="74">
        <f t="shared" si="6"/>
        <v>7</v>
      </c>
      <c r="F40" s="60">
        <f t="shared" si="4"/>
        <v>18.27</v>
      </c>
      <c r="G40" s="61">
        <f>IF(D40=D39,"",_xlfn.IFNA(VLOOKUP(D40,'인원 입력 기능(사과탐)'!$A$121:$D$172,4,FALSE),0))</f>
        <v>496</v>
      </c>
      <c r="H40" s="62">
        <f t="shared" si="1"/>
        <v>1.4306316700317278E-2</v>
      </c>
      <c r="I40" s="72">
        <f>SUM($G$7:G40)</f>
        <v>28584</v>
      </c>
      <c r="J40" s="64">
        <f t="shared" si="5"/>
        <v>0.8244591866166715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38</v>
      </c>
      <c r="E41" s="74">
        <f t="shared" si="6"/>
        <v>7</v>
      </c>
      <c r="F41" s="60">
        <f t="shared" si="4"/>
        <v>16.82</v>
      </c>
      <c r="G41" s="61">
        <f>IF(D41=D40,"",_xlfn.IFNA(VLOOKUP(D41,'인원 입력 기능(사과탐)'!$A$121:$D$172,4,FALSE),0))</f>
        <v>506</v>
      </c>
      <c r="H41" s="62">
        <f t="shared" si="1"/>
        <v>1.4594750504759158E-2</v>
      </c>
      <c r="I41" s="72">
        <f>SUM($G$7:G41)</f>
        <v>29090</v>
      </c>
      <c r="J41" s="64">
        <f t="shared" si="5"/>
        <v>0.83905393712143062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174">
        <f t="shared" si="3"/>
        <v>37</v>
      </c>
      <c r="E42" s="174">
        <f t="shared" si="6"/>
        <v>7</v>
      </c>
      <c r="F42" s="176">
        <f t="shared" si="4"/>
        <v>14.77</v>
      </c>
      <c r="G42" s="178">
        <f>IF(D42=D41,"",_xlfn.IFNA(VLOOKUP(D42,'인원 입력 기능(사과탐)'!$A$121:$D$172,4,FALSE),0))</f>
        <v>921</v>
      </c>
      <c r="H42" s="180">
        <f t="shared" si="1"/>
        <v>2.6564753389097202E-2</v>
      </c>
      <c r="I42" s="191">
        <f>SUM($G$7:G42)</f>
        <v>30011</v>
      </c>
      <c r="J42" s="170">
        <f t="shared" si="5"/>
        <v>0.86561869051052787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175"/>
      <c r="E43" s="175"/>
      <c r="F43" s="177"/>
      <c r="G43" s="179"/>
      <c r="H43" s="181"/>
      <c r="I43" s="192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36</v>
      </c>
      <c r="E44" s="74">
        <f t="shared" si="6"/>
        <v>7</v>
      </c>
      <c r="F44" s="60">
        <f t="shared" si="4"/>
        <v>12.8</v>
      </c>
      <c r="G44" s="61">
        <f>IF(D44=D43,"",_xlfn.IFNA(VLOOKUP(D44,'인원 입력 기능(사과탐)'!$A$121:$D$172,4,FALSE),0))</f>
        <v>444</v>
      </c>
      <c r="H44" s="62">
        <f t="shared" si="1"/>
        <v>1.2806460917219499E-2</v>
      </c>
      <c r="I44" s="72">
        <f>SUM($G$7:G44)</f>
        <v>30455</v>
      </c>
      <c r="J44" s="64">
        <f t="shared" si="5"/>
        <v>0.87842515142774735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35</v>
      </c>
      <c r="E45" s="74">
        <f t="shared" si="6"/>
        <v>7</v>
      </c>
      <c r="F45" s="60">
        <f t="shared" si="4"/>
        <v>11.49</v>
      </c>
      <c r="G45" s="61">
        <f>IF(D45=D44,"",_xlfn.IFNA(VLOOKUP(D45,'인원 입력 기능(사과탐)'!$A$121:$D$172,4,FALSE),0))</f>
        <v>464</v>
      </c>
      <c r="H45" s="62">
        <f t="shared" si="1"/>
        <v>1.338332852610326E-2</v>
      </c>
      <c r="I45" s="72">
        <f>SUM($G$7:G45)</f>
        <v>30919</v>
      </c>
      <c r="J45" s="64">
        <f t="shared" si="5"/>
        <v>0.8918084799538506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34</v>
      </c>
      <c r="E46" s="74">
        <f t="shared" si="6"/>
        <v>8</v>
      </c>
      <c r="F46" s="60">
        <f t="shared" si="4"/>
        <v>9.19</v>
      </c>
      <c r="G46" s="61">
        <f>IF(D46=D45,"",_xlfn.IFNA(VLOOKUP(D46,'인원 입력 기능(사과탐)'!$A$121:$D$172,4,FALSE),0))</f>
        <v>1131</v>
      </c>
      <c r="H46" s="62">
        <f t="shared" si="1"/>
        <v>3.2621863282376692E-2</v>
      </c>
      <c r="I46" s="72">
        <f>SUM($G$7:G46)</f>
        <v>32050</v>
      </c>
      <c r="J46" s="64">
        <f t="shared" si="5"/>
        <v>0.9244303432362273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33</v>
      </c>
      <c r="E47" s="74">
        <f t="shared" si="6"/>
        <v>8</v>
      </c>
      <c r="F47" s="60">
        <f t="shared" si="4"/>
        <v>6.53</v>
      </c>
      <c r="G47" s="61">
        <f>IF(D47=D46,"",_xlfn.IFNA(VLOOKUP(D47,'인원 입력 기능(사과탐)'!$A$121:$D$172,4,FALSE),0))</f>
        <v>715</v>
      </c>
      <c r="H47" s="62">
        <f t="shared" si="1"/>
        <v>2.0623017017594461E-2</v>
      </c>
      <c r="I47" s="72">
        <f>SUM($G$7:G47)</f>
        <v>32765</v>
      </c>
      <c r="J47" s="64">
        <f t="shared" si="5"/>
        <v>0.94505336025382169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32</v>
      </c>
      <c r="E48" s="74">
        <f t="shared" si="6"/>
        <v>8</v>
      </c>
      <c r="F48" s="60">
        <f t="shared" si="4"/>
        <v>4.47</v>
      </c>
      <c r="G48" s="61">
        <f>IF(D48=D47,"",_xlfn.IFNA(VLOOKUP(D48,'인원 입력 기능(사과탐)'!$A$121:$D$172,4,FALSE),0))</f>
        <v>712</v>
      </c>
      <c r="H48" s="62">
        <f t="shared" si="1"/>
        <v>2.0536486876261899E-2</v>
      </c>
      <c r="I48" s="72">
        <f>SUM($G$7:G48)</f>
        <v>33477</v>
      </c>
      <c r="J48" s="64">
        <f t="shared" si="5"/>
        <v>0.96558984713008367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31</v>
      </c>
      <c r="E49" s="74">
        <f t="shared" si="6"/>
        <v>9</v>
      </c>
      <c r="F49" s="60">
        <f t="shared" si="4"/>
        <v>3.03</v>
      </c>
      <c r="G49" s="61">
        <f>IF(D49=D48,"",_xlfn.IFNA(VLOOKUP(D49,'인원 입력 기능(사과탐)'!$A$121:$D$172,4,FALSE),0))</f>
        <v>284</v>
      </c>
      <c r="H49" s="62">
        <f t="shared" si="1"/>
        <v>8.191520046149408E-3</v>
      </c>
      <c r="I49" s="72">
        <f>SUM($G$7:G49)</f>
        <v>33761</v>
      </c>
      <c r="J49" s="64">
        <f t="shared" si="5"/>
        <v>0.97378136717623309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30</v>
      </c>
      <c r="E50" s="74">
        <f t="shared" si="6"/>
        <v>9</v>
      </c>
      <c r="F50" s="60">
        <f t="shared" si="4"/>
        <v>2.2400000000000002</v>
      </c>
      <c r="G50" s="61">
        <f>IF(D50=D49,"",_xlfn.IFNA(VLOOKUP(D50,'인원 입력 기능(사과탐)'!$A$121:$D$172,4,FALSE),0))</f>
        <v>264</v>
      </c>
      <c r="H50" s="62">
        <f t="shared" si="1"/>
        <v>7.6146524372656477E-3</v>
      </c>
      <c r="I50" s="72">
        <f>SUM($G$7:G50)</f>
        <v>34025</v>
      </c>
      <c r="J50" s="64">
        <f t="shared" si="5"/>
        <v>0.98139601961349865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29</v>
      </c>
      <c r="E51" s="74">
        <f t="shared" si="6"/>
        <v>9</v>
      </c>
      <c r="F51" s="60">
        <f t="shared" si="4"/>
        <v>1.61</v>
      </c>
      <c r="G51" s="61">
        <f>IF(D51=D50,"",_xlfn.IFNA(VLOOKUP(D51,'인원 입력 기능(사과탐)'!$A$121:$D$172,4,FALSE),0))</f>
        <v>176</v>
      </c>
      <c r="H51" s="62">
        <f t="shared" si="1"/>
        <v>5.0764349581770988E-3</v>
      </c>
      <c r="I51" s="72">
        <f>SUM($G$7:G51)</f>
        <v>34201</v>
      </c>
      <c r="J51" s="64">
        <f t="shared" si="5"/>
        <v>0.98647245457167576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174">
        <f t="shared" si="3"/>
        <v>28</v>
      </c>
      <c r="E52" s="174">
        <f t="shared" si="6"/>
        <v>9</v>
      </c>
      <c r="F52" s="176">
        <f t="shared" si="4"/>
        <v>0.93</v>
      </c>
      <c r="G52" s="178">
        <f>IF(D52=D51,"",_xlfn.IFNA(VLOOKUP(D52,'인원 입력 기능(사과탐)'!$A$121:$D$172,4,FALSE),0))</f>
        <v>292</v>
      </c>
      <c r="H52" s="180">
        <f t="shared" si="1"/>
        <v>8.4222670897029124E-3</v>
      </c>
      <c r="I52" s="191">
        <f>SUM($G$7:G52)</f>
        <v>34493</v>
      </c>
      <c r="J52" s="170">
        <f t="shared" si="5"/>
        <v>0.99489472166137871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175"/>
      <c r="E53" s="175"/>
      <c r="F53" s="177"/>
      <c r="G53" s="179"/>
      <c r="H53" s="181"/>
      <c r="I53" s="192"/>
      <c r="J53" s="171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27</v>
      </c>
      <c r="E54" s="59">
        <f t="shared" si="6"/>
        <v>9</v>
      </c>
      <c r="F54" s="60">
        <f t="shared" si="4"/>
        <v>0.42</v>
      </c>
      <c r="G54" s="61">
        <f>IF(D54=D53,"",_xlfn.IFNA(VLOOKUP(D54,'인원 입력 기능(사과탐)'!$A$121:$D$172,4,FALSE),0))</f>
        <v>66</v>
      </c>
      <c r="H54" s="62">
        <f t="shared" si="1"/>
        <v>1.9036631093164119E-3</v>
      </c>
      <c r="I54" s="72">
        <f>SUM($G$7:G54)</f>
        <v>34559</v>
      </c>
      <c r="J54" s="64">
        <f t="shared" si="5"/>
        <v>0.99679838477069516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26</v>
      </c>
      <c r="E55" s="59">
        <f t="shared" si="6"/>
        <v>9</v>
      </c>
      <c r="F55" s="60">
        <f t="shared" si="4"/>
        <v>0.21</v>
      </c>
      <c r="G55" s="61">
        <f>IF(D55=D54,"",_xlfn.IFNA(VLOOKUP(D55,'인원 입력 기능(사과탐)'!$A$121:$D$172,4,FALSE),0))</f>
        <v>75</v>
      </c>
      <c r="H55" s="62">
        <f t="shared" si="1"/>
        <v>2.1632535333141042E-3</v>
      </c>
      <c r="I55" s="72">
        <f>SUM($G$7:G55)</f>
        <v>34634</v>
      </c>
      <c r="J55" s="64">
        <f t="shared" si="5"/>
        <v>0.99896163830400919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24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기능(사과탐)'!$A$121:$D$172,4,FALSE),0)</f>
        <v>36</v>
      </c>
      <c r="H57" s="81">
        <f>G57/$J$3</f>
        <v>1.03836169599077E-3</v>
      </c>
      <c r="I57" s="82">
        <f>SUM($G$7:G57)</f>
        <v>34670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  <mergeCell ref="I22:I23"/>
    <mergeCell ref="J22:J23"/>
    <mergeCell ref="D32:D33"/>
    <mergeCell ref="E32:E33"/>
    <mergeCell ref="F32:F33"/>
    <mergeCell ref="G32:G33"/>
    <mergeCell ref="H32:H33"/>
    <mergeCell ref="I32:I33"/>
    <mergeCell ref="J32:J33"/>
    <mergeCell ref="D22:D23"/>
    <mergeCell ref="E22:E23"/>
    <mergeCell ref="F22:F23"/>
    <mergeCell ref="G22:G23"/>
    <mergeCell ref="H22:H23"/>
    <mergeCell ref="I42:I43"/>
    <mergeCell ref="J42:J43"/>
    <mergeCell ref="D52:D53"/>
    <mergeCell ref="E52:E53"/>
    <mergeCell ref="F52:F53"/>
    <mergeCell ref="G52:G53"/>
    <mergeCell ref="H52:H53"/>
    <mergeCell ref="I52:I53"/>
    <mergeCell ref="J52:J53"/>
    <mergeCell ref="D42:D43"/>
    <mergeCell ref="E42:E43"/>
    <mergeCell ref="F42:F43"/>
    <mergeCell ref="G42:G43"/>
    <mergeCell ref="H42:H43"/>
  </mergeCells>
  <phoneticPr fontId="1" type="noConversion"/>
  <conditionalFormatting sqref="D7:G12 I7:J12 D14:G22 I14:J22 D24:G32 I24:J32 D34:G42 I34:J42 D44:G52 I44:J52 D54:G57 I54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2 D14:D22 D24:D32 D34:D42 D44:D52 D54:D57">
    <cfRule type="expression" dxfId="17" priority="2">
      <formula>$D7=$D8</formula>
    </cfRule>
  </conditionalFormatting>
  <conditionalFormatting sqref="H7:H12 H14:H22 H24:H32 H34:H42 H44:H52 H54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topLeftCell="A44"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기능'!D17</f>
        <v>29.96</v>
      </c>
      <c r="I3" s="21" t="s">
        <v>70</v>
      </c>
      <c r="J3" s="50">
        <f>'통계 및 응시자 수 입력 기능'!C17</f>
        <v>34950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95</v>
      </c>
      <c r="E4" s="186"/>
      <c r="F4" s="187"/>
      <c r="G4" s="52" t="s">
        <v>73</v>
      </c>
      <c r="H4" s="53" t="str">
        <f>'통계 및 응시자 수 입력 기능'!E17</f>
        <v>10.15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70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98.86</v>
      </c>
      <c r="G7" s="61">
        <f>_xlfn.IFNA(VLOOKUP(D7,'인원 입력 기능(사과탐)'!$A$177:$D$231,4,FALSE),0)</f>
        <v>796</v>
      </c>
      <c r="H7" s="62">
        <f>G7/$J$3</f>
        <v>2.2775393419170242E-2</v>
      </c>
      <c r="I7" s="63">
        <f>G7</f>
        <v>796</v>
      </c>
      <c r="J7" s="64">
        <f>I7/$J$3</f>
        <v>2.2775393419170242E-2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67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기능'!C122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68</v>
      </c>
      <c r="E9" s="59">
        <f t="shared" si="0"/>
        <v>1</v>
      </c>
      <c r="F9" s="60">
        <f>IF(I8=0,ROUND(100*(1-(I7+I9)/2/$J$3),2),ROUND(100*(1-(I8+I9)/2/$J$3),2))</f>
        <v>97.16</v>
      </c>
      <c r="G9" s="61">
        <f>_xlfn.IFNA(VLOOKUP(D9,'인원 입력 기능(사과탐)'!$A$177:$D$231,4,FALSE),0)</f>
        <v>390</v>
      </c>
      <c r="H9" s="62">
        <f t="shared" ref="H9:H55" si="1">G9/$J$3</f>
        <v>1.1158798283261802E-2</v>
      </c>
      <c r="I9" s="72">
        <f>SUM($G$7:G9)</f>
        <v>1186</v>
      </c>
      <c r="J9" s="64">
        <f>I9/$J$3</f>
        <v>3.3934191702432046E-2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67</v>
      </c>
      <c r="E10" s="59">
        <f t="shared" si="0"/>
        <v>1</v>
      </c>
      <c r="F10" s="60">
        <f t="shared" ref="F10:F55" si="4">IF(I9=0,ROUND(100*(1-(I8+I10)/2/$J$3),2),ROUND(100*(1-(I9+I10)/2/$J$3),2))</f>
        <v>95.36</v>
      </c>
      <c r="G10" s="61">
        <f>IF(D10=D9,"",_xlfn.IFNA(VLOOKUP(D10,'인원 입력 기능(사과탐)'!$A$177:$D$231,4,FALSE),0))</f>
        <v>873</v>
      </c>
      <c r="H10" s="62">
        <f t="shared" si="1"/>
        <v>2.4978540772532188E-2</v>
      </c>
      <c r="I10" s="72">
        <f>SUM($G$7:G10)</f>
        <v>2059</v>
      </c>
      <c r="J10" s="64">
        <f t="shared" ref="J10:J55" si="5">I10/$J$3</f>
        <v>5.8912732474964237E-2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66</v>
      </c>
      <c r="E11" s="59">
        <f t="shared" si="0"/>
        <v>2</v>
      </c>
      <c r="F11" s="60">
        <f t="shared" si="4"/>
        <v>93.97</v>
      </c>
      <c r="G11" s="61">
        <f>IF(D11=D10,"",_xlfn.IFNA(VLOOKUP(D11,'인원 입력 기능(사과탐)'!$A$177:$D$231,4,FALSE),0))</f>
        <v>97</v>
      </c>
      <c r="H11" s="62">
        <f t="shared" si="1"/>
        <v>2.7753934191702434E-3</v>
      </c>
      <c r="I11" s="72">
        <f>SUM($G$7:G11)</f>
        <v>2156</v>
      </c>
      <c r="J11" s="64">
        <f t="shared" si="5"/>
        <v>6.1688125894134478E-2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65</v>
      </c>
      <c r="E12" s="59">
        <f t="shared" si="0"/>
        <v>2</v>
      </c>
      <c r="F12" s="60">
        <f t="shared" si="4"/>
        <v>92.65</v>
      </c>
      <c r="G12" s="61">
        <f>IF(D12=D11,"",_xlfn.IFNA(VLOOKUP(D12,'인원 입력 기능(사과탐)'!$A$177:$D$231,4,FALSE),0))</f>
        <v>823</v>
      </c>
      <c r="H12" s="62">
        <f t="shared" si="1"/>
        <v>2.3547925608011444E-2</v>
      </c>
      <c r="I12" s="72">
        <f>SUM($G$7:G12)</f>
        <v>2979</v>
      </c>
      <c r="J12" s="64">
        <f t="shared" si="5"/>
        <v>8.5236051502145929E-2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64</v>
      </c>
      <c r="E13" s="59">
        <f t="shared" si="0"/>
        <v>2</v>
      </c>
      <c r="F13" s="60">
        <f t="shared" si="4"/>
        <v>90.38</v>
      </c>
      <c r="G13" s="61">
        <f>IF(D13=D12,"",_xlfn.IFNA(VLOOKUP(D13,'인원 입력 기능(사과탐)'!$A$177:$D$231,4,FALSE),0))</f>
        <v>769</v>
      </c>
      <c r="H13" s="62">
        <f t="shared" si="1"/>
        <v>2.2002861230329043E-2</v>
      </c>
      <c r="I13" s="72">
        <f>SUM($G$7:G13)</f>
        <v>3748</v>
      </c>
      <c r="J13" s="64">
        <f t="shared" si="5"/>
        <v>0.10723891273247496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37</v>
      </c>
    </row>
    <row r="14" spans="1:17" s="22" customFormat="1" ht="25" customHeight="1" x14ac:dyDescent="0.45">
      <c r="A14" s="20"/>
      <c r="B14" s="35"/>
      <c r="C14" s="73">
        <v>43</v>
      </c>
      <c r="D14" s="115">
        <f t="shared" si="3"/>
        <v>63</v>
      </c>
      <c r="E14" s="115">
        <f t="shared" si="0"/>
        <v>2</v>
      </c>
      <c r="F14" s="60">
        <f t="shared" si="4"/>
        <v>88.68</v>
      </c>
      <c r="G14" s="61">
        <f>IF(D14=D13,"",_xlfn.IFNA(VLOOKUP(D14,'인원 입력 기능(사과탐)'!$A$177:$D$231,4,FALSE),0))</f>
        <v>415</v>
      </c>
      <c r="H14" s="62">
        <f t="shared" si="1"/>
        <v>1.1874105865522174E-2</v>
      </c>
      <c r="I14" s="72">
        <f>SUM($G$7:G14)</f>
        <v>4163</v>
      </c>
      <c r="J14" s="64">
        <f t="shared" si="5"/>
        <v>0.11911301859799714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31</v>
      </c>
    </row>
    <row r="15" spans="1:17" s="22" customFormat="1" ht="25" customHeight="1" x14ac:dyDescent="0.45">
      <c r="A15" s="20"/>
      <c r="B15" s="35"/>
      <c r="C15" s="58">
        <v>42</v>
      </c>
      <c r="D15" s="115">
        <f t="shared" ref="D15" si="6">ROUND(10*(C15-$H$3)/$H$4+50,0)</f>
        <v>62</v>
      </c>
      <c r="E15" s="115">
        <f t="shared" si="0"/>
        <v>3</v>
      </c>
      <c r="F15" s="60">
        <f t="shared" si="4"/>
        <v>86.65</v>
      </c>
      <c r="G15" s="61">
        <f>IF(D15=D14,"",_xlfn.IFNA(VLOOKUP(D15,'인원 입력 기능(사과탐)'!$A$177:$D$231,4,FALSE),0))</f>
        <v>1005</v>
      </c>
      <c r="H15" s="62">
        <f t="shared" si="1"/>
        <v>2.8755364806866954E-2</v>
      </c>
      <c r="I15" s="72">
        <f>SUM($G$7:G15)</f>
        <v>5168</v>
      </c>
      <c r="J15" s="64">
        <f t="shared" si="5"/>
        <v>0.14786838340486408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61</v>
      </c>
      <c r="E16" s="59">
        <f t="shared" si="0"/>
        <v>3</v>
      </c>
      <c r="F16" s="60">
        <f t="shared" si="4"/>
        <v>84.29</v>
      </c>
      <c r="G16" s="61">
        <f>IF(D16=D15,"",_xlfn.IFNA(VLOOKUP(D16,'인원 입력 기능(사과탐)'!$A$177:$D$231,4,FALSE),0))</f>
        <v>645</v>
      </c>
      <c r="H16" s="62">
        <f t="shared" si="1"/>
        <v>1.8454935622317595E-2</v>
      </c>
      <c r="I16" s="72">
        <f>SUM($G$7:G16)</f>
        <v>5813</v>
      </c>
      <c r="J16" s="64">
        <f t="shared" si="5"/>
        <v>0.1663233190271817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60</v>
      </c>
      <c r="E17" s="59">
        <f t="shared" si="0"/>
        <v>3</v>
      </c>
      <c r="F17" s="60">
        <f t="shared" si="4"/>
        <v>82.14</v>
      </c>
      <c r="G17" s="61">
        <f>IF(D17=D16,"",_xlfn.IFNA(VLOOKUP(D17,'인원 입력 기능(사과탐)'!$A$177:$D$231,4,FALSE),0))</f>
        <v>858</v>
      </c>
      <c r="H17" s="62">
        <f t="shared" si="1"/>
        <v>2.4549356223175965E-2</v>
      </c>
      <c r="I17" s="72">
        <f>SUM($G$7:G17)</f>
        <v>6671</v>
      </c>
      <c r="J17" s="64">
        <f t="shared" si="5"/>
        <v>0.19087267525035764</v>
      </c>
      <c r="K17" s="36"/>
      <c r="L17" s="20" t="str">
        <f t="shared" si="2"/>
        <v/>
      </c>
      <c r="N17" s="24"/>
      <c r="Q17" s="24">
        <f>Q7*H3*H4*J3*IFERROR(IF(J57=1, 1, 0), 0)</f>
        <v>712081715.10000014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59</v>
      </c>
      <c r="E18" s="59">
        <f t="shared" si="0"/>
        <v>3</v>
      </c>
      <c r="F18" s="60">
        <f t="shared" si="4"/>
        <v>79.44</v>
      </c>
      <c r="G18" s="61">
        <f>IF(D18=D17,"",_xlfn.IFNA(VLOOKUP(D18,'인원 입력 기능(사과탐)'!$A$177:$D$231,4,FALSE),0))</f>
        <v>1032</v>
      </c>
      <c r="H18" s="62">
        <f t="shared" si="1"/>
        <v>2.9527896995708156E-2</v>
      </c>
      <c r="I18" s="72">
        <f>SUM($G$7:G18)</f>
        <v>7703</v>
      </c>
      <c r="J18" s="64">
        <f t="shared" si="5"/>
        <v>0.2204005722460658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58</v>
      </c>
      <c r="E19" s="59">
        <f t="shared" si="0"/>
        <v>3</v>
      </c>
      <c r="F19" s="60">
        <f t="shared" si="4"/>
        <v>76.84</v>
      </c>
      <c r="G19" s="61">
        <f>IF(D19=D18,"",_xlfn.IFNA(VLOOKUP(D19,'인원 입력 기능(사과탐)'!$A$177:$D$231,4,FALSE),0))</f>
        <v>782</v>
      </c>
      <c r="H19" s="62">
        <f t="shared" si="1"/>
        <v>2.2374821173104437E-2</v>
      </c>
      <c r="I19" s="72">
        <f>SUM($G$7:G19)</f>
        <v>8485</v>
      </c>
      <c r="J19" s="64">
        <f t="shared" si="5"/>
        <v>0.24277539341917023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57</v>
      </c>
      <c r="E20" s="59">
        <f t="shared" si="0"/>
        <v>4</v>
      </c>
      <c r="F20" s="60">
        <f t="shared" si="4"/>
        <v>73.94</v>
      </c>
      <c r="G20" s="61">
        <f>IF(D20=D19,"",_xlfn.IFNA(VLOOKUP(D20,'인원 입력 기능(사과탐)'!$A$177:$D$231,4,FALSE),0))</f>
        <v>1245</v>
      </c>
      <c r="H20" s="62">
        <f t="shared" si="1"/>
        <v>3.5622317596566526E-2</v>
      </c>
      <c r="I20" s="72">
        <f>SUM($G$7:G20)</f>
        <v>9730</v>
      </c>
      <c r="J20" s="64">
        <f t="shared" si="5"/>
        <v>0.27839771101573679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56</v>
      </c>
      <c r="E21" s="74">
        <f t="shared" si="0"/>
        <v>4</v>
      </c>
      <c r="F21" s="60">
        <f t="shared" si="4"/>
        <v>70.75</v>
      </c>
      <c r="G21" s="61">
        <f>IF(D21=D20,"",_xlfn.IFNA(VLOOKUP(D21,'인원 입력 기능(사과탐)'!$A$177:$D$231,4,FALSE),0))</f>
        <v>984</v>
      </c>
      <c r="H21" s="62">
        <f t="shared" si="1"/>
        <v>2.8154506437768241E-2</v>
      </c>
      <c r="I21" s="72">
        <f>SUM($G$7:G21)</f>
        <v>10714</v>
      </c>
      <c r="J21" s="64">
        <f t="shared" si="5"/>
        <v>0.30655221745350503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55</v>
      </c>
      <c r="E22" s="74">
        <f t="shared" si="0"/>
        <v>4</v>
      </c>
      <c r="F22" s="60">
        <f t="shared" si="4"/>
        <v>67.760000000000005</v>
      </c>
      <c r="G22" s="61">
        <f>IF(D22=D21,"",_xlfn.IFNA(VLOOKUP(D22,'인원 입력 기능(사과탐)'!$A$177:$D$231,4,FALSE),0))</f>
        <v>1108</v>
      </c>
      <c r="H22" s="62">
        <f t="shared" si="1"/>
        <v>3.1702432045779688E-2</v>
      </c>
      <c r="I22" s="72">
        <f>SUM($G$7:G22)</f>
        <v>11822</v>
      </c>
      <c r="J22" s="64">
        <f t="shared" si="5"/>
        <v>0.33825464949928469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54</v>
      </c>
      <c r="E23" s="74">
        <f t="shared" si="0"/>
        <v>4</v>
      </c>
      <c r="F23" s="60">
        <f t="shared" si="4"/>
        <v>64.25</v>
      </c>
      <c r="G23" s="61">
        <f>IF(D23=D22,"",_xlfn.IFNA(VLOOKUP(D23,'인원 입력 기능(사과탐)'!$A$177:$D$231,4,FALSE),0))</f>
        <v>1343</v>
      </c>
      <c r="H23" s="62">
        <f t="shared" si="1"/>
        <v>3.8426323319027185E-2</v>
      </c>
      <c r="I23" s="72">
        <f>SUM($G$7:G23)</f>
        <v>13165</v>
      </c>
      <c r="J23" s="64">
        <f t="shared" si="5"/>
        <v>0.37668097281831187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53</v>
      </c>
      <c r="E24" s="74">
        <f t="shared" si="0"/>
        <v>4</v>
      </c>
      <c r="F24" s="60">
        <f t="shared" si="4"/>
        <v>60.87</v>
      </c>
      <c r="G24" s="61">
        <f>IF(D24=D23,"",_xlfn.IFNA(VLOOKUP(D24,'인원 입력 기능(사과탐)'!$A$177:$D$231,4,FALSE),0))</f>
        <v>1024</v>
      </c>
      <c r="H24" s="62">
        <f t="shared" si="1"/>
        <v>2.9298998569384834E-2</v>
      </c>
      <c r="I24" s="72">
        <f>SUM($G$7:G24)</f>
        <v>14189</v>
      </c>
      <c r="J24" s="64">
        <f t="shared" si="5"/>
        <v>0.4059799713876967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52</v>
      </c>
      <c r="E25" s="74">
        <f t="shared" si="0"/>
        <v>5</v>
      </c>
      <c r="F25" s="60">
        <f t="shared" si="4"/>
        <v>57.31</v>
      </c>
      <c r="G25" s="61">
        <f>IF(D25=D24,"",_xlfn.IFNA(VLOOKUP(D25,'인원 입력 기능(사과탐)'!$A$177:$D$231,4,FALSE),0))</f>
        <v>1463</v>
      </c>
      <c r="H25" s="62">
        <f t="shared" si="1"/>
        <v>4.1859799713876968E-2</v>
      </c>
      <c r="I25" s="72">
        <f>SUM($G$7:G25)</f>
        <v>15652</v>
      </c>
      <c r="J25" s="64">
        <f t="shared" si="5"/>
        <v>0.44783977110157369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51</v>
      </c>
      <c r="E26" s="74">
        <f t="shared" si="0"/>
        <v>5</v>
      </c>
      <c r="F26" s="60">
        <f t="shared" si="4"/>
        <v>53.5</v>
      </c>
      <c r="G26" s="61">
        <f>IF(D26=D25,"",_xlfn.IFNA(VLOOKUP(D26,'인원 입력 기능(사과탐)'!$A$177:$D$231,4,FALSE),0))</f>
        <v>1198</v>
      </c>
      <c r="H26" s="62">
        <f t="shared" si="1"/>
        <v>3.4277539341917025E-2</v>
      </c>
      <c r="I26" s="72">
        <f>SUM($G$7:G26)</f>
        <v>16850</v>
      </c>
      <c r="J26" s="64">
        <f t="shared" si="5"/>
        <v>0.48211731044349071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50</v>
      </c>
      <c r="E27" s="74">
        <f t="shared" si="0"/>
        <v>5</v>
      </c>
      <c r="F27" s="60">
        <f t="shared" si="4"/>
        <v>49.95</v>
      </c>
      <c r="G27" s="61">
        <f>IF(D27=D26,"",_xlfn.IFNA(VLOOKUP(D27,'인원 입력 기능(사과탐)'!$A$177:$D$231,4,FALSE),0))</f>
        <v>1288</v>
      </c>
      <c r="H27" s="62">
        <f t="shared" si="1"/>
        <v>3.6852646638054362E-2</v>
      </c>
      <c r="I27" s="72">
        <f>SUM($G$7:G27)</f>
        <v>18138</v>
      </c>
      <c r="J27" s="64">
        <f t="shared" si="5"/>
        <v>0.51896995708154503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49</v>
      </c>
      <c r="E28" s="74">
        <f t="shared" si="0"/>
        <v>5</v>
      </c>
      <c r="F28" s="60">
        <f t="shared" si="4"/>
        <v>45.9</v>
      </c>
      <c r="G28" s="61">
        <f>IF(D28=D27,"",_xlfn.IFNA(VLOOKUP(D28,'인원 입력 기능(사과탐)'!$A$177:$D$231,4,FALSE),0))</f>
        <v>1539</v>
      </c>
      <c r="H28" s="62">
        <f t="shared" si="1"/>
        <v>4.4034334763948496E-2</v>
      </c>
      <c r="I28" s="72">
        <f>SUM($G$7:G28)</f>
        <v>19677</v>
      </c>
      <c r="J28" s="64">
        <f t="shared" si="5"/>
        <v>0.56300429184549361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48</v>
      </c>
      <c r="E29" s="74">
        <f t="shared" si="0"/>
        <v>5</v>
      </c>
      <c r="F29" s="60">
        <f t="shared" si="4"/>
        <v>42.06</v>
      </c>
      <c r="G29" s="61">
        <f>IF(D29=D28,"",_xlfn.IFNA(VLOOKUP(D29,'인원 입력 기능(사과탐)'!$A$177:$D$231,4,FALSE),0))</f>
        <v>1145</v>
      </c>
      <c r="H29" s="62">
        <f t="shared" si="1"/>
        <v>3.2761087267525038E-2</v>
      </c>
      <c r="I29" s="72">
        <f>SUM($G$7:G29)</f>
        <v>20822</v>
      </c>
      <c r="J29" s="64">
        <f t="shared" si="5"/>
        <v>0.59576537911301863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47</v>
      </c>
      <c r="E30" s="74">
        <f t="shared" si="0"/>
        <v>5</v>
      </c>
      <c r="F30" s="60">
        <f t="shared" si="4"/>
        <v>38.46</v>
      </c>
      <c r="G30" s="61">
        <f>IF(D30=D29,"",_xlfn.IFNA(VLOOKUP(D30,'인원 입력 기능(사과탐)'!$A$177:$D$231,4,FALSE),0))</f>
        <v>1375</v>
      </c>
      <c r="H30" s="62">
        <f t="shared" si="1"/>
        <v>3.9341917024320459E-2</v>
      </c>
      <c r="I30" s="72">
        <f>SUM($G$7:G30)</f>
        <v>22197</v>
      </c>
      <c r="J30" s="64">
        <f t="shared" si="5"/>
        <v>0.63510729613733907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46</v>
      </c>
      <c r="E31" s="74">
        <f t="shared" si="0"/>
        <v>6</v>
      </c>
      <c r="F31" s="60">
        <f t="shared" si="4"/>
        <v>34.75</v>
      </c>
      <c r="G31" s="61">
        <f>IF(D31=D30,"",_xlfn.IFNA(VLOOKUP(D31,'인원 입력 기능(사과탐)'!$A$177:$D$231,4,FALSE),0))</f>
        <v>1219</v>
      </c>
      <c r="H31" s="62">
        <f t="shared" si="1"/>
        <v>3.4878397711015738E-2</v>
      </c>
      <c r="I31" s="72">
        <f>SUM($G$7:G31)</f>
        <v>23416</v>
      </c>
      <c r="J31" s="64">
        <f t="shared" si="5"/>
        <v>0.66998569384835482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45</v>
      </c>
      <c r="E32" s="74">
        <f t="shared" si="0"/>
        <v>6</v>
      </c>
      <c r="F32" s="60">
        <f t="shared" si="4"/>
        <v>31.4</v>
      </c>
      <c r="G32" s="61">
        <f>IF(D32=D31,"",_xlfn.IFNA(VLOOKUP(D32,'인원 입력 기능(사과탐)'!$A$177:$D$231,4,FALSE),0))</f>
        <v>1119</v>
      </c>
      <c r="H32" s="62">
        <f t="shared" si="1"/>
        <v>3.201716738197425E-2</v>
      </c>
      <c r="I32" s="72">
        <f>SUM($G$7:G32)</f>
        <v>24535</v>
      </c>
      <c r="J32" s="64">
        <f t="shared" si="5"/>
        <v>0.70200286123032907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44</v>
      </c>
      <c r="E33" s="74">
        <f t="shared" si="0"/>
        <v>6</v>
      </c>
      <c r="F33" s="60">
        <f t="shared" si="4"/>
        <v>28.08</v>
      </c>
      <c r="G33" s="61">
        <f>IF(D33=D32,"",_xlfn.IFNA(VLOOKUP(D33,'인원 입력 기능(사과탐)'!$A$177:$D$231,4,FALSE),0))</f>
        <v>1204</v>
      </c>
      <c r="H33" s="62">
        <f t="shared" si="1"/>
        <v>3.4449213161659512E-2</v>
      </c>
      <c r="I33" s="72">
        <f>SUM($G$7:G33)</f>
        <v>25739</v>
      </c>
      <c r="J33" s="64">
        <f t="shared" si="5"/>
        <v>0.73645207439198856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43</v>
      </c>
      <c r="E34" s="74">
        <f t="shared" si="0"/>
        <v>6</v>
      </c>
      <c r="F34" s="60">
        <f t="shared" si="4"/>
        <v>25.03</v>
      </c>
      <c r="G34" s="61">
        <f>IF(D34=D33,"",_xlfn.IFNA(VLOOKUP(D34,'인원 입력 기능(사과탐)'!$A$177:$D$231,4,FALSE),0))</f>
        <v>923</v>
      </c>
      <c r="H34" s="62">
        <f t="shared" si="1"/>
        <v>2.6409155937052932E-2</v>
      </c>
      <c r="I34" s="72">
        <f>SUM($G$7:G34)</f>
        <v>26662</v>
      </c>
      <c r="J34" s="64">
        <f t="shared" si="5"/>
        <v>0.76286123032904152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42</v>
      </c>
      <c r="E35" s="74">
        <f t="shared" si="0"/>
        <v>6</v>
      </c>
      <c r="F35" s="60">
        <f t="shared" si="4"/>
        <v>22.24</v>
      </c>
      <c r="G35" s="61">
        <f>IF(D35=D34,"",_xlfn.IFNA(VLOOKUP(D35,'인원 입력 기능(사과탐)'!$A$177:$D$231,4,FALSE),0))</f>
        <v>1030</v>
      </c>
      <c r="H35" s="62">
        <f t="shared" si="1"/>
        <v>2.9470672389127324E-2</v>
      </c>
      <c r="I35" s="72">
        <f>SUM($G$7:G35)</f>
        <v>27692</v>
      </c>
      <c r="J35" s="64">
        <f t="shared" si="5"/>
        <v>0.79233190271816878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41</v>
      </c>
      <c r="E36" s="74">
        <f t="shared" si="0"/>
        <v>7</v>
      </c>
      <c r="F36" s="60">
        <f t="shared" si="4"/>
        <v>19.48</v>
      </c>
      <c r="G36" s="61">
        <f>IF(D36=D35,"",_xlfn.IFNA(VLOOKUP(D36,'인원 입력 기능(사과탐)'!$A$177:$D$231,4,FALSE),0))</f>
        <v>898</v>
      </c>
      <c r="H36" s="62">
        <f t="shared" si="1"/>
        <v>2.5693848354792562E-2</v>
      </c>
      <c r="I36" s="72">
        <f>SUM($G$7:G36)</f>
        <v>28590</v>
      </c>
      <c r="J36" s="64">
        <f t="shared" si="5"/>
        <v>0.81802575107296138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40</v>
      </c>
      <c r="E37" s="74">
        <f t="shared" si="0"/>
        <v>7</v>
      </c>
      <c r="F37" s="60">
        <f t="shared" si="4"/>
        <v>17.21</v>
      </c>
      <c r="G37" s="61">
        <f>IF(D37=D36,"",_xlfn.IFNA(VLOOKUP(D37,'인원 입력 기능(사과탐)'!$A$177:$D$231,4,FALSE),0))</f>
        <v>692</v>
      </c>
      <c r="H37" s="62">
        <f t="shared" si="1"/>
        <v>1.9799713876967096E-2</v>
      </c>
      <c r="I37" s="72">
        <f>SUM($G$7:G37)</f>
        <v>29282</v>
      </c>
      <c r="J37" s="64">
        <f t="shared" si="5"/>
        <v>0.83782546494992849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39</v>
      </c>
      <c r="E38" s="74">
        <f t="shared" si="0"/>
        <v>7</v>
      </c>
      <c r="F38" s="60">
        <f t="shared" si="4"/>
        <v>15.06</v>
      </c>
      <c r="G38" s="61">
        <f>IF(D38=D37,"",_xlfn.IFNA(VLOOKUP(D38,'인원 입력 기능(사과탐)'!$A$177:$D$231,4,FALSE),0))</f>
        <v>810</v>
      </c>
      <c r="H38" s="62">
        <f t="shared" si="1"/>
        <v>2.317596566523605E-2</v>
      </c>
      <c r="I38" s="72">
        <f>SUM($G$7:G38)</f>
        <v>30092</v>
      </c>
      <c r="J38" s="64">
        <f t="shared" si="5"/>
        <v>0.86100143061516454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38</v>
      </c>
      <c r="E39" s="74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13.04</v>
      </c>
      <c r="G39" s="61">
        <f>IF(D39=D38,"",_xlfn.IFNA(VLOOKUP(D39,'인원 입력 기능(사과탐)'!$A$177:$D$231,4,FALSE),0))</f>
        <v>603</v>
      </c>
      <c r="H39" s="62">
        <f t="shared" si="1"/>
        <v>1.725321888412017E-2</v>
      </c>
      <c r="I39" s="72">
        <f>SUM($G$7:G39)</f>
        <v>30695</v>
      </c>
      <c r="J39" s="64">
        <f t="shared" si="5"/>
        <v>0.87825464949928467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37</v>
      </c>
      <c r="E40" s="74">
        <f t="shared" si="7"/>
        <v>7</v>
      </c>
      <c r="F40" s="60">
        <f t="shared" si="4"/>
        <v>11.27</v>
      </c>
      <c r="G40" s="61">
        <f>IF(D40=D39,"",_xlfn.IFNA(VLOOKUP(D40,'인원 입력 기능(사과탐)'!$A$177:$D$231,4,FALSE),0))</f>
        <v>631</v>
      </c>
      <c r="H40" s="62">
        <f t="shared" si="1"/>
        <v>1.8054363376251787E-2</v>
      </c>
      <c r="I40" s="72">
        <f>SUM($G$7:G40)</f>
        <v>31326</v>
      </c>
      <c r="J40" s="64">
        <f t="shared" si="5"/>
        <v>0.89630901287553644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36</v>
      </c>
      <c r="E41" s="74">
        <f t="shared" si="7"/>
        <v>8</v>
      </c>
      <c r="F41" s="60">
        <f t="shared" si="4"/>
        <v>9.6</v>
      </c>
      <c r="G41" s="61">
        <f>IF(D41=D40,"",_xlfn.IFNA(VLOOKUP(D41,'인원 입력 기능(사과탐)'!$A$177:$D$231,4,FALSE),0))</f>
        <v>536</v>
      </c>
      <c r="H41" s="62">
        <f t="shared" si="1"/>
        <v>1.5336194563662375E-2</v>
      </c>
      <c r="I41" s="72">
        <f>SUM($G$7:G41)</f>
        <v>31862</v>
      </c>
      <c r="J41" s="64">
        <f t="shared" si="5"/>
        <v>0.91164520743919886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35</v>
      </c>
      <c r="E42" s="74">
        <f t="shared" si="7"/>
        <v>8</v>
      </c>
      <c r="F42" s="60">
        <f t="shared" si="4"/>
        <v>8.1999999999999993</v>
      </c>
      <c r="G42" s="61">
        <f>IF(D42=D41,"",_xlfn.IFNA(VLOOKUP(D42,'인원 입력 기능(사과탐)'!$A$177:$D$231,4,FALSE),0))</f>
        <v>445</v>
      </c>
      <c r="H42" s="62">
        <f t="shared" si="1"/>
        <v>1.2732474964234622E-2</v>
      </c>
      <c r="I42" s="72">
        <f>SUM($G$7:G42)</f>
        <v>32307</v>
      </c>
      <c r="J42" s="64">
        <f t="shared" si="5"/>
        <v>0.92437768240343343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34</v>
      </c>
      <c r="E43" s="74">
        <f t="shared" si="7"/>
        <v>8</v>
      </c>
      <c r="F43" s="60">
        <f t="shared" si="4"/>
        <v>6.95</v>
      </c>
      <c r="G43" s="61">
        <f>IF(D43=D42,"",_xlfn.IFNA(VLOOKUP(D43,'인원 입력 기능(사과탐)'!$A$177:$D$231,4,FALSE),0))</f>
        <v>426</v>
      </c>
      <c r="H43" s="62">
        <f t="shared" si="1"/>
        <v>1.2188841201716738E-2</v>
      </c>
      <c r="I43" s="72">
        <f>SUM($G$7:G43)</f>
        <v>32733</v>
      </c>
      <c r="J43" s="64">
        <f t="shared" si="5"/>
        <v>0.93656652360515025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33</v>
      </c>
      <c r="E44" s="74">
        <f t="shared" si="7"/>
        <v>8</v>
      </c>
      <c r="F44" s="60">
        <f t="shared" si="4"/>
        <v>5.89</v>
      </c>
      <c r="G44" s="61">
        <f>IF(D44=D43,"",_xlfn.IFNA(VLOOKUP(D44,'인원 입력 기능(사과탐)'!$A$177:$D$231,4,FALSE),0))</f>
        <v>317</v>
      </c>
      <c r="H44" s="62">
        <f t="shared" si="1"/>
        <v>9.0701001430615168E-3</v>
      </c>
      <c r="I44" s="72">
        <f>SUM($G$7:G44)</f>
        <v>33050</v>
      </c>
      <c r="J44" s="64">
        <f t="shared" si="5"/>
        <v>0.94563662374821178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32</v>
      </c>
      <c r="E45" s="74">
        <f t="shared" si="7"/>
        <v>8</v>
      </c>
      <c r="F45" s="60">
        <f t="shared" si="4"/>
        <v>4.8899999999999997</v>
      </c>
      <c r="G45" s="61">
        <f>IF(D45=D44,"",_xlfn.IFNA(VLOOKUP(D45,'인원 입력 기능(사과탐)'!$A$177:$D$231,4,FALSE),0))</f>
        <v>380</v>
      </c>
      <c r="H45" s="62">
        <f t="shared" si="1"/>
        <v>1.0872675250357653E-2</v>
      </c>
      <c r="I45" s="72">
        <f>SUM($G$7:G45)</f>
        <v>33430</v>
      </c>
      <c r="J45" s="64">
        <f t="shared" si="5"/>
        <v>0.9565092989985694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31</v>
      </c>
      <c r="E46" s="74">
        <f t="shared" si="7"/>
        <v>8</v>
      </c>
      <c r="F46" s="60">
        <f t="shared" si="4"/>
        <v>4</v>
      </c>
      <c r="G46" s="61">
        <f>IF(D46=D45,"",_xlfn.IFNA(VLOOKUP(D46,'인원 입력 기능(사과탐)'!$A$177:$D$231,4,FALSE),0))</f>
        <v>241</v>
      </c>
      <c r="H46" s="62">
        <f t="shared" si="1"/>
        <v>6.8955650929899857E-3</v>
      </c>
      <c r="I46" s="72">
        <f>SUM($G$7:G46)</f>
        <v>33671</v>
      </c>
      <c r="J46" s="64">
        <f t="shared" si="5"/>
        <v>0.96340486409155934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30</v>
      </c>
      <c r="E47" s="74">
        <f t="shared" si="7"/>
        <v>9</v>
      </c>
      <c r="F47" s="60">
        <f t="shared" si="4"/>
        <v>2.83</v>
      </c>
      <c r="G47" s="61">
        <f>IF(D47=D46,"",_xlfn.IFNA(VLOOKUP(D47,'인원 입력 기능(사과탐)'!$A$177:$D$231,4,FALSE),0))</f>
        <v>582</v>
      </c>
      <c r="H47" s="62">
        <f t="shared" si="1"/>
        <v>1.6652360515021458E-2</v>
      </c>
      <c r="I47" s="72">
        <f>SUM($G$7:G47)</f>
        <v>34253</v>
      </c>
      <c r="J47" s="64">
        <f t="shared" si="5"/>
        <v>0.98005722460658085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29</v>
      </c>
      <c r="E48" s="74">
        <f t="shared" si="7"/>
        <v>9</v>
      </c>
      <c r="F48" s="60">
        <f t="shared" si="4"/>
        <v>1.61</v>
      </c>
      <c r="G48" s="61">
        <f>IF(D48=D47,"",_xlfn.IFNA(VLOOKUP(D48,'인원 입력 기능(사과탐)'!$A$177:$D$231,4,FALSE),0))</f>
        <v>267</v>
      </c>
      <c r="H48" s="62">
        <f t="shared" si="1"/>
        <v>7.6394849785407729E-3</v>
      </c>
      <c r="I48" s="72">
        <f>SUM($G$7:G48)</f>
        <v>34520</v>
      </c>
      <c r="J48" s="64">
        <f t="shared" si="5"/>
        <v>0.98769670958512157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28</v>
      </c>
      <c r="E49" s="74">
        <f t="shared" si="7"/>
        <v>9</v>
      </c>
      <c r="F49" s="60">
        <f t="shared" si="4"/>
        <v>1.08</v>
      </c>
      <c r="G49" s="61">
        <f>IF(D49=D48,"",_xlfn.IFNA(VLOOKUP(D49,'인원 입력 기능(사과탐)'!$A$177:$D$231,4,FALSE),0))</f>
        <v>105</v>
      </c>
      <c r="H49" s="62">
        <f t="shared" si="1"/>
        <v>3.0042918454935624E-3</v>
      </c>
      <c r="I49" s="72">
        <f>SUM($G$7:G49)</f>
        <v>34625</v>
      </c>
      <c r="J49" s="64">
        <f t="shared" si="5"/>
        <v>0.99070100143061512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27</v>
      </c>
      <c r="E50" s="74">
        <f t="shared" si="7"/>
        <v>9</v>
      </c>
      <c r="F50" s="60">
        <f t="shared" si="4"/>
        <v>0.77</v>
      </c>
      <c r="G50" s="61">
        <f>IF(D50=D49,"",_xlfn.IFNA(VLOOKUP(D50,'인원 입력 기능(사과탐)'!$A$177:$D$231,4,FALSE),0))</f>
        <v>115</v>
      </c>
      <c r="H50" s="62">
        <f t="shared" si="1"/>
        <v>3.2904148783977111E-3</v>
      </c>
      <c r="I50" s="72">
        <f>SUM($G$7:G50)</f>
        <v>34740</v>
      </c>
      <c r="J50" s="64">
        <f t="shared" si="5"/>
        <v>0.99399141630901289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26</v>
      </c>
      <c r="E51" s="74">
        <f t="shared" si="7"/>
        <v>9</v>
      </c>
      <c r="F51" s="60">
        <f t="shared" si="4"/>
        <v>0.52</v>
      </c>
      <c r="G51" s="61">
        <f>IF(D51=D50,"",_xlfn.IFNA(VLOOKUP(D51,'인원 입력 기능(사과탐)'!$A$177:$D$231,4,FALSE),0))</f>
        <v>57</v>
      </c>
      <c r="H51" s="62">
        <f t="shared" si="1"/>
        <v>1.6309012875536481E-3</v>
      </c>
      <c r="I51" s="72">
        <f>SUM($G$7:G51)</f>
        <v>34797</v>
      </c>
      <c r="J51" s="64">
        <f t="shared" si="5"/>
        <v>0.9956223175965665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25</v>
      </c>
      <c r="E52" s="74">
        <f t="shared" si="7"/>
        <v>9</v>
      </c>
      <c r="F52" s="60">
        <f t="shared" si="4"/>
        <v>0.33</v>
      </c>
      <c r="G52" s="61">
        <f>IF(D52=D51,"",_xlfn.IFNA(VLOOKUP(D52,'인원 입력 기능(사과탐)'!$A$177:$D$231,4,FALSE),0))</f>
        <v>73</v>
      </c>
      <c r="H52" s="62">
        <f t="shared" si="1"/>
        <v>2.0886981402002862E-3</v>
      </c>
      <c r="I52" s="72">
        <f>SUM($G$7:G52)</f>
        <v>34870</v>
      </c>
      <c r="J52" s="64">
        <f t="shared" si="5"/>
        <v>0.99771101573676679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9">
        <v>4</v>
      </c>
      <c r="D53" s="59">
        <f t="shared" si="3"/>
        <v>24</v>
      </c>
      <c r="E53" s="59">
        <f t="shared" si="7"/>
        <v>9</v>
      </c>
      <c r="F53" s="60">
        <f t="shared" si="4"/>
        <v>0.18</v>
      </c>
      <c r="G53" s="61">
        <f>IF(D53=D52,"",_xlfn.IFNA(VLOOKUP(D53,'인원 입력 기능(사과탐)'!$A$177:$D$231,4,FALSE),0))</f>
        <v>31</v>
      </c>
      <c r="H53" s="62">
        <f t="shared" si="1"/>
        <v>8.8698140200286124E-4</v>
      </c>
      <c r="I53" s="72">
        <f>SUM($G$7:G53)</f>
        <v>34901</v>
      </c>
      <c r="J53" s="64">
        <f t="shared" si="5"/>
        <v>0.99859799713876962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23</v>
      </c>
      <c r="E54" s="59">
        <f t="shared" si="7"/>
        <v>9</v>
      </c>
      <c r="F54" s="60">
        <f t="shared" si="4"/>
        <v>0.11</v>
      </c>
      <c r="G54" s="61">
        <f>IF(D54=D53,"",_xlfn.IFNA(VLOOKUP(D54,'인원 입력 기능(사과탐)'!$A$177:$D$231,4,FALSE),0))</f>
        <v>19</v>
      </c>
      <c r="H54" s="62">
        <f t="shared" si="1"/>
        <v>5.4363376251788267E-4</v>
      </c>
      <c r="I54" s="72">
        <f>SUM($G$7:G54)</f>
        <v>34920</v>
      </c>
      <c r="J54" s="64">
        <f t="shared" si="5"/>
        <v>0.9991416309012876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22</v>
      </c>
      <c r="E55" s="59">
        <f t="shared" si="7"/>
        <v>9</v>
      </c>
      <c r="F55" s="60">
        <f t="shared" si="4"/>
        <v>0.06</v>
      </c>
      <c r="G55" s="61">
        <f>IF(D55=D54,"",_xlfn.IFNA(VLOOKUP(D55,'인원 입력 기능(사과탐)'!$A$177:$D$231,4,FALSE),0))</f>
        <v>18</v>
      </c>
      <c r="H55" s="62">
        <f t="shared" si="1"/>
        <v>5.1502145922746785E-4</v>
      </c>
      <c r="I55" s="72">
        <f>SUM($G$7:G55)</f>
        <v>34938</v>
      </c>
      <c r="J55" s="64">
        <f t="shared" si="5"/>
        <v>0.99965665236051504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20</v>
      </c>
      <c r="E57" s="112">
        <f t="shared" si="7"/>
        <v>9</v>
      </c>
      <c r="F57" s="79">
        <f>IF(I55=0,ROUND(100*(1-(I54+I57)/2/$J$3),2),ROUND(100*(1-(I55+I57)/2/$J$3),2))</f>
        <v>0.02</v>
      </c>
      <c r="G57" s="113">
        <f>_xlfn.IFNA(VLOOKUP(D57,'인원 입력 기능(사과탐)'!$A$177:$D$231,4,FALSE),0)</f>
        <v>12</v>
      </c>
      <c r="H57" s="81">
        <f>G57/$J$3</f>
        <v>3.4334763948497857E-4</v>
      </c>
      <c r="I57" s="82">
        <f>SUM($G$7:G57)</f>
        <v>34950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57">
    <cfRule type="expression" dxfId="13" priority="2">
      <formula>$D7=$D8</formula>
    </cfRule>
  </conditionalFormatting>
  <conditionalFormatting sqref="H7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topLeftCell="A46"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기능'!D18</f>
        <v>25.56</v>
      </c>
      <c r="I3" s="21" t="s">
        <v>70</v>
      </c>
      <c r="J3" s="50">
        <f>'통계 및 응시자 수 입력 기능'!C18</f>
        <v>55900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94</v>
      </c>
      <c r="E4" s="186"/>
      <c r="F4" s="187"/>
      <c r="G4" s="52" t="s">
        <v>73</v>
      </c>
      <c r="H4" s="53" t="str">
        <f>'통계 및 응시자 수 입력 기능'!E18</f>
        <v>10.85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99.13</v>
      </c>
      <c r="G7" s="61">
        <f>_xlfn.IFNA(VLOOKUP(D7,'인원 입력 기능(사과탐)'!$F$177:$I$231,4,FALSE),0)</f>
        <v>977</v>
      </c>
      <c r="H7" s="62">
        <f>G7/$J$3</f>
        <v>1.7477638640429338E-2</v>
      </c>
      <c r="I7" s="63">
        <f>G7</f>
        <v>977</v>
      </c>
      <c r="J7" s="64">
        <f>I7/$J$3</f>
        <v>1.7477638640429338E-2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기능'!C131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97.73</v>
      </c>
      <c r="G9" s="61">
        <f>_xlfn.IFNA(VLOOKUP(D9,'인원 입력 기능(사과탐)'!$F$177:$I$231,4,FALSE),0)</f>
        <v>580</v>
      </c>
      <c r="H9" s="62">
        <f t="shared" ref="H9:H55" si="1">G9/$J$3</f>
        <v>1.0375670840787121E-2</v>
      </c>
      <c r="I9" s="72">
        <f>SUM($G$7:G9)</f>
        <v>1557</v>
      </c>
      <c r="J9" s="64">
        <f>I9/$J$3</f>
        <v>2.7853309481216459E-2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96.44</v>
      </c>
      <c r="G10" s="61">
        <f>IF(D10=D9,"",_xlfn.IFNA(VLOOKUP(D10,'인원 입력 기능(사과탐)'!$F$177:$I$231,4,FALSE),0))</f>
        <v>867</v>
      </c>
      <c r="H10" s="62">
        <f t="shared" si="1"/>
        <v>1.5509838998211092E-2</v>
      </c>
      <c r="I10" s="72">
        <f>SUM($G$7:G10)</f>
        <v>2424</v>
      </c>
      <c r="J10" s="64">
        <f t="shared" ref="J10:J55" si="5">I10/$J$3</f>
        <v>4.336314847942755E-2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69</v>
      </c>
      <c r="E11" s="59">
        <f t="shared" si="0"/>
        <v>2</v>
      </c>
      <c r="F11" s="60">
        <f t="shared" si="4"/>
        <v>95.44</v>
      </c>
      <c r="G11" s="61">
        <f>IF(D11=D10,"",_xlfn.IFNA(VLOOKUP(D11,'인원 입력 기능(사과탐)'!$F$177:$I$231,4,FALSE),0))</f>
        <v>255</v>
      </c>
      <c r="H11" s="62">
        <f t="shared" si="1"/>
        <v>4.5617173524150267E-3</v>
      </c>
      <c r="I11" s="72">
        <f>SUM($G$7:G11)</f>
        <v>2679</v>
      </c>
      <c r="J11" s="64">
        <f t="shared" si="5"/>
        <v>4.7924865831842578E-2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68</v>
      </c>
      <c r="E12" s="59">
        <f t="shared" si="0"/>
        <v>2</v>
      </c>
      <c r="F12" s="60">
        <f t="shared" si="4"/>
        <v>94.48</v>
      </c>
      <c r="G12" s="61">
        <f>IF(D12=D11,"",_xlfn.IFNA(VLOOKUP(D12,'인원 입력 기능(사과탐)'!$F$177:$I$231,4,FALSE),0))</f>
        <v>810</v>
      </c>
      <c r="H12" s="62">
        <f t="shared" si="1"/>
        <v>1.4490161001788909E-2</v>
      </c>
      <c r="I12" s="72">
        <f>SUM($G$7:G12)</f>
        <v>3489</v>
      </c>
      <c r="J12" s="64">
        <f t="shared" si="5"/>
        <v>6.2415026833631482E-2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67</v>
      </c>
      <c r="E13" s="59">
        <f t="shared" si="0"/>
        <v>2</v>
      </c>
      <c r="F13" s="60">
        <f t="shared" si="4"/>
        <v>93.05</v>
      </c>
      <c r="G13" s="61">
        <f>IF(D13=D12,"",_xlfn.IFNA(VLOOKUP(D13,'인원 입력 기능(사과탐)'!$F$177:$I$231,4,FALSE),0))</f>
        <v>795</v>
      </c>
      <c r="H13" s="62">
        <f t="shared" si="1"/>
        <v>1.4221824686940965E-2</v>
      </c>
      <c r="I13" s="72">
        <f>SUM($G$7:G13)</f>
        <v>4284</v>
      </c>
      <c r="J13" s="64">
        <f t="shared" si="5"/>
        <v>7.6636851520572452E-2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66</v>
      </c>
      <c r="E14" s="59">
        <f t="shared" si="0"/>
        <v>2</v>
      </c>
      <c r="F14" s="60">
        <f t="shared" si="4"/>
        <v>91.86</v>
      </c>
      <c r="G14" s="61">
        <f>IF(D14=D13,"",_xlfn.IFNA(VLOOKUP(D14,'인원 입력 기능(사과탐)'!$F$177:$I$231,4,FALSE),0))</f>
        <v>530</v>
      </c>
      <c r="H14" s="62">
        <f t="shared" si="1"/>
        <v>9.481216457960644E-3</v>
      </c>
      <c r="I14" s="72">
        <f>SUM($G$7:G14)</f>
        <v>4814</v>
      </c>
      <c r="J14" s="64">
        <f t="shared" si="5"/>
        <v>8.6118067978533094E-2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65</v>
      </c>
      <c r="E15" s="59">
        <f t="shared" si="0"/>
        <v>2</v>
      </c>
      <c r="F15" s="60">
        <f t="shared" si="4"/>
        <v>90.53</v>
      </c>
      <c r="G15" s="61">
        <f>IF(D15=D14,"",_xlfn.IFNA(VLOOKUP(D15,'인원 입력 기능(사과탐)'!$F$177:$I$231,4,FALSE),0))</f>
        <v>964</v>
      </c>
      <c r="H15" s="62">
        <f t="shared" si="1"/>
        <v>1.7245080500894454E-2</v>
      </c>
      <c r="I15" s="72">
        <f>SUM($G$7:G15)</f>
        <v>5778</v>
      </c>
      <c r="J15" s="64">
        <f t="shared" si="5"/>
        <v>0.10336314847942756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2</v>
      </c>
      <c r="F16" s="60">
        <f t="shared" si="4"/>
        <v>89.01</v>
      </c>
      <c r="G16" s="61">
        <f>IF(D16=D15,"",_xlfn.IFNA(VLOOKUP(D16,'인원 입력 기능(사과탐)'!$F$177:$I$231,4,FALSE),0))</f>
        <v>729</v>
      </c>
      <c r="H16" s="62">
        <f t="shared" si="1"/>
        <v>1.3041144901610019E-2</v>
      </c>
      <c r="I16" s="72">
        <f>SUM($G$7:G16)</f>
        <v>6507</v>
      </c>
      <c r="J16" s="64">
        <f t="shared" si="5"/>
        <v>0.11640429338103757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63</v>
      </c>
      <c r="E17" s="59">
        <f t="shared" si="0"/>
        <v>3</v>
      </c>
      <c r="F17" s="60">
        <f t="shared" si="4"/>
        <v>87.67</v>
      </c>
      <c r="G17" s="61">
        <f>IF(D17=D16,"",_xlfn.IFNA(VLOOKUP(D17,'인원 입력 기능(사과탐)'!$F$177:$I$231,4,FALSE),0))</f>
        <v>771</v>
      </c>
      <c r="H17" s="62">
        <f t="shared" si="1"/>
        <v>1.3792486583184257E-2</v>
      </c>
      <c r="I17" s="72">
        <f>SUM($G$7:G17)</f>
        <v>7278</v>
      </c>
      <c r="J17" s="64">
        <f t="shared" si="5"/>
        <v>0.13019677996422183</v>
      </c>
      <c r="K17" s="36"/>
      <c r="L17" s="20" t="str">
        <f t="shared" si="2"/>
        <v/>
      </c>
      <c r="N17" s="24"/>
      <c r="Q17" s="24">
        <f>Q7*H3*H4*J3*IFERROR(IF(J57=1, 1, 0), 0)</f>
        <v>1085176637.9999998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62</v>
      </c>
      <c r="E18" s="59">
        <f t="shared" si="0"/>
        <v>3</v>
      </c>
      <c r="F18" s="60">
        <f t="shared" si="4"/>
        <v>86.02</v>
      </c>
      <c r="G18" s="61">
        <f>IF(D18=D17,"",_xlfn.IFNA(VLOOKUP(D18,'인원 입력 기능(사과탐)'!$F$177:$I$231,4,FALSE),0))</f>
        <v>1072</v>
      </c>
      <c r="H18" s="62">
        <f t="shared" si="1"/>
        <v>1.9177101967799641E-2</v>
      </c>
      <c r="I18" s="72">
        <f>SUM($G$7:G18)</f>
        <v>8350</v>
      </c>
      <c r="J18" s="64">
        <f t="shared" si="5"/>
        <v>0.14937388193202147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172">
        <f t="shared" si="3"/>
        <v>61</v>
      </c>
      <c r="E19" s="172">
        <f t="shared" si="0"/>
        <v>3</v>
      </c>
      <c r="F19" s="176">
        <f t="shared" si="4"/>
        <v>83.42</v>
      </c>
      <c r="G19" s="178">
        <f>IF(D19=D18,"",_xlfn.IFNA(VLOOKUP(D19,'인원 입력 기능(사과탐)'!$F$177:$I$231,4,FALSE),0))</f>
        <v>1837</v>
      </c>
      <c r="H19" s="180">
        <f t="shared" si="1"/>
        <v>3.2862254025044724E-2</v>
      </c>
      <c r="I19" s="191">
        <f>SUM($G$7:G19)</f>
        <v>10187</v>
      </c>
      <c r="J19" s="170">
        <f t="shared" si="5"/>
        <v>0.1822361359570662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173"/>
      <c r="E20" s="173"/>
      <c r="F20" s="177"/>
      <c r="G20" s="179"/>
      <c r="H20" s="181"/>
      <c r="I20" s="192"/>
      <c r="J20" s="171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60</v>
      </c>
      <c r="E21" s="74">
        <f t="shared" si="0"/>
        <v>3</v>
      </c>
      <c r="F21" s="60">
        <f t="shared" si="4"/>
        <v>80.739999999999995</v>
      </c>
      <c r="G21" s="61">
        <f>IF(D21=D20,"",_xlfn.IFNA(VLOOKUP(D21,'인원 입력 기능(사과탐)'!$F$177:$I$231,4,FALSE),0))</f>
        <v>1155</v>
      </c>
      <c r="H21" s="62">
        <f t="shared" si="1"/>
        <v>2.0661896243291591E-2</v>
      </c>
      <c r="I21" s="72">
        <f>SUM($G$7:G21)</f>
        <v>11342</v>
      </c>
      <c r="J21" s="64">
        <f t="shared" si="5"/>
        <v>0.20289803220035779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59</v>
      </c>
      <c r="E22" s="74">
        <f t="shared" si="0"/>
        <v>3</v>
      </c>
      <c r="F22" s="60">
        <f t="shared" si="4"/>
        <v>78.8</v>
      </c>
      <c r="G22" s="61">
        <f>IF(D22=D21,"",_xlfn.IFNA(VLOOKUP(D22,'인원 입력 기능(사과탐)'!$F$177:$I$231,4,FALSE),0))</f>
        <v>1017</v>
      </c>
      <c r="H22" s="62">
        <f t="shared" si="1"/>
        <v>1.8193202146690519E-2</v>
      </c>
      <c r="I22" s="72">
        <f>SUM($G$7:G22)</f>
        <v>12359</v>
      </c>
      <c r="J22" s="64">
        <f t="shared" si="5"/>
        <v>0.2210912343470483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58</v>
      </c>
      <c r="E23" s="74">
        <f t="shared" si="0"/>
        <v>3</v>
      </c>
      <c r="F23" s="60">
        <f t="shared" si="4"/>
        <v>76.75</v>
      </c>
      <c r="G23" s="61">
        <f>IF(D23=D22,"",_xlfn.IFNA(VLOOKUP(D23,'인원 입력 기능(사과탐)'!$F$177:$I$231,4,FALSE),0))</f>
        <v>1274</v>
      </c>
      <c r="H23" s="62">
        <f t="shared" si="1"/>
        <v>2.2790697674418603E-2</v>
      </c>
      <c r="I23" s="72">
        <f>SUM($G$7:G23)</f>
        <v>13633</v>
      </c>
      <c r="J23" s="64">
        <f t="shared" si="5"/>
        <v>0.24388193202146691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57</v>
      </c>
      <c r="E24" s="74">
        <f t="shared" si="0"/>
        <v>4</v>
      </c>
      <c r="F24" s="60">
        <f t="shared" si="4"/>
        <v>74.47</v>
      </c>
      <c r="G24" s="61">
        <f>IF(D24=D23,"",_xlfn.IFNA(VLOOKUP(D24,'인원 입력 기능(사과탐)'!$F$177:$I$231,4,FALSE),0))</f>
        <v>1271</v>
      </c>
      <c r="H24" s="62">
        <f t="shared" si="1"/>
        <v>2.2737030411449016E-2</v>
      </c>
      <c r="I24" s="72">
        <f>SUM($G$7:G24)</f>
        <v>14904</v>
      </c>
      <c r="J24" s="64">
        <f t="shared" si="5"/>
        <v>0.26661896243291594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56</v>
      </c>
      <c r="E25" s="74">
        <f t="shared" si="0"/>
        <v>4</v>
      </c>
      <c r="F25" s="60">
        <f t="shared" si="4"/>
        <v>72.22</v>
      </c>
      <c r="G25" s="61">
        <f>IF(D25=D24,"",_xlfn.IFNA(VLOOKUP(D25,'인원 입력 기능(사과탐)'!$F$177:$I$231,4,FALSE),0))</f>
        <v>1255</v>
      </c>
      <c r="H25" s="62">
        <f t="shared" si="1"/>
        <v>2.2450805008944544E-2</v>
      </c>
      <c r="I25" s="72">
        <f>SUM($G$7:G25)</f>
        <v>16159</v>
      </c>
      <c r="J25" s="64">
        <f t="shared" si="5"/>
        <v>0.28906976744186047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55</v>
      </c>
      <c r="E26" s="74">
        <f t="shared" si="0"/>
        <v>4</v>
      </c>
      <c r="F26" s="60">
        <f t="shared" si="4"/>
        <v>69.73</v>
      </c>
      <c r="G26" s="61">
        <f>IF(D26=D25,"",_xlfn.IFNA(VLOOKUP(D26,'인원 입력 기능(사과탐)'!$F$177:$I$231,4,FALSE),0))</f>
        <v>1527</v>
      </c>
      <c r="H26" s="62">
        <f t="shared" si="1"/>
        <v>2.7316636851520571E-2</v>
      </c>
      <c r="I26" s="72">
        <f>SUM($G$7:G26)</f>
        <v>17686</v>
      </c>
      <c r="J26" s="64">
        <f t="shared" si="5"/>
        <v>0.31638640429338105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54</v>
      </c>
      <c r="E27" s="74">
        <f t="shared" si="0"/>
        <v>4</v>
      </c>
      <c r="F27" s="60">
        <f t="shared" si="4"/>
        <v>67.12</v>
      </c>
      <c r="G27" s="61">
        <f>IF(D27=D26,"",_xlfn.IFNA(VLOOKUP(D27,'인원 입력 기능(사과탐)'!$F$177:$I$231,4,FALSE),0))</f>
        <v>1392</v>
      </c>
      <c r="H27" s="62">
        <f t="shared" si="1"/>
        <v>2.4901610017889087E-2</v>
      </c>
      <c r="I27" s="72">
        <f>SUM($G$7:G27)</f>
        <v>19078</v>
      </c>
      <c r="J27" s="64">
        <f t="shared" si="5"/>
        <v>0.34128801431127015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53</v>
      </c>
      <c r="E28" s="74">
        <f t="shared" si="0"/>
        <v>4</v>
      </c>
      <c r="F28" s="60">
        <f t="shared" si="4"/>
        <v>64.510000000000005</v>
      </c>
      <c r="G28" s="61">
        <f>IF(D28=D27,"",_xlfn.IFNA(VLOOKUP(D28,'인원 입력 기능(사과탐)'!$F$177:$I$231,4,FALSE),0))</f>
        <v>1527</v>
      </c>
      <c r="H28" s="62">
        <f t="shared" si="1"/>
        <v>2.7316636851520571E-2</v>
      </c>
      <c r="I28" s="72">
        <f>SUM($G$7:G28)</f>
        <v>20605</v>
      </c>
      <c r="J28" s="64">
        <f t="shared" si="5"/>
        <v>0.36860465116279068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52</v>
      </c>
      <c r="E29" s="74">
        <f t="shared" si="0"/>
        <v>4</v>
      </c>
      <c r="F29" s="60">
        <f t="shared" si="4"/>
        <v>61.64</v>
      </c>
      <c r="G29" s="61">
        <f>IF(D29=D28,"",_xlfn.IFNA(VLOOKUP(D29,'인원 입력 기능(사과탐)'!$F$177:$I$231,4,FALSE),0))</f>
        <v>1671</v>
      </c>
      <c r="H29" s="62">
        <f t="shared" si="1"/>
        <v>2.9892665474060824E-2</v>
      </c>
      <c r="I29" s="72">
        <f>SUM($G$7:G29)</f>
        <v>22276</v>
      </c>
      <c r="J29" s="64">
        <f t="shared" si="5"/>
        <v>0.39849731663685151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51</v>
      </c>
      <c r="E30" s="74">
        <f t="shared" si="0"/>
        <v>4</v>
      </c>
      <c r="F30" s="60">
        <f t="shared" si="4"/>
        <v>58.68</v>
      </c>
      <c r="G30" s="61">
        <f>IF(D30=D29,"",_xlfn.IFNA(VLOOKUP(D30,'인원 입력 기능(사과탐)'!$F$177:$I$231,4,FALSE),0))</f>
        <v>1642</v>
      </c>
      <c r="H30" s="62">
        <f t="shared" si="1"/>
        <v>2.9373881932021468E-2</v>
      </c>
      <c r="I30" s="72">
        <f>SUM($G$7:G30)</f>
        <v>23918</v>
      </c>
      <c r="J30" s="64">
        <f t="shared" si="5"/>
        <v>0.42787119856887301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50</v>
      </c>
      <c r="E31" s="74">
        <f t="shared" si="0"/>
        <v>5</v>
      </c>
      <c r="F31" s="60">
        <f t="shared" si="4"/>
        <v>55.65</v>
      </c>
      <c r="G31" s="61">
        <f>IF(D31=D30,"",_xlfn.IFNA(VLOOKUP(D31,'인원 입력 기능(사과탐)'!$F$177:$I$231,4,FALSE),0))</f>
        <v>1744</v>
      </c>
      <c r="H31" s="62">
        <f t="shared" si="1"/>
        <v>3.1198568872987477E-2</v>
      </c>
      <c r="I31" s="72">
        <f>SUM($G$7:G31)</f>
        <v>25662</v>
      </c>
      <c r="J31" s="64">
        <f t="shared" si="5"/>
        <v>0.45906976744186045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174">
        <f t="shared" si="3"/>
        <v>49</v>
      </c>
      <c r="E32" s="174">
        <f t="shared" si="0"/>
        <v>5</v>
      </c>
      <c r="F32" s="176">
        <f t="shared" si="4"/>
        <v>50.82</v>
      </c>
      <c r="G32" s="178">
        <f>IF(D32=D31,"",_xlfn.IFNA(VLOOKUP(D32,'인원 입력 기능(사과탐)'!$F$177:$I$231,4,FALSE),0))</f>
        <v>3656</v>
      </c>
      <c r="H32" s="180">
        <f t="shared" si="1"/>
        <v>6.5402504472271916E-2</v>
      </c>
      <c r="I32" s="191">
        <f>SUM($G$7:G32)</f>
        <v>29318</v>
      </c>
      <c r="J32" s="170">
        <f t="shared" si="5"/>
        <v>0.52447227191413237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175"/>
      <c r="E33" s="175"/>
      <c r="F33" s="177"/>
      <c r="G33" s="179"/>
      <c r="H33" s="181"/>
      <c r="I33" s="192"/>
      <c r="J33" s="17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48</v>
      </c>
      <c r="E34" s="74">
        <f t="shared" si="0"/>
        <v>5</v>
      </c>
      <c r="F34" s="60">
        <f t="shared" si="4"/>
        <v>45.83</v>
      </c>
      <c r="G34" s="61">
        <f>IF(D34=D33,"",_xlfn.IFNA(VLOOKUP(D34,'인원 입력 기능(사과탐)'!$F$177:$I$231,4,FALSE),0))</f>
        <v>1929</v>
      </c>
      <c r="H34" s="62">
        <f t="shared" si="1"/>
        <v>3.4508050089445436E-2</v>
      </c>
      <c r="I34" s="72">
        <f>SUM($G$7:G34)</f>
        <v>31247</v>
      </c>
      <c r="J34" s="64">
        <f t="shared" si="5"/>
        <v>0.55898032200357783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47</v>
      </c>
      <c r="E35" s="74">
        <f t="shared" si="0"/>
        <v>5</v>
      </c>
      <c r="F35" s="60">
        <f t="shared" si="4"/>
        <v>42.45</v>
      </c>
      <c r="G35" s="61">
        <f>IF(D35=D34,"",_xlfn.IFNA(VLOOKUP(D35,'인원 입력 기능(사과탐)'!$F$177:$I$231,4,FALSE),0))</f>
        <v>1852</v>
      </c>
      <c r="H35" s="62">
        <f t="shared" si="1"/>
        <v>3.3130590339892664E-2</v>
      </c>
      <c r="I35" s="72">
        <f>SUM($G$7:G35)</f>
        <v>33099</v>
      </c>
      <c r="J35" s="64">
        <f t="shared" si="5"/>
        <v>0.59211091234347046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46</v>
      </c>
      <c r="E36" s="74">
        <f t="shared" si="0"/>
        <v>5</v>
      </c>
      <c r="F36" s="60">
        <f t="shared" si="4"/>
        <v>38.94</v>
      </c>
      <c r="G36" s="61">
        <f>IF(D36=D35,"",_xlfn.IFNA(VLOOKUP(D36,'인원 입력 기능(사과탐)'!$F$177:$I$231,4,FALSE),0))</f>
        <v>2063</v>
      </c>
      <c r="H36" s="62">
        <f t="shared" si="1"/>
        <v>3.6905187835420392E-2</v>
      </c>
      <c r="I36" s="72">
        <f>SUM($G$7:G36)</f>
        <v>35162</v>
      </c>
      <c r="J36" s="64">
        <f t="shared" si="5"/>
        <v>0.62901610017889087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45</v>
      </c>
      <c r="E37" s="74">
        <f t="shared" si="0"/>
        <v>6</v>
      </c>
      <c r="F37" s="60">
        <f t="shared" si="4"/>
        <v>35.450000000000003</v>
      </c>
      <c r="G37" s="61">
        <f>IF(D37=D36,"",_xlfn.IFNA(VLOOKUP(D37,'인원 입력 기능(사과탐)'!$F$177:$I$231,4,FALSE),0))</f>
        <v>1844</v>
      </c>
      <c r="H37" s="62">
        <f t="shared" si="1"/>
        <v>3.2987477638640426E-2</v>
      </c>
      <c r="I37" s="72">
        <f>SUM($G$7:G37)</f>
        <v>37006</v>
      </c>
      <c r="J37" s="64">
        <f t="shared" si="5"/>
        <v>0.66200357781753127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44</v>
      </c>
      <c r="E38" s="74">
        <f t="shared" si="0"/>
        <v>6</v>
      </c>
      <c r="F38" s="60">
        <f t="shared" si="4"/>
        <v>31.96</v>
      </c>
      <c r="G38" s="61">
        <f>IF(D38=D37,"",_xlfn.IFNA(VLOOKUP(D38,'인원 입력 기능(사과탐)'!$F$177:$I$231,4,FALSE),0))</f>
        <v>2053</v>
      </c>
      <c r="H38" s="62">
        <f t="shared" si="1"/>
        <v>3.6726296958855098E-2</v>
      </c>
      <c r="I38" s="72">
        <f>SUM($G$7:G38)</f>
        <v>39059</v>
      </c>
      <c r="J38" s="64">
        <f t="shared" si="5"/>
        <v>0.69872987477638637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43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28.36</v>
      </c>
      <c r="G39" s="61">
        <f>IF(D39=D38,"",_xlfn.IFNA(VLOOKUP(D39,'인원 입력 기능(사과탐)'!$F$177:$I$231,4,FALSE),0))</f>
        <v>1971</v>
      </c>
      <c r="H39" s="62">
        <f t="shared" si="1"/>
        <v>3.525939177101968E-2</v>
      </c>
      <c r="I39" s="72">
        <f>SUM($G$7:G39)</f>
        <v>41030</v>
      </c>
      <c r="J39" s="64">
        <f t="shared" si="5"/>
        <v>0.73398926654740604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42</v>
      </c>
      <c r="E40" s="74">
        <f t="shared" si="6"/>
        <v>6</v>
      </c>
      <c r="F40" s="60">
        <f t="shared" si="4"/>
        <v>24.83</v>
      </c>
      <c r="G40" s="61">
        <f>IF(D40=D39,"",_xlfn.IFNA(VLOOKUP(D40,'인원 입력 기능(사과탐)'!$F$177:$I$231,4,FALSE),0))</f>
        <v>1983</v>
      </c>
      <c r="H40" s="62">
        <f t="shared" si="1"/>
        <v>3.5474060822898029E-2</v>
      </c>
      <c r="I40" s="72">
        <f>SUM($G$7:G40)</f>
        <v>43013</v>
      </c>
      <c r="J40" s="64">
        <f t="shared" si="5"/>
        <v>0.7694633273703041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41</v>
      </c>
      <c r="E41" s="74">
        <f t="shared" si="6"/>
        <v>6</v>
      </c>
      <c r="F41" s="60">
        <f t="shared" si="4"/>
        <v>21.23</v>
      </c>
      <c r="G41" s="61">
        <f>IF(D41=D40,"",_xlfn.IFNA(VLOOKUP(D41,'인원 입력 기능(사과탐)'!$F$177:$I$231,4,FALSE),0))</f>
        <v>2041</v>
      </c>
      <c r="H41" s="62">
        <f t="shared" si="1"/>
        <v>3.6511627906976742E-2</v>
      </c>
      <c r="I41" s="72">
        <f>SUM($G$7:G41)</f>
        <v>45054</v>
      </c>
      <c r="J41" s="64">
        <f t="shared" si="5"/>
        <v>0.80597495527728091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40</v>
      </c>
      <c r="E42" s="74">
        <f t="shared" si="6"/>
        <v>7</v>
      </c>
      <c r="F42" s="60">
        <f t="shared" si="4"/>
        <v>17.88</v>
      </c>
      <c r="G42" s="61">
        <f>IF(D42=D41,"",_xlfn.IFNA(VLOOKUP(D42,'인원 입력 기능(사과탐)'!$F$177:$I$231,4,FALSE),0))</f>
        <v>1704</v>
      </c>
      <c r="H42" s="62">
        <f t="shared" si="1"/>
        <v>3.0483005366726296E-2</v>
      </c>
      <c r="I42" s="72">
        <f>SUM($G$7:G42)</f>
        <v>46758</v>
      </c>
      <c r="J42" s="64">
        <f t="shared" si="5"/>
        <v>0.83645796064400713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39</v>
      </c>
      <c r="E43" s="74">
        <f t="shared" si="6"/>
        <v>7</v>
      </c>
      <c r="F43" s="60">
        <f t="shared" si="4"/>
        <v>14.85</v>
      </c>
      <c r="G43" s="61">
        <f>IF(D43=D42,"",_xlfn.IFNA(VLOOKUP(D43,'인원 입력 기능(사과탐)'!$F$177:$I$231,4,FALSE),0))</f>
        <v>1681</v>
      </c>
      <c r="H43" s="62">
        <f t="shared" si="1"/>
        <v>3.0071556350626118E-2</v>
      </c>
      <c r="I43" s="72">
        <f>SUM($G$7:G43)</f>
        <v>48439</v>
      </c>
      <c r="J43" s="64">
        <f t="shared" si="5"/>
        <v>0.86652951699463332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38</v>
      </c>
      <c r="E44" s="74">
        <f t="shared" si="6"/>
        <v>7</v>
      </c>
      <c r="F44" s="60">
        <f t="shared" si="4"/>
        <v>11.91</v>
      </c>
      <c r="G44" s="61">
        <f>IF(D44=D43,"",_xlfn.IFNA(VLOOKUP(D44,'인원 입력 기능(사과탐)'!$F$177:$I$231,4,FALSE),0))</f>
        <v>1609</v>
      </c>
      <c r="H44" s="62">
        <f t="shared" si="1"/>
        <v>2.8783542039355993E-2</v>
      </c>
      <c r="I44" s="72">
        <f>SUM($G$7:G44)</f>
        <v>50048</v>
      </c>
      <c r="J44" s="64">
        <f t="shared" si="5"/>
        <v>0.89531305903398928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174">
        <v>37</v>
      </c>
      <c r="E45" s="174">
        <f t="shared" si="6"/>
        <v>8</v>
      </c>
      <c r="F45" s="176">
        <f t="shared" si="4"/>
        <v>8.15</v>
      </c>
      <c r="G45" s="178">
        <f>IF(D45=D44,"",_xlfn.IFNA(VLOOKUP(D45,'인원 입력 기능(사과탐)'!$F$177:$I$231,4,FALSE),0))</f>
        <v>2592</v>
      </c>
      <c r="H45" s="180">
        <f t="shared" si="1"/>
        <v>4.6368515205724506E-2</v>
      </c>
      <c r="I45" s="191">
        <f>SUM($G$7:G45)</f>
        <v>52640</v>
      </c>
      <c r="J45" s="170">
        <f t="shared" si="5"/>
        <v>0.94168157423971377</v>
      </c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175"/>
      <c r="E46" s="175"/>
      <c r="F46" s="177"/>
      <c r="G46" s="179"/>
      <c r="H46" s="181"/>
      <c r="I46" s="192"/>
      <c r="J46" s="171"/>
      <c r="K46" s="36"/>
      <c r="L46" s="20" t="str">
        <f t="shared" si="2"/>
        <v>경고</v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36</v>
      </c>
      <c r="E47" s="74">
        <f t="shared" si="6"/>
        <v>8</v>
      </c>
      <c r="F47" s="60">
        <f t="shared" si="4"/>
        <v>5.2</v>
      </c>
      <c r="G47" s="61">
        <f>IF(D47=D46,"",_xlfn.IFNA(VLOOKUP(D47,'인원 입력 기능(사과탐)'!$F$177:$I$231,4,FALSE),0))</f>
        <v>701</v>
      </c>
      <c r="H47" s="62">
        <f t="shared" si="1"/>
        <v>1.2540250447227192E-2</v>
      </c>
      <c r="I47" s="72">
        <f>SUM($G$7:G47)</f>
        <v>53341</v>
      </c>
      <c r="J47" s="64">
        <f t="shared" si="5"/>
        <v>0.95422182468694094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35</v>
      </c>
      <c r="E48" s="74">
        <f t="shared" si="6"/>
        <v>8</v>
      </c>
      <c r="F48" s="60">
        <f t="shared" si="4"/>
        <v>3.65</v>
      </c>
      <c r="G48" s="61">
        <f>IF(D48=D47,"",_xlfn.IFNA(VLOOKUP(D48,'인원 입력 기능(사과탐)'!$F$177:$I$231,4,FALSE),0))</f>
        <v>1034</v>
      </c>
      <c r="H48" s="62">
        <f t="shared" si="1"/>
        <v>1.8497316636851519E-2</v>
      </c>
      <c r="I48" s="72">
        <f>SUM($G$7:G48)</f>
        <v>54375</v>
      </c>
      <c r="J48" s="64">
        <f t="shared" si="5"/>
        <v>0.97271914132379245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34</v>
      </c>
      <c r="E49" s="74">
        <f t="shared" si="6"/>
        <v>9</v>
      </c>
      <c r="F49" s="60">
        <f t="shared" si="4"/>
        <v>2.2599999999999998</v>
      </c>
      <c r="G49" s="61">
        <f>IF(D49=D48,"",_xlfn.IFNA(VLOOKUP(D49,'인원 입력 기능(사과탐)'!$F$177:$I$231,4,FALSE),0))</f>
        <v>524</v>
      </c>
      <c r="H49" s="62">
        <f t="shared" si="1"/>
        <v>9.3738819320214675E-3</v>
      </c>
      <c r="I49" s="72">
        <f>SUM($G$7:G49)</f>
        <v>54899</v>
      </c>
      <c r="J49" s="64">
        <f t="shared" si="5"/>
        <v>0.98209302325581394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33</v>
      </c>
      <c r="E50" s="74">
        <f t="shared" si="6"/>
        <v>9</v>
      </c>
      <c r="F50" s="60">
        <f t="shared" si="4"/>
        <v>1.46</v>
      </c>
      <c r="G50" s="61">
        <f>IF(D50=D49,"",_xlfn.IFNA(VLOOKUP(D50,'인원 입력 기능(사과탐)'!$F$177:$I$231,4,FALSE),0))</f>
        <v>369</v>
      </c>
      <c r="H50" s="62">
        <f t="shared" si="1"/>
        <v>6.6010733452593921E-3</v>
      </c>
      <c r="I50" s="72">
        <f>SUM($G$7:G50)</f>
        <v>55268</v>
      </c>
      <c r="J50" s="64">
        <f t="shared" si="5"/>
        <v>0.98869409660107332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32</v>
      </c>
      <c r="E51" s="74">
        <f t="shared" si="6"/>
        <v>9</v>
      </c>
      <c r="F51" s="60">
        <f t="shared" si="4"/>
        <v>0.89</v>
      </c>
      <c r="G51" s="61">
        <f>IF(D51=D50,"",_xlfn.IFNA(VLOOKUP(D51,'인원 입력 기능(사과탐)'!$F$177:$I$231,4,FALSE),0))</f>
        <v>270</v>
      </c>
      <c r="H51" s="62">
        <f t="shared" si="1"/>
        <v>4.8300536672629697E-3</v>
      </c>
      <c r="I51" s="72">
        <f>SUM($G$7:G51)</f>
        <v>55538</v>
      </c>
      <c r="J51" s="64">
        <f t="shared" si="5"/>
        <v>0.99352415026833629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31</v>
      </c>
      <c r="E52" s="74">
        <f t="shared" si="6"/>
        <v>9</v>
      </c>
      <c r="F52" s="60">
        <f t="shared" si="4"/>
        <v>0.54</v>
      </c>
      <c r="G52" s="61">
        <f>IF(D52=D51,"",_xlfn.IFNA(VLOOKUP(D52,'인원 입력 기능(사과탐)'!$F$177:$I$231,4,FALSE),0))</f>
        <v>117</v>
      </c>
      <c r="H52" s="62">
        <f t="shared" si="1"/>
        <v>2.0930232558139536E-3</v>
      </c>
      <c r="I52" s="72">
        <f>SUM($G$7:G52)</f>
        <v>55655</v>
      </c>
      <c r="J52" s="64">
        <f t="shared" si="5"/>
        <v>0.99561717352415025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30</v>
      </c>
      <c r="E53" s="59">
        <f t="shared" si="6"/>
        <v>9</v>
      </c>
      <c r="F53" s="60">
        <f t="shared" si="4"/>
        <v>0.31</v>
      </c>
      <c r="G53" s="61">
        <f>IF(D53=D52,"",_xlfn.IFNA(VLOOKUP(D53,'인원 입력 기능(사과탐)'!$F$177:$I$231,4,FALSE),0))</f>
        <v>144</v>
      </c>
      <c r="H53" s="62">
        <f t="shared" si="1"/>
        <v>2.5760286225402504E-3</v>
      </c>
      <c r="I53" s="72">
        <f>SUM($G$7:G53)</f>
        <v>55799</v>
      </c>
      <c r="J53" s="64">
        <f t="shared" si="5"/>
        <v>0.99819320214669049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29</v>
      </c>
      <c r="E54" s="59">
        <f t="shared" si="6"/>
        <v>9</v>
      </c>
      <c r="F54" s="60">
        <f t="shared" si="4"/>
        <v>0.16</v>
      </c>
      <c r="G54" s="61">
        <f>IF(D54=D53,"",_xlfn.IFNA(VLOOKUP(D54,'인원 입력 기능(사과탐)'!$F$177:$I$231,4,FALSE),0))</f>
        <v>27</v>
      </c>
      <c r="H54" s="62">
        <f t="shared" si="1"/>
        <v>4.8300536672629695E-4</v>
      </c>
      <c r="I54" s="72">
        <f>SUM($G$7:G54)</f>
        <v>55826</v>
      </c>
      <c r="J54" s="64">
        <f t="shared" si="5"/>
        <v>0.99867620751341679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28</v>
      </c>
      <c r="E55" s="59">
        <f t="shared" si="6"/>
        <v>9</v>
      </c>
      <c r="F55" s="60">
        <f t="shared" si="4"/>
        <v>0.08</v>
      </c>
      <c r="G55" s="61">
        <f>IF(D55=D54,"",_xlfn.IFNA(VLOOKUP(D55,'인원 입력 기능(사과탐)'!$F$177:$I$231,4,FALSE),0))</f>
        <v>64</v>
      </c>
      <c r="H55" s="62">
        <f t="shared" si="1"/>
        <v>1.1449016100178891E-3</v>
      </c>
      <c r="I55" s="72">
        <f>SUM($G$7:G55)</f>
        <v>55890</v>
      </c>
      <c r="J55" s="64">
        <f t="shared" si="5"/>
        <v>0.99982110912343469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26</v>
      </c>
      <c r="E57" s="112">
        <f t="shared" si="6"/>
        <v>9</v>
      </c>
      <c r="F57" s="79">
        <f>IF(I55=0,ROUND(100*(1-(I54+I57)/2/$J$3),2),ROUND(100*(1-(I55+I57)/2/$J$3),2))</f>
        <v>0.01</v>
      </c>
      <c r="G57" s="113">
        <f>_xlfn.IFNA(VLOOKUP(D57,'인원 입력 기능(사과탐)'!$F$177:$I$231,4,FALSE),0)</f>
        <v>10</v>
      </c>
      <c r="H57" s="81">
        <f>G57/$J$3</f>
        <v>1.7889087656529517E-4</v>
      </c>
      <c r="I57" s="82">
        <f>SUM($G$7:G57)</f>
        <v>55900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I4:J5"/>
    <mergeCell ref="D19:D20"/>
    <mergeCell ref="E19:E20"/>
    <mergeCell ref="F19:F20"/>
    <mergeCell ref="G19:G20"/>
    <mergeCell ref="H19:H20"/>
    <mergeCell ref="I19:I20"/>
    <mergeCell ref="J19:J20"/>
    <mergeCell ref="I32:I33"/>
    <mergeCell ref="J32:J33"/>
    <mergeCell ref="D45:D46"/>
    <mergeCell ref="E45:E46"/>
    <mergeCell ref="F45:F46"/>
    <mergeCell ref="G45:G46"/>
    <mergeCell ref="H45:H46"/>
    <mergeCell ref="I45:I46"/>
    <mergeCell ref="J45:J46"/>
    <mergeCell ref="D32:D33"/>
    <mergeCell ref="E32:E33"/>
    <mergeCell ref="F32:F33"/>
    <mergeCell ref="G32:G33"/>
    <mergeCell ref="H32:H33"/>
  </mergeCells>
  <phoneticPr fontId="1" type="noConversion"/>
  <conditionalFormatting sqref="D7:G19 I7:J19 D21:G32 I21:J32 D34:G45 I34:J45 D47:G57 I47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9 D21:D32 D34:D45 D47:D57">
    <cfRule type="expression" dxfId="9" priority="2">
      <formula>$D7=$D8</formula>
    </cfRule>
  </conditionalFormatting>
  <conditionalFormatting sqref="H7:H19 H21:H32 H34:H45 H47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topLeftCell="A46"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기능'!D19</f>
        <v>28.57</v>
      </c>
      <c r="I3" s="21" t="s">
        <v>70</v>
      </c>
      <c r="J3" s="50">
        <f>'통계 및 응시자 수 입력 기능'!C19</f>
        <v>70683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93</v>
      </c>
      <c r="E4" s="186"/>
      <c r="F4" s="187"/>
      <c r="G4" s="52" t="s">
        <v>73</v>
      </c>
      <c r="H4" s="53" t="str">
        <f>'통계 및 응시자 수 입력 기능'!E19</f>
        <v>11.51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98.84</v>
      </c>
      <c r="G7" s="61">
        <f>_xlfn.IFNA(VLOOKUP(D7,'인원 입력 기능(사과탐)'!$K$177:$N$231,4,FALSE),0)</f>
        <v>1645</v>
      </c>
      <c r="H7" s="62">
        <f>G7/$J$3</f>
        <v>2.3272922767850826E-2</v>
      </c>
      <c r="I7" s="63">
        <f>G7</f>
        <v>1645</v>
      </c>
      <c r="J7" s="64">
        <f>I7/$J$3</f>
        <v>2.3272922767850826E-2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67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기능'!C140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67</v>
      </c>
      <c r="E9" s="59">
        <f t="shared" si="0"/>
        <v>1</v>
      </c>
      <c r="F9" s="60">
        <f>IF(I8=0,ROUND(100*(1-(I7+I9)/2/$J$3),2),ROUND(100*(1-(I8+I9)/2/$J$3),2))</f>
        <v>96.47</v>
      </c>
      <c r="G9" s="61">
        <f>_xlfn.IFNA(VLOOKUP(D9,'인원 입력 기능(사과탐)'!$K$177:$N$231,4,FALSE),0)</f>
        <v>1706</v>
      </c>
      <c r="H9" s="62">
        <f t="shared" ref="H9:H55" si="1">G9/$J$3</f>
        <v>2.4135930846172347E-2</v>
      </c>
      <c r="I9" s="72">
        <f>SUM($G$7:G9)</f>
        <v>3351</v>
      </c>
      <c r="J9" s="64">
        <f>I9/$J$3</f>
        <v>4.7408853614023173E-2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66</v>
      </c>
      <c r="E10" s="59">
        <f t="shared" si="0"/>
        <v>2</v>
      </c>
      <c r="F10" s="60">
        <f t="shared" ref="F10:F55" si="4">IF(I9=0,ROUND(100*(1-(I8+I10)/2/$J$3),2),ROUND(100*(1-(I9+I10)/2/$J$3),2))</f>
        <v>94.69</v>
      </c>
      <c r="G10" s="61">
        <f>IF(D10=D9,"",_xlfn.IFNA(VLOOKUP(D10,'인원 입력 기능(사과탐)'!$K$177:$N$231,4,FALSE),0))</f>
        <v>803</v>
      </c>
      <c r="H10" s="62">
        <f t="shared" si="1"/>
        <v>1.1360581752330829E-2</v>
      </c>
      <c r="I10" s="72">
        <f>SUM($G$7:G10)</f>
        <v>4154</v>
      </c>
      <c r="J10" s="64">
        <f t="shared" ref="J10:J55" si="5">I10/$J$3</f>
        <v>5.8769435366354005E-2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65</v>
      </c>
      <c r="E11" s="59">
        <f t="shared" si="0"/>
        <v>2</v>
      </c>
      <c r="F11" s="60">
        <f t="shared" si="4"/>
        <v>93.31</v>
      </c>
      <c r="G11" s="61">
        <f>IF(D11=D10,"",_xlfn.IFNA(VLOOKUP(D11,'인원 입력 기능(사과탐)'!$K$177:$N$231,4,FALSE),0))</f>
        <v>1144</v>
      </c>
      <c r="H11" s="62">
        <f t="shared" si="1"/>
        <v>1.6184938386882276E-2</v>
      </c>
      <c r="I11" s="72">
        <f>SUM($G$7:G11)</f>
        <v>5298</v>
      </c>
      <c r="J11" s="64">
        <f t="shared" si="5"/>
        <v>7.4954373753236284E-2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64</v>
      </c>
      <c r="E12" s="59">
        <f t="shared" si="0"/>
        <v>2</v>
      </c>
      <c r="F12" s="60">
        <f t="shared" si="4"/>
        <v>91.31</v>
      </c>
      <c r="G12" s="61">
        <f>IF(D12=D11,"",_xlfn.IFNA(VLOOKUP(D12,'인원 입력 기능(사과탐)'!$K$177:$N$231,4,FALSE),0))</f>
        <v>1694</v>
      </c>
      <c r="H12" s="62">
        <f t="shared" si="1"/>
        <v>2.3966158765191065E-2</v>
      </c>
      <c r="I12" s="72">
        <f>SUM($G$7:G12)</f>
        <v>6992</v>
      </c>
      <c r="J12" s="64">
        <f t="shared" si="5"/>
        <v>9.8920532518427348E-2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8">
        <v>44</v>
      </c>
      <c r="D13" s="172">
        <f t="shared" si="3"/>
        <v>63</v>
      </c>
      <c r="E13" s="172">
        <f t="shared" si="0"/>
        <v>2</v>
      </c>
      <c r="F13" s="176">
        <f t="shared" si="4"/>
        <v>88.23</v>
      </c>
      <c r="G13" s="178">
        <f>IF(D13=D12,"",_xlfn.IFNA(VLOOKUP(D13,'인원 입력 기능(사과탐)'!$K$177:$N$231,4,FALSE),0))</f>
        <v>2649</v>
      </c>
      <c r="H13" s="180">
        <f t="shared" si="1"/>
        <v>3.7477186876618142E-2</v>
      </c>
      <c r="I13" s="191">
        <f>SUM($G$7:G13)</f>
        <v>9641</v>
      </c>
      <c r="J13" s="170">
        <f t="shared" si="5"/>
        <v>0.1363977193950455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36</v>
      </c>
    </row>
    <row r="14" spans="1:17" s="22" customFormat="1" ht="25" customHeight="1" x14ac:dyDescent="0.45">
      <c r="A14" s="20"/>
      <c r="B14" s="35"/>
      <c r="C14" s="65">
        <v>43</v>
      </c>
      <c r="D14" s="173"/>
      <c r="E14" s="173"/>
      <c r="F14" s="177"/>
      <c r="G14" s="179"/>
      <c r="H14" s="181"/>
      <c r="I14" s="192"/>
      <c r="J14" s="171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기능'!C146</f>
        <v>33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62</v>
      </c>
      <c r="E15" s="59">
        <f t="shared" si="0"/>
        <v>3</v>
      </c>
      <c r="F15" s="60">
        <f t="shared" si="4"/>
        <v>85.42</v>
      </c>
      <c r="G15" s="61">
        <f>IF(D15=D14,"",_xlfn.IFNA(VLOOKUP(D15,'인원 입력 기능(사과탐)'!$K$177:$N$231,4,FALSE),0))</f>
        <v>1328</v>
      </c>
      <c r="H15" s="62">
        <f t="shared" si="1"/>
        <v>1.8788110295261944E-2</v>
      </c>
      <c r="I15" s="72">
        <f>SUM($G$7:G15)</f>
        <v>10969</v>
      </c>
      <c r="J15" s="64">
        <f t="shared" si="5"/>
        <v>0.15518582969030742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61</v>
      </c>
      <c r="E16" s="59">
        <f t="shared" si="0"/>
        <v>3</v>
      </c>
      <c r="F16" s="60">
        <f t="shared" si="4"/>
        <v>83.41</v>
      </c>
      <c r="G16" s="61">
        <f>IF(D16=D15,"",_xlfn.IFNA(VLOOKUP(D16,'인원 입력 기능(사과탐)'!$K$177:$N$231,4,FALSE),0))</f>
        <v>1521</v>
      </c>
      <c r="H16" s="62">
        <f t="shared" si="1"/>
        <v>2.1518611264377572E-2</v>
      </c>
      <c r="I16" s="72">
        <f>SUM($G$7:G16)</f>
        <v>12490</v>
      </c>
      <c r="J16" s="64">
        <f t="shared" si="5"/>
        <v>0.17670444095468502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60</v>
      </c>
      <c r="E17" s="59">
        <f t="shared" si="0"/>
        <v>3</v>
      </c>
      <c r="F17" s="60">
        <f t="shared" si="4"/>
        <v>80.98</v>
      </c>
      <c r="G17" s="61">
        <f>IF(D17=D16,"",_xlfn.IFNA(VLOOKUP(D17,'인원 입력 기능(사과탐)'!$K$177:$N$231,4,FALSE),0))</f>
        <v>1906</v>
      </c>
      <c r="H17" s="62">
        <f t="shared" si="1"/>
        <v>2.6965465529193725E-2</v>
      </c>
      <c r="I17" s="72">
        <f>SUM($G$7:G17)</f>
        <v>14396</v>
      </c>
      <c r="J17" s="64">
        <f t="shared" si="5"/>
        <v>0.20366990648387873</v>
      </c>
      <c r="K17" s="36"/>
      <c r="L17" s="20" t="str">
        <f t="shared" si="2"/>
        <v/>
      </c>
      <c r="N17" s="24"/>
      <c r="Q17" s="24">
        <f>Q7*H3*H4*J3*IFERROR(IF(J57=1, 1, 0), 0)</f>
        <v>1557310962.2727001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59</v>
      </c>
      <c r="E18" s="59">
        <f t="shared" si="0"/>
        <v>3</v>
      </c>
      <c r="F18" s="60">
        <f t="shared" si="4"/>
        <v>78.62</v>
      </c>
      <c r="G18" s="61">
        <f>IF(D18=D17,"",_xlfn.IFNA(VLOOKUP(D18,'인원 입력 기능(사과탐)'!$K$177:$N$231,4,FALSE),0))</f>
        <v>1430</v>
      </c>
      <c r="H18" s="62">
        <f t="shared" si="1"/>
        <v>2.0231172983602847E-2</v>
      </c>
      <c r="I18" s="72">
        <f>SUM($G$7:G18)</f>
        <v>15826</v>
      </c>
      <c r="J18" s="64">
        <f t="shared" si="5"/>
        <v>0.22390107946748158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58</v>
      </c>
      <c r="E19" s="59">
        <f t="shared" si="0"/>
        <v>3</v>
      </c>
      <c r="F19" s="60">
        <f t="shared" si="4"/>
        <v>76.13</v>
      </c>
      <c r="G19" s="61">
        <f>IF(D19=D18,"",_xlfn.IFNA(VLOOKUP(D19,'인원 입력 기능(사과탐)'!$K$177:$N$231,4,FALSE),0))</f>
        <v>2097</v>
      </c>
      <c r="H19" s="62">
        <f t="shared" si="1"/>
        <v>2.9667671151479138E-2</v>
      </c>
      <c r="I19" s="72">
        <f>SUM($G$7:G19)</f>
        <v>17923</v>
      </c>
      <c r="J19" s="64">
        <f t="shared" si="5"/>
        <v>0.25356875061896073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57</v>
      </c>
      <c r="E20" s="59">
        <f t="shared" si="0"/>
        <v>4</v>
      </c>
      <c r="F20" s="60">
        <f t="shared" si="4"/>
        <v>73.33</v>
      </c>
      <c r="G20" s="61">
        <f>IF(D20=D19,"",_xlfn.IFNA(VLOOKUP(D20,'인원 입력 기능(사과탐)'!$K$177:$N$231,4,FALSE),0))</f>
        <v>1854</v>
      </c>
      <c r="H20" s="62">
        <f t="shared" si="1"/>
        <v>2.6229786511608167E-2</v>
      </c>
      <c r="I20" s="72">
        <f>SUM($G$7:G20)</f>
        <v>19777</v>
      </c>
      <c r="J20" s="64">
        <f t="shared" si="5"/>
        <v>0.2797985371305689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174">
        <f t="shared" si="3"/>
        <v>56</v>
      </c>
      <c r="E21" s="174">
        <f t="shared" si="0"/>
        <v>4</v>
      </c>
      <c r="F21" s="176">
        <f t="shared" si="4"/>
        <v>69.25</v>
      </c>
      <c r="G21" s="178">
        <f>IF(D21=D20,"",_xlfn.IFNA(VLOOKUP(D21,'인원 입력 기능(사과탐)'!$K$177:$N$231,4,FALSE),0))</f>
        <v>3916</v>
      </c>
      <c r="H21" s="180">
        <f t="shared" si="1"/>
        <v>5.5402289093558564E-2</v>
      </c>
      <c r="I21" s="191">
        <f>SUM($G$7:G21)</f>
        <v>23693</v>
      </c>
      <c r="J21" s="170">
        <f t="shared" si="5"/>
        <v>0.33520082622412745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175"/>
      <c r="E22" s="175"/>
      <c r="F22" s="177"/>
      <c r="G22" s="179"/>
      <c r="H22" s="181"/>
      <c r="I22" s="192"/>
      <c r="J22" s="171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55</v>
      </c>
      <c r="E23" s="74">
        <f t="shared" si="0"/>
        <v>4</v>
      </c>
      <c r="F23" s="60">
        <f t="shared" si="4"/>
        <v>65.2</v>
      </c>
      <c r="G23" s="61">
        <f>IF(D23=D22,"",_xlfn.IFNA(VLOOKUP(D23,'인원 입력 기능(사과탐)'!$K$177:$N$231,4,FALSE),0))</f>
        <v>1814</v>
      </c>
      <c r="H23" s="62">
        <f t="shared" si="1"/>
        <v>2.5663879575003892E-2</v>
      </c>
      <c r="I23" s="72">
        <f>SUM($G$7:G23)</f>
        <v>25507</v>
      </c>
      <c r="J23" s="64">
        <f t="shared" si="5"/>
        <v>0.36086470579913132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54</v>
      </c>
      <c r="E24" s="74">
        <f t="shared" si="0"/>
        <v>4</v>
      </c>
      <c r="F24" s="60">
        <f t="shared" si="4"/>
        <v>62.4</v>
      </c>
      <c r="G24" s="61">
        <f>IF(D24=D23,"",_xlfn.IFNA(VLOOKUP(D24,'인원 입력 기능(사과탐)'!$K$177:$N$231,4,FALSE),0))</f>
        <v>2138</v>
      </c>
      <c r="H24" s="62">
        <f t="shared" si="1"/>
        <v>3.024772576149852E-2</v>
      </c>
      <c r="I24" s="72">
        <f>SUM($G$7:G24)</f>
        <v>27645</v>
      </c>
      <c r="J24" s="64">
        <f t="shared" si="5"/>
        <v>0.39111243156062986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53</v>
      </c>
      <c r="E25" s="74">
        <f t="shared" si="0"/>
        <v>4</v>
      </c>
      <c r="F25" s="60">
        <f t="shared" si="4"/>
        <v>59.39</v>
      </c>
      <c r="G25" s="61">
        <f>IF(D25=D24,"",_xlfn.IFNA(VLOOKUP(D25,'인원 입력 기능(사과탐)'!$K$177:$N$231,4,FALSE),0))</f>
        <v>2112</v>
      </c>
      <c r="H25" s="62">
        <f t="shared" si="1"/>
        <v>2.9879886252705743E-2</v>
      </c>
      <c r="I25" s="72">
        <f>SUM($G$7:G25)</f>
        <v>29757</v>
      </c>
      <c r="J25" s="64">
        <f t="shared" si="5"/>
        <v>0.42099231781333557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52</v>
      </c>
      <c r="E26" s="74">
        <f t="shared" si="0"/>
        <v>5</v>
      </c>
      <c r="F26" s="60">
        <f t="shared" si="4"/>
        <v>56.48</v>
      </c>
      <c r="G26" s="61">
        <f>IF(D26=D25,"",_xlfn.IFNA(VLOOKUP(D26,'인원 입력 기능(사과탐)'!$K$177:$N$231,4,FALSE),0))</f>
        <v>2012</v>
      </c>
      <c r="H26" s="62">
        <f t="shared" si="1"/>
        <v>2.8465118911195054E-2</v>
      </c>
      <c r="I26" s="72">
        <f>SUM($G$7:G26)</f>
        <v>31769</v>
      </c>
      <c r="J26" s="64">
        <f t="shared" si="5"/>
        <v>0.44945743672453065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51</v>
      </c>
      <c r="E27" s="74">
        <f t="shared" si="0"/>
        <v>5</v>
      </c>
      <c r="F27" s="60">
        <f t="shared" si="4"/>
        <v>53.49</v>
      </c>
      <c r="G27" s="61">
        <f>IF(D27=D26,"",_xlfn.IFNA(VLOOKUP(D27,'인원 입력 기능(사과탐)'!$K$177:$N$231,4,FALSE),0))</f>
        <v>2211</v>
      </c>
      <c r="H27" s="62">
        <f t="shared" si="1"/>
        <v>3.1280505920801324E-2</v>
      </c>
      <c r="I27" s="72">
        <f>SUM($G$7:G27)</f>
        <v>33980</v>
      </c>
      <c r="J27" s="64">
        <f t="shared" si="5"/>
        <v>0.48073794264533198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174">
        <f t="shared" si="3"/>
        <v>50</v>
      </c>
      <c r="E28" s="174">
        <f t="shared" si="0"/>
        <v>5</v>
      </c>
      <c r="F28" s="176">
        <f t="shared" si="4"/>
        <v>49.09</v>
      </c>
      <c r="G28" s="178">
        <f>IF(D28=D27,"",_xlfn.IFNA(VLOOKUP(D28,'인원 입력 기능(사과탐)'!$K$177:$N$231,4,FALSE),0))</f>
        <v>4005</v>
      </c>
      <c r="H28" s="180">
        <f t="shared" si="1"/>
        <v>5.6661432027503074E-2</v>
      </c>
      <c r="I28" s="191">
        <f>SUM($G$7:G28)</f>
        <v>37985</v>
      </c>
      <c r="J28" s="170">
        <f t="shared" si="5"/>
        <v>0.53739937467283505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175"/>
      <c r="E29" s="175"/>
      <c r="F29" s="177"/>
      <c r="G29" s="179"/>
      <c r="H29" s="181"/>
      <c r="I29" s="192"/>
      <c r="J29" s="171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49</v>
      </c>
      <c r="E30" s="74">
        <f t="shared" si="0"/>
        <v>5</v>
      </c>
      <c r="F30" s="60">
        <f t="shared" si="4"/>
        <v>44.8</v>
      </c>
      <c r="G30" s="61">
        <f>IF(D30=D29,"",_xlfn.IFNA(VLOOKUP(D30,'인원 입력 기능(사과탐)'!$K$177:$N$231,4,FALSE),0))</f>
        <v>2060</v>
      </c>
      <c r="H30" s="62">
        <f t="shared" si="1"/>
        <v>2.9144207235120186E-2</v>
      </c>
      <c r="I30" s="72">
        <f>SUM($G$7:G30)</f>
        <v>40045</v>
      </c>
      <c r="J30" s="64">
        <f t="shared" si="5"/>
        <v>0.56654358190795528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48</v>
      </c>
      <c r="E31" s="74">
        <f t="shared" si="0"/>
        <v>5</v>
      </c>
      <c r="F31" s="60">
        <f t="shared" si="4"/>
        <v>41.94</v>
      </c>
      <c r="G31" s="61">
        <f>IF(D31=D30,"",_xlfn.IFNA(VLOOKUP(D31,'인원 입력 기능(사과탐)'!$K$177:$N$231,4,FALSE),0))</f>
        <v>1992</v>
      </c>
      <c r="H31" s="62">
        <f t="shared" si="1"/>
        <v>2.8182165442892915E-2</v>
      </c>
      <c r="I31" s="72">
        <f>SUM($G$7:G31)</f>
        <v>42037</v>
      </c>
      <c r="J31" s="64">
        <f t="shared" si="5"/>
        <v>0.59472574735084816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47</v>
      </c>
      <c r="E32" s="74">
        <f t="shared" si="0"/>
        <v>5</v>
      </c>
      <c r="F32" s="60">
        <f t="shared" si="4"/>
        <v>39.049999999999997</v>
      </c>
      <c r="G32" s="61">
        <f>IF(D32=D31,"",_xlfn.IFNA(VLOOKUP(D32,'인원 입력 기능(사과탐)'!$K$177:$N$231,4,FALSE),0))</f>
        <v>2091</v>
      </c>
      <c r="H32" s="62">
        <f t="shared" si="1"/>
        <v>2.9582785110988497E-2</v>
      </c>
      <c r="I32" s="72">
        <f>SUM($G$7:G32)</f>
        <v>44128</v>
      </c>
      <c r="J32" s="64">
        <f t="shared" si="5"/>
        <v>0.6243085324618366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46</v>
      </c>
      <c r="E33" s="74">
        <f t="shared" si="0"/>
        <v>6</v>
      </c>
      <c r="F33" s="60">
        <f t="shared" si="4"/>
        <v>36.24</v>
      </c>
      <c r="G33" s="61">
        <f>IF(D33=D32,"",_xlfn.IFNA(VLOOKUP(D33,'인원 입력 기능(사과탐)'!$K$177:$N$231,4,FALSE),0))</f>
        <v>1886</v>
      </c>
      <c r="H33" s="62">
        <f t="shared" si="1"/>
        <v>2.6682512060891585E-2</v>
      </c>
      <c r="I33" s="72">
        <f>SUM($G$7:G33)</f>
        <v>46014</v>
      </c>
      <c r="J33" s="64">
        <f t="shared" si="5"/>
        <v>0.65099104452272827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45</v>
      </c>
      <c r="E34" s="74">
        <f t="shared" si="0"/>
        <v>6</v>
      </c>
      <c r="F34" s="60">
        <f t="shared" si="4"/>
        <v>33.53</v>
      </c>
      <c r="G34" s="61">
        <f>IF(D34=D33,"",_xlfn.IFNA(VLOOKUP(D34,'인원 입력 기능(사과탐)'!$K$177:$N$231,4,FALSE),0))</f>
        <v>1944</v>
      </c>
      <c r="H34" s="62">
        <f t="shared" si="1"/>
        <v>2.7503077118967784E-2</v>
      </c>
      <c r="I34" s="72">
        <f>SUM($G$7:G34)</f>
        <v>47958</v>
      </c>
      <c r="J34" s="64">
        <f t="shared" si="5"/>
        <v>0.67849412164169598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44</v>
      </c>
      <c r="E35" s="74">
        <f t="shared" si="0"/>
        <v>6</v>
      </c>
      <c r="F35" s="60">
        <f t="shared" si="4"/>
        <v>30.82</v>
      </c>
      <c r="G35" s="61">
        <f>IF(D35=D34,"",_xlfn.IFNA(VLOOKUP(D35,'인원 입력 기능(사과탐)'!$K$177:$N$231,4,FALSE),0))</f>
        <v>1874</v>
      </c>
      <c r="H35" s="62">
        <f t="shared" si="1"/>
        <v>2.6512739979910303E-2</v>
      </c>
      <c r="I35" s="72">
        <f>SUM($G$7:G35)</f>
        <v>49832</v>
      </c>
      <c r="J35" s="64">
        <f t="shared" si="5"/>
        <v>0.70500686162160631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174">
        <f t="shared" si="3"/>
        <v>43</v>
      </c>
      <c r="E36" s="174">
        <f t="shared" si="0"/>
        <v>6</v>
      </c>
      <c r="F36" s="176">
        <f t="shared" si="4"/>
        <v>26.97</v>
      </c>
      <c r="G36" s="178">
        <f>IF(D36=D35,"",_xlfn.IFNA(VLOOKUP(D36,'인원 입력 기능(사과탐)'!$K$177:$N$231,4,FALSE),0))</f>
        <v>3573</v>
      </c>
      <c r="H36" s="180">
        <f t="shared" si="1"/>
        <v>5.0549637112176901E-2</v>
      </c>
      <c r="I36" s="191">
        <f>SUM($G$7:G36)</f>
        <v>53405</v>
      </c>
      <c r="J36" s="170">
        <f t="shared" si="5"/>
        <v>0.75555649873378328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175"/>
      <c r="E37" s="175"/>
      <c r="F37" s="177"/>
      <c r="G37" s="179"/>
      <c r="H37" s="181"/>
      <c r="I37" s="192"/>
      <c r="J37" s="171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42</v>
      </c>
      <c r="E38" s="74">
        <f t="shared" si="0"/>
        <v>6</v>
      </c>
      <c r="F38" s="60">
        <f t="shared" si="4"/>
        <v>23.31</v>
      </c>
      <c r="G38" s="61">
        <f>IF(D38=D37,"",_xlfn.IFNA(VLOOKUP(D38,'인원 입력 기능(사과탐)'!$K$177:$N$231,4,FALSE),0))</f>
        <v>1605</v>
      </c>
      <c r="H38" s="62">
        <f t="shared" si="1"/>
        <v>2.2707015831246551E-2</v>
      </c>
      <c r="I38" s="72">
        <f>SUM($G$7:G38)</f>
        <v>55010</v>
      </c>
      <c r="J38" s="64">
        <f t="shared" si="5"/>
        <v>0.77826351456502973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41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60">
        <f t="shared" si="4"/>
        <v>21.06</v>
      </c>
      <c r="G39" s="61">
        <f>IF(D39=D38,"",_xlfn.IFNA(VLOOKUP(D39,'인원 입력 기능(사과탐)'!$K$177:$N$231,4,FALSE),0))</f>
        <v>1576</v>
      </c>
      <c r="H39" s="62">
        <f t="shared" si="1"/>
        <v>2.2296733302208452E-2</v>
      </c>
      <c r="I39" s="72">
        <f>SUM($G$7:G39)</f>
        <v>56586</v>
      </c>
      <c r="J39" s="64">
        <f t="shared" si="5"/>
        <v>0.80056024786723823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40</v>
      </c>
      <c r="E40" s="74">
        <f t="shared" si="6"/>
        <v>7</v>
      </c>
      <c r="F40" s="60">
        <f t="shared" si="4"/>
        <v>18.809999999999999</v>
      </c>
      <c r="G40" s="61">
        <f>IF(D40=D39,"",_xlfn.IFNA(VLOOKUP(D40,'인원 입력 기능(사과탐)'!$K$177:$N$231,4,FALSE),0))</f>
        <v>1602</v>
      </c>
      <c r="H40" s="62">
        <f t="shared" si="1"/>
        <v>2.2664572811001232E-2</v>
      </c>
      <c r="I40" s="72">
        <f>SUM($G$7:G40)</f>
        <v>58188</v>
      </c>
      <c r="J40" s="64">
        <f t="shared" si="5"/>
        <v>0.82322482067823943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39</v>
      </c>
      <c r="E41" s="74">
        <f t="shared" si="6"/>
        <v>7</v>
      </c>
      <c r="F41" s="60">
        <f t="shared" si="4"/>
        <v>16.75</v>
      </c>
      <c r="G41" s="61">
        <f>IF(D41=D40,"",_xlfn.IFNA(VLOOKUP(D41,'인원 입력 기능(사과탐)'!$K$177:$N$231,4,FALSE),0))</f>
        <v>1315</v>
      </c>
      <c r="H41" s="62">
        <f t="shared" si="1"/>
        <v>1.8604190540865553E-2</v>
      </c>
      <c r="I41" s="72">
        <f>SUM($G$7:G41)</f>
        <v>59503</v>
      </c>
      <c r="J41" s="64">
        <f t="shared" si="5"/>
        <v>0.84182901121910503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38</v>
      </c>
      <c r="E42" s="74">
        <f t="shared" si="6"/>
        <v>7</v>
      </c>
      <c r="F42" s="60">
        <f t="shared" si="4"/>
        <v>14.74</v>
      </c>
      <c r="G42" s="61">
        <f>IF(D42=D41,"",_xlfn.IFNA(VLOOKUP(D42,'인원 입력 기능(사과탐)'!$K$177:$N$231,4,FALSE),0))</f>
        <v>1526</v>
      </c>
      <c r="H42" s="62">
        <f t="shared" si="1"/>
        <v>2.1589349631453106E-2</v>
      </c>
      <c r="I42" s="72">
        <f>SUM($G$7:G42)</f>
        <v>61029</v>
      </c>
      <c r="J42" s="64">
        <f t="shared" si="5"/>
        <v>0.86341836085055812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37</v>
      </c>
      <c r="E43" s="74">
        <f t="shared" si="6"/>
        <v>7</v>
      </c>
      <c r="F43" s="60">
        <f t="shared" si="4"/>
        <v>12.74</v>
      </c>
      <c r="G43" s="61">
        <f>IF(D43=D42,"",_xlfn.IFNA(VLOOKUP(D43,'인원 입력 기능(사과탐)'!$K$177:$N$231,4,FALSE),0))</f>
        <v>1293</v>
      </c>
      <c r="H43" s="62">
        <f t="shared" si="1"/>
        <v>1.8292941725733203E-2</v>
      </c>
      <c r="I43" s="72">
        <f>SUM($G$7:G43)</f>
        <v>62322</v>
      </c>
      <c r="J43" s="64">
        <f t="shared" si="5"/>
        <v>0.88171130257629138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174">
        <f t="shared" si="3"/>
        <v>36</v>
      </c>
      <c r="E44" s="174">
        <f t="shared" si="6"/>
        <v>7</v>
      </c>
      <c r="F44" s="176">
        <f t="shared" si="4"/>
        <v>10.07</v>
      </c>
      <c r="G44" s="178">
        <f>IF(D44=D43,"",_xlfn.IFNA(VLOOKUP(D44,'인원 입력 기능(사과탐)'!$K$177:$N$231,4,FALSE),0))</f>
        <v>2487</v>
      </c>
      <c r="H44" s="180">
        <f t="shared" si="1"/>
        <v>3.5185263783370828E-2</v>
      </c>
      <c r="I44" s="191">
        <f>SUM($G$7:G44)</f>
        <v>64809</v>
      </c>
      <c r="J44" s="170">
        <f t="shared" si="5"/>
        <v>0.9168965663596621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175"/>
      <c r="E45" s="175"/>
      <c r="F45" s="177"/>
      <c r="G45" s="179"/>
      <c r="H45" s="181"/>
      <c r="I45" s="192"/>
      <c r="J45" s="171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35</v>
      </c>
      <c r="E46" s="74">
        <f t="shared" si="6"/>
        <v>8</v>
      </c>
      <c r="F46" s="60">
        <f t="shared" si="4"/>
        <v>7.18</v>
      </c>
      <c r="G46" s="61">
        <f>IF(D46=D45,"",_xlfn.IFNA(VLOOKUP(D46,'인원 입력 기능(사과탐)'!$K$177:$N$231,4,FALSE),0))</f>
        <v>1604</v>
      </c>
      <c r="H46" s="62">
        <f t="shared" si="1"/>
        <v>2.2692868157831444E-2</v>
      </c>
      <c r="I46" s="72">
        <f>SUM($G$7:G46)</f>
        <v>66413</v>
      </c>
      <c r="J46" s="64">
        <f t="shared" si="5"/>
        <v>0.93958943451749355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34</v>
      </c>
      <c r="E47" s="74">
        <f t="shared" si="6"/>
        <v>8</v>
      </c>
      <c r="F47" s="60">
        <f t="shared" si="4"/>
        <v>5.21</v>
      </c>
      <c r="G47" s="61">
        <f>IF(D47=D46,"",_xlfn.IFNA(VLOOKUP(D47,'인원 입력 기능(사과탐)'!$K$177:$N$231,4,FALSE),0))</f>
        <v>1175</v>
      </c>
      <c r="H47" s="62">
        <f t="shared" si="1"/>
        <v>1.662351626275059E-2</v>
      </c>
      <c r="I47" s="72">
        <f>SUM($G$7:G47)</f>
        <v>67588</v>
      </c>
      <c r="J47" s="64">
        <f t="shared" si="5"/>
        <v>0.95621295078024415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33</v>
      </c>
      <c r="E48" s="74">
        <f t="shared" si="6"/>
        <v>8</v>
      </c>
      <c r="F48" s="60">
        <f t="shared" si="4"/>
        <v>3.75</v>
      </c>
      <c r="G48" s="61">
        <f>IF(D48=D47,"",_xlfn.IFNA(VLOOKUP(D48,'인원 입력 기능(사과탐)'!$K$177:$N$231,4,FALSE),0))</f>
        <v>895</v>
      </c>
      <c r="H48" s="62">
        <f t="shared" si="1"/>
        <v>1.2662167706520663E-2</v>
      </c>
      <c r="I48" s="72">
        <f>SUM($G$7:G48)</f>
        <v>68483</v>
      </c>
      <c r="J48" s="64">
        <f t="shared" si="5"/>
        <v>0.96887511848676489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32</v>
      </c>
      <c r="E49" s="74">
        <f t="shared" si="6"/>
        <v>9</v>
      </c>
      <c r="F49" s="60">
        <f t="shared" si="4"/>
        <v>2.69</v>
      </c>
      <c r="G49" s="61">
        <f>IF(D49=D48,"",_xlfn.IFNA(VLOOKUP(D49,'인원 입력 기능(사과탐)'!$K$177:$N$231,4,FALSE),0))</f>
        <v>596</v>
      </c>
      <c r="H49" s="62">
        <f t="shared" si="1"/>
        <v>8.4320133554037034E-3</v>
      </c>
      <c r="I49" s="72">
        <f>SUM($G$7:G49)</f>
        <v>69079</v>
      </c>
      <c r="J49" s="64">
        <f t="shared" si="5"/>
        <v>0.97730713184216855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31</v>
      </c>
      <c r="E50" s="74">
        <f t="shared" si="6"/>
        <v>9</v>
      </c>
      <c r="F50" s="60">
        <f t="shared" si="4"/>
        <v>1.89</v>
      </c>
      <c r="G50" s="61">
        <f>IF(D50=D49,"",_xlfn.IFNA(VLOOKUP(D50,'인원 입력 기능(사과탐)'!$K$177:$N$231,4,FALSE),0))</f>
        <v>541</v>
      </c>
      <c r="H50" s="62">
        <f t="shared" si="1"/>
        <v>7.6538913175728251E-3</v>
      </c>
      <c r="I50" s="72">
        <f>SUM($G$7:G50)</f>
        <v>69620</v>
      </c>
      <c r="J50" s="64">
        <f t="shared" si="5"/>
        <v>0.98496102315974143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174">
        <f t="shared" si="3"/>
        <v>30</v>
      </c>
      <c r="E51" s="174">
        <f t="shared" si="6"/>
        <v>9</v>
      </c>
      <c r="F51" s="176">
        <f t="shared" si="4"/>
        <v>1.07</v>
      </c>
      <c r="G51" s="178">
        <f>IF(D51=D50,"",_xlfn.IFNA(VLOOKUP(D51,'인원 입력 기능(사과탐)'!$K$177:$N$231,4,FALSE),0))</f>
        <v>618</v>
      </c>
      <c r="H51" s="180">
        <f t="shared" si="1"/>
        <v>8.7432621705360557E-3</v>
      </c>
      <c r="I51" s="191">
        <f>SUM($G$7:G51)</f>
        <v>70238</v>
      </c>
      <c r="J51" s="170">
        <f t="shared" si="5"/>
        <v>0.99370428533027744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175"/>
      <c r="E52" s="175"/>
      <c r="F52" s="177"/>
      <c r="G52" s="179"/>
      <c r="H52" s="181"/>
      <c r="I52" s="192"/>
      <c r="J52" s="171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29</v>
      </c>
      <c r="E53" s="59">
        <f t="shared" si="6"/>
        <v>9</v>
      </c>
      <c r="F53" s="60">
        <f t="shared" si="4"/>
        <v>0.5</v>
      </c>
      <c r="G53" s="61">
        <f>IF(D53=D52,"",_xlfn.IFNA(VLOOKUP(D53,'인원 입력 기능(사과탐)'!$K$177:$N$231,4,FALSE),0))</f>
        <v>182</v>
      </c>
      <c r="H53" s="62">
        <f t="shared" si="1"/>
        <v>2.574876561549453E-3</v>
      </c>
      <c r="I53" s="72">
        <f>SUM($G$7:G53)</f>
        <v>70420</v>
      </c>
      <c r="J53" s="64">
        <f t="shared" si="5"/>
        <v>0.99627916189182686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28</v>
      </c>
      <c r="E54" s="59">
        <f t="shared" si="6"/>
        <v>9</v>
      </c>
      <c r="F54" s="60">
        <f t="shared" si="4"/>
        <v>0.31</v>
      </c>
      <c r="G54" s="61">
        <f>IF(D54=D53,"",_xlfn.IFNA(VLOOKUP(D54,'인원 입력 기능(사과탐)'!$K$177:$N$231,4,FALSE),0))</f>
        <v>88</v>
      </c>
      <c r="H54" s="62">
        <f t="shared" si="1"/>
        <v>1.244995260529406E-3</v>
      </c>
      <c r="I54" s="72">
        <f>SUM($G$7:G54)</f>
        <v>70508</v>
      </c>
      <c r="J54" s="64">
        <f t="shared" si="5"/>
        <v>0.99752415715235632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27</v>
      </c>
      <c r="E55" s="59">
        <f t="shared" si="6"/>
        <v>9</v>
      </c>
      <c r="F55" s="60">
        <f t="shared" si="4"/>
        <v>0.16</v>
      </c>
      <c r="G55" s="61">
        <f>IF(D55=D54,"",_xlfn.IFNA(VLOOKUP(D55,'인원 입력 기능(사과탐)'!$K$177:$N$231,4,FALSE),0))</f>
        <v>120</v>
      </c>
      <c r="H55" s="62">
        <f t="shared" si="1"/>
        <v>1.6977208098128262E-3</v>
      </c>
      <c r="I55" s="72">
        <f>SUM($G$7:G55)</f>
        <v>70628</v>
      </c>
      <c r="J55" s="64">
        <f t="shared" si="5"/>
        <v>0.9992218779621691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25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기능(사과탐)'!$K$177:$N$231,4,FALSE),0)</f>
        <v>55</v>
      </c>
      <c r="H57" s="81">
        <f>G57/$J$3</f>
        <v>7.7812203783087874E-4</v>
      </c>
      <c r="I57" s="82">
        <f>SUM($G$7:G57)</f>
        <v>70683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21:D22"/>
    <mergeCell ref="E21:E22"/>
    <mergeCell ref="F21:F22"/>
    <mergeCell ref="G21:G22"/>
    <mergeCell ref="H21:H22"/>
    <mergeCell ref="I36:I37"/>
    <mergeCell ref="J36:J37"/>
    <mergeCell ref="D44:D45"/>
    <mergeCell ref="E44:E45"/>
    <mergeCell ref="F44:F45"/>
    <mergeCell ref="G44:G45"/>
    <mergeCell ref="H44:H45"/>
    <mergeCell ref="I44:I45"/>
    <mergeCell ref="J44:J45"/>
    <mergeCell ref="D36:D37"/>
    <mergeCell ref="E36:E37"/>
    <mergeCell ref="F36:F37"/>
    <mergeCell ref="G36:G37"/>
    <mergeCell ref="H36:H37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13 I7:J13 D15:G21 I15:J21 D23:G28 I23:J28 D30:G36 I30:J36 D38:G44 I38:J44 D46:G51 I46:J51 D53:G57 I53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3 D15:D21 D23:D28 D30:D36 D38:D44 D46:D51 D53:D57">
    <cfRule type="expression" dxfId="5" priority="2">
      <formula>$D7=$D8</formula>
    </cfRule>
  </conditionalFormatting>
  <conditionalFormatting sqref="H7:H13 H15:H21 H23:H28 H30:H36 H38:H44 H46:H51 H53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tabSelected="1"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2" t="s">
        <v>168</v>
      </c>
      <c r="E3" s="183"/>
      <c r="F3" s="184"/>
      <c r="G3" s="48" t="s">
        <v>69</v>
      </c>
      <c r="H3" s="49" t="str">
        <f>'통계 및 응시자 수 입력 기능'!D20</f>
        <v>23.10</v>
      </c>
      <c r="I3" s="21" t="s">
        <v>70</v>
      </c>
      <c r="J3" s="50">
        <f>'통계 및 응시자 수 입력 기능'!C20</f>
        <v>38877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5" t="s">
        <v>92</v>
      </c>
      <c r="E4" s="186"/>
      <c r="F4" s="187"/>
      <c r="G4" s="52" t="s">
        <v>73</v>
      </c>
      <c r="H4" s="53" t="str">
        <f>'통계 및 응시자 수 입력 기능'!E20</f>
        <v xml:space="preserve"> 9.98</v>
      </c>
      <c r="I4" s="188"/>
      <c r="J4" s="189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90"/>
      <c r="J5" s="190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77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99.78</v>
      </c>
      <c r="G7" s="61">
        <f>_xlfn.IFNA(VLOOKUP(D7,'인원 입력 기능(사과탐)'!$P$177:$S$231,4,FALSE),0)</f>
        <v>171</v>
      </c>
      <c r="H7" s="62">
        <f>G7/$J$3</f>
        <v>4.3984875376186436E-3</v>
      </c>
      <c r="I7" s="63">
        <f>G7</f>
        <v>171</v>
      </c>
      <c r="J7" s="64">
        <f>I7/$J$3</f>
        <v>4.3984875376186436E-3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75</v>
      </c>
      <c r="E9" s="59">
        <f t="shared" si="0"/>
        <v>1</v>
      </c>
      <c r="F9" s="60">
        <f>IF(I8=0,ROUND(100*(1-(I7+I9)/2/$J$3),2),ROUND(100*(1-(I8+I9)/2/$J$3),2))</f>
        <v>99.37</v>
      </c>
      <c r="G9" s="61">
        <f>_xlfn.IFNA(VLOOKUP(D9,'인원 입력 기능(사과탐)'!$P$177:$S$231,4,FALSE),0)</f>
        <v>148</v>
      </c>
      <c r="H9" s="62">
        <f t="shared" ref="H9:H55" si="1">G9/$J$3</f>
        <v>3.8068781027342643E-3</v>
      </c>
      <c r="I9" s="72">
        <f>SUM($G$7:G9)</f>
        <v>319</v>
      </c>
      <c r="J9" s="64">
        <f>I9/$J$3</f>
        <v>8.205365640352907E-3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74</v>
      </c>
      <c r="E10" s="59">
        <f t="shared" si="0"/>
        <v>1</v>
      </c>
      <c r="F10" s="60">
        <f t="shared" ref="F10:F55" si="4">IF(I9=0,ROUND(100*(1-(I8+I10)/2/$J$3),2),ROUND(100*(1-(I9+I10)/2/$J$3),2))</f>
        <v>98.93</v>
      </c>
      <c r="G10" s="61">
        <f>IF(D10=D9,"",_xlfn.IFNA(VLOOKUP(D10,'인원 입력 기능(사과탐)'!$P$177:$S$231,4,FALSE),0))</f>
        <v>197</v>
      </c>
      <c r="H10" s="62">
        <f t="shared" si="1"/>
        <v>5.0672634205314194E-3</v>
      </c>
      <c r="I10" s="72">
        <f>SUM($G$7:G10)</f>
        <v>516</v>
      </c>
      <c r="J10" s="64">
        <f t="shared" ref="J10:J55" si="5">I10/$J$3</f>
        <v>1.3272629060884328E-2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73</v>
      </c>
      <c r="E11" s="59">
        <f t="shared" si="0"/>
        <v>1</v>
      </c>
      <c r="F11" s="60">
        <f t="shared" si="4"/>
        <v>98.59</v>
      </c>
      <c r="G11" s="61">
        <f>IF(D11=D10,"",_xlfn.IFNA(VLOOKUP(D11,'인원 입력 기능(사과탐)'!$P$177:$S$231,4,FALSE),0))</f>
        <v>62</v>
      </c>
      <c r="H11" s="62">
        <f t="shared" si="1"/>
        <v>1.5947732592535432E-3</v>
      </c>
      <c r="I11" s="72">
        <f>SUM($G$7:G11)</f>
        <v>578</v>
      </c>
      <c r="J11" s="64">
        <f t="shared" si="5"/>
        <v>1.4867402320137871E-2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72</v>
      </c>
      <c r="E12" s="59">
        <f t="shared" si="0"/>
        <v>1</v>
      </c>
      <c r="F12" s="60">
        <f t="shared" si="4"/>
        <v>98.13</v>
      </c>
      <c r="G12" s="61">
        <f>IF(D12=D11,"",_xlfn.IFNA(VLOOKUP(D12,'인원 입력 기능(사과탐)'!$P$177:$S$231,4,FALSE),0))</f>
        <v>295</v>
      </c>
      <c r="H12" s="62">
        <f t="shared" si="1"/>
        <v>7.5880340561257295E-3</v>
      </c>
      <c r="I12" s="72">
        <f>SUM($G$7:G12)</f>
        <v>873</v>
      </c>
      <c r="J12" s="64">
        <f t="shared" si="5"/>
        <v>2.2455436376263599E-2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71</v>
      </c>
      <c r="E13" s="59">
        <f t="shared" si="0"/>
        <v>1</v>
      </c>
      <c r="F13" s="60">
        <f t="shared" si="4"/>
        <v>97.5</v>
      </c>
      <c r="G13" s="61">
        <f>IF(D13=D12,"",_xlfn.IFNA(VLOOKUP(D13,'인원 입력 기능(사과탐)'!$P$177:$S$231,4,FALSE),0))</f>
        <v>194</v>
      </c>
      <c r="H13" s="62">
        <f t="shared" si="1"/>
        <v>4.990096972503022E-3</v>
      </c>
      <c r="I13" s="72">
        <f>SUM($G$7:G13)</f>
        <v>1067</v>
      </c>
      <c r="J13" s="64">
        <f t="shared" si="5"/>
        <v>2.7445533348766624E-2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70</v>
      </c>
      <c r="E14" s="59">
        <f t="shared" si="0"/>
        <v>1</v>
      </c>
      <c r="F14" s="60">
        <f t="shared" si="4"/>
        <v>96.93</v>
      </c>
      <c r="G14" s="61">
        <f>IF(D14=D13,"",_xlfn.IFNA(VLOOKUP(D14,'인원 입력 기능(사과탐)'!$P$177:$S$231,4,FALSE),0))</f>
        <v>252</v>
      </c>
      <c r="H14" s="62">
        <f t="shared" si="1"/>
        <v>6.4819816343853693E-3</v>
      </c>
      <c r="I14" s="72">
        <f>SUM($G$7:G14)</f>
        <v>1319</v>
      </c>
      <c r="J14" s="64">
        <f t="shared" si="5"/>
        <v>3.3927514983151989E-2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69</v>
      </c>
      <c r="E15" s="59">
        <f t="shared" si="0"/>
        <v>1</v>
      </c>
      <c r="F15" s="60">
        <f t="shared" si="4"/>
        <v>96.06</v>
      </c>
      <c r="G15" s="61">
        <f>IF(D15=D14,"",_xlfn.IFNA(VLOOKUP(D15,'인원 입력 기능(사과탐)'!$P$177:$S$231,4,FALSE),0))</f>
        <v>423</v>
      </c>
      <c r="H15" s="62">
        <f t="shared" si="1"/>
        <v>1.0880469172004012E-2</v>
      </c>
      <c r="I15" s="72">
        <f>SUM($G$7:G15)</f>
        <v>1742</v>
      </c>
      <c r="J15" s="64">
        <f t="shared" si="5"/>
        <v>4.4807984155156008E-2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68</v>
      </c>
      <c r="E16" s="59">
        <f t="shared" si="0"/>
        <v>2</v>
      </c>
      <c r="F16" s="60">
        <f t="shared" si="4"/>
        <v>95.12</v>
      </c>
      <c r="G16" s="61">
        <f>IF(D16=D15,"",_xlfn.IFNA(VLOOKUP(D16,'인원 입력 기능(사과탐)'!$P$177:$S$231,4,FALSE),0))</f>
        <v>308</v>
      </c>
      <c r="H16" s="62">
        <f t="shared" si="1"/>
        <v>7.9224219975821183E-3</v>
      </c>
      <c r="I16" s="72">
        <f>SUM($G$7:G16)</f>
        <v>2050</v>
      </c>
      <c r="J16" s="64">
        <f t="shared" si="5"/>
        <v>5.2730406152738121E-2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67</v>
      </c>
      <c r="E17" s="59">
        <f t="shared" si="0"/>
        <v>2</v>
      </c>
      <c r="F17" s="60">
        <f t="shared" si="4"/>
        <v>94.07</v>
      </c>
      <c r="G17" s="61">
        <f>IF(D17=D16,"",_xlfn.IFNA(VLOOKUP(D17,'인원 입력 기능(사과탐)'!$P$177:$S$231,4,FALSE),0))</f>
        <v>510</v>
      </c>
      <c r="H17" s="62">
        <f t="shared" si="1"/>
        <v>1.3118296164827533E-2</v>
      </c>
      <c r="I17" s="72">
        <f>SUM($G$7:G17)</f>
        <v>2560</v>
      </c>
      <c r="J17" s="64">
        <f t="shared" si="5"/>
        <v>6.5848702317565649E-2</v>
      </c>
      <c r="K17" s="36"/>
      <c r="L17" s="20" t="str">
        <f t="shared" si="2"/>
        <v/>
      </c>
      <c r="N17" s="24"/>
      <c r="Q17" s="24">
        <f>Q7*H3*H4*J3*IFERROR(IF(J57=1, 1, 0), 0)</f>
        <v>618421181.99400008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66</v>
      </c>
      <c r="E18" s="59">
        <f t="shared" si="0"/>
        <v>2</v>
      </c>
      <c r="F18" s="60">
        <f t="shared" si="4"/>
        <v>92.75</v>
      </c>
      <c r="G18" s="61">
        <f>IF(D18=D17,"",_xlfn.IFNA(VLOOKUP(D18,'인원 입력 기능(사과탐)'!$P$177:$S$231,4,FALSE),0))</f>
        <v>515</v>
      </c>
      <c r="H18" s="62">
        <f t="shared" si="1"/>
        <v>1.3246906911541529E-2</v>
      </c>
      <c r="I18" s="72">
        <f>SUM($G$7:G18)</f>
        <v>3075</v>
      </c>
      <c r="J18" s="64">
        <f t="shared" si="5"/>
        <v>7.9095609229107189E-2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65</v>
      </c>
      <c r="E19" s="59">
        <f t="shared" si="0"/>
        <v>2</v>
      </c>
      <c r="F19" s="60">
        <f t="shared" si="4"/>
        <v>91.44</v>
      </c>
      <c r="G19" s="61">
        <f>IF(D19=D18,"",_xlfn.IFNA(VLOOKUP(D19,'인원 입력 기능(사과탐)'!$P$177:$S$231,4,FALSE),0))</f>
        <v>504</v>
      </c>
      <c r="H19" s="62">
        <f t="shared" si="1"/>
        <v>1.2963963268770739E-2</v>
      </c>
      <c r="I19" s="72">
        <f>SUM($G$7:G19)</f>
        <v>3579</v>
      </c>
      <c r="J19" s="64">
        <f t="shared" si="5"/>
        <v>9.2059572497877926E-2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64</v>
      </c>
      <c r="E20" s="59">
        <f t="shared" si="0"/>
        <v>2</v>
      </c>
      <c r="F20" s="60">
        <f t="shared" si="4"/>
        <v>89.89</v>
      </c>
      <c r="G20" s="61">
        <f>IF(D20=D19,"",_xlfn.IFNA(VLOOKUP(D20,'인원 입력 기능(사과탐)'!$P$177:$S$231,4,FALSE),0))</f>
        <v>700</v>
      </c>
      <c r="H20" s="62">
        <f t="shared" si="1"/>
        <v>1.8005504539959361E-2</v>
      </c>
      <c r="I20" s="72">
        <f>SUM($G$7:G20)</f>
        <v>4279</v>
      </c>
      <c r="J20" s="64">
        <f t="shared" si="5"/>
        <v>0.11006507703783729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63</v>
      </c>
      <c r="E21" s="74">
        <f t="shared" si="0"/>
        <v>3</v>
      </c>
      <c r="F21" s="60">
        <f t="shared" si="4"/>
        <v>88.27</v>
      </c>
      <c r="G21" s="61">
        <f>IF(D21=D20,"",_xlfn.IFNA(VLOOKUP(D21,'인원 입력 기능(사과탐)'!$P$177:$S$231,4,FALSE),0))</f>
        <v>563</v>
      </c>
      <c r="H21" s="62">
        <f t="shared" si="1"/>
        <v>1.4481570079995884E-2</v>
      </c>
      <c r="I21" s="72">
        <f>SUM($G$7:G21)</f>
        <v>4842</v>
      </c>
      <c r="J21" s="64">
        <f t="shared" si="5"/>
        <v>0.12454664711783317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62</v>
      </c>
      <c r="E22" s="74">
        <f t="shared" si="0"/>
        <v>3</v>
      </c>
      <c r="F22" s="60">
        <f t="shared" si="4"/>
        <v>86.55</v>
      </c>
      <c r="G22" s="61">
        <f>IF(D22=D21,"",_xlfn.IFNA(VLOOKUP(D22,'인원 입력 기능(사과탐)'!$P$177:$S$231,4,FALSE),0))</f>
        <v>775</v>
      </c>
      <c r="H22" s="62">
        <f t="shared" si="1"/>
        <v>1.9934665740669291E-2</v>
      </c>
      <c r="I22" s="72">
        <f>SUM($G$7:G22)</f>
        <v>5617</v>
      </c>
      <c r="J22" s="64">
        <f t="shared" si="5"/>
        <v>0.14448131285850246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61</v>
      </c>
      <c r="E23" s="74">
        <f t="shared" si="0"/>
        <v>3</v>
      </c>
      <c r="F23" s="60">
        <f t="shared" si="4"/>
        <v>84.47</v>
      </c>
      <c r="G23" s="61">
        <f>IF(D23=D22,"",_xlfn.IFNA(VLOOKUP(D23,'인원 입력 기능(사과탐)'!$P$177:$S$231,4,FALSE),0))</f>
        <v>841</v>
      </c>
      <c r="H23" s="62">
        <f t="shared" si="1"/>
        <v>2.163232759729403E-2</v>
      </c>
      <c r="I23" s="72">
        <f>SUM($G$7:G23)</f>
        <v>6458</v>
      </c>
      <c r="J23" s="64">
        <f t="shared" si="5"/>
        <v>0.16611364045579649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60</v>
      </c>
      <c r="E24" s="74">
        <f t="shared" si="0"/>
        <v>3</v>
      </c>
      <c r="F24" s="60">
        <f t="shared" si="4"/>
        <v>82.37</v>
      </c>
      <c r="G24" s="61">
        <f>IF(D24=D23,"",_xlfn.IFNA(VLOOKUP(D24,'인원 입력 기능(사과탐)'!$P$177:$S$231,4,FALSE),0))</f>
        <v>789</v>
      </c>
      <c r="H24" s="62">
        <f t="shared" si="1"/>
        <v>2.0294775831468478E-2</v>
      </c>
      <c r="I24" s="72">
        <f>SUM($G$7:G24)</f>
        <v>7247</v>
      </c>
      <c r="J24" s="64">
        <f t="shared" si="5"/>
        <v>0.18640841628726496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59</v>
      </c>
      <c r="E25" s="74">
        <f t="shared" si="0"/>
        <v>3</v>
      </c>
      <c r="F25" s="60">
        <f t="shared" si="4"/>
        <v>80.08</v>
      </c>
      <c r="G25" s="61">
        <f>IF(D25=D24,"",_xlfn.IFNA(VLOOKUP(D25,'인원 입력 기능(사과탐)'!$P$177:$S$231,4,FALSE),0))</f>
        <v>995</v>
      </c>
      <c r="H25" s="62">
        <f t="shared" si="1"/>
        <v>2.559353859608509E-2</v>
      </c>
      <c r="I25" s="72">
        <f>SUM($G$7:G25)</f>
        <v>8242</v>
      </c>
      <c r="J25" s="64">
        <f t="shared" si="5"/>
        <v>0.21200195488335005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77.58</v>
      </c>
      <c r="G26" s="61">
        <f>IF(D26=D25,"",_xlfn.IFNA(VLOOKUP(D26,'인원 입력 기능(사과탐)'!$P$177:$S$231,4,FALSE),0))</f>
        <v>946</v>
      </c>
      <c r="H26" s="62">
        <f t="shared" si="1"/>
        <v>2.4333153278287934E-2</v>
      </c>
      <c r="I26" s="72">
        <f>SUM($G$7:G26)</f>
        <v>9188</v>
      </c>
      <c r="J26" s="64">
        <f t="shared" si="5"/>
        <v>0.236335108161638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75.02</v>
      </c>
      <c r="G27" s="61">
        <f>IF(D27=D26,"",_xlfn.IFNA(VLOOKUP(D27,'인원 입력 기능(사과탐)'!$P$177:$S$231,4,FALSE),0))</f>
        <v>1047</v>
      </c>
      <c r="H27" s="62">
        <f t="shared" si="1"/>
        <v>2.6931090361910642E-2</v>
      </c>
      <c r="I27" s="72">
        <f>SUM($G$7:G27)</f>
        <v>10235</v>
      </c>
      <c r="J27" s="64">
        <f t="shared" si="5"/>
        <v>0.2632661985235486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72.22</v>
      </c>
      <c r="G28" s="61">
        <f>IF(D28=D27,"",_xlfn.IFNA(VLOOKUP(D28,'인원 입력 기능(사과탐)'!$P$177:$S$231,4,FALSE),0))</f>
        <v>1133</v>
      </c>
      <c r="H28" s="62">
        <f t="shared" si="1"/>
        <v>2.9143195205391364E-2</v>
      </c>
      <c r="I28" s="72">
        <f>SUM($G$7:G28)</f>
        <v>11368</v>
      </c>
      <c r="J28" s="64">
        <f t="shared" si="5"/>
        <v>0.29240939372893998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69.349999999999994</v>
      </c>
      <c r="G29" s="61">
        <f>IF(D29=D28,"",_xlfn.IFNA(VLOOKUP(D29,'인원 입력 기능(사과탐)'!$P$177:$S$231,4,FALSE),0))</f>
        <v>1099</v>
      </c>
      <c r="H29" s="62">
        <f t="shared" si="1"/>
        <v>2.8268642127736193E-2</v>
      </c>
      <c r="I29" s="72">
        <f>SUM($G$7:G29)</f>
        <v>12467</v>
      </c>
      <c r="J29" s="64">
        <f t="shared" si="5"/>
        <v>0.3206780358566762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54</v>
      </c>
      <c r="E30" s="74">
        <f t="shared" si="0"/>
        <v>4</v>
      </c>
      <c r="F30" s="60">
        <f t="shared" si="4"/>
        <v>66.209999999999994</v>
      </c>
      <c r="G30" s="61">
        <f>IF(D30=D29,"",_xlfn.IFNA(VLOOKUP(D30,'인원 입력 기능(사과탐)'!$P$177:$S$231,4,FALSE),0))</f>
        <v>1338</v>
      </c>
      <c r="H30" s="62">
        <f t="shared" si="1"/>
        <v>3.4416235820665178E-2</v>
      </c>
      <c r="I30" s="72">
        <f>SUM($G$7:G30)</f>
        <v>13805</v>
      </c>
      <c r="J30" s="64">
        <f t="shared" si="5"/>
        <v>0.35509427167734137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53</v>
      </c>
      <c r="E31" s="74">
        <f t="shared" si="0"/>
        <v>4</v>
      </c>
      <c r="F31" s="60">
        <f t="shared" si="4"/>
        <v>62.89</v>
      </c>
      <c r="G31" s="61">
        <f>IF(D31=D30,"",_xlfn.IFNA(VLOOKUP(D31,'인원 입력 기능(사과탐)'!$P$177:$S$231,4,FALSE),0))</f>
        <v>1246</v>
      </c>
      <c r="H31" s="62">
        <f t="shared" si="1"/>
        <v>3.2049798081127658E-2</v>
      </c>
      <c r="I31" s="72">
        <f>SUM($G$7:G31)</f>
        <v>15051</v>
      </c>
      <c r="J31" s="64">
        <f t="shared" si="5"/>
        <v>0.38714406975846904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52</v>
      </c>
      <c r="E32" s="74">
        <f t="shared" si="0"/>
        <v>4</v>
      </c>
      <c r="F32" s="60">
        <f t="shared" si="4"/>
        <v>59.63</v>
      </c>
      <c r="G32" s="61">
        <f>IF(D32=D31,"",_xlfn.IFNA(VLOOKUP(D32,'인원 입력 기능(사과탐)'!$P$177:$S$231,4,FALSE),0))</f>
        <v>1286</v>
      </c>
      <c r="H32" s="62">
        <f t="shared" si="1"/>
        <v>3.3078684054839623E-2</v>
      </c>
      <c r="I32" s="72">
        <f>SUM($G$7:G32)</f>
        <v>16337</v>
      </c>
      <c r="J32" s="64">
        <f t="shared" si="5"/>
        <v>0.42022275381330865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5</v>
      </c>
      <c r="F33" s="60">
        <f t="shared" si="4"/>
        <v>56.06</v>
      </c>
      <c r="G33" s="61">
        <f>IF(D33=D32,"",_xlfn.IFNA(VLOOKUP(D33,'인원 입력 기능(사과탐)'!$P$177:$S$231,4,FALSE),0))</f>
        <v>1491</v>
      </c>
      <c r="H33" s="62">
        <f t="shared" si="1"/>
        <v>3.8351724670113434E-2</v>
      </c>
      <c r="I33" s="72">
        <f>SUM($G$7:G33)</f>
        <v>17828</v>
      </c>
      <c r="J33" s="64">
        <f t="shared" si="5"/>
        <v>0.45857447848342209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52.36</v>
      </c>
      <c r="G34" s="61">
        <f>IF(D34=D33,"",_xlfn.IFNA(VLOOKUP(D34,'인원 입력 기능(사과탐)'!$P$177:$S$231,4,FALSE),0))</f>
        <v>1388</v>
      </c>
      <c r="H34" s="62">
        <f t="shared" si="1"/>
        <v>3.5702343287805131E-2</v>
      </c>
      <c r="I34" s="72">
        <f>SUM($G$7:G34)</f>
        <v>19216</v>
      </c>
      <c r="J34" s="64">
        <f t="shared" si="5"/>
        <v>0.49427682177122723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48.62</v>
      </c>
      <c r="G35" s="61">
        <f>IF(D35=D34,"",_xlfn.IFNA(VLOOKUP(D35,'인원 입력 기능(사과탐)'!$P$177:$S$231,4,FALSE),0))</f>
        <v>1520</v>
      </c>
      <c r="H35" s="62">
        <f t="shared" si="1"/>
        <v>3.909766700105461E-2</v>
      </c>
      <c r="I35" s="72">
        <f>SUM($G$7:G35)</f>
        <v>20736</v>
      </c>
      <c r="J35" s="64">
        <f t="shared" si="5"/>
        <v>0.53337448877228177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44.88</v>
      </c>
      <c r="G36" s="61">
        <f>IF(D36=D35,"",_xlfn.IFNA(VLOOKUP(D36,'인원 입력 기능(사과탐)'!$P$177:$S$231,4,FALSE),0))</f>
        <v>1386</v>
      </c>
      <c r="H36" s="62">
        <f t="shared" si="1"/>
        <v>3.565089898911953E-2</v>
      </c>
      <c r="I36" s="72">
        <f>SUM($G$7:G36)</f>
        <v>22122</v>
      </c>
      <c r="J36" s="64">
        <f t="shared" si="5"/>
        <v>0.56902538776140132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41.33</v>
      </c>
      <c r="G37" s="61">
        <f>IF(D37=D36,"",_xlfn.IFNA(VLOOKUP(D37,'인원 입력 기능(사과탐)'!$P$177:$S$231,4,FALSE),0))</f>
        <v>1376</v>
      </c>
      <c r="H37" s="62">
        <f t="shared" si="1"/>
        <v>3.5393677495691542E-2</v>
      </c>
      <c r="I37" s="72">
        <f>SUM($G$7:G37)</f>
        <v>23498</v>
      </c>
      <c r="J37" s="64">
        <f t="shared" si="5"/>
        <v>0.60441906525709288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6</v>
      </c>
      <c r="F38" s="60">
        <f t="shared" si="4"/>
        <v>37.61</v>
      </c>
      <c r="G38" s="61">
        <f>IF(D38=D37,"",_xlfn.IFNA(VLOOKUP(D38,'인원 입력 기능(사과탐)'!$P$177:$S$231,4,FALSE),0))</f>
        <v>1514</v>
      </c>
      <c r="H38" s="62">
        <f t="shared" si="1"/>
        <v>3.8943334104997812E-2</v>
      </c>
      <c r="I38" s="72">
        <f>SUM($G$7:G38)</f>
        <v>25012</v>
      </c>
      <c r="J38" s="64">
        <f t="shared" si="5"/>
        <v>0.64336239936209072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33.909999999999997</v>
      </c>
      <c r="G39" s="61">
        <f>IF(D39=D38,"",_xlfn.IFNA(VLOOKUP(D39,'인원 입력 기능(사과탐)'!$P$177:$S$231,4,FALSE),0))</f>
        <v>1364</v>
      </c>
      <c r="H39" s="62">
        <f t="shared" si="1"/>
        <v>3.5085011703577952E-2</v>
      </c>
      <c r="I39" s="72">
        <f>SUM($G$7:G39)</f>
        <v>26376</v>
      </c>
      <c r="J39" s="64">
        <f t="shared" si="5"/>
        <v>0.67844741106566864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30.31</v>
      </c>
      <c r="G40" s="61">
        <f>IF(D40=D39,"",_xlfn.IFNA(VLOOKUP(D40,'인원 입력 기능(사과탐)'!$P$177:$S$231,4,FALSE),0))</f>
        <v>1431</v>
      </c>
      <c r="H40" s="62">
        <f t="shared" si="1"/>
        <v>3.6808395709545493E-2</v>
      </c>
      <c r="I40" s="72">
        <f>SUM($G$7:G40)</f>
        <v>27807</v>
      </c>
      <c r="J40" s="64">
        <f t="shared" si="5"/>
        <v>0.71525580677521416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26.84</v>
      </c>
      <c r="G41" s="61">
        <f>IF(D41=D40,"",_xlfn.IFNA(VLOOKUP(D41,'인원 입력 기능(사과탐)'!$P$177:$S$231,4,FALSE),0))</f>
        <v>1274</v>
      </c>
      <c r="H41" s="62">
        <f t="shared" si="1"/>
        <v>3.2770018262726033E-2</v>
      </c>
      <c r="I41" s="72">
        <f>SUM($G$7:G41)</f>
        <v>29081</v>
      </c>
      <c r="J41" s="64">
        <f t="shared" si="5"/>
        <v>0.74802582503794013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23.6</v>
      </c>
      <c r="G42" s="61">
        <f>IF(D42=D41,"",_xlfn.IFNA(VLOOKUP(D42,'인원 입력 기능(사과탐)'!$P$177:$S$231,4,FALSE),0))</f>
        <v>1240</v>
      </c>
      <c r="H42" s="62">
        <f t="shared" si="1"/>
        <v>3.1895465185070866E-2</v>
      </c>
      <c r="I42" s="72">
        <f>SUM($G$7:G42)</f>
        <v>30321</v>
      </c>
      <c r="J42" s="64">
        <f t="shared" si="5"/>
        <v>0.77992129022301104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7</v>
      </c>
      <c r="F43" s="60">
        <f t="shared" si="4"/>
        <v>20.54</v>
      </c>
      <c r="G43" s="61">
        <f>IF(D43=D42,"",_xlfn.IFNA(VLOOKUP(D43,'인원 입력 기능(사과탐)'!$P$177:$S$231,4,FALSE),0))</f>
        <v>1139</v>
      </c>
      <c r="H43" s="62">
        <f t="shared" si="1"/>
        <v>2.9297528101448159E-2</v>
      </c>
      <c r="I43" s="72">
        <f>SUM($G$7:G43)</f>
        <v>31460</v>
      </c>
      <c r="J43" s="64">
        <f t="shared" si="5"/>
        <v>0.80921881832445919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40</v>
      </c>
      <c r="E44" s="74">
        <f t="shared" si="6"/>
        <v>7</v>
      </c>
      <c r="F44" s="60">
        <f t="shared" si="4"/>
        <v>17.7</v>
      </c>
      <c r="G44" s="61">
        <f>IF(D44=D43,"",_xlfn.IFNA(VLOOKUP(D44,'인원 입력 기능(사과탐)'!$P$177:$S$231,4,FALSE),0))</f>
        <v>1069</v>
      </c>
      <c r="H44" s="62">
        <f t="shared" si="1"/>
        <v>2.7496977647452223E-2</v>
      </c>
      <c r="I44" s="72">
        <f>SUM($G$7:G44)</f>
        <v>32529</v>
      </c>
      <c r="J44" s="64">
        <f t="shared" si="5"/>
        <v>0.83671579597191137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15</v>
      </c>
      <c r="G45" s="61">
        <f>IF(D45=D44,"",_xlfn.IFNA(VLOOKUP(D45,'인원 입력 기능(사과탐)'!$P$177:$S$231,4,FALSE),0))</f>
        <v>1035</v>
      </c>
      <c r="H45" s="62">
        <f t="shared" si="1"/>
        <v>2.6622424569797052E-2</v>
      </c>
      <c r="I45" s="72">
        <f>SUM($G$7:G45)</f>
        <v>33564</v>
      </c>
      <c r="J45" s="64">
        <f t="shared" si="5"/>
        <v>0.8633382205417085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11.89</v>
      </c>
      <c r="G46" s="61">
        <f>IF(D46=D45,"",_xlfn.IFNA(VLOOKUP(D46,'인원 입력 기능(사과탐)'!$P$177:$S$231,4,FALSE),0))</f>
        <v>1380</v>
      </c>
      <c r="H46" s="62">
        <f t="shared" si="1"/>
        <v>3.5496566093062738E-2</v>
      </c>
      <c r="I46" s="72">
        <f>SUM($G$7:G46)</f>
        <v>34944</v>
      </c>
      <c r="J46" s="64">
        <f t="shared" si="5"/>
        <v>0.89883478663477123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8</v>
      </c>
      <c r="F47" s="60">
        <f t="shared" si="4"/>
        <v>8.98</v>
      </c>
      <c r="G47" s="61">
        <f>IF(D47=D46,"",_xlfn.IFNA(VLOOKUP(D47,'인원 입력 기능(사과탐)'!$P$177:$S$231,4,FALSE),0))</f>
        <v>887</v>
      </c>
      <c r="H47" s="62">
        <f t="shared" si="1"/>
        <v>2.2815546467062787E-2</v>
      </c>
      <c r="I47" s="72">
        <f>SUM($G$7:G47)</f>
        <v>35831</v>
      </c>
      <c r="J47" s="64">
        <f t="shared" si="5"/>
        <v>0.92165033310183397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36</v>
      </c>
      <c r="E48" s="74">
        <f t="shared" si="6"/>
        <v>8</v>
      </c>
      <c r="F48" s="60">
        <f t="shared" si="4"/>
        <v>6.22</v>
      </c>
      <c r="G48" s="61">
        <f>IF(D48=D47,"",_xlfn.IFNA(VLOOKUP(D48,'인원 입력 기능(사과탐)'!$P$177:$S$231,4,FALSE),0))</f>
        <v>1252</v>
      </c>
      <c r="H48" s="62">
        <f t="shared" si="1"/>
        <v>3.2204130977184456E-2</v>
      </c>
      <c r="I48" s="72">
        <f>SUM($G$7:G48)</f>
        <v>37083</v>
      </c>
      <c r="J48" s="64">
        <f t="shared" si="5"/>
        <v>0.95385446407901842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35</v>
      </c>
      <c r="E49" s="74">
        <f t="shared" si="6"/>
        <v>8</v>
      </c>
      <c r="F49" s="60">
        <f t="shared" si="4"/>
        <v>3.91</v>
      </c>
      <c r="G49" s="61">
        <f>IF(D49=D48,"",_xlfn.IFNA(VLOOKUP(D49,'인원 입력 기능(사과탐)'!$P$177:$S$231,4,FALSE),0))</f>
        <v>551</v>
      </c>
      <c r="H49" s="62">
        <f t="shared" si="1"/>
        <v>1.4172904287882296E-2</v>
      </c>
      <c r="I49" s="72">
        <f>SUM($G$7:G49)</f>
        <v>37634</v>
      </c>
      <c r="J49" s="64">
        <f t="shared" si="5"/>
        <v>0.96802736836690073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34</v>
      </c>
      <c r="E50" s="74">
        <f t="shared" si="6"/>
        <v>9</v>
      </c>
      <c r="F50" s="60">
        <f t="shared" si="4"/>
        <v>2.63</v>
      </c>
      <c r="G50" s="61">
        <f>IF(D50=D49,"",_xlfn.IFNA(VLOOKUP(D50,'인원 입력 기능(사과탐)'!$P$177:$S$231,4,FALSE),0))</f>
        <v>440</v>
      </c>
      <c r="H50" s="62">
        <f t="shared" si="1"/>
        <v>1.1317745710831597E-2</v>
      </c>
      <c r="I50" s="72">
        <f>SUM($G$7:G50)</f>
        <v>38074</v>
      </c>
      <c r="J50" s="64">
        <f t="shared" si="5"/>
        <v>0.97934511407773228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33</v>
      </c>
      <c r="E51" s="74">
        <f t="shared" si="6"/>
        <v>9</v>
      </c>
      <c r="F51" s="60">
        <f t="shared" si="4"/>
        <v>1.79</v>
      </c>
      <c r="G51" s="61">
        <f>IF(D51=D50,"",_xlfn.IFNA(VLOOKUP(D51,'인원 입력 기능(사과탐)'!$P$177:$S$231,4,FALSE),0))</f>
        <v>214</v>
      </c>
      <c r="H51" s="62">
        <f t="shared" si="1"/>
        <v>5.5045399593590038E-3</v>
      </c>
      <c r="I51" s="72">
        <f>SUM($G$7:G51)</f>
        <v>38288</v>
      </c>
      <c r="J51" s="64">
        <f t="shared" si="5"/>
        <v>0.98484965403709135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32</v>
      </c>
      <c r="E52" s="74">
        <f t="shared" si="6"/>
        <v>9</v>
      </c>
      <c r="F52" s="60">
        <f t="shared" si="4"/>
        <v>1.18</v>
      </c>
      <c r="G52" s="61">
        <f>IF(D52=D51,"",_xlfn.IFNA(VLOOKUP(D52,'인원 입력 기능(사과탐)'!$P$177:$S$231,4,FALSE),0))</f>
        <v>257</v>
      </c>
      <c r="H52" s="62">
        <f t="shared" si="1"/>
        <v>6.6105923810993649E-3</v>
      </c>
      <c r="I52" s="72">
        <f>SUM($G$7:G52)</f>
        <v>38545</v>
      </c>
      <c r="J52" s="64">
        <f t="shared" si="5"/>
        <v>0.99146024641819075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31</v>
      </c>
      <c r="E53" s="59">
        <f t="shared" si="6"/>
        <v>9</v>
      </c>
      <c r="F53" s="60">
        <f t="shared" si="4"/>
        <v>0.7</v>
      </c>
      <c r="G53" s="61">
        <f>IF(D53=D52,"",_xlfn.IFNA(VLOOKUP(D53,'인원 입력 기능(사과탐)'!$P$177:$S$231,4,FALSE),0))</f>
        <v>118</v>
      </c>
      <c r="H53" s="62">
        <f t="shared" si="1"/>
        <v>3.035213622450292E-3</v>
      </c>
      <c r="I53" s="72">
        <f>SUM($G$7:G53)</f>
        <v>38663</v>
      </c>
      <c r="J53" s="64">
        <f t="shared" si="5"/>
        <v>0.99449546004064104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30</v>
      </c>
      <c r="E54" s="59">
        <f t="shared" si="6"/>
        <v>9</v>
      </c>
      <c r="F54" s="60">
        <f t="shared" si="4"/>
        <v>0.43</v>
      </c>
      <c r="G54" s="61">
        <f>IF(D54=D53,"",_xlfn.IFNA(VLOOKUP(D54,'인원 입력 기능(사과탐)'!$P$177:$S$231,4,FALSE),0))</f>
        <v>96</v>
      </c>
      <c r="H54" s="62">
        <f t="shared" si="1"/>
        <v>2.4693263369087123E-3</v>
      </c>
      <c r="I54" s="72">
        <f>SUM($G$7:G54)</f>
        <v>38759</v>
      </c>
      <c r="J54" s="64">
        <f t="shared" si="5"/>
        <v>0.99696478637754971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29</v>
      </c>
      <c r="E55" s="59">
        <f t="shared" si="6"/>
        <v>9</v>
      </c>
      <c r="F55" s="60">
        <f t="shared" si="4"/>
        <v>0.2</v>
      </c>
      <c r="G55" s="61">
        <f>IF(D55=D54,"",_xlfn.IFNA(VLOOKUP(D55,'인원 입력 기능(사과탐)'!$P$177:$S$231,4,FALSE),0))</f>
        <v>81</v>
      </c>
      <c r="H55" s="62">
        <f t="shared" si="1"/>
        <v>2.0834940967667257E-3</v>
      </c>
      <c r="I55" s="72">
        <f>SUM($G$7:G55)</f>
        <v>38840</v>
      </c>
      <c r="J55" s="64">
        <f t="shared" si="5"/>
        <v>0.99904828047431649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27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기능(사과탐)'!$P$177:$S$231,4,FALSE),0)</f>
        <v>37</v>
      </c>
      <c r="H57" s="81">
        <f>G57/$J$3</f>
        <v>9.5171952568356608E-4</v>
      </c>
      <c r="I57" s="82">
        <f>SUM($G$7:G57)</f>
        <v>38877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57">
    <cfRule type="expression" dxfId="1" priority="2">
      <formula>$D7=$D8</formula>
    </cfRule>
  </conditionalFormatting>
  <conditionalFormatting sqref="H7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s="119" customFormat="1" ht="25" customHeight="1" x14ac:dyDescent="0.45">
      <c r="A4" s="116"/>
      <c r="B4" s="117"/>
      <c r="C4" s="48" t="s">
        <v>68</v>
      </c>
      <c r="D4" s="194" t="s">
        <v>168</v>
      </c>
      <c r="E4" s="194"/>
      <c r="F4" s="194"/>
      <c r="G4" s="195"/>
      <c r="H4" s="37"/>
      <c r="I4" s="37"/>
      <c r="J4" s="37"/>
      <c r="K4" s="37"/>
      <c r="L4" s="38"/>
      <c r="M4" s="118"/>
    </row>
    <row r="5" spans="1:13" s="119" customFormat="1" ht="25" customHeight="1" thickBot="1" x14ac:dyDescent="0.5">
      <c r="A5" s="116"/>
      <c r="B5" s="117"/>
      <c r="C5" s="51" t="s">
        <v>104</v>
      </c>
      <c r="D5" s="196" t="s">
        <v>105</v>
      </c>
      <c r="E5" s="196"/>
      <c r="F5" s="196"/>
      <c r="G5" s="197"/>
      <c r="H5" s="37"/>
      <c r="I5" s="37"/>
      <c r="J5" s="37"/>
      <c r="K5" s="37"/>
      <c r="L5" s="38"/>
      <c r="M5" s="118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128" customFormat="1" ht="25" customHeight="1" thickBot="1" x14ac:dyDescent="0.5">
      <c r="A8" s="120"/>
      <c r="B8" s="121"/>
      <c r="C8" s="122" t="s">
        <v>106</v>
      </c>
      <c r="D8" s="123" t="s">
        <v>107</v>
      </c>
      <c r="E8" s="124" t="s">
        <v>108</v>
      </c>
      <c r="F8" s="125"/>
      <c r="G8" s="126"/>
      <c r="H8" s="126"/>
      <c r="I8" s="126"/>
      <c r="J8" s="126"/>
      <c r="K8" s="126"/>
      <c r="L8" s="126"/>
      <c r="M8" s="127"/>
    </row>
    <row r="9" spans="1:13" s="128" customFormat="1" ht="25" customHeight="1" x14ac:dyDescent="0.45">
      <c r="A9" s="120"/>
      <c r="B9" s="121"/>
      <c r="C9" s="129" t="s">
        <v>109</v>
      </c>
      <c r="D9" s="130">
        <f>ROUNDUP((국어!$Q7-0.5-100)/20*국어!$H$4+국어!$H$3, 0)</f>
        <v>95</v>
      </c>
      <c r="E9" s="131">
        <f>ROUNDUP((수학!$Q7-0.5-100)/20*수학!$H$4+수학!$H$3, 0)</f>
        <v>85</v>
      </c>
      <c r="F9" s="125"/>
      <c r="G9" s="126"/>
      <c r="H9" s="126"/>
      <c r="I9" s="126"/>
      <c r="J9" s="126"/>
      <c r="K9" s="126"/>
      <c r="L9" s="126"/>
      <c r="M9" s="127"/>
    </row>
    <row r="10" spans="1:13" s="128" customFormat="1" ht="25" customHeight="1" x14ac:dyDescent="0.45">
      <c r="A10" s="120"/>
      <c r="B10" s="121"/>
      <c r="C10" s="132" t="s">
        <v>110</v>
      </c>
      <c r="D10" s="109">
        <f>ROUNDUP((국어!$Q8-0.5-100)/20*국어!$H$4+국어!$H$3, 0)</f>
        <v>89</v>
      </c>
      <c r="E10" s="133">
        <f>ROUNDUP((수학!$Q8-0.5-100)/20*수학!$H$4+수학!$H$3, 0)</f>
        <v>73</v>
      </c>
      <c r="F10" s="125"/>
      <c r="G10" s="126"/>
      <c r="H10" s="126"/>
      <c r="I10" s="126"/>
      <c r="J10" s="126"/>
      <c r="K10" s="126"/>
      <c r="L10" s="126"/>
      <c r="M10" s="127"/>
    </row>
    <row r="11" spans="1:13" s="128" customFormat="1" ht="25" customHeight="1" x14ac:dyDescent="0.45">
      <c r="A11" s="120"/>
      <c r="B11" s="121"/>
      <c r="C11" s="132" t="s">
        <v>111</v>
      </c>
      <c r="D11" s="109">
        <f>ROUNDUP((국어!$Q9-0.5-100)/20*국어!$H$4+국어!$H$3, 0)</f>
        <v>79</v>
      </c>
      <c r="E11" s="133">
        <f>ROUNDUP((수학!$Q9-0.5-100)/20*수학!$H$4+수학!$H$3, 0)</f>
        <v>60</v>
      </c>
      <c r="F11" s="125"/>
      <c r="G11" s="126"/>
      <c r="H11" s="126"/>
      <c r="I11" s="126"/>
      <c r="J11" s="126"/>
      <c r="K11" s="126"/>
      <c r="L11" s="126"/>
      <c r="M11" s="127"/>
    </row>
    <row r="12" spans="1:13" s="128" customFormat="1" ht="25" customHeight="1" x14ac:dyDescent="0.45">
      <c r="A12" s="120"/>
      <c r="B12" s="121"/>
      <c r="C12" s="132" t="s">
        <v>112</v>
      </c>
      <c r="D12" s="109">
        <f>ROUNDUP((국어!$Q10-0.5-100)/20*국어!$H$4+국어!$H$3, 0)</f>
        <v>67</v>
      </c>
      <c r="E12" s="133">
        <f>ROUNDUP((수학!$Q10-0.5-100)/20*수학!$H$4+수학!$H$3, 0)</f>
        <v>45</v>
      </c>
      <c r="F12" s="125"/>
      <c r="G12" s="125"/>
      <c r="H12" s="125"/>
      <c r="I12" s="125"/>
      <c r="J12" s="125"/>
      <c r="K12" s="125"/>
      <c r="L12" s="126"/>
      <c r="M12" s="127"/>
    </row>
    <row r="13" spans="1:13" s="128" customFormat="1" ht="25" customHeight="1" x14ac:dyDescent="0.45">
      <c r="A13" s="120"/>
      <c r="B13" s="121"/>
      <c r="C13" s="132" t="s">
        <v>113</v>
      </c>
      <c r="D13" s="109">
        <f>ROUNDUP((국어!$Q11-0.5-100)/20*국어!$H$4+국어!$H$3, 0)</f>
        <v>53</v>
      </c>
      <c r="E13" s="133">
        <f>ROUNDUP((수학!$Q11-0.5-100)/20*수학!$H$4+수학!$H$3, 0)</f>
        <v>29</v>
      </c>
      <c r="F13" s="125"/>
      <c r="G13" s="125"/>
      <c r="H13" s="125"/>
      <c r="I13" s="125"/>
      <c r="J13" s="125"/>
      <c r="K13" s="125"/>
      <c r="L13" s="126"/>
      <c r="M13" s="127"/>
    </row>
    <row r="14" spans="1:13" s="128" customFormat="1" ht="25" customHeight="1" x14ac:dyDescent="0.45">
      <c r="A14" s="120"/>
      <c r="B14" s="121"/>
      <c r="C14" s="132" t="s">
        <v>114</v>
      </c>
      <c r="D14" s="109">
        <f>ROUNDUP((국어!$Q12-0.5-100)/20*국어!$H$4+국어!$H$3, 0)</f>
        <v>39</v>
      </c>
      <c r="E14" s="133">
        <f>ROUNDUP((수학!$Q12-0.5-100)/20*수학!$H$4+수학!$H$3, 0)</f>
        <v>19</v>
      </c>
      <c r="F14" s="125"/>
      <c r="G14" s="125"/>
      <c r="H14" s="125"/>
      <c r="I14" s="125"/>
      <c r="J14" s="125"/>
      <c r="K14" s="125"/>
      <c r="L14" s="126"/>
      <c r="M14" s="127"/>
    </row>
    <row r="15" spans="1:13" s="128" customFormat="1" ht="25" customHeight="1" x14ac:dyDescent="0.45">
      <c r="A15" s="120"/>
      <c r="B15" s="121"/>
      <c r="C15" s="132" t="s">
        <v>115</v>
      </c>
      <c r="D15" s="109">
        <f>ROUNDUP((국어!$Q13-0.5-100)/20*국어!$H$4+국어!$H$3, 0)</f>
        <v>26</v>
      </c>
      <c r="E15" s="133">
        <f>ROUNDUP((수학!$Q13-0.5-100)/20*수학!$H$4+수학!$H$3, 0)</f>
        <v>14</v>
      </c>
      <c r="F15" s="125"/>
      <c r="G15" s="125"/>
      <c r="H15" s="125"/>
      <c r="I15" s="125"/>
      <c r="J15" s="125"/>
      <c r="K15" s="125"/>
      <c r="L15" s="126"/>
      <c r="M15" s="127"/>
    </row>
    <row r="16" spans="1:13" s="128" customFormat="1" ht="25" customHeight="1" thickBot="1" x14ac:dyDescent="0.5">
      <c r="A16" s="120"/>
      <c r="B16" s="121"/>
      <c r="C16" s="134" t="s">
        <v>116</v>
      </c>
      <c r="D16" s="135">
        <f>ROUNDUP((국어!$Q14-0.5-100)/20*국어!$H$4+국어!$H$3, 0)</f>
        <v>18</v>
      </c>
      <c r="E16" s="136">
        <f>ROUNDUP((수학!$Q14-0.5-100)/20*수학!$H$4+수학!$H$3, 0)</f>
        <v>10</v>
      </c>
      <c r="F16" s="125"/>
      <c r="G16" s="125"/>
      <c r="H16" s="125"/>
      <c r="I16" s="125"/>
      <c r="J16" s="125"/>
      <c r="K16" s="125"/>
      <c r="L16" s="126"/>
      <c r="M16" s="127"/>
    </row>
    <row r="17" spans="1:13" s="128" customFormat="1" ht="25" customHeight="1" x14ac:dyDescent="0.45">
      <c r="A17" s="120"/>
      <c r="B17" s="121"/>
      <c r="C17" s="125"/>
      <c r="D17" s="125"/>
      <c r="E17" s="125"/>
      <c r="F17" s="125"/>
      <c r="G17" s="125"/>
      <c r="H17" s="125"/>
      <c r="I17" s="125"/>
      <c r="J17" s="125"/>
      <c r="K17" s="125"/>
      <c r="L17" s="126"/>
      <c r="M17" s="127"/>
    </row>
    <row r="18" spans="1:13" s="128" customFormat="1" ht="25" customHeight="1" thickBot="1" x14ac:dyDescent="0.5">
      <c r="A18" s="120"/>
      <c r="B18" s="121"/>
      <c r="C18" s="125"/>
      <c r="D18" s="125"/>
      <c r="E18" s="125"/>
      <c r="F18" s="125"/>
      <c r="G18" s="125"/>
      <c r="H18" s="125"/>
      <c r="I18" s="125"/>
      <c r="J18" s="125"/>
      <c r="K18" s="125"/>
      <c r="L18" s="126"/>
      <c r="M18" s="127"/>
    </row>
    <row r="19" spans="1:13" s="128" customFormat="1" ht="25" customHeight="1" thickBot="1" x14ac:dyDescent="0.5">
      <c r="A19" s="120"/>
      <c r="B19" s="121"/>
      <c r="C19" s="137" t="s">
        <v>117</v>
      </c>
      <c r="D19" s="138" t="s">
        <v>118</v>
      </c>
      <c r="E19" s="139" t="s">
        <v>119</v>
      </c>
      <c r="F19" s="139" t="s">
        <v>120</v>
      </c>
      <c r="G19" s="139" t="s">
        <v>121</v>
      </c>
      <c r="H19" s="139" t="s">
        <v>122</v>
      </c>
      <c r="I19" s="139" t="s">
        <v>123</v>
      </c>
      <c r="J19" s="139" t="s">
        <v>124</v>
      </c>
      <c r="K19" s="139" t="s">
        <v>125</v>
      </c>
      <c r="L19" s="124" t="s">
        <v>126</v>
      </c>
      <c r="M19" s="127"/>
    </row>
    <row r="20" spans="1:13" s="128" customFormat="1" ht="25" customHeight="1" x14ac:dyDescent="0.45">
      <c r="A20" s="120"/>
      <c r="B20" s="121"/>
      <c r="C20" s="140" t="s">
        <v>109</v>
      </c>
      <c r="D20" s="109">
        <f>ROUNDUP(('생활과 윤리'!$Q7-0.5-50)/10*'생활과 윤리'!$H$4+'생활과 윤리'!$H$3, 0)</f>
        <v>48</v>
      </c>
      <c r="E20" s="74">
        <f>ROUNDUP(('윤리와 사상'!$Q7-0.5-50)/10*'윤리와 사상'!$H$4+'윤리와 사상'!$H$3, 0)</f>
        <v>50</v>
      </c>
      <c r="F20" s="74">
        <f>ROUNDUP((한국지리!$Q7-0.5-50)/10*한국지리!$H$4+한국지리!$H$3, 0)</f>
        <v>45</v>
      </c>
      <c r="G20" s="74">
        <f>ROUNDUP((세계지리!$Q7-0.5-50)/10*세계지리!$H$4+세계지리!$H$3, 0)</f>
        <v>47</v>
      </c>
      <c r="H20" s="74">
        <f>ROUNDUP((동아시아사!$Q7-0.5-50)/10*동아시아사!$H$4+동아시아사!$H$3, 0)</f>
        <v>43</v>
      </c>
      <c r="I20" s="74">
        <f>ROUNDUP((세계사!$Q7-0.5-50)/10*세계사!$H$4+세계사!$H$3, 0)</f>
        <v>40</v>
      </c>
      <c r="J20" s="74">
        <f>ROUNDUP((경제!$Q7-0.5-50)/10*경제!$H$4+경제!$H$3, 0)</f>
        <v>40</v>
      </c>
      <c r="K20" s="74">
        <f>ROUNDUP(('정치와 법'!$Q7-0.5-50)/10*'정치와 법'!$H$4+'정치와 법'!$H$3, 0)</f>
        <v>47</v>
      </c>
      <c r="L20" s="141">
        <f>ROUNDUP((사회∙문화!$Q7-0.5-50)/10*사회∙문화!$H$4+사회∙문화!$H$3, 0)</f>
        <v>44</v>
      </c>
      <c r="M20" s="127"/>
    </row>
    <row r="21" spans="1:13" s="128" customFormat="1" ht="25" customHeight="1" x14ac:dyDescent="0.45">
      <c r="A21" s="120"/>
      <c r="B21" s="121"/>
      <c r="C21" s="142" t="s">
        <v>110</v>
      </c>
      <c r="D21" s="73">
        <f>ROUNDUP(('생활과 윤리'!$Q8-0.5-50)/10*'생활과 윤리'!$H$4+'생활과 윤리'!$H$3, 0)</f>
        <v>45</v>
      </c>
      <c r="E21" s="143">
        <f>ROUNDUP(('윤리와 사상'!$Q8-0.5-50)/10*'윤리와 사상'!$H$4+'윤리와 사상'!$H$3, 0)</f>
        <v>46</v>
      </c>
      <c r="F21" s="143">
        <f>ROUNDUP((한국지리!$Q8-0.5-50)/10*한국지리!$H$4+한국지리!$H$3, 0)</f>
        <v>41</v>
      </c>
      <c r="G21" s="143">
        <f>ROUNDUP((세계지리!$Q8-0.5-50)/10*세계지리!$H$4+세계지리!$H$3, 0)</f>
        <v>43</v>
      </c>
      <c r="H21" s="143">
        <f>ROUNDUP((동아시아사!$Q8-0.5-50)/10*동아시아사!$H$4+동아시아사!$H$3, 0)</f>
        <v>36</v>
      </c>
      <c r="I21" s="143">
        <f>ROUNDUP((세계사!$Q8-0.5-50)/10*세계사!$H$4+세계사!$H$3, 0)</f>
        <v>35</v>
      </c>
      <c r="J21" s="143">
        <f>ROUNDUP((경제!$Q8-0.5-50)/10*경제!$H$4+경제!$H$3, 0)</f>
        <v>35</v>
      </c>
      <c r="K21" s="143">
        <f>ROUNDUP(('정치와 법'!$Q8-0.5-50)/10*'정치와 법'!$H$4+'정치와 법'!$H$3, 0)</f>
        <v>44</v>
      </c>
      <c r="L21" s="144">
        <f>ROUNDUP((사회∙문화!$Q8-0.5-50)/10*사회∙문화!$H$4+사회∙문화!$H$3, 0)</f>
        <v>42</v>
      </c>
      <c r="M21" s="127"/>
    </row>
    <row r="22" spans="1:13" s="128" customFormat="1" ht="25" customHeight="1" x14ac:dyDescent="0.45">
      <c r="A22" s="120"/>
      <c r="B22" s="121"/>
      <c r="C22" s="142" t="s">
        <v>111</v>
      </c>
      <c r="D22" s="73">
        <f>ROUNDUP(('생활과 윤리'!$Q9-0.5-50)/10*'생활과 윤리'!$H$4+'생활과 윤리'!$H$3, 0)</f>
        <v>42</v>
      </c>
      <c r="E22" s="143">
        <f>ROUNDUP(('윤리와 사상'!$Q9-0.5-50)/10*'윤리와 사상'!$H$4+'윤리와 사상'!$H$3, 0)</f>
        <v>44</v>
      </c>
      <c r="F22" s="143">
        <f>ROUNDUP((한국지리!$Q9-0.5-50)/10*한국지리!$H$4+한국지리!$H$3, 0)</f>
        <v>37</v>
      </c>
      <c r="G22" s="143">
        <f>ROUNDUP((세계지리!$Q9-0.5-50)/10*세계지리!$H$4+세계지리!$H$3, 0)</f>
        <v>39</v>
      </c>
      <c r="H22" s="143">
        <f>ROUNDUP((동아시아사!$Q9-0.5-50)/10*동아시아사!$H$4+동아시아사!$H$3, 0)</f>
        <v>30</v>
      </c>
      <c r="I22" s="143">
        <f>ROUNDUP((세계사!$Q9-0.5-50)/10*세계사!$H$4+세계사!$H$3, 0)</f>
        <v>29</v>
      </c>
      <c r="J22" s="143">
        <f>ROUNDUP((경제!$Q9-0.5-50)/10*경제!$H$4+경제!$H$3, 0)</f>
        <v>29</v>
      </c>
      <c r="K22" s="143">
        <f>ROUNDUP(('정치와 법'!$Q9-0.5-50)/10*'정치와 법'!$H$4+'정치와 법'!$H$3, 0)</f>
        <v>39</v>
      </c>
      <c r="L22" s="144">
        <f>ROUNDUP((사회∙문화!$Q9-0.5-50)/10*사회∙문화!$H$4+사회∙문화!$H$3, 0)</f>
        <v>38</v>
      </c>
      <c r="M22" s="127"/>
    </row>
    <row r="23" spans="1:13" s="128" customFormat="1" ht="25" customHeight="1" x14ac:dyDescent="0.45">
      <c r="A23" s="120"/>
      <c r="B23" s="121"/>
      <c r="C23" s="142" t="s">
        <v>112</v>
      </c>
      <c r="D23" s="73">
        <f>ROUNDUP(('생활과 윤리'!$Q10-0.5-50)/10*'생활과 윤리'!$H$4+'생활과 윤리'!$H$3, 0)</f>
        <v>39</v>
      </c>
      <c r="E23" s="143">
        <f>ROUNDUP(('윤리와 사상'!$Q10-0.5-50)/10*'윤리와 사상'!$H$4+'윤리와 사상'!$H$3, 0)</f>
        <v>39</v>
      </c>
      <c r="F23" s="143">
        <f>ROUNDUP((한국지리!$Q10-0.5-50)/10*한국지리!$H$4+한국지리!$H$3, 0)</f>
        <v>32</v>
      </c>
      <c r="G23" s="143">
        <f>ROUNDUP((세계지리!$Q10-0.5-50)/10*세계지리!$H$4+세계지리!$H$3, 0)</f>
        <v>35</v>
      </c>
      <c r="H23" s="143">
        <f>ROUNDUP((동아시아사!$Q10-0.5-50)/10*동아시아사!$H$4+동아시아사!$H$3, 0)</f>
        <v>23</v>
      </c>
      <c r="I23" s="143">
        <f>ROUNDUP((세계사!$Q10-0.5-50)/10*세계사!$H$4+세계사!$H$3, 0)</f>
        <v>25</v>
      </c>
      <c r="J23" s="143">
        <f>ROUNDUP((경제!$Q10-0.5-50)/10*경제!$H$4+경제!$H$3, 0)</f>
        <v>23</v>
      </c>
      <c r="K23" s="143">
        <f>ROUNDUP(('정치와 법'!$Q10-0.5-50)/10*'정치와 법'!$H$4+'정치와 법'!$H$3, 0)</f>
        <v>33</v>
      </c>
      <c r="L23" s="144">
        <f>ROUNDUP((사회∙문화!$Q10-0.5-50)/10*사회∙문화!$H$4+사회∙문화!$H$3, 0)</f>
        <v>34</v>
      </c>
      <c r="M23" s="127"/>
    </row>
    <row r="24" spans="1:13" s="128" customFormat="1" ht="25" customHeight="1" x14ac:dyDescent="0.45">
      <c r="A24" s="120"/>
      <c r="B24" s="121"/>
      <c r="C24" s="142" t="s">
        <v>113</v>
      </c>
      <c r="D24" s="73">
        <f>ROUNDUP(('생활과 윤리'!$Q11-0.5-50)/10*'생활과 윤리'!$H$4+'생활과 윤리'!$H$3, 0)</f>
        <v>32</v>
      </c>
      <c r="E24" s="143">
        <f>ROUNDUP(('윤리와 사상'!$Q11-0.5-50)/10*'윤리와 사상'!$H$4+'윤리와 사상'!$H$3, 0)</f>
        <v>31</v>
      </c>
      <c r="F24" s="143">
        <f>ROUNDUP((한국지리!$Q11-0.5-50)/10*한국지리!$H$4+한국지리!$H$3, 0)</f>
        <v>26</v>
      </c>
      <c r="G24" s="143">
        <f>ROUNDUP((세계지리!$Q11-0.5-50)/10*세계지리!$H$4+세계지리!$H$3, 0)</f>
        <v>29</v>
      </c>
      <c r="H24" s="143">
        <f>ROUNDUP((동아시아사!$Q11-0.5-50)/10*동아시아사!$H$4+동아시아사!$H$3, 0)</f>
        <v>17</v>
      </c>
      <c r="I24" s="143">
        <f>ROUNDUP((세계사!$Q11-0.5-50)/10*세계사!$H$4+세계사!$H$3, 0)</f>
        <v>19</v>
      </c>
      <c r="J24" s="143">
        <f>ROUNDUP((경제!$Q11-0.5-50)/10*경제!$H$4+경제!$H$3, 0)</f>
        <v>17</v>
      </c>
      <c r="K24" s="143">
        <f>ROUNDUP(('정치와 법'!$Q11-0.5-50)/10*'정치와 법'!$H$4+'정치와 법'!$H$3, 0)</f>
        <v>25</v>
      </c>
      <c r="L24" s="144">
        <f>ROUNDUP((사회∙문화!$Q11-0.5-50)/10*사회∙문화!$H$4+사회∙문화!$H$3, 0)</f>
        <v>28</v>
      </c>
      <c r="M24" s="127"/>
    </row>
    <row r="25" spans="1:13" s="128" customFormat="1" ht="25" customHeight="1" x14ac:dyDescent="0.45">
      <c r="A25" s="120"/>
      <c r="B25" s="121"/>
      <c r="C25" s="142" t="s">
        <v>114</v>
      </c>
      <c r="D25" s="73">
        <f>ROUNDUP(('생활과 윤리'!$Q12-0.5-50)/10*'생활과 윤리'!$H$4+'생활과 윤리'!$H$3, 0)</f>
        <v>24</v>
      </c>
      <c r="E25" s="143">
        <f>ROUNDUP(('윤리와 사상'!$Q12-0.5-50)/10*'윤리와 사상'!$H$4+'윤리와 사상'!$H$3, 0)</f>
        <v>21</v>
      </c>
      <c r="F25" s="143">
        <f>ROUNDUP((한국지리!$Q12-0.5-50)/10*한국지리!$H$4+한국지리!$H$3, 0)</f>
        <v>20</v>
      </c>
      <c r="G25" s="143">
        <f>ROUNDUP((세계지리!$Q12-0.5-50)/10*세계지리!$H$4+세계지리!$H$3, 0)</f>
        <v>21</v>
      </c>
      <c r="H25" s="143">
        <f>ROUNDUP((동아시아사!$Q12-0.5-50)/10*동아시아사!$H$4+동아시아사!$H$3, 0)</f>
        <v>12</v>
      </c>
      <c r="I25" s="143">
        <f>ROUNDUP((세계사!$Q12-0.5-50)/10*세계사!$H$4+세계사!$H$3, 0)</f>
        <v>14</v>
      </c>
      <c r="J25" s="143">
        <f>ROUNDUP((경제!$Q12-0.5-50)/10*경제!$H$4+경제!$H$3, 0)</f>
        <v>11</v>
      </c>
      <c r="K25" s="143">
        <f>ROUNDUP(('정치와 법'!$Q12-0.5-50)/10*'정치와 법'!$H$4+'정치와 법'!$H$3, 0)</f>
        <v>18</v>
      </c>
      <c r="L25" s="144">
        <f>ROUNDUP((사회∙문화!$Q12-0.5-50)/10*사회∙문화!$H$4+사회∙문화!$H$3, 0)</f>
        <v>20</v>
      </c>
      <c r="M25" s="127"/>
    </row>
    <row r="26" spans="1:13" s="128" customFormat="1" ht="25" customHeight="1" x14ac:dyDescent="0.45">
      <c r="A26" s="120"/>
      <c r="B26" s="121"/>
      <c r="C26" s="142" t="s">
        <v>115</v>
      </c>
      <c r="D26" s="73">
        <f>ROUNDUP(('생활과 윤리'!$Q13-0.5-50)/10*'생활과 윤리'!$H$4+'생활과 윤리'!$H$3, 0)</f>
        <v>12</v>
      </c>
      <c r="E26" s="143">
        <f>ROUNDUP(('윤리와 사상'!$Q13-0.5-50)/10*'윤리와 사상'!$H$4+'윤리와 사상'!$H$3, 0)</f>
        <v>11</v>
      </c>
      <c r="F26" s="143">
        <f>ROUNDUP((한국지리!$Q13-0.5-50)/10*한국지리!$H$4+한국지리!$H$3, 0)</f>
        <v>13</v>
      </c>
      <c r="G26" s="143">
        <f>ROUNDUP((세계지리!$Q13-0.5-50)/10*세계지리!$H$4+세계지리!$H$3, 0)</f>
        <v>14</v>
      </c>
      <c r="H26" s="143">
        <f>ROUNDUP((동아시아사!$Q13-0.5-50)/10*동아시아사!$H$4+동아시아사!$H$3, 0)</f>
        <v>9</v>
      </c>
      <c r="I26" s="143">
        <f>ROUNDUP((세계사!$Q13-0.5-50)/10*세계사!$H$4+세계사!$H$3, 0)</f>
        <v>10</v>
      </c>
      <c r="J26" s="143">
        <f>ROUNDUP((경제!$Q13-0.5-50)/10*경제!$H$4+경제!$H$3, 0)</f>
        <v>9</v>
      </c>
      <c r="K26" s="143">
        <f>ROUNDUP(('정치와 법'!$Q13-0.5-50)/10*'정치와 법'!$H$4+'정치와 법'!$H$3, 0)</f>
        <v>13</v>
      </c>
      <c r="L26" s="144">
        <f>ROUNDUP((사회∙문화!$Q13-0.5-50)/10*사회∙문화!$H$4+사회∙문화!$H$3, 0)</f>
        <v>12</v>
      </c>
      <c r="M26" s="127"/>
    </row>
    <row r="27" spans="1:13" s="128" customFormat="1" ht="25" customHeight="1" thickBot="1" x14ac:dyDescent="0.5">
      <c r="A27" s="120"/>
      <c r="B27" s="121"/>
      <c r="C27" s="145" t="s">
        <v>116</v>
      </c>
      <c r="D27" s="146">
        <f>ROUNDUP(('생활과 윤리'!$Q14-0.5-50)/10*'생활과 윤리'!$H$4+'생활과 윤리'!$H$3, 0)</f>
        <v>9</v>
      </c>
      <c r="E27" s="147">
        <f>ROUNDUP(('윤리와 사상'!$Q14-0.5-50)/10*'윤리와 사상'!$H$4+'윤리와 사상'!$H$3, 0)</f>
        <v>9</v>
      </c>
      <c r="F27" s="147">
        <f>ROUNDUP((한국지리!$Q14-0.5-50)/10*한국지리!$H$4+한국지리!$H$3, 0)</f>
        <v>9</v>
      </c>
      <c r="G27" s="147">
        <f>ROUNDUP((세계지리!$Q14-0.5-50)/10*세계지리!$H$4+세계지리!$H$3, 0)</f>
        <v>9</v>
      </c>
      <c r="H27" s="147">
        <f>ROUNDUP((동아시아사!$Q14-0.5-50)/10*동아시아사!$H$4+동아시아사!$H$3, 0)</f>
        <v>6</v>
      </c>
      <c r="I27" s="147">
        <f>ROUNDUP((세계사!$Q14-0.5-50)/10*세계사!$H$4+세계사!$H$3, 0)</f>
        <v>8</v>
      </c>
      <c r="J27" s="147">
        <f>ROUNDUP((경제!$Q14-0.5-50)/10*경제!$H$4+경제!$H$3, 0)</f>
        <v>5</v>
      </c>
      <c r="K27" s="147">
        <f>ROUNDUP(('정치와 법'!$Q14-0.5-50)/10*'정치와 법'!$H$4+'정치와 법'!$H$3, 0)</f>
        <v>9</v>
      </c>
      <c r="L27" s="148">
        <f>ROUNDUP((사회∙문화!$Q14-0.5-50)/10*사회∙문화!$H$4+사회∙문화!$H$3, 0)</f>
        <v>9</v>
      </c>
      <c r="M27" s="127"/>
    </row>
    <row r="28" spans="1:13" s="128" customFormat="1" ht="25" customHeight="1" x14ac:dyDescent="0.45">
      <c r="A28" s="120"/>
      <c r="B28" s="121"/>
      <c r="C28" s="125"/>
      <c r="D28" s="125"/>
      <c r="E28" s="125"/>
      <c r="F28" s="125"/>
      <c r="G28" s="125"/>
      <c r="H28" s="125"/>
      <c r="I28" s="125"/>
      <c r="J28" s="125"/>
      <c r="K28" s="125"/>
      <c r="L28" s="126"/>
      <c r="M28" s="127"/>
    </row>
    <row r="29" spans="1:13" s="128" customFormat="1" ht="25" customHeight="1" thickBot="1" x14ac:dyDescent="0.5">
      <c r="A29" s="120"/>
      <c r="B29" s="121"/>
      <c r="C29" s="125"/>
      <c r="D29" s="125"/>
      <c r="E29" s="125"/>
      <c r="F29" s="125"/>
      <c r="G29" s="125"/>
      <c r="H29" s="125"/>
      <c r="I29" s="125"/>
      <c r="J29" s="125"/>
      <c r="K29" s="125"/>
      <c r="L29" s="126"/>
      <c r="M29" s="127"/>
    </row>
    <row r="30" spans="1:13" s="128" customFormat="1" ht="25" customHeight="1" thickBot="1" x14ac:dyDescent="0.5">
      <c r="A30" s="120"/>
      <c r="B30" s="121"/>
      <c r="C30" s="122" t="s">
        <v>127</v>
      </c>
      <c r="D30" s="123" t="s">
        <v>128</v>
      </c>
      <c r="E30" s="139" t="s">
        <v>129</v>
      </c>
      <c r="F30" s="123" t="s">
        <v>130</v>
      </c>
      <c r="G30" s="124" t="s">
        <v>131</v>
      </c>
      <c r="H30" s="125"/>
      <c r="I30" s="125"/>
      <c r="J30" s="126"/>
      <c r="K30" s="126"/>
      <c r="L30" s="126"/>
      <c r="M30" s="127"/>
    </row>
    <row r="31" spans="1:13" s="128" customFormat="1" ht="25" customHeight="1" x14ac:dyDescent="0.45">
      <c r="A31" s="120"/>
      <c r="B31" s="121"/>
      <c r="C31" s="129" t="s">
        <v>109</v>
      </c>
      <c r="D31" s="149">
        <f>ROUNDUP((물리학Ⅰ!$Q7-0.5-50)/10*물리학Ⅰ!$H$4+물리학Ⅰ!$H$3, 0)</f>
        <v>47</v>
      </c>
      <c r="E31" s="149">
        <f>ROUNDUP((화학Ⅰ!$Q7-0.5-50)/10*화학Ⅰ!$H$4+화학Ⅰ!$H$3, 0)</f>
        <v>47</v>
      </c>
      <c r="F31" s="149">
        <f>ROUNDUP((생명과학Ⅰ!$Q7-0.5-50)/10*생명과학Ⅰ!$H$4+생명과학Ⅰ!$H$3, 0)</f>
        <v>48</v>
      </c>
      <c r="G31" s="131">
        <f>ROUNDUP((지구과학Ⅰ!$Q7-0.5-50)/10*지구과학Ⅰ!$H$4+지구과학Ⅰ!$H$3, 0)</f>
        <v>42</v>
      </c>
      <c r="H31" s="125"/>
      <c r="I31" s="125"/>
      <c r="J31" s="126"/>
      <c r="K31" s="126"/>
      <c r="L31" s="126"/>
      <c r="M31" s="127"/>
    </row>
    <row r="32" spans="1:13" s="128" customFormat="1" ht="25" customHeight="1" x14ac:dyDescent="0.45">
      <c r="A32" s="120"/>
      <c r="B32" s="121"/>
      <c r="C32" s="132" t="s">
        <v>110</v>
      </c>
      <c r="D32" s="150">
        <f>ROUNDUP((물리학Ⅰ!$Q8-0.5-50)/10*물리학Ⅰ!$H$4+물리학Ⅰ!$H$3, 0)</f>
        <v>43</v>
      </c>
      <c r="E32" s="150">
        <f>ROUNDUP((화학Ⅰ!$Q8-0.5-50)/10*화학Ⅰ!$H$4+화학Ⅰ!$H$3, 0)</f>
        <v>41</v>
      </c>
      <c r="F32" s="150">
        <f>ROUNDUP((생명과학Ⅰ!$Q8-0.5-50)/10*생명과학Ⅰ!$H$4+생명과학Ⅰ!$H$3, 0)</f>
        <v>43</v>
      </c>
      <c r="G32" s="133">
        <f>ROUNDUP((지구과학Ⅰ!$Q8-0.5-50)/10*지구과학Ⅰ!$H$4+지구과학Ⅰ!$H$3, 0)</f>
        <v>37</v>
      </c>
      <c r="H32" s="125"/>
      <c r="I32" s="125"/>
      <c r="J32" s="126"/>
      <c r="K32" s="126"/>
      <c r="L32" s="126"/>
      <c r="M32" s="127"/>
    </row>
    <row r="33" spans="1:13" s="128" customFormat="1" ht="25" customHeight="1" x14ac:dyDescent="0.45">
      <c r="A33" s="120"/>
      <c r="B33" s="121"/>
      <c r="C33" s="132" t="s">
        <v>111</v>
      </c>
      <c r="D33" s="150">
        <f>ROUNDUP((물리학Ⅰ!$Q9-0.5-50)/10*물리학Ⅰ!$H$4+물리학Ⅰ!$H$3, 0)</f>
        <v>38</v>
      </c>
      <c r="E33" s="150">
        <f>ROUNDUP((화학Ⅰ!$Q9-0.5-50)/10*화학Ⅰ!$H$4+화학Ⅰ!$H$3, 0)</f>
        <v>34</v>
      </c>
      <c r="F33" s="150">
        <f>ROUNDUP((생명과학Ⅰ!$Q9-0.5-50)/10*생명과학Ⅰ!$H$4+생명과학Ⅰ!$H$3, 0)</f>
        <v>38</v>
      </c>
      <c r="G33" s="133">
        <f>ROUNDUP((지구과학Ⅰ!$Q9-0.5-50)/10*지구과학Ⅰ!$H$4+지구과학Ⅰ!$H$3, 0)</f>
        <v>31</v>
      </c>
      <c r="H33" s="125"/>
      <c r="I33" s="125"/>
      <c r="J33" s="126"/>
      <c r="K33" s="126"/>
      <c r="L33" s="126"/>
      <c r="M33" s="127"/>
    </row>
    <row r="34" spans="1:13" s="128" customFormat="1" ht="25" customHeight="1" x14ac:dyDescent="0.45">
      <c r="A34" s="120"/>
      <c r="B34" s="121"/>
      <c r="C34" s="132" t="s">
        <v>112</v>
      </c>
      <c r="D34" s="150">
        <f>ROUNDUP((물리학Ⅰ!$Q10-0.5-50)/10*물리학Ⅰ!$H$4+물리학Ⅰ!$H$3, 0)</f>
        <v>33</v>
      </c>
      <c r="E34" s="150">
        <f>ROUNDUP((화학Ⅰ!$Q10-0.5-50)/10*화학Ⅰ!$H$4+화학Ⅰ!$H$3, 0)</f>
        <v>27</v>
      </c>
      <c r="F34" s="150">
        <f>ROUNDUP((생명과학Ⅰ!$Q10-0.5-50)/10*생명과학Ⅰ!$H$4+생명과학Ⅰ!$H$3, 0)</f>
        <v>32</v>
      </c>
      <c r="G34" s="133">
        <f>ROUNDUP((지구과학Ⅰ!$Q10-0.5-50)/10*지구과학Ⅰ!$H$4+지구과학Ⅰ!$H$3, 0)</f>
        <v>25</v>
      </c>
      <c r="H34" s="125"/>
      <c r="I34" s="125"/>
      <c r="J34" s="126"/>
      <c r="K34" s="126"/>
      <c r="L34" s="126"/>
      <c r="M34" s="127"/>
    </row>
    <row r="35" spans="1:13" s="128" customFormat="1" ht="25" customHeight="1" x14ac:dyDescent="0.45">
      <c r="A35" s="120"/>
      <c r="B35" s="121"/>
      <c r="C35" s="132" t="s">
        <v>113</v>
      </c>
      <c r="D35" s="150">
        <f>ROUNDUP((물리학Ⅰ!$Q11-0.5-50)/10*물리학Ⅰ!$H$4+물리학Ⅰ!$H$3, 0)</f>
        <v>27</v>
      </c>
      <c r="E35" s="150">
        <f>ROUNDUP((화학Ⅰ!$Q11-0.5-50)/10*화학Ⅰ!$H$4+화학Ⅰ!$H$3, 0)</f>
        <v>21</v>
      </c>
      <c r="F35" s="150">
        <f>ROUNDUP((생명과학Ⅰ!$Q11-0.5-50)/10*생명과학Ⅰ!$H$4+생명과학Ⅰ!$H$3, 0)</f>
        <v>25</v>
      </c>
      <c r="G35" s="133">
        <f>ROUNDUP((지구과학Ⅰ!$Q11-0.5-50)/10*지구과학Ⅰ!$H$4+지구과학Ⅰ!$H$3, 0)</f>
        <v>20</v>
      </c>
      <c r="H35" s="125"/>
      <c r="I35" s="125"/>
      <c r="J35" s="126"/>
      <c r="K35" s="126"/>
      <c r="L35" s="126"/>
      <c r="M35" s="127"/>
    </row>
    <row r="36" spans="1:13" s="128" customFormat="1" ht="25" customHeight="1" x14ac:dyDescent="0.45">
      <c r="A36" s="120"/>
      <c r="B36" s="121"/>
      <c r="C36" s="132" t="s">
        <v>114</v>
      </c>
      <c r="D36" s="150">
        <f>ROUNDUP((물리학Ⅰ!$Q12-0.5-50)/10*물리학Ⅰ!$H$4+물리학Ⅰ!$H$3, 0)</f>
        <v>22</v>
      </c>
      <c r="E36" s="150">
        <f>ROUNDUP((화학Ⅰ!$Q12-0.5-50)/10*화학Ⅰ!$H$4+화학Ⅰ!$H$3, 0)</f>
        <v>16</v>
      </c>
      <c r="F36" s="150">
        <f>ROUNDUP((생명과학Ⅰ!$Q12-0.5-50)/10*생명과학Ⅰ!$H$4+생명과학Ⅰ!$H$3, 0)</f>
        <v>19</v>
      </c>
      <c r="G36" s="133">
        <f>ROUNDUP((지구과학Ⅰ!$Q12-0.5-50)/10*지구과학Ⅰ!$H$4+지구과학Ⅰ!$H$3, 0)</f>
        <v>15</v>
      </c>
      <c r="H36" s="125"/>
      <c r="I36" s="125"/>
      <c r="J36" s="126"/>
      <c r="K36" s="126"/>
      <c r="L36" s="126"/>
      <c r="M36" s="127"/>
    </row>
    <row r="37" spans="1:13" s="128" customFormat="1" ht="25" customHeight="1" x14ac:dyDescent="0.45">
      <c r="A37" s="120"/>
      <c r="B37" s="121"/>
      <c r="C37" s="132" t="s">
        <v>115</v>
      </c>
      <c r="D37" s="150">
        <f>ROUNDUP((물리학Ⅰ!$Q13-0.5-50)/10*물리학Ⅰ!$H$4+물리학Ⅰ!$H$3, 0)</f>
        <v>17</v>
      </c>
      <c r="E37" s="150">
        <f>ROUNDUP((화학Ⅰ!$Q13-0.5-50)/10*화학Ⅰ!$H$4+화학Ⅰ!$H$3, 0)</f>
        <v>12</v>
      </c>
      <c r="F37" s="150">
        <f>ROUNDUP((생명과학Ⅰ!$Q13-0.5-50)/10*생명과학Ⅰ!$H$4+생명과학Ⅰ!$H$3, 0)</f>
        <v>12</v>
      </c>
      <c r="G37" s="133">
        <f>ROUNDUP((지구과학Ⅰ!$Q13-0.5-50)/10*지구과학Ⅰ!$H$4+지구과학Ⅰ!$H$3, 0)</f>
        <v>11</v>
      </c>
      <c r="H37" s="125"/>
      <c r="I37" s="125"/>
      <c r="J37" s="126"/>
      <c r="K37" s="126"/>
      <c r="L37" s="126"/>
      <c r="M37" s="127"/>
    </row>
    <row r="38" spans="1:13" s="128" customFormat="1" ht="25" customHeight="1" thickBot="1" x14ac:dyDescent="0.5">
      <c r="A38" s="120"/>
      <c r="B38" s="121"/>
      <c r="C38" s="134" t="s">
        <v>116</v>
      </c>
      <c r="D38" s="151">
        <f>ROUNDUP((물리학Ⅰ!$Q14-0.5-50)/10*물리학Ⅰ!$H$4+물리학Ⅰ!$H$3, 0)</f>
        <v>11</v>
      </c>
      <c r="E38" s="151">
        <f>ROUNDUP((화학Ⅰ!$Q14-0.5-50)/10*화학Ⅰ!$H$4+화학Ⅰ!$H$3, 0)</f>
        <v>9</v>
      </c>
      <c r="F38" s="151">
        <f>ROUNDUP((생명과학Ⅰ!$Q14-0.5-50)/10*생명과학Ⅰ!$H$4+생명과학Ⅰ!$H$3, 0)</f>
        <v>9</v>
      </c>
      <c r="G38" s="136">
        <f>ROUNDUP((지구과학Ⅰ!$Q14-0.5-50)/10*지구과학Ⅰ!$H$4+지구과학Ⅰ!$H$3, 0)</f>
        <v>8</v>
      </c>
      <c r="H38" s="125"/>
      <c r="I38" s="125"/>
      <c r="J38" s="126"/>
      <c r="K38" s="126"/>
      <c r="L38" s="126"/>
      <c r="M38" s="127"/>
    </row>
    <row r="39" spans="1:13" s="26" customFormat="1" ht="6" customHeight="1" x14ac:dyDescent="0.45">
      <c r="A39" s="25"/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3"/>
      <c r="M39" s="44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2024-03-18T08:39:12Z</dcterms:modified>
</cp:coreProperties>
</file>