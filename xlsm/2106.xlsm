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hongik-my.sharepoint.com/personal/edc9566_mail_hongik_ac_kr/Documents/바탕 화면/모의고사&amp;수능 관련/2021/"/>
    </mc:Choice>
  </mc:AlternateContent>
  <xr:revisionPtr revIDLastSave="1487" documentId="13_ncr:1_{30235220-ED48-4075-8B53-D55DC7B3F23A}" xr6:coauthVersionLast="47" xr6:coauthVersionMax="47" xr10:uidLastSave="{FE970AD2-D212-4BEA-A0A5-446A9DFE0365}"/>
  <bookViews>
    <workbookView xWindow="-110" yWindow="-110" windowWidth="19420" windowHeight="11620" tabRatio="738" firstSheet="18" activeTab="25" xr2:uid="{AB9EE284-95EA-49B1-8133-EE4E7651E7F1}"/>
  </bookViews>
  <sheets>
    <sheet name="통계 및 응시자 수 입력 기능" sheetId="67" r:id="rId1"/>
    <sheet name="인원 입력 기능" sheetId="64" r:id="rId2"/>
    <sheet name="표준점수 등급컷 입력기능" sheetId="66" r:id="rId3"/>
    <sheet name="생활과 윤리" sheetId="3" r:id="rId4"/>
    <sheet name="윤리와 사상" sheetId="26" r:id="rId5"/>
    <sheet name="한국지리" sheetId="27" r:id="rId6"/>
    <sheet name="세계지리" sheetId="28" r:id="rId7"/>
    <sheet name="동아시아사" sheetId="29" r:id="rId8"/>
    <sheet name="세계사" sheetId="30" r:id="rId9"/>
    <sheet name="경제" sheetId="31" r:id="rId10"/>
    <sheet name="정치와 법" sheetId="32" r:id="rId11"/>
    <sheet name="사회∙문화" sheetId="33" r:id="rId12"/>
    <sheet name="물리학Ⅰ" sheetId="34" r:id="rId13"/>
    <sheet name="화학Ⅰ" sheetId="35" r:id="rId14"/>
    <sheet name="생명과학Ⅰ" sheetId="36" r:id="rId15"/>
    <sheet name="지구과학Ⅰ" sheetId="37" r:id="rId16"/>
    <sheet name="물리학Ⅱ" sheetId="68" r:id="rId17"/>
    <sheet name="화학Ⅱ" sheetId="39" r:id="rId18"/>
    <sheet name="생명과학Ⅱ" sheetId="40" r:id="rId19"/>
    <sheet name="지구과학Ⅱ" sheetId="41" r:id="rId20"/>
    <sheet name="성공적인 직업생활" sheetId="71" r:id="rId21"/>
    <sheet name="농업 기초 기술" sheetId="72" r:id="rId22"/>
    <sheet name="공업 일반" sheetId="73" r:id="rId23"/>
    <sheet name="상업 경제" sheetId="74" r:id="rId24"/>
    <sheet name="수산·해운 산업 기초" sheetId="75" r:id="rId25"/>
    <sheet name="인간 발달" sheetId="76" r:id="rId26"/>
    <sheet name="등급컷 모아보기" sheetId="70" r:id="rId27"/>
  </sheets>
  <externalReferences>
    <externalReference r:id="rId2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6" i="67" l="1"/>
  <c r="C25" i="67"/>
  <c r="C24" i="67"/>
  <c r="C23" i="67"/>
  <c r="C22" i="67"/>
  <c r="C21" i="67"/>
  <c r="C20" i="67"/>
  <c r="C19" i="67"/>
  <c r="C18" i="67"/>
  <c r="C17" i="67"/>
  <c r="C16" i="67"/>
  <c r="C15" i="67"/>
  <c r="C14" i="67"/>
  <c r="C13" i="67"/>
  <c r="C12" i="67"/>
  <c r="C11" i="67"/>
  <c r="C10" i="67"/>
  <c r="C9" i="67"/>
  <c r="C8" i="67"/>
  <c r="C7" i="67"/>
  <c r="C6" i="67"/>
  <c r="C5" i="67"/>
  <c r="C4" i="67"/>
  <c r="H3" i="3"/>
  <c r="H4" i="3"/>
  <c r="P7" i="3"/>
  <c r="D12" i="3" l="1"/>
  <c r="D14" i="3"/>
  <c r="D15" i="3"/>
  <c r="D16" i="3"/>
  <c r="D17" i="3"/>
  <c r="D18" i="3"/>
  <c r="D19" i="3"/>
  <c r="G19" i="3" s="1"/>
  <c r="D21" i="3"/>
  <c r="D22" i="3"/>
  <c r="D23" i="3"/>
  <c r="G23" i="3" s="1"/>
  <c r="D24" i="3"/>
  <c r="D25" i="3"/>
  <c r="D26" i="3"/>
  <c r="D27" i="3"/>
  <c r="G27" i="3" s="1"/>
  <c r="D29" i="3"/>
  <c r="D30" i="3"/>
  <c r="D31" i="3"/>
  <c r="D32" i="3"/>
  <c r="D33" i="3"/>
  <c r="D34" i="3"/>
  <c r="D35" i="3"/>
  <c r="D37" i="3"/>
  <c r="D38" i="3"/>
  <c r="D39" i="3"/>
  <c r="D40" i="3"/>
  <c r="D41" i="3"/>
  <c r="D42" i="3"/>
  <c r="D44" i="3"/>
  <c r="D45" i="3"/>
  <c r="D46" i="3"/>
  <c r="D47" i="3"/>
  <c r="D48" i="3"/>
  <c r="D49" i="3"/>
  <c r="D50" i="3"/>
  <c r="P8" i="76"/>
  <c r="P9" i="76"/>
  <c r="P10" i="76"/>
  <c r="P11" i="76"/>
  <c r="P12" i="76"/>
  <c r="P13" i="76"/>
  <c r="P14" i="76"/>
  <c r="P7" i="76"/>
  <c r="P8" i="75"/>
  <c r="P9" i="75"/>
  <c r="P10" i="75"/>
  <c r="P11" i="75"/>
  <c r="P12" i="75"/>
  <c r="P13" i="75"/>
  <c r="P14" i="75"/>
  <c r="P7" i="75"/>
  <c r="H4" i="76"/>
  <c r="H3" i="76"/>
  <c r="D21" i="76" s="1"/>
  <c r="P8" i="74"/>
  <c r="P9" i="74"/>
  <c r="P10" i="74"/>
  <c r="P11" i="74"/>
  <c r="P12" i="74"/>
  <c r="P13" i="74"/>
  <c r="P14" i="74"/>
  <c r="P7" i="74"/>
  <c r="G31" i="70" s="1"/>
  <c r="H4" i="75"/>
  <c r="H3" i="75"/>
  <c r="H4" i="74"/>
  <c r="H3" i="74"/>
  <c r="P8" i="73"/>
  <c r="P9" i="73"/>
  <c r="P10" i="73"/>
  <c r="P11" i="73"/>
  <c r="P12" i="73"/>
  <c r="P13" i="73"/>
  <c r="P14" i="73"/>
  <c r="P7" i="73"/>
  <c r="H4" i="73"/>
  <c r="H3" i="73"/>
  <c r="H4" i="72"/>
  <c r="H3" i="72"/>
  <c r="D51" i="72" s="1"/>
  <c r="P8" i="72"/>
  <c r="P9" i="72"/>
  <c r="P10" i="72"/>
  <c r="P11" i="72"/>
  <c r="P12" i="72"/>
  <c r="P13" i="72"/>
  <c r="P14" i="72"/>
  <c r="P7" i="72"/>
  <c r="P8" i="71"/>
  <c r="P9" i="71"/>
  <c r="P10" i="71"/>
  <c r="P11" i="71"/>
  <c r="P12" i="71"/>
  <c r="P13" i="71"/>
  <c r="P14" i="71"/>
  <c r="P7" i="71"/>
  <c r="H4" i="71"/>
  <c r="H3" i="71"/>
  <c r="G34" i="70" l="1"/>
  <c r="G38" i="70"/>
  <c r="G33" i="70"/>
  <c r="G37" i="70"/>
  <c r="G32" i="70"/>
  <c r="G36" i="70"/>
  <c r="G35" i="70"/>
  <c r="G48" i="3"/>
  <c r="G47" i="3"/>
  <c r="G40" i="3"/>
  <c r="G24" i="3"/>
  <c r="F32" i="70"/>
  <c r="F36" i="70"/>
  <c r="F35" i="70"/>
  <c r="F34" i="70"/>
  <c r="F38" i="70"/>
  <c r="F33" i="70"/>
  <c r="F37" i="70"/>
  <c r="D35" i="72"/>
  <c r="E32" i="70"/>
  <c r="E34" i="70"/>
  <c r="E33" i="70"/>
  <c r="E35" i="70"/>
  <c r="E38" i="70"/>
  <c r="E37" i="70"/>
  <c r="E36" i="70"/>
  <c r="I35" i="70"/>
  <c r="I34" i="70"/>
  <c r="I33" i="70"/>
  <c r="I37" i="70"/>
  <c r="I32" i="70"/>
  <c r="I36" i="70"/>
  <c r="I38" i="70"/>
  <c r="D35" i="70"/>
  <c r="D34" i="70"/>
  <c r="D38" i="70"/>
  <c r="D33" i="70"/>
  <c r="D37" i="70"/>
  <c r="D32" i="70"/>
  <c r="D36" i="70"/>
  <c r="D25" i="75"/>
  <c r="H33" i="70"/>
  <c r="H37" i="70"/>
  <c r="H32" i="70"/>
  <c r="H36" i="70"/>
  <c r="H34" i="70"/>
  <c r="H35" i="70"/>
  <c r="H38" i="70"/>
  <c r="D37" i="73"/>
  <c r="H31" i="70"/>
  <c r="G25" i="3"/>
  <c r="G17" i="3"/>
  <c r="F31" i="70"/>
  <c r="G46" i="3"/>
  <c r="G39" i="3"/>
  <c r="G31" i="3"/>
  <c r="G16" i="3"/>
  <c r="G26" i="3"/>
  <c r="I31" i="70"/>
  <c r="G45" i="3"/>
  <c r="G38" i="3"/>
  <c r="G30" i="3"/>
  <c r="G15" i="3"/>
  <c r="G49" i="3"/>
  <c r="G34" i="3"/>
  <c r="G33" i="3"/>
  <c r="D29" i="73"/>
  <c r="D31" i="70"/>
  <c r="E31" i="70"/>
  <c r="G44" i="3"/>
  <c r="G37" i="3"/>
  <c r="G29" i="3"/>
  <c r="G22" i="3"/>
  <c r="G14" i="3"/>
  <c r="G41" i="3"/>
  <c r="D57" i="73"/>
  <c r="G57" i="73" s="1"/>
  <c r="G18" i="3"/>
  <c r="D11" i="73"/>
  <c r="G11" i="73" s="1"/>
  <c r="G21" i="3"/>
  <c r="G32" i="3"/>
  <c r="G50" i="3"/>
  <c r="G42" i="3"/>
  <c r="G35" i="3"/>
  <c r="E12" i="3"/>
  <c r="D17" i="75"/>
  <c r="D35" i="75"/>
  <c r="D31" i="75"/>
  <c r="D18" i="75"/>
  <c r="D51" i="75"/>
  <c r="E51" i="75" s="1"/>
  <c r="D50" i="75"/>
  <c r="D46" i="75"/>
  <c r="D55" i="74"/>
  <c r="D15" i="74"/>
  <c r="D7" i="74"/>
  <c r="G7" i="74" s="1"/>
  <c r="D31" i="74"/>
  <c r="D11" i="74"/>
  <c r="D23" i="74"/>
  <c r="D39" i="74"/>
  <c r="E39" i="74" s="1"/>
  <c r="D48" i="74"/>
  <c r="D57" i="74"/>
  <c r="G57" i="74" s="1"/>
  <c r="D13" i="74"/>
  <c r="D18" i="74"/>
  <c r="D32" i="74"/>
  <c r="D47" i="74"/>
  <c r="D9" i="74"/>
  <c r="G9" i="74" s="1"/>
  <c r="D24" i="74"/>
  <c r="G24" i="74" s="1"/>
  <c r="D40" i="74"/>
  <c r="D19" i="72"/>
  <c r="D50" i="72"/>
  <c r="G50" i="72" s="1"/>
  <c r="D10" i="72"/>
  <c r="D47" i="72"/>
  <c r="D13" i="72"/>
  <c r="D26" i="72"/>
  <c r="D42" i="72"/>
  <c r="D14" i="72"/>
  <c r="D27" i="72"/>
  <c r="D43" i="72"/>
  <c r="D9" i="72"/>
  <c r="G9" i="72" s="1"/>
  <c r="D18" i="72"/>
  <c r="E18" i="72" s="1"/>
  <c r="D34" i="72"/>
  <c r="G35" i="72" s="1"/>
  <c r="D52" i="71"/>
  <c r="E29" i="73"/>
  <c r="D25" i="71"/>
  <c r="D41" i="71"/>
  <c r="D7" i="71"/>
  <c r="G7" i="71" s="1"/>
  <c r="D26" i="71"/>
  <c r="D45" i="71"/>
  <c r="E19" i="72"/>
  <c r="E27" i="72"/>
  <c r="E35" i="72"/>
  <c r="E37" i="73"/>
  <c r="D55" i="71"/>
  <c r="G55" i="71" s="1"/>
  <c r="D17" i="71"/>
  <c r="D20" i="71"/>
  <c r="D30" i="71"/>
  <c r="G30" i="71" s="1"/>
  <c r="D36" i="71"/>
  <c r="D46" i="71"/>
  <c r="D11" i="72"/>
  <c r="E14" i="72"/>
  <c r="D15" i="72"/>
  <c r="G15" i="72" s="1"/>
  <c r="D23" i="72"/>
  <c r="D31" i="72"/>
  <c r="D39" i="72"/>
  <c r="D54" i="71"/>
  <c r="D50" i="71"/>
  <c r="D22" i="71"/>
  <c r="D44" i="71"/>
  <c r="D57" i="71"/>
  <c r="G57" i="71" s="1"/>
  <c r="D16" i="71"/>
  <c r="D29" i="71"/>
  <c r="D32" i="71"/>
  <c r="D42" i="71"/>
  <c r="G42" i="71" s="1"/>
  <c r="E13" i="72"/>
  <c r="E51" i="72"/>
  <c r="E57" i="73"/>
  <c r="D21" i="71"/>
  <c r="G21" i="71" s="1"/>
  <c r="D24" i="71"/>
  <c r="D34" i="71"/>
  <c r="D37" i="71"/>
  <c r="G37" i="71" s="1"/>
  <c r="D40" i="71"/>
  <c r="D49" i="71"/>
  <c r="D54" i="72"/>
  <c r="D57" i="72"/>
  <c r="G57" i="72" s="1"/>
  <c r="D52" i="72"/>
  <c r="G52" i="72" s="1"/>
  <c r="D48" i="72"/>
  <c r="G48" i="72" s="1"/>
  <c r="D44" i="72"/>
  <c r="D40" i="72"/>
  <c r="D36" i="72"/>
  <c r="G36" i="72" s="1"/>
  <c r="D32" i="72"/>
  <c r="D28" i="72"/>
  <c r="D24" i="72"/>
  <c r="D20" i="72"/>
  <c r="G20" i="72" s="1"/>
  <c r="D16" i="72"/>
  <c r="G16" i="72" s="1"/>
  <c r="D7" i="72"/>
  <c r="G7" i="72" s="1"/>
  <c r="D55" i="72"/>
  <c r="G55" i="72" s="1"/>
  <c r="D53" i="72"/>
  <c r="D49" i="72"/>
  <c r="D45" i="72"/>
  <c r="D41" i="72"/>
  <c r="D37" i="72"/>
  <c r="G37" i="72" s="1"/>
  <c r="D33" i="72"/>
  <c r="D29" i="72"/>
  <c r="D25" i="72"/>
  <c r="D21" i="72"/>
  <c r="D17" i="72"/>
  <c r="D12" i="72"/>
  <c r="D22" i="72"/>
  <c r="D30" i="72"/>
  <c r="D38" i="72"/>
  <c r="D46" i="72"/>
  <c r="D55" i="73"/>
  <c r="D51" i="73"/>
  <c r="D47" i="73"/>
  <c r="D43" i="73"/>
  <c r="D39" i="73"/>
  <c r="D35" i="73"/>
  <c r="D31" i="73"/>
  <c r="D19" i="73"/>
  <c r="D15" i="73"/>
  <c r="D13" i="73"/>
  <c r="D52" i="73"/>
  <c r="D48" i="73"/>
  <c r="D44" i="73"/>
  <c r="G44" i="73" s="1"/>
  <c r="D40" i="73"/>
  <c r="D28" i="73"/>
  <c r="D24" i="73"/>
  <c r="D20" i="73"/>
  <c r="D16" i="73"/>
  <c r="D7" i="73"/>
  <c r="G7" i="73" s="1"/>
  <c r="D46" i="73"/>
  <c r="D38" i="73"/>
  <c r="G38" i="73" s="1"/>
  <c r="D30" i="73"/>
  <c r="G30" i="73" s="1"/>
  <c r="D22" i="73"/>
  <c r="D12" i="73"/>
  <c r="D49" i="73"/>
  <c r="D33" i="73"/>
  <c r="G33" i="73" s="1"/>
  <c r="D25" i="73"/>
  <c r="D17" i="73"/>
  <c r="D9" i="73"/>
  <c r="G9" i="73" s="1"/>
  <c r="D42" i="73"/>
  <c r="D34" i="73"/>
  <c r="D26" i="73"/>
  <c r="D10" i="73"/>
  <c r="D21" i="73"/>
  <c r="D53" i="73"/>
  <c r="E13" i="74"/>
  <c r="E50" i="75"/>
  <c r="E17" i="75"/>
  <c r="E21" i="76"/>
  <c r="D9" i="71"/>
  <c r="G9" i="71" s="1"/>
  <c r="D10" i="71"/>
  <c r="D11" i="71"/>
  <c r="D12" i="71"/>
  <c r="G12" i="71" s="1"/>
  <c r="D14" i="71"/>
  <c r="D15" i="71"/>
  <c r="D19" i="71"/>
  <c r="G19" i="71" s="1"/>
  <c r="D27" i="71"/>
  <c r="G27" i="71" s="1"/>
  <c r="D31" i="71"/>
  <c r="D35" i="71"/>
  <c r="D39" i="71"/>
  <c r="G39" i="71" s="1"/>
  <c r="H39" i="71" s="1"/>
  <c r="D47" i="71"/>
  <c r="G47" i="71" s="1"/>
  <c r="D51" i="71"/>
  <c r="E23" i="74"/>
  <c r="E55" i="74"/>
  <c r="E25" i="75"/>
  <c r="D53" i="74"/>
  <c r="G53" i="74" s="1"/>
  <c r="D49" i="74"/>
  <c r="G49" i="74" s="1"/>
  <c r="D45" i="74"/>
  <c r="D41" i="74"/>
  <c r="G41" i="74" s="1"/>
  <c r="D37" i="74"/>
  <c r="D33" i="74"/>
  <c r="G33" i="74" s="1"/>
  <c r="D29" i="74"/>
  <c r="D25" i="74"/>
  <c r="D21" i="74"/>
  <c r="D17" i="74"/>
  <c r="D54" i="74"/>
  <c r="D50" i="74"/>
  <c r="G50" i="74" s="1"/>
  <c r="D46" i="74"/>
  <c r="G46" i="74" s="1"/>
  <c r="D42" i="74"/>
  <c r="D38" i="74"/>
  <c r="D34" i="74"/>
  <c r="D30" i="74"/>
  <c r="D26" i="74"/>
  <c r="D22" i="74"/>
  <c r="D16" i="74"/>
  <c r="G16" i="74" s="1"/>
  <c r="D19" i="74"/>
  <c r="G19" i="74" s="1"/>
  <c r="D20" i="74"/>
  <c r="D28" i="74"/>
  <c r="D36" i="74"/>
  <c r="D44" i="74"/>
  <c r="G44" i="74" s="1"/>
  <c r="D52" i="74"/>
  <c r="D16" i="75"/>
  <c r="D7" i="75"/>
  <c r="G7" i="75" s="1"/>
  <c r="D22" i="75"/>
  <c r="D27" i="75"/>
  <c r="D30" i="75"/>
  <c r="D38" i="75"/>
  <c r="D54" i="75"/>
  <c r="G54" i="75" s="1"/>
  <c r="H54" i="75" s="1"/>
  <c r="D37" i="76"/>
  <c r="D41" i="76"/>
  <c r="G7" i="76"/>
  <c r="H7" i="76" s="1"/>
  <c r="D25" i="76"/>
  <c r="G25" i="76" s="1"/>
  <c r="H25" i="76" s="1"/>
  <c r="D10" i="74"/>
  <c r="G10" i="74" s="1"/>
  <c r="D12" i="74"/>
  <c r="G12" i="74" s="1"/>
  <c r="D14" i="74"/>
  <c r="D27" i="74"/>
  <c r="G27" i="74" s="1"/>
  <c r="D35" i="74"/>
  <c r="D43" i="74"/>
  <c r="D51" i="74"/>
  <c r="G51" i="74" s="1"/>
  <c r="D21" i="75"/>
  <c r="D43" i="75"/>
  <c r="G43" i="75" s="1"/>
  <c r="D53" i="76"/>
  <c r="D20" i="75"/>
  <c r="D24" i="75"/>
  <c r="G24" i="75" s="1"/>
  <c r="H24" i="75" s="1"/>
  <c r="D34" i="75"/>
  <c r="D42" i="75"/>
  <c r="D57" i="75"/>
  <c r="G57" i="75" s="1"/>
  <c r="D52" i="75"/>
  <c r="G52" i="75" s="1"/>
  <c r="D48" i="75"/>
  <c r="D44" i="75"/>
  <c r="D40" i="75"/>
  <c r="D36" i="75"/>
  <c r="D32" i="75"/>
  <c r="D28" i="75"/>
  <c r="D53" i="75"/>
  <c r="D49" i="75"/>
  <c r="D45" i="75"/>
  <c r="G45" i="75" s="1"/>
  <c r="D41" i="75"/>
  <c r="D37" i="75"/>
  <c r="D33" i="75"/>
  <c r="G33" i="75" s="1"/>
  <c r="H33" i="75" s="1"/>
  <c r="D9" i="75"/>
  <c r="G9" i="75" s="1"/>
  <c r="D10" i="75"/>
  <c r="D11" i="75"/>
  <c r="G11" i="75" s="1"/>
  <c r="D12" i="75"/>
  <c r="D13" i="75"/>
  <c r="D14" i="75"/>
  <c r="D15" i="75"/>
  <c r="D19" i="75"/>
  <c r="G19" i="75" s="1"/>
  <c r="H19" i="75" s="1"/>
  <c r="D23" i="75"/>
  <c r="D26" i="75"/>
  <c r="G26" i="75" s="1"/>
  <c r="D29" i="75"/>
  <c r="G29" i="75" s="1"/>
  <c r="D39" i="75"/>
  <c r="D47" i="75"/>
  <c r="G47" i="75" s="1"/>
  <c r="D55" i="75"/>
  <c r="D54" i="76"/>
  <c r="D50" i="76"/>
  <c r="G50" i="76" s="1"/>
  <c r="H50" i="76" s="1"/>
  <c r="D46" i="76"/>
  <c r="D42" i="76"/>
  <c r="G42" i="76" s="1"/>
  <c r="D38" i="76"/>
  <c r="G38" i="76" s="1"/>
  <c r="H38" i="76" s="1"/>
  <c r="D34" i="76"/>
  <c r="D30" i="76"/>
  <c r="D26" i="76"/>
  <c r="D22" i="76"/>
  <c r="G22" i="76" s="1"/>
  <c r="H22" i="76" s="1"/>
  <c r="D18" i="76"/>
  <c r="D55" i="76"/>
  <c r="D51" i="76"/>
  <c r="D47" i="76"/>
  <c r="D43" i="76"/>
  <c r="G43" i="76" s="1"/>
  <c r="H43" i="76" s="1"/>
  <c r="D39" i="76"/>
  <c r="D35" i="76"/>
  <c r="D31" i="76"/>
  <c r="D27" i="76"/>
  <c r="D23" i="76"/>
  <c r="D19" i="76"/>
  <c r="D15" i="76"/>
  <c r="D14" i="76"/>
  <c r="D13" i="76"/>
  <c r="G13" i="76" s="1"/>
  <c r="H13" i="76" s="1"/>
  <c r="D12" i="76"/>
  <c r="D11" i="76"/>
  <c r="D10" i="76"/>
  <c r="D57" i="76"/>
  <c r="G57" i="76" s="1"/>
  <c r="D52" i="76"/>
  <c r="G52" i="76" s="1"/>
  <c r="D48" i="76"/>
  <c r="G48" i="76" s="1"/>
  <c r="H48" i="76" s="1"/>
  <c r="D44" i="76"/>
  <c r="G44" i="76" s="1"/>
  <c r="H44" i="76" s="1"/>
  <c r="D40" i="76"/>
  <c r="G40" i="76" s="1"/>
  <c r="H40" i="76" s="1"/>
  <c r="D36" i="76"/>
  <c r="G36" i="76" s="1"/>
  <c r="H36" i="76" s="1"/>
  <c r="D32" i="76"/>
  <c r="G32" i="76" s="1"/>
  <c r="H32" i="76" s="1"/>
  <c r="D28" i="76"/>
  <c r="G28" i="76" s="1"/>
  <c r="H28" i="76" s="1"/>
  <c r="D24" i="76"/>
  <c r="G24" i="76" s="1"/>
  <c r="D20" i="76"/>
  <c r="G20" i="76" s="1"/>
  <c r="D16" i="76"/>
  <c r="G16" i="76" s="1"/>
  <c r="H16" i="76" s="1"/>
  <c r="D9" i="76"/>
  <c r="G9" i="76" s="1"/>
  <c r="H9" i="76" s="1"/>
  <c r="D17" i="76"/>
  <c r="D33" i="76"/>
  <c r="D49" i="76"/>
  <c r="D29" i="76"/>
  <c r="D45" i="76"/>
  <c r="J3" i="76"/>
  <c r="J3" i="75"/>
  <c r="J3" i="74"/>
  <c r="J3" i="73"/>
  <c r="J3" i="72"/>
  <c r="J3" i="71"/>
  <c r="H12" i="71" l="1"/>
  <c r="H57" i="71"/>
  <c r="G31" i="72"/>
  <c r="H30" i="71"/>
  <c r="G33" i="76"/>
  <c r="H33" i="76" s="1"/>
  <c r="G12" i="76"/>
  <c r="H12" i="76" s="1"/>
  <c r="G35" i="76"/>
  <c r="H35" i="76" s="1"/>
  <c r="G26" i="76"/>
  <c r="H26" i="76" s="1"/>
  <c r="G55" i="75"/>
  <c r="H55" i="75" s="1"/>
  <c r="G41" i="75"/>
  <c r="H41" i="75" s="1"/>
  <c r="G53" i="76"/>
  <c r="H53" i="76" s="1"/>
  <c r="G30" i="75"/>
  <c r="H30" i="75" s="1"/>
  <c r="G28" i="74"/>
  <c r="E9" i="74"/>
  <c r="G12" i="72"/>
  <c r="H12" i="72" s="1"/>
  <c r="G54" i="72"/>
  <c r="G23" i="72"/>
  <c r="G20" i="71"/>
  <c r="G17" i="76"/>
  <c r="H17" i="76" s="1"/>
  <c r="G39" i="76"/>
  <c r="H39" i="76" s="1"/>
  <c r="G30" i="76"/>
  <c r="H30" i="76" s="1"/>
  <c r="H47" i="75"/>
  <c r="G13" i="75"/>
  <c r="H13" i="75" s="1"/>
  <c r="H45" i="75"/>
  <c r="H43" i="75"/>
  <c r="H10" i="74"/>
  <c r="G27" i="75"/>
  <c r="H27" i="75" s="1"/>
  <c r="G20" i="74"/>
  <c r="H20" i="74" s="1"/>
  <c r="G42" i="74"/>
  <c r="H42" i="74" s="1"/>
  <c r="H33" i="74"/>
  <c r="G15" i="73"/>
  <c r="G47" i="73"/>
  <c r="G31" i="75"/>
  <c r="H31" i="75" s="1"/>
  <c r="G39" i="75"/>
  <c r="H39" i="75" s="1"/>
  <c r="G12" i="75"/>
  <c r="H12" i="75" s="1"/>
  <c r="H52" i="75"/>
  <c r="G21" i="75"/>
  <c r="H21" i="75" s="1"/>
  <c r="G37" i="74"/>
  <c r="H37" i="74" s="1"/>
  <c r="H9" i="71"/>
  <c r="G40" i="73"/>
  <c r="G51" i="73"/>
  <c r="H7" i="71"/>
  <c r="G18" i="74"/>
  <c r="G35" i="75"/>
  <c r="H35" i="75" s="1"/>
  <c r="G55" i="73"/>
  <c r="H55" i="73" s="1"/>
  <c r="G25" i="72"/>
  <c r="G40" i="72"/>
  <c r="H37" i="71"/>
  <c r="G43" i="72"/>
  <c r="G15" i="74"/>
  <c r="H15" i="74" s="1"/>
  <c r="G17" i="75"/>
  <c r="H17" i="75" s="1"/>
  <c r="G21" i="76"/>
  <c r="H21" i="76" s="1"/>
  <c r="H47" i="71"/>
  <c r="G26" i="73"/>
  <c r="H26" i="73" s="1"/>
  <c r="G16" i="73"/>
  <c r="G48" i="73"/>
  <c r="G46" i="72"/>
  <c r="H46" i="72" s="1"/>
  <c r="G29" i="72"/>
  <c r="H29" i="72" s="1"/>
  <c r="G44" i="72"/>
  <c r="G34" i="71"/>
  <c r="H34" i="71" s="1"/>
  <c r="G46" i="71"/>
  <c r="G29" i="76"/>
  <c r="H29" i="76" s="1"/>
  <c r="H24" i="76"/>
  <c r="H57" i="76"/>
  <c r="G23" i="76"/>
  <c r="H23" i="76" s="1"/>
  <c r="G55" i="76"/>
  <c r="H55" i="76" s="1"/>
  <c r="G35" i="74"/>
  <c r="G26" i="74"/>
  <c r="G14" i="71"/>
  <c r="H14" i="71" s="1"/>
  <c r="G34" i="73"/>
  <c r="H34" i="73" s="1"/>
  <c r="G20" i="73"/>
  <c r="G52" i="73"/>
  <c r="H52" i="73" s="1"/>
  <c r="G31" i="73"/>
  <c r="H31" i="73" s="1"/>
  <c r="G38" i="72"/>
  <c r="G33" i="72"/>
  <c r="G24" i="71"/>
  <c r="H24" i="71" s="1"/>
  <c r="G29" i="71"/>
  <c r="H29" i="71" s="1"/>
  <c r="G36" i="71"/>
  <c r="H36" i="71" s="1"/>
  <c r="G25" i="71"/>
  <c r="H25" i="71" s="1"/>
  <c r="H44" i="72"/>
  <c r="E31" i="74"/>
  <c r="G31" i="74"/>
  <c r="H31" i="74" s="1"/>
  <c r="H11" i="73"/>
  <c r="G34" i="76"/>
  <c r="H34" i="76" s="1"/>
  <c r="H46" i="74"/>
  <c r="H18" i="74"/>
  <c r="G15" i="76"/>
  <c r="H15" i="76" s="1"/>
  <c r="H57" i="75"/>
  <c r="H16" i="74"/>
  <c r="H41" i="74"/>
  <c r="G35" i="71"/>
  <c r="H35" i="71" s="1"/>
  <c r="G42" i="73"/>
  <c r="H42" i="73" s="1"/>
  <c r="G24" i="73"/>
  <c r="H24" i="73" s="1"/>
  <c r="G35" i="73"/>
  <c r="H35" i="73" s="1"/>
  <c r="H37" i="72"/>
  <c r="H52" i="72"/>
  <c r="H42" i="71"/>
  <c r="H15" i="72"/>
  <c r="H20" i="71"/>
  <c r="E52" i="71"/>
  <c r="G52" i="71"/>
  <c r="H52" i="71" s="1"/>
  <c r="G19" i="72"/>
  <c r="H19" i="72" s="1"/>
  <c r="G13" i="74"/>
  <c r="H13" i="74" s="1"/>
  <c r="G25" i="75"/>
  <c r="H25" i="75" s="1"/>
  <c r="H7" i="72"/>
  <c r="H31" i="72"/>
  <c r="G10" i="72"/>
  <c r="H10" i="72" s="1"/>
  <c r="G22" i="75"/>
  <c r="H22" i="75" s="1"/>
  <c r="H48" i="72"/>
  <c r="H50" i="72"/>
  <c r="H7" i="74"/>
  <c r="G47" i="76"/>
  <c r="H47" i="76" s="1"/>
  <c r="H29" i="75"/>
  <c r="H11" i="75"/>
  <c r="G53" i="75"/>
  <c r="H53" i="75" s="1"/>
  <c r="H51" i="74"/>
  <c r="H7" i="75"/>
  <c r="H50" i="74"/>
  <c r="G12" i="73"/>
  <c r="H12" i="73" s="1"/>
  <c r="G30" i="72"/>
  <c r="H30" i="72" s="1"/>
  <c r="H20" i="72"/>
  <c r="H21" i="71"/>
  <c r="G44" i="71"/>
  <c r="H44" i="71" s="1"/>
  <c r="G27" i="72"/>
  <c r="H27" i="72" s="1"/>
  <c r="H20" i="76"/>
  <c r="H52" i="76"/>
  <c r="G19" i="76"/>
  <c r="H19" i="76" s="1"/>
  <c r="G51" i="76"/>
  <c r="H51" i="76" s="1"/>
  <c r="H42" i="76"/>
  <c r="H26" i="75"/>
  <c r="G10" i="75"/>
  <c r="H10" i="75" s="1"/>
  <c r="G28" i="75"/>
  <c r="H28" i="75" s="1"/>
  <c r="G42" i="75"/>
  <c r="H42" i="75" s="1"/>
  <c r="G43" i="74"/>
  <c r="H43" i="74" s="1"/>
  <c r="G41" i="76"/>
  <c r="H41" i="76" s="1"/>
  <c r="G16" i="75"/>
  <c r="H16" i="75" s="1"/>
  <c r="G22" i="74"/>
  <c r="H22" i="74" s="1"/>
  <c r="G54" i="74"/>
  <c r="H54" i="74" s="1"/>
  <c r="G45" i="74"/>
  <c r="H45" i="74" s="1"/>
  <c r="G31" i="71"/>
  <c r="H31" i="71" s="1"/>
  <c r="G11" i="71"/>
  <c r="H11" i="71" s="1"/>
  <c r="E18" i="74"/>
  <c r="G22" i="73"/>
  <c r="H22" i="73" s="1"/>
  <c r="G28" i="73"/>
  <c r="H28" i="73" s="1"/>
  <c r="G13" i="73"/>
  <c r="H13" i="73" s="1"/>
  <c r="G39" i="73"/>
  <c r="H39" i="73" s="1"/>
  <c r="G22" i="72"/>
  <c r="H22" i="72" s="1"/>
  <c r="G41" i="72"/>
  <c r="H41" i="72" s="1"/>
  <c r="G24" i="72"/>
  <c r="H24" i="72" s="1"/>
  <c r="H57" i="72"/>
  <c r="G32" i="71"/>
  <c r="H32" i="71" s="1"/>
  <c r="G17" i="71"/>
  <c r="H17" i="71" s="1"/>
  <c r="G45" i="71"/>
  <c r="H45" i="71" s="1"/>
  <c r="E50" i="72"/>
  <c r="G14" i="72"/>
  <c r="H14" i="72" s="1"/>
  <c r="E24" i="74"/>
  <c r="H57" i="74"/>
  <c r="G55" i="74"/>
  <c r="H55" i="74" s="1"/>
  <c r="G29" i="73"/>
  <c r="H29" i="73" s="1"/>
  <c r="G48" i="75"/>
  <c r="H48" i="75" s="1"/>
  <c r="H48" i="73"/>
  <c r="H9" i="72"/>
  <c r="G49" i="73"/>
  <c r="H49" i="73" s="1"/>
  <c r="H33" i="72"/>
  <c r="H23" i="72"/>
  <c r="H43" i="72"/>
  <c r="G45" i="76"/>
  <c r="H45" i="76" s="1"/>
  <c r="G46" i="76"/>
  <c r="H46" i="76" s="1"/>
  <c r="G23" i="75"/>
  <c r="H23" i="75" s="1"/>
  <c r="H9" i="75"/>
  <c r="G32" i="75"/>
  <c r="H32" i="75" s="1"/>
  <c r="G34" i="75"/>
  <c r="H34" i="75" s="1"/>
  <c r="H35" i="74"/>
  <c r="G37" i="76"/>
  <c r="H37" i="76" s="1"/>
  <c r="G52" i="74"/>
  <c r="H52" i="74" s="1"/>
  <c r="H26" i="74"/>
  <c r="G17" i="74"/>
  <c r="H17" i="74" s="1"/>
  <c r="H49" i="74"/>
  <c r="H27" i="71"/>
  <c r="G10" i="71"/>
  <c r="H10" i="71" s="1"/>
  <c r="G53" i="73"/>
  <c r="H53" i="73" s="1"/>
  <c r="H9" i="73"/>
  <c r="H30" i="73"/>
  <c r="G43" i="73"/>
  <c r="H43" i="73" s="1"/>
  <c r="G45" i="72"/>
  <c r="H45" i="72" s="1"/>
  <c r="G28" i="72"/>
  <c r="H28" i="72" s="1"/>
  <c r="H54" i="72"/>
  <c r="E15" i="74"/>
  <c r="G22" i="71"/>
  <c r="H22" i="71" s="1"/>
  <c r="G11" i="72"/>
  <c r="H11" i="72" s="1"/>
  <c r="H55" i="71"/>
  <c r="G26" i="71"/>
  <c r="H26" i="71" s="1"/>
  <c r="E42" i="72"/>
  <c r="G42" i="72"/>
  <c r="H42" i="72" s="1"/>
  <c r="E40" i="74"/>
  <c r="G40" i="74"/>
  <c r="H40" i="74" s="1"/>
  <c r="E48" i="74"/>
  <c r="G48" i="74"/>
  <c r="H48" i="74" s="1"/>
  <c r="G46" i="75"/>
  <c r="H46" i="75" s="1"/>
  <c r="G51" i="72"/>
  <c r="H51" i="72" s="1"/>
  <c r="H16" i="73"/>
  <c r="G14" i="76"/>
  <c r="H14" i="76" s="1"/>
  <c r="H16" i="72"/>
  <c r="G10" i="76"/>
  <c r="H10" i="76" s="1"/>
  <c r="G18" i="76"/>
  <c r="H18" i="76" s="1"/>
  <c r="H44" i="74"/>
  <c r="H53" i="74"/>
  <c r="G17" i="73"/>
  <c r="H17" i="73" s="1"/>
  <c r="H15" i="73"/>
  <c r="G17" i="72"/>
  <c r="H17" i="72" s="1"/>
  <c r="G49" i="71"/>
  <c r="H49" i="71" s="1"/>
  <c r="G16" i="71"/>
  <c r="H16" i="71" s="1"/>
  <c r="E10" i="72"/>
  <c r="G26" i="72"/>
  <c r="H26" i="72" s="1"/>
  <c r="G50" i="75"/>
  <c r="H50" i="75" s="1"/>
  <c r="H57" i="73"/>
  <c r="E32" i="74"/>
  <c r="G32" i="74"/>
  <c r="H32" i="74" s="1"/>
  <c r="G49" i="75"/>
  <c r="H49" i="75" s="1"/>
  <c r="H19" i="74"/>
  <c r="H20" i="73"/>
  <c r="H38" i="72"/>
  <c r="E9" i="72"/>
  <c r="G27" i="76"/>
  <c r="H27" i="76" s="1"/>
  <c r="G36" i="75"/>
  <c r="H36" i="75" s="1"/>
  <c r="H27" i="74"/>
  <c r="G30" i="74"/>
  <c r="H30" i="74" s="1"/>
  <c r="G21" i="74"/>
  <c r="H21" i="74" s="1"/>
  <c r="E7" i="74"/>
  <c r="G21" i="73"/>
  <c r="H21" i="73" s="1"/>
  <c r="H38" i="73"/>
  <c r="H47" i="73"/>
  <c r="G49" i="72"/>
  <c r="H49" i="72" s="1"/>
  <c r="G32" i="72"/>
  <c r="H32" i="72" s="1"/>
  <c r="G50" i="71"/>
  <c r="H50" i="71" s="1"/>
  <c r="E26" i="72"/>
  <c r="H24" i="74"/>
  <c r="G39" i="74"/>
  <c r="H39" i="74" s="1"/>
  <c r="G49" i="76"/>
  <c r="H49" i="76" s="1"/>
  <c r="G11" i="76"/>
  <c r="H11" i="76" s="1"/>
  <c r="G31" i="76"/>
  <c r="H31" i="76" s="1"/>
  <c r="G54" i="76"/>
  <c r="H54" i="76" s="1"/>
  <c r="G15" i="75"/>
  <c r="H15" i="75" s="1"/>
  <c r="G37" i="75"/>
  <c r="H37" i="75" s="1"/>
  <c r="G40" i="75"/>
  <c r="H40" i="75" s="1"/>
  <c r="G20" i="75"/>
  <c r="H20" i="75" s="1"/>
  <c r="G14" i="74"/>
  <c r="H14" i="74" s="1"/>
  <c r="G38" i="75"/>
  <c r="H38" i="75" s="1"/>
  <c r="G36" i="74"/>
  <c r="H36" i="74" s="1"/>
  <c r="G34" i="74"/>
  <c r="H34" i="74" s="1"/>
  <c r="G25" i="74"/>
  <c r="H25" i="74" s="1"/>
  <c r="E35" i="75"/>
  <c r="G51" i="71"/>
  <c r="H51" i="71" s="1"/>
  <c r="H19" i="71"/>
  <c r="G10" i="73"/>
  <c r="H10" i="73" s="1"/>
  <c r="G25" i="73"/>
  <c r="H25" i="73" s="1"/>
  <c r="G46" i="73"/>
  <c r="H46" i="73" s="1"/>
  <c r="H40" i="73"/>
  <c r="G19" i="73"/>
  <c r="H19" i="73" s="1"/>
  <c r="H51" i="73"/>
  <c r="G21" i="72"/>
  <c r="H21" i="72" s="1"/>
  <c r="G53" i="72"/>
  <c r="H53" i="72" s="1"/>
  <c r="H36" i="72"/>
  <c r="G40" i="71"/>
  <c r="H40" i="71" s="1"/>
  <c r="E11" i="73"/>
  <c r="E46" i="75"/>
  <c r="G54" i="71"/>
  <c r="H54" i="71" s="1"/>
  <c r="H46" i="71"/>
  <c r="E43" i="72"/>
  <c r="G41" i="71"/>
  <c r="H41" i="71" s="1"/>
  <c r="G34" i="72"/>
  <c r="H34" i="72" s="1"/>
  <c r="G13" i="72"/>
  <c r="H13" i="72" s="1"/>
  <c r="H9" i="74"/>
  <c r="G23" i="74"/>
  <c r="H23" i="74" s="1"/>
  <c r="G51" i="75"/>
  <c r="H51" i="75" s="1"/>
  <c r="G14" i="75"/>
  <c r="H14" i="75" s="1"/>
  <c r="G44" i="75"/>
  <c r="H44" i="75" s="1"/>
  <c r="H12" i="74"/>
  <c r="H28" i="74"/>
  <c r="G38" i="74"/>
  <c r="H38" i="74" s="1"/>
  <c r="G29" i="74"/>
  <c r="H29" i="74" s="1"/>
  <c r="E31" i="75"/>
  <c r="G15" i="71"/>
  <c r="H15" i="71" s="1"/>
  <c r="H33" i="73"/>
  <c r="H7" i="73"/>
  <c r="H44" i="73"/>
  <c r="H25" i="72"/>
  <c r="H55" i="72"/>
  <c r="H40" i="72"/>
  <c r="G39" i="72"/>
  <c r="H39" i="72" s="1"/>
  <c r="G18" i="72"/>
  <c r="H18" i="72" s="1"/>
  <c r="E47" i="72"/>
  <c r="G47" i="72"/>
  <c r="H47" i="72" s="1"/>
  <c r="G47" i="74"/>
  <c r="H47" i="74" s="1"/>
  <c r="E11" i="74"/>
  <c r="G11" i="74"/>
  <c r="H11" i="74" s="1"/>
  <c r="E18" i="75"/>
  <c r="G18" i="75"/>
  <c r="H18" i="75" s="1"/>
  <c r="H35" i="72"/>
  <c r="G37" i="73"/>
  <c r="H37" i="73" s="1"/>
  <c r="E47" i="74"/>
  <c r="E57" i="74"/>
  <c r="E34" i="72"/>
  <c r="E16" i="76"/>
  <c r="E48" i="76"/>
  <c r="E15" i="76"/>
  <c r="E31" i="76"/>
  <c r="E22" i="76"/>
  <c r="E54" i="76"/>
  <c r="E15" i="75"/>
  <c r="E37" i="75"/>
  <c r="E40" i="75"/>
  <c r="E57" i="75"/>
  <c r="E51" i="74"/>
  <c r="E7" i="76"/>
  <c r="E7" i="75"/>
  <c r="E16" i="74"/>
  <c r="E50" i="74"/>
  <c r="E41" i="74"/>
  <c r="E22" i="73"/>
  <c r="E28" i="73"/>
  <c r="E44" i="73"/>
  <c r="E39" i="73"/>
  <c r="E22" i="72"/>
  <c r="E41" i="72"/>
  <c r="E55" i="72"/>
  <c r="E40" i="72"/>
  <c r="E37" i="71"/>
  <c r="E39" i="72"/>
  <c r="E23" i="72"/>
  <c r="E55" i="71"/>
  <c r="E45" i="71"/>
  <c r="E20" i="76"/>
  <c r="E52" i="76"/>
  <c r="E12" i="76"/>
  <c r="E35" i="76"/>
  <c r="E51" i="76"/>
  <c r="E42" i="76"/>
  <c r="E55" i="75"/>
  <c r="E14" i="75"/>
  <c r="E41" i="75"/>
  <c r="E28" i="75"/>
  <c r="E42" i="75"/>
  <c r="E53" i="76"/>
  <c r="E12" i="74"/>
  <c r="E41" i="76"/>
  <c r="E16" i="75"/>
  <c r="E22" i="74"/>
  <c r="E38" i="74"/>
  <c r="E29" i="74"/>
  <c r="E51" i="71"/>
  <c r="E35" i="71"/>
  <c r="E12" i="71"/>
  <c r="E53" i="73"/>
  <c r="E26" i="73"/>
  <c r="E16" i="73"/>
  <c r="E46" i="72"/>
  <c r="E12" i="72"/>
  <c r="E45" i="72"/>
  <c r="E7" i="72"/>
  <c r="E28" i="72"/>
  <c r="E44" i="72"/>
  <c r="E54" i="72"/>
  <c r="E16" i="71"/>
  <c r="E44" i="71"/>
  <c r="E54" i="71"/>
  <c r="E30" i="71"/>
  <c r="E26" i="71"/>
  <c r="E25" i="71"/>
  <c r="E45" i="76"/>
  <c r="E17" i="76"/>
  <c r="E24" i="76"/>
  <c r="E40" i="76"/>
  <c r="E57" i="76"/>
  <c r="E13" i="76"/>
  <c r="E23" i="76"/>
  <c r="E39" i="76"/>
  <c r="E55" i="76"/>
  <c r="E30" i="76"/>
  <c r="E46" i="76"/>
  <c r="E47" i="75"/>
  <c r="E23" i="75"/>
  <c r="E13" i="75"/>
  <c r="E9" i="75"/>
  <c r="E45" i="75"/>
  <c r="E32" i="75"/>
  <c r="E48" i="75"/>
  <c r="E34" i="75"/>
  <c r="E43" i="75"/>
  <c r="E35" i="74"/>
  <c r="E10" i="74"/>
  <c r="E37" i="76"/>
  <c r="E27" i="75"/>
  <c r="E52" i="74"/>
  <c r="E20" i="74"/>
  <c r="E26" i="74"/>
  <c r="E42" i="74"/>
  <c r="E17" i="74"/>
  <c r="E33" i="74"/>
  <c r="E49" i="74"/>
  <c r="E47" i="71"/>
  <c r="E31" i="71"/>
  <c r="E15" i="71"/>
  <c r="E11" i="71"/>
  <c r="E21" i="73"/>
  <c r="E34" i="73"/>
  <c r="E17" i="73"/>
  <c r="E49" i="73"/>
  <c r="E38" i="73"/>
  <c r="E20" i="73"/>
  <c r="E52" i="73"/>
  <c r="E15" i="73"/>
  <c r="E31" i="73"/>
  <c r="E47" i="73"/>
  <c r="E38" i="72"/>
  <c r="E17" i="72"/>
  <c r="E33" i="72"/>
  <c r="E49" i="72"/>
  <c r="E16" i="72"/>
  <c r="E32" i="72"/>
  <c r="E48" i="72"/>
  <c r="E49" i="71"/>
  <c r="E24" i="71"/>
  <c r="E42" i="71"/>
  <c r="E31" i="72"/>
  <c r="E15" i="72"/>
  <c r="E46" i="71"/>
  <c r="E20" i="71"/>
  <c r="E7" i="71"/>
  <c r="E49" i="76"/>
  <c r="E32" i="76"/>
  <c r="E11" i="76"/>
  <c r="E47" i="76"/>
  <c r="E38" i="76"/>
  <c r="E29" i="75"/>
  <c r="E11" i="75"/>
  <c r="E53" i="75"/>
  <c r="E20" i="75"/>
  <c r="E14" i="74"/>
  <c r="E38" i="75"/>
  <c r="E36" i="74"/>
  <c r="E34" i="74"/>
  <c r="E25" i="74"/>
  <c r="I18" i="74"/>
  <c r="J18" i="74" s="1"/>
  <c r="I31" i="74"/>
  <c r="J31" i="74" s="1"/>
  <c r="I14" i="74"/>
  <c r="J14" i="74" s="1"/>
  <c r="I12" i="74"/>
  <c r="J12" i="74" s="1"/>
  <c r="I10" i="74"/>
  <c r="J10" i="74" s="1"/>
  <c r="I21" i="74"/>
  <c r="J21" i="74" s="1"/>
  <c r="I20" i="74"/>
  <c r="J20" i="74" s="1"/>
  <c r="I15" i="74"/>
  <c r="J15" i="74" s="1"/>
  <c r="I29" i="74"/>
  <c r="J29" i="74" s="1"/>
  <c r="I9" i="74"/>
  <c r="J9" i="74" s="1"/>
  <c r="I7" i="74"/>
  <c r="J7" i="74" s="1"/>
  <c r="E39" i="71"/>
  <c r="E9" i="71"/>
  <c r="E33" i="73"/>
  <c r="E7" i="73"/>
  <c r="E13" i="73"/>
  <c r="E55" i="73"/>
  <c r="E25" i="72"/>
  <c r="E24" i="72"/>
  <c r="E57" i="72"/>
  <c r="E29" i="71"/>
  <c r="E50" i="71"/>
  <c r="E11" i="72"/>
  <c r="E33" i="76"/>
  <c r="E36" i="76"/>
  <c r="E19" i="76"/>
  <c r="E26" i="76"/>
  <c r="E26" i="75"/>
  <c r="E10" i="75"/>
  <c r="E44" i="75"/>
  <c r="E43" i="74"/>
  <c r="E30" i="75"/>
  <c r="E28" i="74"/>
  <c r="E54" i="74"/>
  <c r="E45" i="74"/>
  <c r="E19" i="71"/>
  <c r="E9" i="73"/>
  <c r="E30" i="73"/>
  <c r="E48" i="73"/>
  <c r="E43" i="73"/>
  <c r="E29" i="72"/>
  <c r="E34" i="71"/>
  <c r="E29" i="76"/>
  <c r="E9" i="76"/>
  <c r="E28" i="76"/>
  <c r="E44" i="76"/>
  <c r="E10" i="76"/>
  <c r="E14" i="76"/>
  <c r="E27" i="76"/>
  <c r="E43" i="76"/>
  <c r="E18" i="76"/>
  <c r="E34" i="76"/>
  <c r="E50" i="76"/>
  <c r="E39" i="75"/>
  <c r="E19" i="75"/>
  <c r="E12" i="75"/>
  <c r="E33" i="75"/>
  <c r="E49" i="75"/>
  <c r="E36" i="75"/>
  <c r="E52" i="75"/>
  <c r="E24" i="75"/>
  <c r="E21" i="75"/>
  <c r="E27" i="74"/>
  <c r="E25" i="76"/>
  <c r="E54" i="75"/>
  <c r="E22" i="75"/>
  <c r="E44" i="74"/>
  <c r="E19" i="74"/>
  <c r="E30" i="74"/>
  <c r="E46" i="74"/>
  <c r="E21" i="74"/>
  <c r="E37" i="74"/>
  <c r="E53" i="74"/>
  <c r="E27" i="71"/>
  <c r="E14" i="71"/>
  <c r="E10" i="71"/>
  <c r="E10" i="73"/>
  <c r="E42" i="73"/>
  <c r="E25" i="73"/>
  <c r="E12" i="73"/>
  <c r="E46" i="73"/>
  <c r="E24" i="73"/>
  <c r="E40" i="73"/>
  <c r="E19" i="73"/>
  <c r="E35" i="73"/>
  <c r="E51" i="73"/>
  <c r="E30" i="72"/>
  <c r="E21" i="72"/>
  <c r="E37" i="72"/>
  <c r="E53" i="72"/>
  <c r="E20" i="72"/>
  <c r="E36" i="72"/>
  <c r="E52" i="72"/>
  <c r="E40" i="71"/>
  <c r="E21" i="71"/>
  <c r="E32" i="71"/>
  <c r="E57" i="71"/>
  <c r="E22" i="71"/>
  <c r="E36" i="71"/>
  <c r="E17" i="71"/>
  <c r="E41" i="71"/>
  <c r="J3" i="68"/>
  <c r="J3" i="3"/>
  <c r="H29" i="3" s="1"/>
  <c r="P8" i="68"/>
  <c r="H21" i="70" s="1"/>
  <c r="P9" i="68"/>
  <c r="P10" i="68"/>
  <c r="P11" i="68"/>
  <c r="P12" i="68"/>
  <c r="P13" i="68"/>
  <c r="P14" i="68"/>
  <c r="P7" i="68"/>
  <c r="H4" i="68"/>
  <c r="H3" i="68"/>
  <c r="D44" i="68" s="1"/>
  <c r="I38" i="74" l="1"/>
  <c r="J38" i="74" s="1"/>
  <c r="I13" i="74"/>
  <c r="J13" i="74" s="1"/>
  <c r="I17" i="74"/>
  <c r="J17" i="74" s="1"/>
  <c r="I22" i="74"/>
  <c r="J22" i="74" s="1"/>
  <c r="I34" i="74"/>
  <c r="J34" i="74" s="1"/>
  <c r="I19" i="74"/>
  <c r="J19" i="74" s="1"/>
  <c r="I11" i="74"/>
  <c r="J11" i="74" s="1"/>
  <c r="I16" i="74"/>
  <c r="J16" i="74" s="1"/>
  <c r="I23" i="74"/>
  <c r="J23" i="74" s="1"/>
  <c r="I51" i="74"/>
  <c r="J51" i="74" s="1"/>
  <c r="I24" i="74"/>
  <c r="J24" i="74" s="1"/>
  <c r="I37" i="74"/>
  <c r="J37" i="74" s="1"/>
  <c r="I42" i="74"/>
  <c r="J42" i="74" s="1"/>
  <c r="I25" i="74"/>
  <c r="J25" i="74" s="1"/>
  <c r="I27" i="74"/>
  <c r="J27" i="74" s="1"/>
  <c r="I46" i="74"/>
  <c r="J46" i="74" s="1"/>
  <c r="I54" i="74"/>
  <c r="J54" i="74" s="1"/>
  <c r="I53" i="74"/>
  <c r="J53" i="74" s="1"/>
  <c r="I28" i="74"/>
  <c r="J28" i="74" s="1"/>
  <c r="I36" i="74"/>
  <c r="J36" i="74" s="1"/>
  <c r="I33" i="74"/>
  <c r="J33" i="74" s="1"/>
  <c r="I32" i="74"/>
  <c r="J32" i="74" s="1"/>
  <c r="I35" i="74"/>
  <c r="J35" i="74" s="1"/>
  <c r="I26" i="74"/>
  <c r="J26" i="74" s="1"/>
  <c r="I50" i="74"/>
  <c r="J50" i="74" s="1"/>
  <c r="H24" i="70"/>
  <c r="I44" i="74"/>
  <c r="J44" i="74" s="1"/>
  <c r="I52" i="74"/>
  <c r="J52" i="74" s="1"/>
  <c r="I41" i="74"/>
  <c r="J41" i="74" s="1"/>
  <c r="I40" i="74"/>
  <c r="J40" i="74" s="1"/>
  <c r="I39" i="74"/>
  <c r="J39" i="74" s="1"/>
  <c r="I30" i="74"/>
  <c r="J30" i="74" s="1"/>
  <c r="I45" i="74"/>
  <c r="J45" i="74" s="1"/>
  <c r="I55" i="74"/>
  <c r="J55" i="74" s="1"/>
  <c r="H23" i="70"/>
  <c r="I49" i="74"/>
  <c r="J49" i="74" s="1"/>
  <c r="I48" i="74"/>
  <c r="J48" i="74" s="1"/>
  <c r="I43" i="74"/>
  <c r="J43" i="74" s="1"/>
  <c r="I57" i="74"/>
  <c r="J57" i="74" s="1"/>
  <c r="P17" i="74" s="1"/>
  <c r="I47" i="74"/>
  <c r="J47" i="74" s="1"/>
  <c r="D7" i="68"/>
  <c r="G7" i="68" s="1"/>
  <c r="H7" i="68" s="1"/>
  <c r="H22" i="70"/>
  <c r="H38" i="3"/>
  <c r="H34" i="3"/>
  <c r="H37" i="3"/>
  <c r="H20" i="70"/>
  <c r="H18" i="3"/>
  <c r="H44" i="3"/>
  <c r="H31" i="3"/>
  <c r="H26" i="70"/>
  <c r="H21" i="3"/>
  <c r="H16" i="3"/>
  <c r="H32" i="3"/>
  <c r="H46" i="3"/>
  <c r="H35" i="3"/>
  <c r="H27" i="3"/>
  <c r="H30" i="3"/>
  <c r="H48" i="3"/>
  <c r="H14" i="3"/>
  <c r="H24" i="3"/>
  <c r="H49" i="3"/>
  <c r="H33" i="3"/>
  <c r="H17" i="3"/>
  <c r="H26" i="3"/>
  <c r="H41" i="3"/>
  <c r="H23" i="3"/>
  <c r="H22" i="3"/>
  <c r="H42" i="3"/>
  <c r="H25" i="3"/>
  <c r="H47" i="3"/>
  <c r="H19" i="3"/>
  <c r="H45" i="3"/>
  <c r="H50" i="3"/>
  <c r="H40" i="3"/>
  <c r="H27" i="70"/>
  <c r="H25" i="70"/>
  <c r="H39" i="3"/>
  <c r="H15" i="3"/>
  <c r="F53" i="74"/>
  <c r="F13" i="74"/>
  <c r="F20" i="74"/>
  <c r="F52" i="74"/>
  <c r="F27" i="74"/>
  <c r="F54" i="74"/>
  <c r="F15" i="74"/>
  <c r="I55" i="72"/>
  <c r="J55" i="72" s="1"/>
  <c r="I57" i="72"/>
  <c r="J57" i="72" s="1"/>
  <c r="P17" i="72" s="1"/>
  <c r="I53" i="72"/>
  <c r="J53" i="72" s="1"/>
  <c r="I49" i="72"/>
  <c r="J49" i="72" s="1"/>
  <c r="I45" i="72"/>
  <c r="J45" i="72" s="1"/>
  <c r="I41" i="72"/>
  <c r="J41" i="72" s="1"/>
  <c r="I37" i="72"/>
  <c r="J37" i="72" s="1"/>
  <c r="I33" i="72"/>
  <c r="J33" i="72" s="1"/>
  <c r="I29" i="72"/>
  <c r="J29" i="72" s="1"/>
  <c r="I25" i="72"/>
  <c r="J25" i="72" s="1"/>
  <c r="I21" i="72"/>
  <c r="J21" i="72" s="1"/>
  <c r="I17" i="72"/>
  <c r="J17" i="72" s="1"/>
  <c r="I50" i="72"/>
  <c r="J50" i="72" s="1"/>
  <c r="I46" i="72"/>
  <c r="J46" i="72" s="1"/>
  <c r="I42" i="72"/>
  <c r="J42" i="72" s="1"/>
  <c r="I38" i="72"/>
  <c r="J38" i="72" s="1"/>
  <c r="I34" i="72"/>
  <c r="J34" i="72" s="1"/>
  <c r="I30" i="72"/>
  <c r="J30" i="72" s="1"/>
  <c r="I26" i="72"/>
  <c r="J26" i="72" s="1"/>
  <c r="I22" i="72"/>
  <c r="J22" i="72" s="1"/>
  <c r="I18" i="72"/>
  <c r="J18" i="72" s="1"/>
  <c r="I51" i="72"/>
  <c r="J51" i="72" s="1"/>
  <c r="I43" i="72"/>
  <c r="J43" i="72" s="1"/>
  <c r="I35" i="72"/>
  <c r="J35" i="72" s="1"/>
  <c r="I27" i="72"/>
  <c r="J27" i="72" s="1"/>
  <c r="I19" i="72"/>
  <c r="J19" i="72" s="1"/>
  <c r="I13" i="72"/>
  <c r="J13" i="72" s="1"/>
  <c r="I9" i="72"/>
  <c r="J9" i="72" s="1"/>
  <c r="I11" i="72"/>
  <c r="J11" i="72" s="1"/>
  <c r="I54" i="72"/>
  <c r="J54" i="72" s="1"/>
  <c r="I40" i="72"/>
  <c r="J40" i="72" s="1"/>
  <c r="I7" i="72"/>
  <c r="J7" i="72" s="1"/>
  <c r="I52" i="72"/>
  <c r="J52" i="72" s="1"/>
  <c r="I44" i="72"/>
  <c r="J44" i="72" s="1"/>
  <c r="I36" i="72"/>
  <c r="J36" i="72" s="1"/>
  <c r="I28" i="72"/>
  <c r="J28" i="72" s="1"/>
  <c r="I20" i="72"/>
  <c r="J20" i="72" s="1"/>
  <c r="I12" i="72"/>
  <c r="J12" i="72" s="1"/>
  <c r="I47" i="72"/>
  <c r="J47" i="72" s="1"/>
  <c r="I39" i="72"/>
  <c r="J39" i="72" s="1"/>
  <c r="I31" i="72"/>
  <c r="J31" i="72" s="1"/>
  <c r="I23" i="72"/>
  <c r="J23" i="72" s="1"/>
  <c r="I15" i="72"/>
  <c r="J15" i="72" s="1"/>
  <c r="I48" i="72"/>
  <c r="J48" i="72" s="1"/>
  <c r="I32" i="72"/>
  <c r="J32" i="72" s="1"/>
  <c r="I24" i="72"/>
  <c r="J24" i="72" s="1"/>
  <c r="I16" i="72"/>
  <c r="J16" i="72" s="1"/>
  <c r="I14" i="72"/>
  <c r="J14" i="72" s="1"/>
  <c r="I10" i="72"/>
  <c r="J10" i="72" s="1"/>
  <c r="F9" i="74"/>
  <c r="F7" i="74"/>
  <c r="F21" i="74"/>
  <c r="F18" i="74"/>
  <c r="F19" i="74"/>
  <c r="F51" i="74"/>
  <c r="I57" i="73"/>
  <c r="J57" i="73" s="1"/>
  <c r="P17" i="73" s="1"/>
  <c r="I55" i="73"/>
  <c r="J55" i="73" s="1"/>
  <c r="I52" i="73"/>
  <c r="J52" i="73" s="1"/>
  <c r="I48" i="73"/>
  <c r="J48" i="73" s="1"/>
  <c r="I44" i="73"/>
  <c r="J44" i="73" s="1"/>
  <c r="I40" i="73"/>
  <c r="J40" i="73" s="1"/>
  <c r="I28" i="73"/>
  <c r="J28" i="73" s="1"/>
  <c r="I24" i="73"/>
  <c r="J24" i="73" s="1"/>
  <c r="I20" i="73"/>
  <c r="J20" i="73" s="1"/>
  <c r="I16" i="73"/>
  <c r="J16" i="73" s="1"/>
  <c r="I49" i="73"/>
  <c r="J49" i="73" s="1"/>
  <c r="I37" i="73"/>
  <c r="J37" i="73" s="1"/>
  <c r="I33" i="73"/>
  <c r="J33" i="73" s="1"/>
  <c r="I29" i="73"/>
  <c r="J29" i="73" s="1"/>
  <c r="I25" i="73"/>
  <c r="J25" i="73" s="1"/>
  <c r="I21" i="73"/>
  <c r="J21" i="73" s="1"/>
  <c r="I17" i="73"/>
  <c r="J17" i="73" s="1"/>
  <c r="I51" i="73"/>
  <c r="J51" i="73" s="1"/>
  <c r="I43" i="73"/>
  <c r="J43" i="73" s="1"/>
  <c r="I35" i="73"/>
  <c r="J35" i="73" s="1"/>
  <c r="I19" i="73"/>
  <c r="J19" i="73" s="1"/>
  <c r="I13" i="73"/>
  <c r="J13" i="73" s="1"/>
  <c r="I53" i="73"/>
  <c r="J53" i="73" s="1"/>
  <c r="I46" i="73"/>
  <c r="J46" i="73" s="1"/>
  <c r="I38" i="73"/>
  <c r="J38" i="73" s="1"/>
  <c r="I30" i="73"/>
  <c r="J30" i="73" s="1"/>
  <c r="I22" i="73"/>
  <c r="J22" i="73" s="1"/>
  <c r="I12" i="73"/>
  <c r="J12" i="73" s="1"/>
  <c r="I9" i="73"/>
  <c r="J9" i="73" s="1"/>
  <c r="I7" i="73"/>
  <c r="J7" i="73" s="1"/>
  <c r="I47" i="73"/>
  <c r="J47" i="73" s="1"/>
  <c r="I39" i="73"/>
  <c r="J39" i="73" s="1"/>
  <c r="I31" i="73"/>
  <c r="J31" i="73" s="1"/>
  <c r="I15" i="73"/>
  <c r="J15" i="73" s="1"/>
  <c r="I10" i="73"/>
  <c r="J10" i="73" s="1"/>
  <c r="I34" i="73"/>
  <c r="J34" i="73" s="1"/>
  <c r="I26" i="73"/>
  <c r="J26" i="73" s="1"/>
  <c r="I42" i="73"/>
  <c r="J42" i="73" s="1"/>
  <c r="I11" i="73"/>
  <c r="J11" i="73" s="1"/>
  <c r="F46" i="74"/>
  <c r="F38" i="74"/>
  <c r="I55" i="76"/>
  <c r="J55" i="76" s="1"/>
  <c r="I51" i="76"/>
  <c r="J51" i="76" s="1"/>
  <c r="I47" i="76"/>
  <c r="J47" i="76" s="1"/>
  <c r="I43" i="76"/>
  <c r="J43" i="76" s="1"/>
  <c r="I39" i="76"/>
  <c r="J39" i="76" s="1"/>
  <c r="I35" i="76"/>
  <c r="J35" i="76" s="1"/>
  <c r="I31" i="76"/>
  <c r="J31" i="76" s="1"/>
  <c r="I27" i="76"/>
  <c r="J27" i="76" s="1"/>
  <c r="I23" i="76"/>
  <c r="J23" i="76" s="1"/>
  <c r="I19" i="76"/>
  <c r="J19" i="76" s="1"/>
  <c r="I15" i="76"/>
  <c r="J15" i="76" s="1"/>
  <c r="I57" i="76"/>
  <c r="J57" i="76" s="1"/>
  <c r="P17" i="76" s="1"/>
  <c r="I52" i="76"/>
  <c r="J52" i="76" s="1"/>
  <c r="I48" i="76"/>
  <c r="J48" i="76" s="1"/>
  <c r="I44" i="76"/>
  <c r="J44" i="76" s="1"/>
  <c r="I40" i="76"/>
  <c r="J40" i="76" s="1"/>
  <c r="I36" i="76"/>
  <c r="J36" i="76" s="1"/>
  <c r="I32" i="76"/>
  <c r="J32" i="76" s="1"/>
  <c r="I28" i="76"/>
  <c r="J28" i="76" s="1"/>
  <c r="I24" i="76"/>
  <c r="J24" i="76" s="1"/>
  <c r="I20" i="76"/>
  <c r="J20" i="76" s="1"/>
  <c r="I16" i="76"/>
  <c r="J16" i="76" s="1"/>
  <c r="I53" i="76"/>
  <c r="J53" i="76" s="1"/>
  <c r="I49" i="76"/>
  <c r="J49" i="76" s="1"/>
  <c r="I45" i="76"/>
  <c r="J45" i="76" s="1"/>
  <c r="I41" i="76"/>
  <c r="J41" i="76" s="1"/>
  <c r="I37" i="76"/>
  <c r="J37" i="76" s="1"/>
  <c r="I33" i="76"/>
  <c r="J33" i="76" s="1"/>
  <c r="I29" i="76"/>
  <c r="J29" i="76" s="1"/>
  <c r="I25" i="76"/>
  <c r="J25" i="76" s="1"/>
  <c r="I21" i="76"/>
  <c r="J21" i="76" s="1"/>
  <c r="I17" i="76"/>
  <c r="J17" i="76" s="1"/>
  <c r="I42" i="76"/>
  <c r="J42" i="76" s="1"/>
  <c r="I26" i="76"/>
  <c r="J26" i="76" s="1"/>
  <c r="I46" i="76"/>
  <c r="J46" i="76" s="1"/>
  <c r="I30" i="76"/>
  <c r="J30" i="76" s="1"/>
  <c r="I13" i="76"/>
  <c r="J13" i="76" s="1"/>
  <c r="I11" i="76"/>
  <c r="J11" i="76" s="1"/>
  <c r="I9" i="76"/>
  <c r="J9" i="76" s="1"/>
  <c r="I7" i="76"/>
  <c r="J7" i="76" s="1"/>
  <c r="I50" i="76"/>
  <c r="J50" i="76" s="1"/>
  <c r="I18" i="76"/>
  <c r="J18" i="76" s="1"/>
  <c r="I10" i="76"/>
  <c r="J10" i="76" s="1"/>
  <c r="I54" i="76"/>
  <c r="J54" i="76" s="1"/>
  <c r="I22" i="76"/>
  <c r="J22" i="76" s="1"/>
  <c r="I12" i="76"/>
  <c r="J12" i="76" s="1"/>
  <c r="I34" i="76"/>
  <c r="J34" i="76" s="1"/>
  <c r="I14" i="76"/>
  <c r="J14" i="76" s="1"/>
  <c r="I38" i="76"/>
  <c r="J38" i="76" s="1"/>
  <c r="F24" i="74"/>
  <c r="F31" i="74"/>
  <c r="F47" i="74"/>
  <c r="I55" i="71"/>
  <c r="J55" i="71" s="1"/>
  <c r="I51" i="71"/>
  <c r="J51" i="71" s="1"/>
  <c r="I47" i="71"/>
  <c r="J47" i="71" s="1"/>
  <c r="I57" i="71"/>
  <c r="J57" i="71" s="1"/>
  <c r="P17" i="71" s="1"/>
  <c r="I52" i="71"/>
  <c r="J52" i="71" s="1"/>
  <c r="I44" i="71"/>
  <c r="J44" i="71" s="1"/>
  <c r="I40" i="71"/>
  <c r="J40" i="71" s="1"/>
  <c r="I36" i="71"/>
  <c r="J36" i="71" s="1"/>
  <c r="I32" i="71"/>
  <c r="J32" i="71" s="1"/>
  <c r="I24" i="71"/>
  <c r="J24" i="71" s="1"/>
  <c r="I20" i="71"/>
  <c r="J20" i="71" s="1"/>
  <c r="I16" i="71"/>
  <c r="J16" i="71" s="1"/>
  <c r="I7" i="71"/>
  <c r="J7" i="71" s="1"/>
  <c r="I54" i="71"/>
  <c r="J54" i="71" s="1"/>
  <c r="I37" i="71"/>
  <c r="J37" i="71" s="1"/>
  <c r="I34" i="71"/>
  <c r="J34" i="71" s="1"/>
  <c r="I31" i="71"/>
  <c r="J31" i="71" s="1"/>
  <c r="I21" i="71"/>
  <c r="J21" i="71" s="1"/>
  <c r="I15" i="71"/>
  <c r="J15" i="71" s="1"/>
  <c r="I11" i="71"/>
  <c r="J11" i="71" s="1"/>
  <c r="I9" i="71"/>
  <c r="J9" i="71" s="1"/>
  <c r="I50" i="71"/>
  <c r="J50" i="71" s="1"/>
  <c r="I45" i="71"/>
  <c r="J45" i="71" s="1"/>
  <c r="I39" i="71"/>
  <c r="J39" i="71" s="1"/>
  <c r="I26" i="71"/>
  <c r="J26" i="71" s="1"/>
  <c r="I14" i="71"/>
  <c r="J14" i="71" s="1"/>
  <c r="I12" i="71"/>
  <c r="J12" i="71" s="1"/>
  <c r="I10" i="71"/>
  <c r="J10" i="71" s="1"/>
  <c r="I41" i="71"/>
  <c r="J41" i="71" s="1"/>
  <c r="I35" i="71"/>
  <c r="J35" i="71" s="1"/>
  <c r="I25" i="71"/>
  <c r="J25" i="71" s="1"/>
  <c r="I22" i="71"/>
  <c r="J22" i="71" s="1"/>
  <c r="I49" i="71"/>
  <c r="J49" i="71" s="1"/>
  <c r="I46" i="71"/>
  <c r="J46" i="71" s="1"/>
  <c r="I30" i="71"/>
  <c r="J30" i="71" s="1"/>
  <c r="I27" i="71"/>
  <c r="J27" i="71" s="1"/>
  <c r="I17" i="71"/>
  <c r="J17" i="71" s="1"/>
  <c r="I42" i="71"/>
  <c r="J42" i="71" s="1"/>
  <c r="I29" i="71"/>
  <c r="J29" i="71" s="1"/>
  <c r="I19" i="71"/>
  <c r="J19" i="71" s="1"/>
  <c r="F10" i="74"/>
  <c r="F14" i="74"/>
  <c r="F50" i="74"/>
  <c r="F28" i="74"/>
  <c r="I53" i="75"/>
  <c r="J53" i="75" s="1"/>
  <c r="I49" i="75"/>
  <c r="J49" i="75" s="1"/>
  <c r="I45" i="75"/>
  <c r="J45" i="75" s="1"/>
  <c r="I41" i="75"/>
  <c r="J41" i="75" s="1"/>
  <c r="I37" i="75"/>
  <c r="J37" i="75" s="1"/>
  <c r="I33" i="75"/>
  <c r="J33" i="75" s="1"/>
  <c r="I29" i="75"/>
  <c r="J29" i="75" s="1"/>
  <c r="I25" i="75"/>
  <c r="J25" i="75" s="1"/>
  <c r="I54" i="75"/>
  <c r="J54" i="75" s="1"/>
  <c r="I50" i="75"/>
  <c r="J50" i="75" s="1"/>
  <c r="I46" i="75"/>
  <c r="J46" i="75" s="1"/>
  <c r="I42" i="75"/>
  <c r="J42" i="75" s="1"/>
  <c r="I38" i="75"/>
  <c r="J38" i="75" s="1"/>
  <c r="I34" i="75"/>
  <c r="J34" i="75" s="1"/>
  <c r="I52" i="75"/>
  <c r="J52" i="75" s="1"/>
  <c r="I44" i="75"/>
  <c r="J44" i="75" s="1"/>
  <c r="I36" i="75"/>
  <c r="J36" i="75" s="1"/>
  <c r="I26" i="75"/>
  <c r="J26" i="75" s="1"/>
  <c r="I24" i="75"/>
  <c r="J24" i="75" s="1"/>
  <c r="I20" i="75"/>
  <c r="J20" i="75" s="1"/>
  <c r="I16" i="75"/>
  <c r="J16" i="75" s="1"/>
  <c r="I7" i="75"/>
  <c r="J7" i="75" s="1"/>
  <c r="I55" i="75"/>
  <c r="J55" i="75" s="1"/>
  <c r="I47" i="75"/>
  <c r="J47" i="75" s="1"/>
  <c r="I39" i="75"/>
  <c r="J39" i="75" s="1"/>
  <c r="I21" i="75"/>
  <c r="J21" i="75" s="1"/>
  <c r="I17" i="75"/>
  <c r="J17" i="75" s="1"/>
  <c r="I57" i="75"/>
  <c r="J57" i="75" s="1"/>
  <c r="P17" i="75" s="1"/>
  <c r="I40" i="75"/>
  <c r="J40" i="75" s="1"/>
  <c r="I31" i="75"/>
  <c r="J31" i="75" s="1"/>
  <c r="I28" i="75"/>
  <c r="J28" i="75" s="1"/>
  <c r="I18" i="75"/>
  <c r="J18" i="75" s="1"/>
  <c r="I14" i="75"/>
  <c r="J14" i="75" s="1"/>
  <c r="I10" i="75"/>
  <c r="J10" i="75" s="1"/>
  <c r="I51" i="75"/>
  <c r="J51" i="75" s="1"/>
  <c r="I35" i="75"/>
  <c r="J35" i="75" s="1"/>
  <c r="I19" i="75"/>
  <c r="J19" i="75" s="1"/>
  <c r="I13" i="75"/>
  <c r="J13" i="75" s="1"/>
  <c r="I9" i="75"/>
  <c r="J9" i="75" s="1"/>
  <c r="I48" i="75"/>
  <c r="J48" i="75" s="1"/>
  <c r="I22" i="75"/>
  <c r="J22" i="75" s="1"/>
  <c r="I43" i="75"/>
  <c r="J43" i="75" s="1"/>
  <c r="I30" i="75"/>
  <c r="J30" i="75" s="1"/>
  <c r="I27" i="75"/>
  <c r="J27" i="75" s="1"/>
  <c r="I15" i="75"/>
  <c r="J15" i="75" s="1"/>
  <c r="I12" i="75"/>
  <c r="J12" i="75" s="1"/>
  <c r="I11" i="75"/>
  <c r="J11" i="75" s="1"/>
  <c r="I32" i="75"/>
  <c r="J32" i="75" s="1"/>
  <c r="I23" i="75"/>
  <c r="J23" i="75" s="1"/>
  <c r="F29" i="74"/>
  <c r="F30" i="74"/>
  <c r="F37" i="74"/>
  <c r="F22" i="74"/>
  <c r="F26" i="74"/>
  <c r="F11" i="74"/>
  <c r="F25" i="74"/>
  <c r="F48" i="74"/>
  <c r="F23" i="74"/>
  <c r="F55" i="74"/>
  <c r="D30" i="68"/>
  <c r="D40" i="68"/>
  <c r="D10" i="68"/>
  <c r="E7" i="68"/>
  <c r="D55" i="68"/>
  <c r="G55" i="68" s="1"/>
  <c r="H55" i="68" s="1"/>
  <c r="D37" i="68"/>
  <c r="D23" i="68"/>
  <c r="D51" i="68"/>
  <c r="D54" i="68"/>
  <c r="G54" i="68" s="1"/>
  <c r="H54" i="68" s="1"/>
  <c r="D50" i="68"/>
  <c r="D47" i="68"/>
  <c r="G47" i="68" s="1"/>
  <c r="H47" i="68" s="1"/>
  <c r="D43" i="68"/>
  <c r="D36" i="68"/>
  <c r="D32" i="68"/>
  <c r="D29" i="68"/>
  <c r="D25" i="68"/>
  <c r="D22" i="68"/>
  <c r="G22" i="68" s="1"/>
  <c r="H22" i="68" s="1"/>
  <c r="D18" i="68"/>
  <c r="D15" i="68"/>
  <c r="G15" i="68" s="1"/>
  <c r="H15" i="68" s="1"/>
  <c r="D9" i="68"/>
  <c r="D14" i="68"/>
  <c r="D49" i="68"/>
  <c r="E49" i="68" s="1"/>
  <c r="D42" i="68"/>
  <c r="D35" i="68"/>
  <c r="G35" i="68" s="1"/>
  <c r="H35" i="68" s="1"/>
  <c r="D28" i="68"/>
  <c r="D24" i="68"/>
  <c r="G24" i="68" s="1"/>
  <c r="H24" i="68" s="1"/>
  <c r="D21" i="68"/>
  <c r="D17" i="68"/>
  <c r="D57" i="68"/>
  <c r="G57" i="68" s="1"/>
  <c r="H57" i="68" s="1"/>
  <c r="D52" i="68"/>
  <c r="D48" i="68"/>
  <c r="D45" i="68"/>
  <c r="G45" i="68" s="1"/>
  <c r="H45" i="68" s="1"/>
  <c r="D41" i="68"/>
  <c r="D38" i="68"/>
  <c r="D34" i="68"/>
  <c r="D31" i="68"/>
  <c r="G31" i="68" s="1"/>
  <c r="H31" i="68" s="1"/>
  <c r="D27" i="68"/>
  <c r="D20" i="68"/>
  <c r="G20" i="68" s="1"/>
  <c r="H20" i="68" s="1"/>
  <c r="D16" i="68"/>
  <c r="D13" i="68"/>
  <c r="D11" i="68"/>
  <c r="E32" i="68"/>
  <c r="E44" i="68"/>
  <c r="E40" i="68"/>
  <c r="E30" i="68"/>
  <c r="F35" i="74" l="1"/>
  <c r="F39" i="74"/>
  <c r="F16" i="74"/>
  <c r="F36" i="74"/>
  <c r="F17" i="74"/>
  <c r="F12" i="74"/>
  <c r="F34" i="74"/>
  <c r="F32" i="74"/>
  <c r="F40" i="74"/>
  <c r="G27" i="68"/>
  <c r="H27" i="68" s="1"/>
  <c r="F45" i="74"/>
  <c r="F42" i="74"/>
  <c r="F43" i="74"/>
  <c r="F44" i="74"/>
  <c r="F57" i="74"/>
  <c r="G41" i="68"/>
  <c r="H41" i="68" s="1"/>
  <c r="G28" i="68"/>
  <c r="H28" i="68" s="1"/>
  <c r="G43" i="68"/>
  <c r="H43" i="68" s="1"/>
  <c r="F33" i="74"/>
  <c r="F49" i="74"/>
  <c r="F41" i="74"/>
  <c r="G16" i="68"/>
  <c r="H16" i="68" s="1"/>
  <c r="E48" i="68"/>
  <c r="G48" i="68"/>
  <c r="H48" i="68" s="1"/>
  <c r="E18" i="68"/>
  <c r="G18" i="68"/>
  <c r="H18" i="68" s="1"/>
  <c r="E50" i="68"/>
  <c r="G50" i="68"/>
  <c r="H50" i="68" s="1"/>
  <c r="E42" i="68"/>
  <c r="G42" i="68"/>
  <c r="H42" i="68" s="1"/>
  <c r="E41" i="68"/>
  <c r="E37" i="68"/>
  <c r="G37" i="68"/>
  <c r="H37" i="68" s="1"/>
  <c r="E52" i="68"/>
  <c r="G52" i="68"/>
  <c r="H52" i="68" s="1"/>
  <c r="E25" i="68"/>
  <c r="G25" i="68"/>
  <c r="H25" i="68" s="1"/>
  <c r="G40" i="68"/>
  <c r="H40" i="68" s="1"/>
  <c r="G44" i="68"/>
  <c r="H44" i="68" s="1"/>
  <c r="E22" i="68"/>
  <c r="E10" i="68"/>
  <c r="G10" i="68"/>
  <c r="H10" i="68" s="1"/>
  <c r="G49" i="68"/>
  <c r="H49" i="68" s="1"/>
  <c r="E29" i="68"/>
  <c r="G29" i="68"/>
  <c r="H29" i="68" s="1"/>
  <c r="G11" i="68"/>
  <c r="H11" i="68" s="1"/>
  <c r="G34" i="68"/>
  <c r="H34" i="68" s="1"/>
  <c r="G21" i="68"/>
  <c r="H21" i="68" s="1"/>
  <c r="G32" i="68"/>
  <c r="H32" i="68" s="1"/>
  <c r="E51" i="68"/>
  <c r="G51" i="68"/>
  <c r="H51" i="68" s="1"/>
  <c r="G30" i="68"/>
  <c r="H30" i="68" s="1"/>
  <c r="E9" i="68"/>
  <c r="G9" i="68"/>
  <c r="H9" i="68" s="1"/>
  <c r="E35" i="68"/>
  <c r="E17" i="68"/>
  <c r="G17" i="68"/>
  <c r="H17" i="68" s="1"/>
  <c r="G13" i="68"/>
  <c r="H13" i="68" s="1"/>
  <c r="E38" i="68"/>
  <c r="G38" i="68"/>
  <c r="H38" i="68" s="1"/>
  <c r="G14" i="68"/>
  <c r="H14" i="68" s="1"/>
  <c r="G36" i="68"/>
  <c r="H36" i="68" s="1"/>
  <c r="G23" i="68"/>
  <c r="H23" i="68" s="1"/>
  <c r="F44" i="75"/>
  <c r="F11" i="75"/>
  <c r="F18" i="75"/>
  <c r="F25" i="75"/>
  <c r="F30" i="75"/>
  <c r="F20" i="71"/>
  <c r="F47" i="71"/>
  <c r="F11" i="71"/>
  <c r="F19" i="71"/>
  <c r="F21" i="71"/>
  <c r="F23" i="76"/>
  <c r="F14" i="76"/>
  <c r="F30" i="76"/>
  <c r="F21" i="76"/>
  <c r="F53" i="76"/>
  <c r="F24" i="76"/>
  <c r="F57" i="76"/>
  <c r="F11" i="73"/>
  <c r="F46" i="73"/>
  <c r="F37" i="73"/>
  <c r="F17" i="72"/>
  <c r="F48" i="72"/>
  <c r="F14" i="72"/>
  <c r="F44" i="72"/>
  <c r="F43" i="72"/>
  <c r="F50" i="72"/>
  <c r="F16" i="75"/>
  <c r="F15" i="75"/>
  <c r="F22" i="75"/>
  <c r="F27" i="75"/>
  <c r="F51" i="75"/>
  <c r="F50" i="75"/>
  <c r="F30" i="71"/>
  <c r="F50" i="71"/>
  <c r="F12" i="71"/>
  <c r="F55" i="71"/>
  <c r="F25" i="71"/>
  <c r="F41" i="71"/>
  <c r="F55" i="76"/>
  <c r="F31" i="76"/>
  <c r="F44" i="76"/>
  <c r="F15" i="73"/>
  <c r="F16" i="73"/>
  <c r="F34" i="73"/>
  <c r="F57" i="73"/>
  <c r="F25" i="72"/>
  <c r="F13" i="72"/>
  <c r="F55" i="72"/>
  <c r="F52" i="72"/>
  <c r="F47" i="72"/>
  <c r="F38" i="72"/>
  <c r="F33" i="75"/>
  <c r="F28" i="75"/>
  <c r="F49" i="75"/>
  <c r="F36" i="75"/>
  <c r="F19" i="75"/>
  <c r="F40" i="75"/>
  <c r="F17" i="75"/>
  <c r="F37" i="75"/>
  <c r="F39" i="75"/>
  <c r="F55" i="75"/>
  <c r="F38" i="75"/>
  <c r="F54" i="75"/>
  <c r="F34" i="71"/>
  <c r="F42" i="71"/>
  <c r="F15" i="71"/>
  <c r="F46" i="71"/>
  <c r="F14" i="71"/>
  <c r="F32" i="71"/>
  <c r="F9" i="71"/>
  <c r="F7" i="71"/>
  <c r="F29" i="71"/>
  <c r="F45" i="71"/>
  <c r="F35" i="76"/>
  <c r="F11" i="76"/>
  <c r="F10" i="76"/>
  <c r="F47" i="76"/>
  <c r="F22" i="76"/>
  <c r="F38" i="76"/>
  <c r="F54" i="76"/>
  <c r="F29" i="76"/>
  <c r="F45" i="76"/>
  <c r="F16" i="76"/>
  <c r="F32" i="76"/>
  <c r="F48" i="76"/>
  <c r="F51" i="73"/>
  <c r="F19" i="73"/>
  <c r="F24" i="73"/>
  <c r="F7" i="73"/>
  <c r="F9" i="73"/>
  <c r="F31" i="73"/>
  <c r="F44" i="73"/>
  <c r="F22" i="73"/>
  <c r="F38" i="73"/>
  <c r="F55" i="73"/>
  <c r="F29" i="73"/>
  <c r="F11" i="72"/>
  <c r="F33" i="72"/>
  <c r="F32" i="72"/>
  <c r="F21" i="72"/>
  <c r="F53" i="72"/>
  <c r="F12" i="72"/>
  <c r="F28" i="72"/>
  <c r="F19" i="72"/>
  <c r="F35" i="72"/>
  <c r="F51" i="72"/>
  <c r="F26" i="72"/>
  <c r="F42" i="72"/>
  <c r="F13" i="75"/>
  <c r="F14" i="75"/>
  <c r="F32" i="75"/>
  <c r="F57" i="75"/>
  <c r="F53" i="75"/>
  <c r="F47" i="75"/>
  <c r="F46" i="75"/>
  <c r="F36" i="71"/>
  <c r="F27" i="71"/>
  <c r="F10" i="71"/>
  <c r="F37" i="71"/>
  <c r="F57" i="71"/>
  <c r="F15" i="76"/>
  <c r="F51" i="76"/>
  <c r="F43" i="76"/>
  <c r="F46" i="76"/>
  <c r="F37" i="76"/>
  <c r="F40" i="76"/>
  <c r="F43" i="73"/>
  <c r="F40" i="73"/>
  <c r="F13" i="73"/>
  <c r="F47" i="73"/>
  <c r="F28" i="73"/>
  <c r="F30" i="73"/>
  <c r="F21" i="73"/>
  <c r="F53" i="73"/>
  <c r="F16" i="72"/>
  <c r="F37" i="72"/>
  <c r="F41" i="72"/>
  <c r="F27" i="72"/>
  <c r="F18" i="72"/>
  <c r="F34" i="72"/>
  <c r="F24" i="75"/>
  <c r="F23" i="75"/>
  <c r="F20" i="75"/>
  <c r="F41" i="75"/>
  <c r="F7" i="75"/>
  <c r="F9" i="75"/>
  <c r="F35" i="75"/>
  <c r="F34" i="75"/>
  <c r="F31" i="71"/>
  <c r="F39" i="71"/>
  <c r="F40" i="71"/>
  <c r="F22" i="71"/>
  <c r="F7" i="76"/>
  <c r="F9" i="76"/>
  <c r="F18" i="76"/>
  <c r="F34" i="76"/>
  <c r="F50" i="76"/>
  <c r="F25" i="76"/>
  <c r="F41" i="76"/>
  <c r="F28" i="76"/>
  <c r="F48" i="73"/>
  <c r="F25" i="73"/>
  <c r="F24" i="72"/>
  <c r="F45" i="72"/>
  <c r="F20" i="72"/>
  <c r="F31" i="72"/>
  <c r="F22" i="72"/>
  <c r="F54" i="72"/>
  <c r="F12" i="75"/>
  <c r="F31" i="75"/>
  <c r="F10" i="75"/>
  <c r="F52" i="75"/>
  <c r="F29" i="75"/>
  <c r="F48" i="75"/>
  <c r="F21" i="75"/>
  <c r="F45" i="75"/>
  <c r="F43" i="75"/>
  <c r="F26" i="75"/>
  <c r="F42" i="75"/>
  <c r="F44" i="71"/>
  <c r="F26" i="71"/>
  <c r="F54" i="71"/>
  <c r="F24" i="71"/>
  <c r="F51" i="71"/>
  <c r="F16" i="71"/>
  <c r="F35" i="71"/>
  <c r="F17" i="71"/>
  <c r="F49" i="71"/>
  <c r="F52" i="71"/>
  <c r="F39" i="76"/>
  <c r="F13" i="76"/>
  <c r="F19" i="76"/>
  <c r="F12" i="76"/>
  <c r="F27" i="76"/>
  <c r="F26" i="76"/>
  <c r="F42" i="76"/>
  <c r="F17" i="76"/>
  <c r="F33" i="76"/>
  <c r="F49" i="76"/>
  <c r="F20" i="76"/>
  <c r="F36" i="76"/>
  <c r="F52" i="76"/>
  <c r="F12" i="73"/>
  <c r="F35" i="73"/>
  <c r="F10" i="73"/>
  <c r="F39" i="73"/>
  <c r="F20" i="73"/>
  <c r="F52" i="73"/>
  <c r="F26" i="73"/>
  <c r="F42" i="73"/>
  <c r="F17" i="73"/>
  <c r="F33" i="73"/>
  <c r="F49" i="73"/>
  <c r="F15" i="72"/>
  <c r="F49" i="72"/>
  <c r="F40" i="72"/>
  <c r="F29" i="72"/>
  <c r="F9" i="72"/>
  <c r="F7" i="72"/>
  <c r="F10" i="72"/>
  <c r="F36" i="72"/>
  <c r="F23" i="72"/>
  <c r="F39" i="72"/>
  <c r="F30" i="72"/>
  <c r="F46" i="72"/>
  <c r="F57" i="72"/>
  <c r="E45" i="68"/>
  <c r="E16" i="68"/>
  <c r="E15" i="68"/>
  <c r="E47" i="68"/>
  <c r="E55" i="68"/>
  <c r="E11" i="68"/>
  <c r="E20" i="68"/>
  <c r="E24" i="68"/>
  <c r="E27" i="68"/>
  <c r="E28" i="68"/>
  <c r="E14" i="68"/>
  <c r="E36" i="68"/>
  <c r="E23" i="68"/>
  <c r="E31" i="68"/>
  <c r="E43" i="68"/>
  <c r="E54" i="68"/>
  <c r="E57" i="68"/>
  <c r="E34" i="68"/>
  <c r="E21" i="68"/>
  <c r="E13" i="68"/>
  <c r="I7" i="68"/>
  <c r="J7" i="68" s="1"/>
  <c r="I9" i="68"/>
  <c r="I10" i="68"/>
  <c r="I11" i="68"/>
  <c r="I16" i="68" l="1"/>
  <c r="I13" i="68"/>
  <c r="I15" i="68"/>
  <c r="F16" i="68" s="1"/>
  <c r="I14" i="68"/>
  <c r="F14" i="68" s="1"/>
  <c r="I38" i="68"/>
  <c r="F38" i="68" s="1"/>
  <c r="I28" i="68"/>
  <c r="J28" i="68" s="1"/>
  <c r="I51" i="68"/>
  <c r="I29" i="68"/>
  <c r="F30" i="68" s="1"/>
  <c r="I47" i="68"/>
  <c r="J47" i="68" s="1"/>
  <c r="I34" i="68"/>
  <c r="I43" i="68"/>
  <c r="I24" i="68"/>
  <c r="I41" i="68"/>
  <c r="J41" i="68" s="1"/>
  <c r="I27" i="68"/>
  <c r="J27" i="68" s="1"/>
  <c r="I35" i="68"/>
  <c r="J35" i="68" s="1"/>
  <c r="I52" i="68"/>
  <c r="J52" i="68" s="1"/>
  <c r="I17" i="68"/>
  <c r="J17" i="68" s="1"/>
  <c r="I31" i="68"/>
  <c r="J31" i="68" s="1"/>
  <c r="I49" i="68"/>
  <c r="J49" i="68" s="1"/>
  <c r="I54" i="68"/>
  <c r="J54" i="68" s="1"/>
  <c r="I22" i="68"/>
  <c r="I44" i="68"/>
  <c r="J44" i="68" s="1"/>
  <c r="I50" i="68"/>
  <c r="J50" i="68" s="1"/>
  <c r="I18" i="68"/>
  <c r="I23" i="68"/>
  <c r="J23" i="68" s="1"/>
  <c r="I40" i="68"/>
  <c r="I30" i="68"/>
  <c r="J30" i="68" s="1"/>
  <c r="I20" i="68"/>
  <c r="J20" i="68" s="1"/>
  <c r="I48" i="68"/>
  <c r="J48" i="68" s="1"/>
  <c r="I37" i="68"/>
  <c r="J37" i="68" s="1"/>
  <c r="I21" i="68"/>
  <c r="J21" i="68" s="1"/>
  <c r="I25" i="68"/>
  <c r="I36" i="68"/>
  <c r="F36" i="68" s="1"/>
  <c r="I45" i="68"/>
  <c r="J45" i="68" s="1"/>
  <c r="I42" i="68"/>
  <c r="J42" i="68" s="1"/>
  <c r="I55" i="68"/>
  <c r="J55" i="68" s="1"/>
  <c r="I57" i="68"/>
  <c r="J57" i="68" s="1"/>
  <c r="P17" i="68" s="1"/>
  <c r="I32" i="68"/>
  <c r="J32" i="68" s="1"/>
  <c r="F10" i="68"/>
  <c r="J9" i="68"/>
  <c r="F13" i="68"/>
  <c r="J11" i="68"/>
  <c r="J16" i="68"/>
  <c r="J13" i="68"/>
  <c r="F15" i="68"/>
  <c r="J14" i="68"/>
  <c r="F11" i="68"/>
  <c r="J10" i="68"/>
  <c r="J34" i="68"/>
  <c r="F9" i="68"/>
  <c r="F7" i="68"/>
  <c r="F51" i="68" l="1"/>
  <c r="F34" i="68"/>
  <c r="F43" i="68"/>
  <c r="F35" i="68"/>
  <c r="J29" i="68"/>
  <c r="F40" i="68"/>
  <c r="J51" i="68"/>
  <c r="F52" i="68"/>
  <c r="J15" i="68"/>
  <c r="F41" i="68"/>
  <c r="J25" i="68"/>
  <c r="J38" i="68"/>
  <c r="J40" i="68"/>
  <c r="F55" i="68"/>
  <c r="F31" i="68"/>
  <c r="J43" i="68"/>
  <c r="F17" i="68"/>
  <c r="F47" i="68"/>
  <c r="F21" i="68"/>
  <c r="F23" i="68"/>
  <c r="F27" i="68"/>
  <c r="F28" i="68"/>
  <c r="J18" i="68"/>
  <c r="F18" i="68"/>
  <c r="F49" i="68"/>
  <c r="F37" i="68"/>
  <c r="F45" i="68"/>
  <c r="F24" i="68"/>
  <c r="F50" i="68"/>
  <c r="F25" i="68"/>
  <c r="J22" i="68"/>
  <c r="J36" i="68"/>
  <c r="F54" i="68"/>
  <c r="F48" i="68"/>
  <c r="F42" i="68"/>
  <c r="F22" i="68"/>
  <c r="J24" i="68"/>
  <c r="F57" i="68"/>
  <c r="F20" i="68"/>
  <c r="F44" i="68"/>
  <c r="F29" i="68"/>
  <c r="F32" i="68"/>
  <c r="P8" i="26"/>
  <c r="P9" i="26"/>
  <c r="P10" i="26"/>
  <c r="P11" i="26"/>
  <c r="P12" i="26"/>
  <c r="P13" i="26"/>
  <c r="P14" i="26"/>
  <c r="P8" i="27"/>
  <c r="P9" i="27"/>
  <c r="P10" i="27"/>
  <c r="P11" i="27"/>
  <c r="P12" i="27"/>
  <c r="P13" i="27"/>
  <c r="P14" i="27"/>
  <c r="P8" i="28"/>
  <c r="P9" i="28"/>
  <c r="P10" i="28"/>
  <c r="P11" i="28"/>
  <c r="P12" i="28"/>
  <c r="P13" i="28"/>
  <c r="P14" i="28"/>
  <c r="P8" i="29"/>
  <c r="P9" i="29"/>
  <c r="P10" i="29"/>
  <c r="P11" i="29"/>
  <c r="P12" i="29"/>
  <c r="P13" i="29"/>
  <c r="P14" i="29"/>
  <c r="P8" i="30"/>
  <c r="P9" i="30"/>
  <c r="P10" i="30"/>
  <c r="P11" i="30"/>
  <c r="P12" i="30"/>
  <c r="P13" i="30"/>
  <c r="P14" i="30"/>
  <c r="P8" i="31"/>
  <c r="P9" i="31"/>
  <c r="P10" i="31"/>
  <c r="P11" i="31"/>
  <c r="P12" i="31"/>
  <c r="P13" i="31"/>
  <c r="P14" i="31"/>
  <c r="P8" i="32"/>
  <c r="P9" i="32"/>
  <c r="P10" i="32"/>
  <c r="P11" i="32"/>
  <c r="P12" i="32"/>
  <c r="P13" i="32"/>
  <c r="P14" i="32"/>
  <c r="P8" i="33"/>
  <c r="P9" i="33"/>
  <c r="P10" i="33"/>
  <c r="P11" i="33"/>
  <c r="P12" i="33"/>
  <c r="P13" i="33"/>
  <c r="P14" i="33"/>
  <c r="P8" i="34"/>
  <c r="P9" i="34"/>
  <c r="P10" i="34"/>
  <c r="P11" i="34"/>
  <c r="P12" i="34"/>
  <c r="P13" i="34"/>
  <c r="P14" i="34"/>
  <c r="P8" i="35"/>
  <c r="P9" i="35"/>
  <c r="P10" i="35"/>
  <c r="P11" i="35"/>
  <c r="P12" i="35"/>
  <c r="P13" i="35"/>
  <c r="P14" i="35"/>
  <c r="P8" i="36"/>
  <c r="P9" i="36"/>
  <c r="P10" i="36"/>
  <c r="P11" i="36"/>
  <c r="P12" i="36"/>
  <c r="P13" i="36"/>
  <c r="P14" i="36"/>
  <c r="P8" i="37"/>
  <c r="P9" i="37"/>
  <c r="P10" i="37"/>
  <c r="P11" i="37"/>
  <c r="P12" i="37"/>
  <c r="P13" i="37"/>
  <c r="P14" i="37"/>
  <c r="P8" i="39"/>
  <c r="P9" i="39"/>
  <c r="P10" i="39"/>
  <c r="P11" i="39"/>
  <c r="P12" i="39"/>
  <c r="P13" i="39"/>
  <c r="P14" i="39"/>
  <c r="P8" i="40"/>
  <c r="P9" i="40"/>
  <c r="P10" i="40"/>
  <c r="P11" i="40"/>
  <c r="P12" i="40"/>
  <c r="P13" i="40"/>
  <c r="P14" i="40"/>
  <c r="P8" i="41"/>
  <c r="P9" i="41"/>
  <c r="P10" i="41"/>
  <c r="P11" i="41"/>
  <c r="P12" i="41"/>
  <c r="P13" i="41"/>
  <c r="P14" i="41"/>
  <c r="P8" i="3"/>
  <c r="P9" i="3"/>
  <c r="P10" i="3"/>
  <c r="P11" i="3"/>
  <c r="P12" i="3"/>
  <c r="P13" i="3"/>
  <c r="P14" i="3"/>
  <c r="P7" i="41"/>
  <c r="P7" i="40"/>
  <c r="P7" i="39"/>
  <c r="P7" i="37"/>
  <c r="P7" i="36"/>
  <c r="P7" i="35"/>
  <c r="P7" i="34"/>
  <c r="P7" i="33"/>
  <c r="P7" i="32"/>
  <c r="P7" i="31"/>
  <c r="P7" i="30"/>
  <c r="P7" i="29"/>
  <c r="P7" i="28"/>
  <c r="P7" i="27"/>
  <c r="P7" i="26"/>
  <c r="J3" i="41"/>
  <c r="J3" i="40"/>
  <c r="J3" i="39"/>
  <c r="J3" i="37"/>
  <c r="J3" i="36"/>
  <c r="J3" i="35"/>
  <c r="J3" i="34"/>
  <c r="J3" i="33"/>
  <c r="J3" i="32"/>
  <c r="J3" i="31"/>
  <c r="J3" i="30"/>
  <c r="J3" i="29"/>
  <c r="J3" i="28"/>
  <c r="J3" i="27"/>
  <c r="J3" i="26"/>
  <c r="H4" i="41"/>
  <c r="H4" i="40"/>
  <c r="H4" i="39"/>
  <c r="H4" i="37"/>
  <c r="H4" i="36"/>
  <c r="H4" i="35"/>
  <c r="H4" i="34"/>
  <c r="H4" i="33"/>
  <c r="H4" i="32"/>
  <c r="H4" i="31"/>
  <c r="H4" i="30"/>
  <c r="H4" i="29"/>
  <c r="H4" i="28"/>
  <c r="H4" i="27"/>
  <c r="H4" i="26"/>
  <c r="H3" i="41"/>
  <c r="H3" i="40"/>
  <c r="H3" i="39"/>
  <c r="H3" i="37"/>
  <c r="H3" i="36"/>
  <c r="H3" i="35"/>
  <c r="H3" i="34"/>
  <c r="H3" i="33"/>
  <c r="H3" i="32"/>
  <c r="H3" i="31"/>
  <c r="H3" i="30"/>
  <c r="H3" i="29"/>
  <c r="H3" i="28"/>
  <c r="H3" i="27"/>
  <c r="H3" i="26"/>
  <c r="E40" i="3" l="1"/>
  <c r="E49" i="3"/>
  <c r="E32" i="3"/>
  <c r="E19" i="3"/>
  <c r="E35" i="3"/>
  <c r="E31" i="3"/>
  <c r="E22" i="3"/>
  <c r="E46" i="3"/>
  <c r="E45" i="3"/>
  <c r="E44" i="3"/>
  <c r="E14" i="3"/>
  <c r="E47" i="3"/>
  <c r="E15" i="3"/>
  <c r="E29" i="3"/>
  <c r="E26" i="3"/>
  <c r="E27" i="3"/>
  <c r="E34" i="3"/>
  <c r="E50" i="3"/>
  <c r="E37" i="3"/>
  <c r="E18" i="3"/>
  <c r="E38" i="3"/>
  <c r="E39" i="3"/>
  <c r="E30" i="3"/>
  <c r="E17" i="3"/>
  <c r="E23" i="3"/>
  <c r="E25" i="3"/>
  <c r="E33" i="3"/>
  <c r="E41" i="3"/>
  <c r="E21" i="3"/>
  <c r="E42" i="3"/>
  <c r="E48" i="3"/>
  <c r="E24" i="3"/>
  <c r="E16" i="3"/>
  <c r="L9" i="70"/>
  <c r="K26" i="70"/>
  <c r="G23" i="70"/>
  <c r="F22" i="70"/>
  <c r="E21" i="70"/>
  <c r="L16" i="70"/>
  <c r="K15" i="70"/>
  <c r="D20" i="70"/>
  <c r="G22" i="70"/>
  <c r="F21" i="70"/>
  <c r="D27" i="70"/>
  <c r="L15" i="70"/>
  <c r="G26" i="70"/>
  <c r="J24" i="70"/>
  <c r="E20" i="70"/>
  <c r="K24" i="70"/>
  <c r="J23" i="70"/>
  <c r="I22" i="70"/>
  <c r="G21" i="70"/>
  <c r="E27" i="70"/>
  <c r="D26" i="70"/>
  <c r="L14" i="70"/>
  <c r="K13" i="70"/>
  <c r="J12" i="70"/>
  <c r="J25" i="70"/>
  <c r="F20" i="70"/>
  <c r="K23" i="70"/>
  <c r="J22" i="70"/>
  <c r="I21" i="70"/>
  <c r="F27" i="70"/>
  <c r="E26" i="70"/>
  <c r="D25" i="70"/>
  <c r="L13" i="70"/>
  <c r="K12" i="70"/>
  <c r="J11" i="70"/>
  <c r="G20" i="70"/>
  <c r="K22" i="70"/>
  <c r="J21" i="70"/>
  <c r="G27" i="70"/>
  <c r="F26" i="70"/>
  <c r="E25" i="70"/>
  <c r="D24" i="70"/>
  <c r="L12" i="70"/>
  <c r="K11" i="70"/>
  <c r="J10" i="70"/>
  <c r="K21" i="70"/>
  <c r="F25" i="70"/>
  <c r="E24" i="70"/>
  <c r="D23" i="70"/>
  <c r="L11" i="70"/>
  <c r="K10" i="70"/>
  <c r="F13" i="70"/>
  <c r="K25" i="70"/>
  <c r="I23" i="70"/>
  <c r="K14" i="70"/>
  <c r="J9" i="70"/>
  <c r="J20" i="70"/>
  <c r="J27" i="70"/>
  <c r="I26" i="70"/>
  <c r="G25" i="70"/>
  <c r="F24" i="70"/>
  <c r="E23" i="70"/>
  <c r="D22" i="70"/>
  <c r="L10" i="70"/>
  <c r="J16" i="70"/>
  <c r="I24" i="70"/>
  <c r="J14" i="70"/>
  <c r="J13" i="70"/>
  <c r="I20" i="70"/>
  <c r="I27" i="70"/>
  <c r="K9" i="70"/>
  <c r="K20" i="70"/>
  <c r="K27" i="70"/>
  <c r="J26" i="70"/>
  <c r="I25" i="70"/>
  <c r="G24" i="70"/>
  <c r="F23" i="70"/>
  <c r="E22" i="70"/>
  <c r="D21" i="70"/>
  <c r="K16" i="70"/>
  <c r="J15" i="70"/>
  <c r="D15" i="70"/>
  <c r="D11" i="70"/>
  <c r="H15" i="70"/>
  <c r="H11" i="70"/>
  <c r="D13" i="70"/>
  <c r="H13" i="70"/>
  <c r="F15" i="70"/>
  <c r="F11" i="70"/>
  <c r="I9" i="70"/>
  <c r="G9" i="70"/>
  <c r="I14" i="70"/>
  <c r="I10" i="70"/>
  <c r="G16" i="70"/>
  <c r="G12" i="70"/>
  <c r="E14" i="70"/>
  <c r="D9" i="70"/>
  <c r="H9" i="70"/>
  <c r="D16" i="70"/>
  <c r="D12" i="70"/>
  <c r="I13" i="70"/>
  <c r="H16" i="70"/>
  <c r="H12" i="70"/>
  <c r="G15" i="70"/>
  <c r="G11" i="70"/>
  <c r="F14" i="70"/>
  <c r="F10" i="70"/>
  <c r="E13" i="70"/>
  <c r="E12" i="70"/>
  <c r="I16" i="70"/>
  <c r="I12" i="70"/>
  <c r="G14" i="70"/>
  <c r="G10" i="70"/>
  <c r="E16" i="70"/>
  <c r="F9" i="70"/>
  <c r="D14" i="70"/>
  <c r="D10" i="70"/>
  <c r="I15" i="70"/>
  <c r="I11" i="70"/>
  <c r="H14" i="70"/>
  <c r="H10" i="70"/>
  <c r="G13" i="70"/>
  <c r="F16" i="70"/>
  <c r="F12" i="70"/>
  <c r="E15" i="70"/>
  <c r="E11" i="70"/>
  <c r="E9" i="70"/>
  <c r="E10" i="70"/>
  <c r="D15" i="34"/>
  <c r="E15" i="34" l="1"/>
  <c r="D13" i="28" l="1"/>
  <c r="D14" i="28"/>
  <c r="G14" i="28" s="1"/>
  <c r="H14" i="28" s="1"/>
  <c r="D15" i="28"/>
  <c r="D16" i="28"/>
  <c r="D17" i="28"/>
  <c r="G17" i="28" s="1"/>
  <c r="H17" i="28" s="1"/>
  <c r="D18" i="28"/>
  <c r="G18" i="28" s="1"/>
  <c r="H18" i="28" s="1"/>
  <c r="D19" i="28"/>
  <c r="D20" i="28"/>
  <c r="G20" i="28" s="1"/>
  <c r="H20" i="28" s="1"/>
  <c r="D21" i="28"/>
  <c r="D23" i="28"/>
  <c r="D24" i="28"/>
  <c r="G24" i="28" s="1"/>
  <c r="H24" i="28" s="1"/>
  <c r="D25" i="28"/>
  <c r="G25" i="28" s="1"/>
  <c r="H25" i="28" s="1"/>
  <c r="D26" i="28"/>
  <c r="G26" i="28" s="1"/>
  <c r="H26" i="28" s="1"/>
  <c r="D27" i="28"/>
  <c r="D28" i="28"/>
  <c r="G28" i="28" s="1"/>
  <c r="H28" i="28" s="1"/>
  <c r="D29" i="28"/>
  <c r="D30" i="28"/>
  <c r="G30" i="28" s="1"/>
  <c r="H30" i="28" s="1"/>
  <c r="D31" i="28"/>
  <c r="D32" i="28"/>
  <c r="G32" i="28" s="1"/>
  <c r="H32" i="28" s="1"/>
  <c r="D34" i="28"/>
  <c r="G34" i="28" s="1"/>
  <c r="H34" i="28" s="1"/>
  <c r="D35" i="28"/>
  <c r="D36" i="28"/>
  <c r="G36" i="28" s="1"/>
  <c r="H36" i="28" s="1"/>
  <c r="D37" i="28"/>
  <c r="D38" i="28"/>
  <c r="G38" i="28" s="1"/>
  <c r="H38" i="28" s="1"/>
  <c r="D39" i="28"/>
  <c r="D40" i="28"/>
  <c r="G40" i="28" s="1"/>
  <c r="H40" i="28" s="1"/>
  <c r="D41" i="28"/>
  <c r="G41" i="28" s="1"/>
  <c r="H41" i="28" s="1"/>
  <c r="D42" i="28"/>
  <c r="G42" i="28" s="1"/>
  <c r="H42" i="28" s="1"/>
  <c r="D43" i="28"/>
  <c r="D44" i="28"/>
  <c r="G44" i="28" s="1"/>
  <c r="H44" i="28" s="1"/>
  <c r="D46" i="28"/>
  <c r="G46" i="28" s="1"/>
  <c r="H46" i="28" s="1"/>
  <c r="D47" i="28"/>
  <c r="D48" i="28"/>
  <c r="G48" i="28" s="1"/>
  <c r="H48" i="28" s="1"/>
  <c r="D49" i="28"/>
  <c r="G49" i="28" s="1"/>
  <c r="H49" i="28" s="1"/>
  <c r="D50" i="28"/>
  <c r="G50" i="28" s="1"/>
  <c r="H50" i="28" s="1"/>
  <c r="D51" i="28"/>
  <c r="D52" i="28"/>
  <c r="G52" i="28" s="1"/>
  <c r="H52" i="28" s="1"/>
  <c r="D53" i="28"/>
  <c r="D54" i="28"/>
  <c r="G54" i="28" s="1"/>
  <c r="H54" i="28" s="1"/>
  <c r="D55" i="28"/>
  <c r="D57" i="28"/>
  <c r="G57" i="28" s="1"/>
  <c r="H57" i="28" s="1"/>
  <c r="G16" i="28" l="1"/>
  <c r="H16" i="28" s="1"/>
  <c r="G29" i="28"/>
  <c r="H29" i="28" s="1"/>
  <c r="G51" i="28"/>
  <c r="H51" i="28" s="1"/>
  <c r="G43" i="28"/>
  <c r="H43" i="28" s="1"/>
  <c r="G35" i="28"/>
  <c r="H35" i="28" s="1"/>
  <c r="G27" i="28"/>
  <c r="H27" i="28" s="1"/>
  <c r="G19" i="28"/>
  <c r="H19" i="28" s="1"/>
  <c r="G55" i="28"/>
  <c r="H55" i="28" s="1"/>
  <c r="G47" i="28"/>
  <c r="H47" i="28" s="1"/>
  <c r="G39" i="28"/>
  <c r="H39" i="28" s="1"/>
  <c r="G31" i="28"/>
  <c r="H31" i="28" s="1"/>
  <c r="G23" i="28"/>
  <c r="H23" i="28" s="1"/>
  <c r="G15" i="28"/>
  <c r="H15" i="28" s="1"/>
  <c r="G53" i="28"/>
  <c r="H53" i="28" s="1"/>
  <c r="G37" i="28"/>
  <c r="H37" i="28" s="1"/>
  <c r="G21" i="28"/>
  <c r="H21" i="28" s="1"/>
  <c r="D57" i="41"/>
  <c r="G57" i="41" s="1"/>
  <c r="H57" i="41" s="1"/>
  <c r="D55" i="41"/>
  <c r="D54" i="41"/>
  <c r="D52" i="41"/>
  <c r="D51" i="41"/>
  <c r="D50" i="41"/>
  <c r="D49" i="41"/>
  <c r="D48" i="41"/>
  <c r="D46" i="41"/>
  <c r="D45" i="41"/>
  <c r="D44" i="41"/>
  <c r="D43" i="41"/>
  <c r="D41" i="41"/>
  <c r="D40" i="41"/>
  <c r="D39" i="41"/>
  <c r="D38" i="41"/>
  <c r="D36" i="41"/>
  <c r="D35" i="41"/>
  <c r="D34" i="41"/>
  <c r="D33" i="41"/>
  <c r="G33" i="41" s="1"/>
  <c r="H33" i="41" s="1"/>
  <c r="D31" i="41"/>
  <c r="D30" i="41"/>
  <c r="D29" i="41"/>
  <c r="D28" i="41"/>
  <c r="D26" i="41"/>
  <c r="D25" i="41"/>
  <c r="G25" i="41" s="1"/>
  <c r="H25" i="41" s="1"/>
  <c r="D24" i="41"/>
  <c r="D23" i="41"/>
  <c r="D21" i="41"/>
  <c r="D20" i="41"/>
  <c r="D19" i="41"/>
  <c r="D18" i="41"/>
  <c r="D17" i="41"/>
  <c r="G17" i="41" s="1"/>
  <c r="H17" i="41" s="1"/>
  <c r="D15" i="41"/>
  <c r="D14" i="41"/>
  <c r="D13" i="41"/>
  <c r="D12" i="41"/>
  <c r="D10" i="41"/>
  <c r="D9" i="41"/>
  <c r="G9" i="41" s="1"/>
  <c r="H9" i="41" s="1"/>
  <c r="D7" i="41"/>
  <c r="G7" i="41" s="1"/>
  <c r="H7" i="41" s="1"/>
  <c r="D57" i="40"/>
  <c r="G57" i="40" s="1"/>
  <c r="H57" i="40" s="1"/>
  <c r="D55" i="40"/>
  <c r="D54" i="40"/>
  <c r="D53" i="40"/>
  <c r="D51" i="40"/>
  <c r="D50" i="40"/>
  <c r="G50" i="40" s="1"/>
  <c r="H50" i="40" s="1"/>
  <c r="D49" i="40"/>
  <c r="G49" i="40" s="1"/>
  <c r="H49" i="40" s="1"/>
  <c r="D47" i="40"/>
  <c r="D46" i="40"/>
  <c r="D45" i="40"/>
  <c r="D43" i="40"/>
  <c r="D42" i="40"/>
  <c r="G42" i="40" s="1"/>
  <c r="H42" i="40" s="1"/>
  <c r="D41" i="40"/>
  <c r="G41" i="40" s="1"/>
  <c r="H41" i="40" s="1"/>
  <c r="D39" i="40"/>
  <c r="D38" i="40"/>
  <c r="D37" i="40"/>
  <c r="D35" i="40"/>
  <c r="D34" i="40"/>
  <c r="G34" i="40" s="1"/>
  <c r="H34" i="40" s="1"/>
  <c r="D33" i="40"/>
  <c r="G33" i="40" s="1"/>
  <c r="H33" i="40" s="1"/>
  <c r="D31" i="40"/>
  <c r="D30" i="40"/>
  <c r="D29" i="40"/>
  <c r="D27" i="40"/>
  <c r="D26" i="40"/>
  <c r="G26" i="40" s="1"/>
  <c r="H26" i="40" s="1"/>
  <c r="D25" i="40"/>
  <c r="G25" i="40" s="1"/>
  <c r="H25" i="40" s="1"/>
  <c r="D23" i="40"/>
  <c r="D22" i="40"/>
  <c r="D21" i="40"/>
  <c r="D19" i="40"/>
  <c r="D18" i="40"/>
  <c r="G18" i="40" s="1"/>
  <c r="H18" i="40" s="1"/>
  <c r="D17" i="40"/>
  <c r="G17" i="40" s="1"/>
  <c r="H17" i="40" s="1"/>
  <c r="D15" i="40"/>
  <c r="D14" i="40"/>
  <c r="D13" i="40"/>
  <c r="D11" i="40"/>
  <c r="D10" i="40"/>
  <c r="G10" i="40" s="1"/>
  <c r="H10" i="40" s="1"/>
  <c r="D9" i="40"/>
  <c r="G9" i="40" s="1"/>
  <c r="H9" i="40" s="1"/>
  <c r="D7" i="40"/>
  <c r="G7" i="40" s="1"/>
  <c r="H7" i="40" s="1"/>
  <c r="D57" i="39"/>
  <c r="G57" i="39" s="1"/>
  <c r="H57" i="39" s="1"/>
  <c r="D55" i="39"/>
  <c r="D53" i="39"/>
  <c r="D52" i="39"/>
  <c r="D51" i="39"/>
  <c r="G51" i="39" s="1"/>
  <c r="H51" i="39" s="1"/>
  <c r="D50" i="39"/>
  <c r="G50" i="39" s="1"/>
  <c r="H50" i="39" s="1"/>
  <c r="D49" i="39"/>
  <c r="D48" i="39"/>
  <c r="G48" i="39" s="1"/>
  <c r="H48" i="39" s="1"/>
  <c r="D47" i="39"/>
  <c r="D45" i="39"/>
  <c r="D44" i="39"/>
  <c r="D43" i="39"/>
  <c r="G43" i="39" s="1"/>
  <c r="H43" i="39" s="1"/>
  <c r="D42" i="39"/>
  <c r="G42" i="39" s="1"/>
  <c r="H42" i="39" s="1"/>
  <c r="D41" i="39"/>
  <c r="D40" i="39"/>
  <c r="G40" i="39" s="1"/>
  <c r="H40" i="39" s="1"/>
  <c r="D39" i="39"/>
  <c r="D37" i="39"/>
  <c r="D36" i="39"/>
  <c r="D35" i="39"/>
  <c r="G35" i="39" s="1"/>
  <c r="H35" i="39" s="1"/>
  <c r="D34" i="39"/>
  <c r="G34" i="39" s="1"/>
  <c r="H34" i="39" s="1"/>
  <c r="D33" i="39"/>
  <c r="D32" i="39"/>
  <c r="G32" i="39" s="1"/>
  <c r="H32" i="39" s="1"/>
  <c r="D31" i="39"/>
  <c r="D30" i="39"/>
  <c r="D28" i="39"/>
  <c r="D27" i="39"/>
  <c r="G27" i="39" s="1"/>
  <c r="H27" i="39" s="1"/>
  <c r="D26" i="39"/>
  <c r="G26" i="39" s="1"/>
  <c r="H26" i="39" s="1"/>
  <c r="D25" i="39"/>
  <c r="D24" i="39"/>
  <c r="G24" i="39" s="1"/>
  <c r="H24" i="39" s="1"/>
  <c r="D23" i="39"/>
  <c r="D22" i="39"/>
  <c r="D20" i="39"/>
  <c r="D19" i="39"/>
  <c r="G19" i="39" s="1"/>
  <c r="H19" i="39" s="1"/>
  <c r="D18" i="39"/>
  <c r="G18" i="39" s="1"/>
  <c r="H18" i="39" s="1"/>
  <c r="D17" i="39"/>
  <c r="D16" i="39"/>
  <c r="G16" i="39" s="1"/>
  <c r="H16" i="39" s="1"/>
  <c r="D15" i="39"/>
  <c r="D14" i="39"/>
  <c r="D12" i="39"/>
  <c r="D11" i="39"/>
  <c r="G11" i="39" s="1"/>
  <c r="H11" i="39" s="1"/>
  <c r="D10" i="39"/>
  <c r="G10" i="39" s="1"/>
  <c r="H10" i="39" s="1"/>
  <c r="D9" i="39"/>
  <c r="G9" i="39" s="1"/>
  <c r="H9" i="39" s="1"/>
  <c r="D7" i="39"/>
  <c r="G7" i="39" s="1"/>
  <c r="H7" i="39" s="1"/>
  <c r="D57" i="37"/>
  <c r="G57" i="37" s="1"/>
  <c r="H57" i="37" s="1"/>
  <c r="D55" i="37"/>
  <c r="D54" i="37"/>
  <c r="D52" i="37"/>
  <c r="G52" i="37" s="1"/>
  <c r="H52" i="37" s="1"/>
  <c r="D51" i="37"/>
  <c r="G51" i="37" s="1"/>
  <c r="H51" i="37" s="1"/>
  <c r="D50" i="37"/>
  <c r="D49" i="37"/>
  <c r="G49" i="37" s="1"/>
  <c r="H49" i="37" s="1"/>
  <c r="D47" i="37"/>
  <c r="D46" i="37"/>
  <c r="D45" i="37"/>
  <c r="D44" i="37"/>
  <c r="G44" i="37" s="1"/>
  <c r="H44" i="37" s="1"/>
  <c r="D43" i="37"/>
  <c r="G43" i="37" s="1"/>
  <c r="H43" i="37" s="1"/>
  <c r="D41" i="37"/>
  <c r="G41" i="37" s="1"/>
  <c r="H41" i="37" s="1"/>
  <c r="D40" i="37"/>
  <c r="D39" i="37"/>
  <c r="D38" i="37"/>
  <c r="D36" i="37"/>
  <c r="G36" i="37" s="1"/>
  <c r="H36" i="37" s="1"/>
  <c r="D35" i="37"/>
  <c r="G35" i="37" s="1"/>
  <c r="H35" i="37" s="1"/>
  <c r="D34" i="37"/>
  <c r="D33" i="37"/>
  <c r="G33" i="37" s="1"/>
  <c r="H33" i="37" s="1"/>
  <c r="D32" i="37"/>
  <c r="D30" i="37"/>
  <c r="D29" i="37"/>
  <c r="D28" i="37"/>
  <c r="G28" i="37" s="1"/>
  <c r="H28" i="37" s="1"/>
  <c r="D27" i="37"/>
  <c r="G27" i="37" s="1"/>
  <c r="H27" i="37" s="1"/>
  <c r="D25" i="37"/>
  <c r="G25" i="37" s="1"/>
  <c r="H25" i="37" s="1"/>
  <c r="D24" i="37"/>
  <c r="D23" i="37"/>
  <c r="D22" i="37"/>
  <c r="D21" i="37"/>
  <c r="D19" i="37"/>
  <c r="G19" i="37" s="1"/>
  <c r="H19" i="37" s="1"/>
  <c r="D18" i="37"/>
  <c r="D17" i="37"/>
  <c r="G17" i="37" s="1"/>
  <c r="H17" i="37" s="1"/>
  <c r="D16" i="37"/>
  <c r="D14" i="37"/>
  <c r="D13" i="37"/>
  <c r="D12" i="37"/>
  <c r="G12" i="37" s="1"/>
  <c r="H12" i="37" s="1"/>
  <c r="D11" i="37"/>
  <c r="G11" i="37" s="1"/>
  <c r="H11" i="37" s="1"/>
  <c r="D10" i="37"/>
  <c r="D9" i="37"/>
  <c r="G9" i="37" s="1"/>
  <c r="H9" i="37" s="1"/>
  <c r="D7" i="37"/>
  <c r="G7" i="37" s="1"/>
  <c r="H7" i="37" s="1"/>
  <c r="D57" i="36"/>
  <c r="G57" i="36" s="1"/>
  <c r="H57" i="36" s="1"/>
  <c r="D55" i="36"/>
  <c r="D54" i="36"/>
  <c r="D52" i="36"/>
  <c r="G52" i="36" s="1"/>
  <c r="H52" i="36" s="1"/>
  <c r="D51" i="36"/>
  <c r="D50" i="36"/>
  <c r="G50" i="36" s="1"/>
  <c r="H50" i="36" s="1"/>
  <c r="D49" i="36"/>
  <c r="D48" i="36"/>
  <c r="D47" i="36"/>
  <c r="D46" i="36"/>
  <c r="D45" i="36"/>
  <c r="G45" i="36" s="1"/>
  <c r="H45" i="36" s="1"/>
  <c r="D43" i="36"/>
  <c r="D42" i="36"/>
  <c r="G42" i="36" s="1"/>
  <c r="H42" i="36" s="1"/>
  <c r="D41" i="36"/>
  <c r="D40" i="36"/>
  <c r="D39" i="36"/>
  <c r="D38" i="36"/>
  <c r="D37" i="36"/>
  <c r="G37" i="36" s="1"/>
  <c r="H37" i="36" s="1"/>
  <c r="D36" i="36"/>
  <c r="G36" i="36" s="1"/>
  <c r="H36" i="36" s="1"/>
  <c r="D34" i="36"/>
  <c r="G34" i="36" s="1"/>
  <c r="H34" i="36" s="1"/>
  <c r="D33" i="36"/>
  <c r="D32" i="36"/>
  <c r="D31" i="36"/>
  <c r="D30" i="36"/>
  <c r="D29" i="36"/>
  <c r="G29" i="36" s="1"/>
  <c r="H29" i="36" s="1"/>
  <c r="D28" i="36"/>
  <c r="G28" i="36" s="1"/>
  <c r="H28" i="36" s="1"/>
  <c r="D27" i="36"/>
  <c r="D25" i="36"/>
  <c r="D24" i="36"/>
  <c r="D23" i="36"/>
  <c r="D22" i="36"/>
  <c r="D21" i="36"/>
  <c r="D20" i="36"/>
  <c r="G20" i="36" s="1"/>
  <c r="H20" i="36" s="1"/>
  <c r="D19" i="36"/>
  <c r="D18" i="36"/>
  <c r="G18" i="36" s="1"/>
  <c r="H18" i="36" s="1"/>
  <c r="D16" i="36"/>
  <c r="D15" i="36"/>
  <c r="D14" i="36"/>
  <c r="D13" i="36"/>
  <c r="D12" i="36"/>
  <c r="G12" i="36" s="1"/>
  <c r="H12" i="36" s="1"/>
  <c r="D11" i="36"/>
  <c r="D10" i="36"/>
  <c r="G10" i="36" s="1"/>
  <c r="H10" i="36" s="1"/>
  <c r="D9" i="36"/>
  <c r="G9" i="36" s="1"/>
  <c r="H9" i="36" s="1"/>
  <c r="D7" i="36"/>
  <c r="G7" i="36" s="1"/>
  <c r="H7" i="36" s="1"/>
  <c r="D57" i="35"/>
  <c r="G57" i="35" s="1"/>
  <c r="H57" i="35" s="1"/>
  <c r="D55" i="35"/>
  <c r="D54" i="35"/>
  <c r="D53" i="35"/>
  <c r="G53" i="35" s="1"/>
  <c r="H53" i="35" s="1"/>
  <c r="D52" i="35"/>
  <c r="D50" i="35"/>
  <c r="D49" i="35"/>
  <c r="D48" i="35"/>
  <c r="D47" i="35"/>
  <c r="D46" i="35"/>
  <c r="D45" i="35"/>
  <c r="G45" i="35" s="1"/>
  <c r="H45" i="35" s="1"/>
  <c r="D43" i="35"/>
  <c r="G43" i="35" s="1"/>
  <c r="H43" i="35" s="1"/>
  <c r="D42" i="35"/>
  <c r="D41" i="35"/>
  <c r="D40" i="35"/>
  <c r="D39" i="35"/>
  <c r="D37" i="35"/>
  <c r="G37" i="35" s="1"/>
  <c r="H37" i="35" s="1"/>
  <c r="D36" i="35"/>
  <c r="D35" i="35"/>
  <c r="G35" i="35" s="1"/>
  <c r="H35" i="35" s="1"/>
  <c r="D34" i="35"/>
  <c r="D33" i="35"/>
  <c r="D31" i="35"/>
  <c r="D30" i="35"/>
  <c r="D29" i="35"/>
  <c r="G29" i="35" s="1"/>
  <c r="H29" i="35" s="1"/>
  <c r="D28" i="35"/>
  <c r="D27" i="35"/>
  <c r="G27" i="35" s="1"/>
  <c r="H27" i="35" s="1"/>
  <c r="D25" i="35"/>
  <c r="D24" i="35"/>
  <c r="D23" i="35"/>
  <c r="D22" i="35"/>
  <c r="D21" i="35"/>
  <c r="G21" i="35" s="1"/>
  <c r="H21" i="35" s="1"/>
  <c r="D19" i="35"/>
  <c r="G19" i="35" s="1"/>
  <c r="H19" i="35" s="1"/>
  <c r="D18" i="35"/>
  <c r="D17" i="35"/>
  <c r="D16" i="35"/>
  <c r="D15" i="35"/>
  <c r="D13" i="35"/>
  <c r="G13" i="35" s="1"/>
  <c r="H13" i="35" s="1"/>
  <c r="D12" i="35"/>
  <c r="D11" i="35"/>
  <c r="G11" i="35" s="1"/>
  <c r="H11" i="35" s="1"/>
  <c r="D10" i="35"/>
  <c r="D9" i="35"/>
  <c r="G9" i="35" s="1"/>
  <c r="H9" i="35" s="1"/>
  <c r="D7" i="35"/>
  <c r="G7" i="35" s="1"/>
  <c r="H7" i="35" s="1"/>
  <c r="D57" i="34"/>
  <c r="G57" i="34" s="1"/>
  <c r="H57" i="34" s="1"/>
  <c r="D55" i="34"/>
  <c r="D54" i="34"/>
  <c r="G54" i="34" s="1"/>
  <c r="H54" i="34" s="1"/>
  <c r="D53" i="34"/>
  <c r="D52" i="34"/>
  <c r="G52" i="34" s="1"/>
  <c r="H52" i="34" s="1"/>
  <c r="D51" i="34"/>
  <c r="D50" i="34"/>
  <c r="D49" i="34"/>
  <c r="D48" i="34"/>
  <c r="D47" i="34"/>
  <c r="D46" i="34"/>
  <c r="G46" i="34" s="1"/>
  <c r="H46" i="34" s="1"/>
  <c r="D45" i="34"/>
  <c r="D44" i="34"/>
  <c r="G44" i="34" s="1"/>
  <c r="H44" i="34" s="1"/>
  <c r="D43" i="34"/>
  <c r="D42" i="34"/>
  <c r="D41" i="34"/>
  <c r="D40" i="34"/>
  <c r="D39" i="34"/>
  <c r="D38" i="34"/>
  <c r="G38" i="34" s="1"/>
  <c r="H38" i="34" s="1"/>
  <c r="D37" i="34"/>
  <c r="D36" i="34"/>
  <c r="G36" i="34" s="1"/>
  <c r="H36" i="34" s="1"/>
  <c r="D35" i="34"/>
  <c r="D33" i="34"/>
  <c r="D32" i="34"/>
  <c r="D31" i="34"/>
  <c r="D30" i="34"/>
  <c r="G30" i="34" s="1"/>
  <c r="H30" i="34" s="1"/>
  <c r="D29" i="34"/>
  <c r="D28" i="34"/>
  <c r="G28" i="34" s="1"/>
  <c r="H28" i="34" s="1"/>
  <c r="D27" i="34"/>
  <c r="D26" i="34"/>
  <c r="D25" i="34"/>
  <c r="D24" i="34"/>
  <c r="D23" i="34"/>
  <c r="D22" i="34"/>
  <c r="G22" i="34" s="1"/>
  <c r="H22" i="34" s="1"/>
  <c r="D21" i="34"/>
  <c r="D20" i="34"/>
  <c r="G20" i="34" s="1"/>
  <c r="H20" i="34" s="1"/>
  <c r="D19" i="34"/>
  <c r="D18" i="34"/>
  <c r="D17" i="34"/>
  <c r="D16" i="34"/>
  <c r="G16" i="34" s="1"/>
  <c r="H16" i="34" s="1"/>
  <c r="D14" i="34"/>
  <c r="D13" i="34"/>
  <c r="G13" i="34" s="1"/>
  <c r="H13" i="34" s="1"/>
  <c r="D12" i="34"/>
  <c r="D11" i="34"/>
  <c r="G11" i="34" s="1"/>
  <c r="H11" i="34" s="1"/>
  <c r="D10" i="34"/>
  <c r="D9" i="34"/>
  <c r="G9" i="34" s="1"/>
  <c r="H9" i="34" s="1"/>
  <c r="D7" i="34"/>
  <c r="G7" i="34" s="1"/>
  <c r="H7" i="34" s="1"/>
  <c r="D57" i="33"/>
  <c r="G57" i="33" s="1"/>
  <c r="H57" i="33" s="1"/>
  <c r="D55" i="33"/>
  <c r="D54" i="33"/>
  <c r="G54" i="33" s="1"/>
  <c r="H54" i="33" s="1"/>
  <c r="D53" i="33"/>
  <c r="D51" i="33"/>
  <c r="D50" i="33"/>
  <c r="D49" i="33"/>
  <c r="D48" i="33"/>
  <c r="D46" i="33"/>
  <c r="G46" i="33" s="1"/>
  <c r="H46" i="33" s="1"/>
  <c r="D45" i="33"/>
  <c r="D44" i="33"/>
  <c r="G44" i="33" s="1"/>
  <c r="H44" i="33" s="1"/>
  <c r="D42" i="33"/>
  <c r="D41" i="33"/>
  <c r="D40" i="33"/>
  <c r="D39" i="33"/>
  <c r="D37" i="33"/>
  <c r="D36" i="33"/>
  <c r="G36" i="33" s="1"/>
  <c r="H36" i="33" s="1"/>
  <c r="D35" i="33"/>
  <c r="D34" i="33"/>
  <c r="D32" i="33"/>
  <c r="D31" i="33"/>
  <c r="D30" i="33"/>
  <c r="G30" i="33" s="1"/>
  <c r="H30" i="33" s="1"/>
  <c r="D29" i="33"/>
  <c r="D27" i="33"/>
  <c r="D26" i="33"/>
  <c r="D25" i="33"/>
  <c r="D24" i="33"/>
  <c r="D22" i="33"/>
  <c r="G22" i="33" s="1"/>
  <c r="H22" i="33" s="1"/>
  <c r="D21" i="33"/>
  <c r="D20" i="33"/>
  <c r="G20" i="33" s="1"/>
  <c r="H20" i="33" s="1"/>
  <c r="D19" i="33"/>
  <c r="D17" i="33"/>
  <c r="D16" i="33"/>
  <c r="D15" i="33"/>
  <c r="D14" i="33"/>
  <c r="G14" i="33" s="1"/>
  <c r="H14" i="33" s="1"/>
  <c r="D12" i="33"/>
  <c r="G12" i="33" s="1"/>
  <c r="H12" i="33" s="1"/>
  <c r="D11" i="33"/>
  <c r="D10" i="33"/>
  <c r="D9" i="33"/>
  <c r="G9" i="33" s="1"/>
  <c r="H9" i="33" s="1"/>
  <c r="D7" i="33"/>
  <c r="G7" i="33" s="1"/>
  <c r="H7" i="33" s="1"/>
  <c r="D57" i="32"/>
  <c r="G57" i="32" s="1"/>
  <c r="H57" i="32" s="1"/>
  <c r="D54" i="32"/>
  <c r="D53" i="32"/>
  <c r="G53" i="32" s="1"/>
  <c r="H53" i="32" s="1"/>
  <c r="D52" i="32"/>
  <c r="D51" i="32"/>
  <c r="D50" i="32"/>
  <c r="D48" i="32"/>
  <c r="D47" i="32"/>
  <c r="G47" i="32" s="1"/>
  <c r="H47" i="32" s="1"/>
  <c r="D46" i="32"/>
  <c r="D45" i="32"/>
  <c r="G45" i="32" s="1"/>
  <c r="H45" i="32" s="1"/>
  <c r="D43" i="32"/>
  <c r="D42" i="32"/>
  <c r="D41" i="32"/>
  <c r="D40" i="32"/>
  <c r="D39" i="32"/>
  <c r="G39" i="32" s="1"/>
  <c r="H39" i="32" s="1"/>
  <c r="D37" i="32"/>
  <c r="G37" i="32" s="1"/>
  <c r="H37" i="32" s="1"/>
  <c r="D36" i="32"/>
  <c r="D35" i="32"/>
  <c r="D34" i="32"/>
  <c r="D32" i="32"/>
  <c r="D31" i="32"/>
  <c r="G31" i="32" s="1"/>
  <c r="H31" i="32" s="1"/>
  <c r="D30" i="32"/>
  <c r="D29" i="32"/>
  <c r="G29" i="32" s="1"/>
  <c r="H29" i="32" s="1"/>
  <c r="D28" i="32"/>
  <c r="D26" i="32"/>
  <c r="D25" i="32"/>
  <c r="D24" i="32"/>
  <c r="D23" i="32"/>
  <c r="G23" i="32" s="1"/>
  <c r="H23" i="32" s="1"/>
  <c r="D21" i="32"/>
  <c r="G21" i="32" s="1"/>
  <c r="H21" i="32" s="1"/>
  <c r="D20" i="32"/>
  <c r="D19" i="32"/>
  <c r="D18" i="32"/>
  <c r="D17" i="32"/>
  <c r="D15" i="32"/>
  <c r="G15" i="32" s="1"/>
  <c r="H15" i="32" s="1"/>
  <c r="D14" i="32"/>
  <c r="D13" i="32"/>
  <c r="G13" i="32" s="1"/>
  <c r="H13" i="32" s="1"/>
  <c r="D12" i="32"/>
  <c r="D10" i="32"/>
  <c r="D9" i="32"/>
  <c r="G9" i="32" s="1"/>
  <c r="H9" i="32" s="1"/>
  <c r="D7" i="32"/>
  <c r="G7" i="32" s="1"/>
  <c r="H7" i="32" s="1"/>
  <c r="D57" i="31"/>
  <c r="G57" i="31" s="1"/>
  <c r="H57" i="31" s="1"/>
  <c r="D54" i="31"/>
  <c r="G54" i="31" s="1"/>
  <c r="H54" i="31" s="1"/>
  <c r="D53" i="31"/>
  <c r="D52" i="31"/>
  <c r="D51" i="31"/>
  <c r="D49" i="31"/>
  <c r="D48" i="31"/>
  <c r="G48" i="31" s="1"/>
  <c r="H48" i="31" s="1"/>
  <c r="D47" i="31"/>
  <c r="D45" i="31"/>
  <c r="D44" i="31"/>
  <c r="D43" i="31"/>
  <c r="D41" i="31"/>
  <c r="D40" i="31"/>
  <c r="G40" i="31" s="1"/>
  <c r="H40" i="31" s="1"/>
  <c r="D39" i="31"/>
  <c r="D38" i="31"/>
  <c r="G38" i="31" s="1"/>
  <c r="H38" i="31" s="1"/>
  <c r="D36" i="31"/>
  <c r="D35" i="31"/>
  <c r="D34" i="31"/>
  <c r="D32" i="31"/>
  <c r="G32" i="31" s="1"/>
  <c r="H32" i="31" s="1"/>
  <c r="D31" i="31"/>
  <c r="D30" i="31"/>
  <c r="G30" i="31" s="1"/>
  <c r="H30" i="31" s="1"/>
  <c r="D29" i="31"/>
  <c r="D27" i="31"/>
  <c r="D26" i="31"/>
  <c r="D25" i="31"/>
  <c r="D23" i="31"/>
  <c r="D22" i="31"/>
  <c r="G22" i="31" s="1"/>
  <c r="H22" i="31" s="1"/>
  <c r="D21" i="31"/>
  <c r="D20" i="31"/>
  <c r="D18" i="31"/>
  <c r="D17" i="31"/>
  <c r="D16" i="31"/>
  <c r="G16" i="31" s="1"/>
  <c r="H16" i="31" s="1"/>
  <c r="D14" i="31"/>
  <c r="G14" i="31" s="1"/>
  <c r="H14" i="31" s="1"/>
  <c r="D13" i="31"/>
  <c r="D12" i="31"/>
  <c r="D11" i="31"/>
  <c r="D9" i="31"/>
  <c r="G9" i="31" s="1"/>
  <c r="H9" i="31" s="1"/>
  <c r="D7" i="31"/>
  <c r="G7" i="31" s="1"/>
  <c r="H7" i="31" s="1"/>
  <c r="G57" i="30"/>
  <c r="H57" i="30" s="1"/>
  <c r="D55" i="30"/>
  <c r="G55" i="30" s="1"/>
  <c r="H55" i="30" s="1"/>
  <c r="D54" i="30"/>
  <c r="D53" i="30"/>
  <c r="D52" i="30"/>
  <c r="D50" i="30"/>
  <c r="D49" i="30"/>
  <c r="G49" i="30" s="1"/>
  <c r="H49" i="30" s="1"/>
  <c r="D48" i="30"/>
  <c r="D47" i="30"/>
  <c r="G47" i="30" s="1"/>
  <c r="H47" i="30" s="1"/>
  <c r="D46" i="30"/>
  <c r="D44" i="30"/>
  <c r="D43" i="30"/>
  <c r="D42" i="30"/>
  <c r="D41" i="30"/>
  <c r="G41" i="30" s="1"/>
  <c r="H41" i="30" s="1"/>
  <c r="D40" i="30"/>
  <c r="D39" i="30"/>
  <c r="G39" i="30" s="1"/>
  <c r="H39" i="30" s="1"/>
  <c r="D37" i="30"/>
  <c r="D36" i="30"/>
  <c r="D35" i="30"/>
  <c r="D34" i="30"/>
  <c r="D33" i="30"/>
  <c r="G33" i="30" s="1"/>
  <c r="H33" i="30" s="1"/>
  <c r="D31" i="30"/>
  <c r="G31" i="30" s="1"/>
  <c r="H31" i="30" s="1"/>
  <c r="D30" i="30"/>
  <c r="D29" i="30"/>
  <c r="D28" i="30"/>
  <c r="D27" i="30"/>
  <c r="D25" i="30"/>
  <c r="G25" i="30" s="1"/>
  <c r="H25" i="30" s="1"/>
  <c r="D24" i="30"/>
  <c r="D23" i="30"/>
  <c r="G23" i="30" s="1"/>
  <c r="H23" i="30" s="1"/>
  <c r="D22" i="30"/>
  <c r="D21" i="30"/>
  <c r="D20" i="30"/>
  <c r="D18" i="30"/>
  <c r="D17" i="30"/>
  <c r="G17" i="30" s="1"/>
  <c r="H17" i="30" s="1"/>
  <c r="D16" i="30"/>
  <c r="D15" i="30"/>
  <c r="G15" i="30" s="1"/>
  <c r="H15" i="30" s="1"/>
  <c r="D14" i="30"/>
  <c r="D12" i="30"/>
  <c r="D11" i="30"/>
  <c r="D10" i="30"/>
  <c r="D9" i="30"/>
  <c r="G9" i="30" s="1"/>
  <c r="H9" i="30" s="1"/>
  <c r="D7" i="30"/>
  <c r="G7" i="30" s="1"/>
  <c r="H7" i="30" s="1"/>
  <c r="D57" i="29"/>
  <c r="G57" i="29" s="1"/>
  <c r="H57" i="29" s="1"/>
  <c r="D54" i="29"/>
  <c r="D53" i="29"/>
  <c r="D52" i="29"/>
  <c r="D50" i="29"/>
  <c r="G50" i="29" s="1"/>
  <c r="H50" i="29" s="1"/>
  <c r="D49" i="29"/>
  <c r="D48" i="29"/>
  <c r="G48" i="29" s="1"/>
  <c r="H48" i="29" s="1"/>
  <c r="D46" i="29"/>
  <c r="D45" i="29"/>
  <c r="D44" i="29"/>
  <c r="D42" i="29"/>
  <c r="G42" i="29" s="1"/>
  <c r="H42" i="29" s="1"/>
  <c r="D41" i="29"/>
  <c r="D40" i="29"/>
  <c r="G40" i="29" s="1"/>
  <c r="H40" i="29" s="1"/>
  <c r="D38" i="29"/>
  <c r="D37" i="29"/>
  <c r="D36" i="29"/>
  <c r="D35" i="29"/>
  <c r="D33" i="29"/>
  <c r="D32" i="29"/>
  <c r="G32" i="29" s="1"/>
  <c r="H32" i="29" s="1"/>
  <c r="D31" i="29"/>
  <c r="D29" i="29"/>
  <c r="D28" i="29"/>
  <c r="D27" i="29"/>
  <c r="D25" i="29"/>
  <c r="D24" i="29"/>
  <c r="G24" i="29" s="1"/>
  <c r="H24" i="29" s="1"/>
  <c r="D23" i="29"/>
  <c r="D21" i="29"/>
  <c r="D20" i="29"/>
  <c r="D19" i="29"/>
  <c r="D17" i="29"/>
  <c r="D16" i="29"/>
  <c r="G16" i="29" s="1"/>
  <c r="H16" i="29" s="1"/>
  <c r="D15" i="29"/>
  <c r="D14" i="29"/>
  <c r="D12" i="29"/>
  <c r="D11" i="29"/>
  <c r="D10" i="29"/>
  <c r="G10" i="29" s="1"/>
  <c r="H10" i="29" s="1"/>
  <c r="D9" i="29"/>
  <c r="G9" i="29" s="1"/>
  <c r="H9" i="29" s="1"/>
  <c r="D7" i="29"/>
  <c r="G7" i="29" s="1"/>
  <c r="H7" i="29" s="1"/>
  <c r="E57" i="28"/>
  <c r="E55" i="28"/>
  <c r="E54" i="28"/>
  <c r="E53" i="28"/>
  <c r="E52" i="28"/>
  <c r="E51" i="28"/>
  <c r="E50" i="28"/>
  <c r="E49" i="28"/>
  <c r="E48" i="28"/>
  <c r="E47" i="28"/>
  <c r="E46" i="28"/>
  <c r="E44" i="28"/>
  <c r="E43" i="28"/>
  <c r="E42" i="28"/>
  <c r="E41" i="28"/>
  <c r="E40" i="28"/>
  <c r="E39" i="28"/>
  <c r="E38" i="28"/>
  <c r="E37" i="28"/>
  <c r="E36" i="28"/>
  <c r="E35" i="28"/>
  <c r="E34" i="28"/>
  <c r="E32" i="28"/>
  <c r="E31" i="28"/>
  <c r="E30" i="28"/>
  <c r="E29" i="28"/>
  <c r="E28" i="28"/>
  <c r="E27" i="28"/>
  <c r="E26" i="28"/>
  <c r="E25" i="28"/>
  <c r="E24" i="28"/>
  <c r="E23" i="28"/>
  <c r="E21" i="28"/>
  <c r="E20" i="28"/>
  <c r="E19" i="28"/>
  <c r="E18" i="28"/>
  <c r="E17" i="28"/>
  <c r="E16" i="28"/>
  <c r="E15" i="28"/>
  <c r="E14" i="28"/>
  <c r="E13" i="28"/>
  <c r="D12" i="28"/>
  <c r="D11" i="28"/>
  <c r="G11" i="28" s="1"/>
  <c r="H11" i="28" s="1"/>
  <c r="D9" i="28"/>
  <c r="G9" i="28" s="1"/>
  <c r="H9" i="28" s="1"/>
  <c r="D7" i="28"/>
  <c r="G7" i="28" s="1"/>
  <c r="H7" i="28" s="1"/>
  <c r="D57" i="27"/>
  <c r="G57" i="27" s="1"/>
  <c r="H57" i="27" s="1"/>
  <c r="D55" i="27"/>
  <c r="D54" i="27"/>
  <c r="D53" i="27"/>
  <c r="D51" i="27"/>
  <c r="D50" i="27"/>
  <c r="G50" i="27" s="1"/>
  <c r="H50" i="27" s="1"/>
  <c r="D49" i="27"/>
  <c r="D48" i="27"/>
  <c r="D47" i="27"/>
  <c r="D45" i="27"/>
  <c r="D44" i="27"/>
  <c r="G44" i="27" s="1"/>
  <c r="H44" i="27" s="1"/>
  <c r="D43" i="27"/>
  <c r="D42" i="27"/>
  <c r="G42" i="27" s="1"/>
  <c r="H42" i="27" s="1"/>
  <c r="D40" i="27"/>
  <c r="D39" i="27"/>
  <c r="D38" i="27"/>
  <c r="D37" i="27"/>
  <c r="D36" i="27"/>
  <c r="G36" i="27" s="1"/>
  <c r="H36" i="27" s="1"/>
  <c r="D34" i="27"/>
  <c r="G34" i="27" s="1"/>
  <c r="H34" i="27" s="1"/>
  <c r="D33" i="27"/>
  <c r="D32" i="27"/>
  <c r="D31" i="27"/>
  <c r="D29" i="27"/>
  <c r="D28" i="27"/>
  <c r="G28" i="27" s="1"/>
  <c r="H28" i="27" s="1"/>
  <c r="D27" i="27"/>
  <c r="D26" i="27"/>
  <c r="G26" i="27" s="1"/>
  <c r="H26" i="27" s="1"/>
  <c r="D25" i="27"/>
  <c r="D23" i="27"/>
  <c r="D22" i="27"/>
  <c r="D21" i="27"/>
  <c r="D20" i="27"/>
  <c r="G20" i="27" s="1"/>
  <c r="H20" i="27" s="1"/>
  <c r="D18" i="27"/>
  <c r="G18" i="27" s="1"/>
  <c r="H18" i="27" s="1"/>
  <c r="D17" i="27"/>
  <c r="D16" i="27"/>
  <c r="D15" i="27"/>
  <c r="D14" i="27"/>
  <c r="D12" i="27"/>
  <c r="G12" i="27" s="1"/>
  <c r="H12" i="27" s="1"/>
  <c r="D11" i="27"/>
  <c r="D10" i="27"/>
  <c r="G10" i="27" s="1"/>
  <c r="H10" i="27" s="1"/>
  <c r="D9" i="27"/>
  <c r="G9" i="27" s="1"/>
  <c r="H9" i="27" s="1"/>
  <c r="G7" i="27"/>
  <c r="H7" i="27" s="1"/>
  <c r="D57" i="26"/>
  <c r="G57" i="26" s="1"/>
  <c r="H57" i="26" s="1"/>
  <c r="D54" i="26"/>
  <c r="D53" i="26"/>
  <c r="G53" i="26" s="1"/>
  <c r="H53" i="26" s="1"/>
  <c r="D52" i="26"/>
  <c r="D51" i="26"/>
  <c r="G51" i="26" s="1"/>
  <c r="H51" i="26" s="1"/>
  <c r="D49" i="26"/>
  <c r="D48" i="26"/>
  <c r="D47" i="26"/>
  <c r="D46" i="26"/>
  <c r="D45" i="26"/>
  <c r="G45" i="26" s="1"/>
  <c r="H45" i="26" s="1"/>
  <c r="D43" i="26"/>
  <c r="G43" i="26" s="1"/>
  <c r="H43" i="26" s="1"/>
  <c r="D42" i="26"/>
  <c r="D41" i="26"/>
  <c r="D40" i="26"/>
  <c r="D38" i="26"/>
  <c r="D37" i="26"/>
  <c r="G37" i="26" s="1"/>
  <c r="H37" i="26" s="1"/>
  <c r="D36" i="26"/>
  <c r="D35" i="26"/>
  <c r="G35" i="26" s="1"/>
  <c r="H35" i="26" s="1"/>
  <c r="D34" i="26"/>
  <c r="D32" i="26"/>
  <c r="D31" i="26"/>
  <c r="D30" i="26"/>
  <c r="D29" i="26"/>
  <c r="G29" i="26" s="1"/>
  <c r="H29" i="26" s="1"/>
  <c r="D28" i="26"/>
  <c r="D26" i="26"/>
  <c r="D25" i="26"/>
  <c r="D24" i="26"/>
  <c r="D23" i="26"/>
  <c r="D21" i="26"/>
  <c r="G21" i="26" s="1"/>
  <c r="H21" i="26" s="1"/>
  <c r="D20" i="26"/>
  <c r="D19" i="26"/>
  <c r="G19" i="26" s="1"/>
  <c r="H19" i="26" s="1"/>
  <c r="D18" i="26"/>
  <c r="D17" i="26"/>
  <c r="D15" i="26"/>
  <c r="D14" i="26"/>
  <c r="D13" i="26"/>
  <c r="G13" i="26" s="1"/>
  <c r="H13" i="26" s="1"/>
  <c r="D12" i="26"/>
  <c r="D10" i="26"/>
  <c r="D9" i="26"/>
  <c r="G9" i="26" s="1"/>
  <c r="H9" i="26" s="1"/>
  <c r="D7" i="26"/>
  <c r="G7" i="26" s="1"/>
  <c r="H7" i="26" s="1"/>
  <c r="G40" i="26" l="1"/>
  <c r="H40" i="26" s="1"/>
  <c r="G23" i="27"/>
  <c r="H23" i="27" s="1"/>
  <c r="G55" i="27"/>
  <c r="H55" i="27" s="1"/>
  <c r="G21" i="29"/>
  <c r="H21" i="29" s="1"/>
  <c r="G37" i="29"/>
  <c r="H37" i="29" s="1"/>
  <c r="G12" i="30"/>
  <c r="H12" i="30" s="1"/>
  <c r="G28" i="30"/>
  <c r="H28" i="30" s="1"/>
  <c r="G44" i="30"/>
  <c r="H44" i="30" s="1"/>
  <c r="G35" i="31"/>
  <c r="H35" i="31" s="1"/>
  <c r="G51" i="31"/>
  <c r="H51" i="31" s="1"/>
  <c r="G18" i="32"/>
  <c r="H18" i="32" s="1"/>
  <c r="G34" i="32"/>
  <c r="H34" i="32" s="1"/>
  <c r="G25" i="33"/>
  <c r="H25" i="33" s="1"/>
  <c r="G41" i="33"/>
  <c r="H41" i="33" s="1"/>
  <c r="G49" i="33"/>
  <c r="H49" i="33" s="1"/>
  <c r="G17" i="34"/>
  <c r="H17" i="34" s="1"/>
  <c r="G41" i="34"/>
  <c r="H41" i="34" s="1"/>
  <c r="G24" i="35"/>
  <c r="H24" i="35" s="1"/>
  <c r="G40" i="35"/>
  <c r="H40" i="35" s="1"/>
  <c r="G48" i="35"/>
  <c r="H48" i="35" s="1"/>
  <c r="G15" i="36"/>
  <c r="H15" i="36" s="1"/>
  <c r="G31" i="36"/>
  <c r="H31" i="36" s="1"/>
  <c r="G47" i="36"/>
  <c r="H47" i="36" s="1"/>
  <c r="G14" i="37"/>
  <c r="H14" i="37" s="1"/>
  <c r="G30" i="37"/>
  <c r="H30" i="37" s="1"/>
  <c r="G38" i="37"/>
  <c r="H38" i="37" s="1"/>
  <c r="G46" i="37"/>
  <c r="H46" i="37" s="1"/>
  <c r="G45" i="39"/>
  <c r="H45" i="39" s="1"/>
  <c r="G53" i="39"/>
  <c r="H53" i="39" s="1"/>
  <c r="G19" i="41"/>
  <c r="H19" i="41" s="1"/>
  <c r="G35" i="41"/>
  <c r="H35" i="41" s="1"/>
  <c r="G43" i="41"/>
  <c r="H43" i="41" s="1"/>
  <c r="G51" i="41"/>
  <c r="H51" i="41" s="1"/>
  <c r="G13" i="40"/>
  <c r="H13" i="40" s="1"/>
  <c r="G21" i="40"/>
  <c r="H21" i="40" s="1"/>
  <c r="G29" i="40"/>
  <c r="H29" i="40" s="1"/>
  <c r="G37" i="40"/>
  <c r="H37" i="40" s="1"/>
  <c r="G45" i="40"/>
  <c r="H45" i="40" s="1"/>
  <c r="G53" i="40"/>
  <c r="H53" i="40" s="1"/>
  <c r="G12" i="41"/>
  <c r="H12" i="41" s="1"/>
  <c r="G20" i="41"/>
  <c r="H20" i="41" s="1"/>
  <c r="G28" i="41"/>
  <c r="H28" i="41" s="1"/>
  <c r="G36" i="41"/>
  <c r="H36" i="41" s="1"/>
  <c r="G44" i="41"/>
  <c r="H44" i="41" s="1"/>
  <c r="G52" i="41"/>
  <c r="H52" i="41" s="1"/>
  <c r="G47" i="27"/>
  <c r="H47" i="27" s="1"/>
  <c r="G45" i="29"/>
  <c r="H45" i="29" s="1"/>
  <c r="G20" i="30"/>
  <c r="H20" i="30" s="1"/>
  <c r="G36" i="30"/>
  <c r="H36" i="30" s="1"/>
  <c r="G52" i="30"/>
  <c r="H52" i="30" s="1"/>
  <c r="G11" i="31"/>
  <c r="H11" i="31" s="1"/>
  <c r="G27" i="31"/>
  <c r="H27" i="31" s="1"/>
  <c r="G43" i="31"/>
  <c r="H43" i="31" s="1"/>
  <c r="G10" i="32"/>
  <c r="H10" i="32" s="1"/>
  <c r="G26" i="32"/>
  <c r="H26" i="32" s="1"/>
  <c r="G42" i="32"/>
  <c r="H42" i="32" s="1"/>
  <c r="G50" i="32"/>
  <c r="H50" i="32" s="1"/>
  <c r="G17" i="33"/>
  <c r="H17" i="33" s="1"/>
  <c r="G25" i="34"/>
  <c r="H25" i="34" s="1"/>
  <c r="G33" i="34"/>
  <c r="H33" i="34" s="1"/>
  <c r="G49" i="34"/>
  <c r="H49" i="34" s="1"/>
  <c r="G16" i="35"/>
  <c r="H16" i="35" s="1"/>
  <c r="G23" i="36"/>
  <c r="H23" i="36" s="1"/>
  <c r="G39" i="36"/>
  <c r="H39" i="36" s="1"/>
  <c r="G55" i="36"/>
  <c r="H55" i="36" s="1"/>
  <c r="G22" i="37"/>
  <c r="H22" i="37" s="1"/>
  <c r="G54" i="37"/>
  <c r="H54" i="37" s="1"/>
  <c r="G37" i="39"/>
  <c r="H37" i="39" s="1"/>
  <c r="G15" i="27"/>
  <c r="H15" i="27" s="1"/>
  <c r="G39" i="27"/>
  <c r="H39" i="27" s="1"/>
  <c r="G53" i="29"/>
  <c r="H53" i="29" s="1"/>
  <c r="G15" i="40"/>
  <c r="H15" i="40" s="1"/>
  <c r="G23" i="40"/>
  <c r="H23" i="40" s="1"/>
  <c r="G31" i="40"/>
  <c r="H31" i="40" s="1"/>
  <c r="G39" i="40"/>
  <c r="H39" i="40" s="1"/>
  <c r="G47" i="40"/>
  <c r="H47" i="40" s="1"/>
  <c r="G55" i="40"/>
  <c r="H55" i="40" s="1"/>
  <c r="G14" i="41"/>
  <c r="H14" i="41" s="1"/>
  <c r="G30" i="41"/>
  <c r="H30" i="41" s="1"/>
  <c r="G38" i="41"/>
  <c r="H38" i="41" s="1"/>
  <c r="G46" i="41"/>
  <c r="H46" i="41" s="1"/>
  <c r="G54" i="41"/>
  <c r="H54" i="41" s="1"/>
  <c r="G24" i="26"/>
  <c r="H24" i="26" s="1"/>
  <c r="G31" i="27"/>
  <c r="H31" i="27" s="1"/>
  <c r="G29" i="29"/>
  <c r="H29" i="29" s="1"/>
  <c r="G32" i="26"/>
  <c r="H32" i="26" s="1"/>
  <c r="G48" i="26"/>
  <c r="H48" i="26" s="1"/>
  <c r="G14" i="26"/>
  <c r="H14" i="26" s="1"/>
  <c r="G30" i="26"/>
  <c r="H30" i="26" s="1"/>
  <c r="G38" i="26"/>
  <c r="H38" i="26" s="1"/>
  <c r="G46" i="26"/>
  <c r="H46" i="26" s="1"/>
  <c r="G54" i="26"/>
  <c r="H54" i="26" s="1"/>
  <c r="G21" i="27"/>
  <c r="H21" i="27" s="1"/>
  <c r="G29" i="27"/>
  <c r="H29" i="27" s="1"/>
  <c r="G37" i="27"/>
  <c r="H37" i="27" s="1"/>
  <c r="G45" i="27"/>
  <c r="H45" i="27" s="1"/>
  <c r="G53" i="27"/>
  <c r="H53" i="27" s="1"/>
  <c r="G12" i="28"/>
  <c r="H12" i="28" s="1"/>
  <c r="G11" i="29"/>
  <c r="H11" i="29" s="1"/>
  <c r="G19" i="29"/>
  <c r="H19" i="29" s="1"/>
  <c r="G27" i="29"/>
  <c r="H27" i="29" s="1"/>
  <c r="G35" i="29"/>
  <c r="H35" i="29" s="1"/>
  <c r="G10" i="30"/>
  <c r="H10" i="30" s="1"/>
  <c r="G18" i="30"/>
  <c r="H18" i="30" s="1"/>
  <c r="G34" i="30"/>
  <c r="H34" i="30" s="1"/>
  <c r="G42" i="30"/>
  <c r="H42" i="30" s="1"/>
  <c r="G50" i="30"/>
  <c r="H50" i="30" s="1"/>
  <c r="G17" i="31"/>
  <c r="H17" i="31" s="1"/>
  <c r="G25" i="31"/>
  <c r="H25" i="31" s="1"/>
  <c r="G41" i="31"/>
  <c r="H41" i="31" s="1"/>
  <c r="G49" i="31"/>
  <c r="H49" i="31" s="1"/>
  <c r="G24" i="32"/>
  <c r="H24" i="32" s="1"/>
  <c r="G32" i="32"/>
  <c r="H32" i="32" s="1"/>
  <c r="G40" i="32"/>
  <c r="H40" i="32" s="1"/>
  <c r="G48" i="32"/>
  <c r="H48" i="32" s="1"/>
  <c r="G15" i="33"/>
  <c r="H15" i="33" s="1"/>
  <c r="G31" i="33"/>
  <c r="H31" i="33" s="1"/>
  <c r="G39" i="33"/>
  <c r="H39" i="33" s="1"/>
  <c r="G55" i="33"/>
  <c r="H55" i="33" s="1"/>
  <c r="G23" i="34"/>
  <c r="H23" i="34" s="1"/>
  <c r="G31" i="34"/>
  <c r="H31" i="34" s="1"/>
  <c r="G39" i="34"/>
  <c r="H39" i="34" s="1"/>
  <c r="G47" i="34"/>
  <c r="H47" i="34" s="1"/>
  <c r="G55" i="34"/>
  <c r="H55" i="34" s="1"/>
  <c r="G22" i="35"/>
  <c r="H22" i="35" s="1"/>
  <c r="G30" i="35"/>
  <c r="H30" i="35" s="1"/>
  <c r="G46" i="35"/>
  <c r="H46" i="35" s="1"/>
  <c r="G54" i="35"/>
  <c r="H54" i="35" s="1"/>
  <c r="G13" i="36"/>
  <c r="H13" i="36" s="1"/>
  <c r="G21" i="36"/>
  <c r="H21" i="36" s="1"/>
  <c r="G41" i="41"/>
  <c r="H41" i="41" s="1"/>
  <c r="G49" i="41"/>
  <c r="H49" i="41" s="1"/>
  <c r="G13" i="28"/>
  <c r="H13" i="28" s="1"/>
  <c r="G15" i="26"/>
  <c r="H15" i="26" s="1"/>
  <c r="G23" i="26"/>
  <c r="H23" i="26" s="1"/>
  <c r="G31" i="26"/>
  <c r="H31" i="26" s="1"/>
  <c r="G47" i="26"/>
  <c r="H47" i="26" s="1"/>
  <c r="G14" i="27"/>
  <c r="H14" i="27" s="1"/>
  <c r="G22" i="27"/>
  <c r="H22" i="27" s="1"/>
  <c r="G38" i="27"/>
  <c r="H38" i="27" s="1"/>
  <c r="G54" i="27"/>
  <c r="H54" i="27" s="1"/>
  <c r="G12" i="29"/>
  <c r="H12" i="29" s="1"/>
  <c r="G20" i="29"/>
  <c r="H20" i="29" s="1"/>
  <c r="G28" i="29"/>
  <c r="H28" i="29" s="1"/>
  <c r="G36" i="29"/>
  <c r="H36" i="29" s="1"/>
  <c r="G44" i="29"/>
  <c r="H44" i="29" s="1"/>
  <c r="G52" i="29"/>
  <c r="H52" i="29" s="1"/>
  <c r="G11" i="30"/>
  <c r="H11" i="30" s="1"/>
  <c r="G27" i="30"/>
  <c r="H27" i="30" s="1"/>
  <c r="G35" i="30"/>
  <c r="H35" i="30" s="1"/>
  <c r="G43" i="30"/>
  <c r="H43" i="30" s="1"/>
  <c r="G18" i="31"/>
  <c r="H18" i="31" s="1"/>
  <c r="G26" i="31"/>
  <c r="H26" i="31" s="1"/>
  <c r="G34" i="31"/>
  <c r="H34" i="31" s="1"/>
  <c r="G17" i="32"/>
  <c r="H17" i="32" s="1"/>
  <c r="G25" i="32"/>
  <c r="H25" i="32" s="1"/>
  <c r="G41" i="32"/>
  <c r="H41" i="32" s="1"/>
  <c r="G16" i="33"/>
  <c r="H16" i="33" s="1"/>
  <c r="G24" i="33"/>
  <c r="H24" i="33" s="1"/>
  <c r="G32" i="33"/>
  <c r="H32" i="33" s="1"/>
  <c r="G40" i="33"/>
  <c r="H40" i="33" s="1"/>
  <c r="G48" i="33"/>
  <c r="H48" i="33" s="1"/>
  <c r="G24" i="34"/>
  <c r="H24" i="34" s="1"/>
  <c r="G32" i="34"/>
  <c r="H32" i="34" s="1"/>
  <c r="G40" i="34"/>
  <c r="H40" i="34" s="1"/>
  <c r="G48" i="34"/>
  <c r="H48" i="34" s="1"/>
  <c r="G15" i="35"/>
  <c r="H15" i="35" s="1"/>
  <c r="G23" i="35"/>
  <c r="H23" i="35" s="1"/>
  <c r="G31" i="35"/>
  <c r="H31" i="35" s="1"/>
  <c r="G39" i="35"/>
  <c r="H39" i="35" s="1"/>
  <c r="G47" i="35"/>
  <c r="H47" i="35" s="1"/>
  <c r="G55" i="35"/>
  <c r="H55" i="35" s="1"/>
  <c r="G14" i="36"/>
  <c r="H14" i="36" s="1"/>
  <c r="G22" i="36"/>
  <c r="H22" i="36" s="1"/>
  <c r="G30" i="36"/>
  <c r="H30" i="36" s="1"/>
  <c r="G38" i="36"/>
  <c r="H38" i="36" s="1"/>
  <c r="G46" i="36"/>
  <c r="H46" i="36" s="1"/>
  <c r="G54" i="36"/>
  <c r="H54" i="36" s="1"/>
  <c r="G13" i="37"/>
  <c r="H13" i="37" s="1"/>
  <c r="G21" i="37"/>
  <c r="H21" i="37" s="1"/>
  <c r="G29" i="37"/>
  <c r="H29" i="37" s="1"/>
  <c r="G45" i="37"/>
  <c r="H45" i="37" s="1"/>
  <c r="G12" i="39"/>
  <c r="H12" i="39" s="1"/>
  <c r="G20" i="39"/>
  <c r="H20" i="39" s="1"/>
  <c r="G28" i="39"/>
  <c r="H28" i="39" s="1"/>
  <c r="G36" i="39"/>
  <c r="H36" i="39" s="1"/>
  <c r="G44" i="39"/>
  <c r="H44" i="39" s="1"/>
  <c r="G52" i="39"/>
  <c r="H52" i="39" s="1"/>
  <c r="G11" i="40"/>
  <c r="H11" i="40" s="1"/>
  <c r="G19" i="40"/>
  <c r="H19" i="40" s="1"/>
  <c r="G27" i="40"/>
  <c r="H27" i="40" s="1"/>
  <c r="G35" i="40"/>
  <c r="H35" i="40" s="1"/>
  <c r="G43" i="40"/>
  <c r="H43" i="40" s="1"/>
  <c r="G51" i="40"/>
  <c r="H51" i="40" s="1"/>
  <c r="G10" i="41"/>
  <c r="H10" i="41" s="1"/>
  <c r="G18" i="41"/>
  <c r="H18" i="41" s="1"/>
  <c r="G26" i="41"/>
  <c r="H26" i="41" s="1"/>
  <c r="G34" i="41"/>
  <c r="H34" i="41" s="1"/>
  <c r="G50" i="41"/>
  <c r="H50" i="41" s="1"/>
  <c r="G49" i="26"/>
  <c r="H49" i="26" s="1"/>
  <c r="G29" i="30"/>
  <c r="H29" i="30" s="1"/>
  <c r="G12" i="31"/>
  <c r="H12" i="31" s="1"/>
  <c r="G52" i="31"/>
  <c r="H52" i="31" s="1"/>
  <c r="G19" i="32"/>
  <c r="H19" i="32" s="1"/>
  <c r="G35" i="32"/>
  <c r="H35" i="32" s="1"/>
  <c r="G51" i="32"/>
  <c r="H51" i="32" s="1"/>
  <c r="G34" i="33"/>
  <c r="H34" i="33" s="1"/>
  <c r="G50" i="33"/>
  <c r="H50" i="33" s="1"/>
  <c r="G18" i="34"/>
  <c r="H18" i="34" s="1"/>
  <c r="G42" i="34"/>
  <c r="H42" i="34" s="1"/>
  <c r="G50" i="34"/>
  <c r="H50" i="34" s="1"/>
  <c r="G17" i="35"/>
  <c r="H17" i="35" s="1"/>
  <c r="G25" i="35"/>
  <c r="H25" i="35" s="1"/>
  <c r="G33" i="35"/>
  <c r="H33" i="35" s="1"/>
  <c r="G41" i="35"/>
  <c r="H41" i="35" s="1"/>
  <c r="G49" i="35"/>
  <c r="H49" i="35" s="1"/>
  <c r="G16" i="36"/>
  <c r="H16" i="36" s="1"/>
  <c r="G24" i="36"/>
  <c r="H24" i="36" s="1"/>
  <c r="G32" i="36"/>
  <c r="H32" i="36" s="1"/>
  <c r="G40" i="36"/>
  <c r="H40" i="36" s="1"/>
  <c r="G48" i="36"/>
  <c r="H48" i="36" s="1"/>
  <c r="G23" i="37"/>
  <c r="H23" i="37" s="1"/>
  <c r="G39" i="37"/>
  <c r="H39" i="37" s="1"/>
  <c r="G47" i="37"/>
  <c r="H47" i="37" s="1"/>
  <c r="G55" i="37"/>
  <c r="H55" i="37" s="1"/>
  <c r="G14" i="39"/>
  <c r="H14" i="39" s="1"/>
  <c r="G22" i="39"/>
  <c r="H22" i="39" s="1"/>
  <c r="G30" i="39"/>
  <c r="H30" i="39" s="1"/>
  <c r="G25" i="26"/>
  <c r="H25" i="26" s="1"/>
  <c r="G38" i="29"/>
  <c r="H38" i="29" s="1"/>
  <c r="G21" i="30"/>
  <c r="H21" i="30" s="1"/>
  <c r="G53" i="30"/>
  <c r="H53" i="30" s="1"/>
  <c r="G36" i="31"/>
  <c r="H36" i="31" s="1"/>
  <c r="G43" i="32"/>
  <c r="H43" i="32" s="1"/>
  <c r="G10" i="33"/>
  <c r="H10" i="33" s="1"/>
  <c r="G26" i="33"/>
  <c r="H26" i="33" s="1"/>
  <c r="G42" i="33"/>
  <c r="H42" i="33" s="1"/>
  <c r="G26" i="34"/>
  <c r="H26" i="34" s="1"/>
  <c r="G10" i="26"/>
  <c r="H10" i="26" s="1"/>
  <c r="G18" i="26"/>
  <c r="H18" i="26" s="1"/>
  <c r="G26" i="26"/>
  <c r="H26" i="26" s="1"/>
  <c r="G34" i="26"/>
  <c r="H34" i="26" s="1"/>
  <c r="G42" i="26"/>
  <c r="H42" i="26" s="1"/>
  <c r="G17" i="27"/>
  <c r="H17" i="27" s="1"/>
  <c r="G25" i="27"/>
  <c r="H25" i="27" s="1"/>
  <c r="G33" i="27"/>
  <c r="H33" i="27" s="1"/>
  <c r="G49" i="27"/>
  <c r="H49" i="27" s="1"/>
  <c r="G15" i="29"/>
  <c r="H15" i="29" s="1"/>
  <c r="G23" i="29"/>
  <c r="H23" i="29" s="1"/>
  <c r="G31" i="29"/>
  <c r="H31" i="29" s="1"/>
  <c r="G14" i="30"/>
  <c r="H14" i="30" s="1"/>
  <c r="G22" i="30"/>
  <c r="H22" i="30" s="1"/>
  <c r="G30" i="30"/>
  <c r="H30" i="30" s="1"/>
  <c r="G46" i="30"/>
  <c r="H46" i="30" s="1"/>
  <c r="G54" i="30"/>
  <c r="H54" i="30" s="1"/>
  <c r="G13" i="31"/>
  <c r="H13" i="31" s="1"/>
  <c r="G21" i="31"/>
  <c r="H21" i="31" s="1"/>
  <c r="G29" i="31"/>
  <c r="H29" i="31" s="1"/>
  <c r="G45" i="31"/>
  <c r="H45" i="31" s="1"/>
  <c r="G53" i="31"/>
  <c r="H53" i="31" s="1"/>
  <c r="G12" i="32"/>
  <c r="H12" i="32" s="1"/>
  <c r="G20" i="32"/>
  <c r="H20" i="32" s="1"/>
  <c r="G28" i="32"/>
  <c r="H28" i="32" s="1"/>
  <c r="G36" i="32"/>
  <c r="H36" i="32" s="1"/>
  <c r="G52" i="32"/>
  <c r="H52" i="32" s="1"/>
  <c r="G11" i="33"/>
  <c r="H11" i="33" s="1"/>
  <c r="G19" i="33"/>
  <c r="H19" i="33" s="1"/>
  <c r="G27" i="33"/>
  <c r="H27" i="33" s="1"/>
  <c r="G35" i="33"/>
  <c r="H35" i="33" s="1"/>
  <c r="G51" i="33"/>
  <c r="H51" i="33" s="1"/>
  <c r="G10" i="34"/>
  <c r="H10" i="34" s="1"/>
  <c r="G19" i="34"/>
  <c r="H19" i="34" s="1"/>
  <c r="G27" i="34"/>
  <c r="H27" i="34" s="1"/>
  <c r="G35" i="34"/>
  <c r="H35" i="34" s="1"/>
  <c r="G43" i="34"/>
  <c r="H43" i="34" s="1"/>
  <c r="G51" i="34"/>
  <c r="H51" i="34" s="1"/>
  <c r="G10" i="35"/>
  <c r="H10" i="35" s="1"/>
  <c r="G18" i="35"/>
  <c r="H18" i="35" s="1"/>
  <c r="G34" i="35"/>
  <c r="H34" i="35" s="1"/>
  <c r="G42" i="35"/>
  <c r="H42" i="35" s="1"/>
  <c r="G50" i="35"/>
  <c r="H50" i="35" s="1"/>
  <c r="G25" i="36"/>
  <c r="H25" i="36" s="1"/>
  <c r="G33" i="36"/>
  <c r="H33" i="36" s="1"/>
  <c r="G41" i="36"/>
  <c r="H41" i="36" s="1"/>
  <c r="G49" i="36"/>
  <c r="H49" i="36" s="1"/>
  <c r="G16" i="37"/>
  <c r="H16" i="37" s="1"/>
  <c r="G24" i="37"/>
  <c r="H24" i="37" s="1"/>
  <c r="G32" i="37"/>
  <c r="H32" i="37" s="1"/>
  <c r="G40" i="37"/>
  <c r="H40" i="37" s="1"/>
  <c r="G15" i="39"/>
  <c r="H15" i="39" s="1"/>
  <c r="G23" i="39"/>
  <c r="H23" i="39" s="1"/>
  <c r="G31" i="39"/>
  <c r="H31" i="39" s="1"/>
  <c r="G39" i="39"/>
  <c r="H39" i="39" s="1"/>
  <c r="G47" i="39"/>
  <c r="H47" i="39" s="1"/>
  <c r="G55" i="39"/>
  <c r="H55" i="39" s="1"/>
  <c r="G14" i="40"/>
  <c r="H14" i="40" s="1"/>
  <c r="G22" i="40"/>
  <c r="H22" i="40" s="1"/>
  <c r="G30" i="40"/>
  <c r="H30" i="40" s="1"/>
  <c r="G38" i="40"/>
  <c r="H38" i="40" s="1"/>
  <c r="G46" i="40"/>
  <c r="H46" i="40" s="1"/>
  <c r="G54" i="40"/>
  <c r="H54" i="40" s="1"/>
  <c r="G13" i="41"/>
  <c r="H13" i="41" s="1"/>
  <c r="G21" i="41"/>
  <c r="H21" i="41" s="1"/>
  <c r="G29" i="41"/>
  <c r="H29" i="41" s="1"/>
  <c r="G45" i="41"/>
  <c r="H45" i="41" s="1"/>
  <c r="G32" i="27"/>
  <c r="H32" i="27" s="1"/>
  <c r="G46" i="29"/>
  <c r="H46" i="29" s="1"/>
  <c r="G17" i="26"/>
  <c r="H17" i="26" s="1"/>
  <c r="G41" i="26"/>
  <c r="H41" i="26" s="1"/>
  <c r="G48" i="27"/>
  <c r="H48" i="27" s="1"/>
  <c r="G37" i="30"/>
  <c r="H37" i="30" s="1"/>
  <c r="G20" i="31"/>
  <c r="H20" i="31" s="1"/>
  <c r="G12" i="26"/>
  <c r="H12" i="26" s="1"/>
  <c r="G20" i="26"/>
  <c r="H20" i="26" s="1"/>
  <c r="G28" i="26"/>
  <c r="H28" i="26" s="1"/>
  <c r="G36" i="26"/>
  <c r="H36" i="26" s="1"/>
  <c r="G52" i="26"/>
  <c r="H52" i="26" s="1"/>
  <c r="G11" i="27"/>
  <c r="H11" i="27" s="1"/>
  <c r="G27" i="27"/>
  <c r="H27" i="27" s="1"/>
  <c r="G43" i="27"/>
  <c r="H43" i="27" s="1"/>
  <c r="G51" i="27"/>
  <c r="H51" i="27" s="1"/>
  <c r="G17" i="29"/>
  <c r="H17" i="29" s="1"/>
  <c r="G25" i="29"/>
  <c r="H25" i="29" s="1"/>
  <c r="G33" i="29"/>
  <c r="H33" i="29" s="1"/>
  <c r="G41" i="29"/>
  <c r="H41" i="29" s="1"/>
  <c r="G49" i="29"/>
  <c r="H49" i="29" s="1"/>
  <c r="G16" i="30"/>
  <c r="H16" i="30" s="1"/>
  <c r="G24" i="30"/>
  <c r="H24" i="30" s="1"/>
  <c r="G40" i="30"/>
  <c r="H40" i="30" s="1"/>
  <c r="G48" i="30"/>
  <c r="H48" i="30" s="1"/>
  <c r="G23" i="31"/>
  <c r="H23" i="31" s="1"/>
  <c r="G31" i="31"/>
  <c r="H31" i="31" s="1"/>
  <c r="G39" i="31"/>
  <c r="H39" i="31" s="1"/>
  <c r="G47" i="31"/>
  <c r="H47" i="31" s="1"/>
  <c r="G14" i="32"/>
  <c r="H14" i="32" s="1"/>
  <c r="G30" i="32"/>
  <c r="H30" i="32" s="1"/>
  <c r="G46" i="32"/>
  <c r="H46" i="32" s="1"/>
  <c r="G54" i="32"/>
  <c r="H54" i="32" s="1"/>
  <c r="G21" i="33"/>
  <c r="H21" i="33" s="1"/>
  <c r="G29" i="33"/>
  <c r="H29" i="33" s="1"/>
  <c r="G37" i="33"/>
  <c r="H37" i="33" s="1"/>
  <c r="G45" i="33"/>
  <c r="H45" i="33" s="1"/>
  <c r="G53" i="33"/>
  <c r="H53" i="33" s="1"/>
  <c r="G12" i="34"/>
  <c r="H12" i="34" s="1"/>
  <c r="G21" i="34"/>
  <c r="H21" i="34" s="1"/>
  <c r="G29" i="34"/>
  <c r="H29" i="34" s="1"/>
  <c r="G37" i="34"/>
  <c r="H37" i="34" s="1"/>
  <c r="G45" i="34"/>
  <c r="H45" i="34" s="1"/>
  <c r="G53" i="34"/>
  <c r="H53" i="34" s="1"/>
  <c r="G12" i="35"/>
  <c r="H12" i="35" s="1"/>
  <c r="G28" i="35"/>
  <c r="H28" i="35" s="1"/>
  <c r="G36" i="35"/>
  <c r="H36" i="35" s="1"/>
  <c r="G52" i="35"/>
  <c r="H52" i="35" s="1"/>
  <c r="G11" i="36"/>
  <c r="H11" i="36" s="1"/>
  <c r="G19" i="36"/>
  <c r="H19" i="36" s="1"/>
  <c r="G27" i="36"/>
  <c r="H27" i="36" s="1"/>
  <c r="G43" i="36"/>
  <c r="H43" i="36" s="1"/>
  <c r="G51" i="36"/>
  <c r="H51" i="36" s="1"/>
  <c r="G10" i="37"/>
  <c r="H10" i="37" s="1"/>
  <c r="G18" i="37"/>
  <c r="H18" i="37" s="1"/>
  <c r="G34" i="37"/>
  <c r="H34" i="37" s="1"/>
  <c r="G50" i="37"/>
  <c r="H50" i="37" s="1"/>
  <c r="G17" i="39"/>
  <c r="H17" i="39" s="1"/>
  <c r="G25" i="39"/>
  <c r="H25" i="39" s="1"/>
  <c r="G33" i="39"/>
  <c r="H33" i="39" s="1"/>
  <c r="G41" i="39"/>
  <c r="H41" i="39" s="1"/>
  <c r="G49" i="39"/>
  <c r="H49" i="39" s="1"/>
  <c r="G15" i="41"/>
  <c r="H15" i="41" s="1"/>
  <c r="G23" i="41"/>
  <c r="H23" i="41" s="1"/>
  <c r="G31" i="41"/>
  <c r="H31" i="41" s="1"/>
  <c r="G39" i="41"/>
  <c r="H39" i="41" s="1"/>
  <c r="G55" i="41"/>
  <c r="H55" i="41" s="1"/>
  <c r="G14" i="34"/>
  <c r="H14" i="34" s="1"/>
  <c r="G15" i="34"/>
  <c r="H15" i="34" s="1"/>
  <c r="G16" i="27"/>
  <c r="H16" i="27" s="1"/>
  <c r="G40" i="27"/>
  <c r="H40" i="27" s="1"/>
  <c r="G14" i="29"/>
  <c r="H14" i="29" s="1"/>
  <c r="G54" i="29"/>
  <c r="H54" i="29" s="1"/>
  <c r="G44" i="31"/>
  <c r="H44" i="31" s="1"/>
  <c r="G24" i="41"/>
  <c r="H24" i="41" s="1"/>
  <c r="G40" i="41"/>
  <c r="H40" i="41" s="1"/>
  <c r="G48" i="41"/>
  <c r="H48" i="41" s="1"/>
  <c r="E41" i="26"/>
  <c r="E33" i="27"/>
  <c r="E13" i="32"/>
  <c r="E16" i="33"/>
  <c r="E32" i="33"/>
  <c r="E19" i="35"/>
  <c r="E21" i="37"/>
  <c r="E19" i="40"/>
  <c r="E35" i="40"/>
  <c r="E51" i="40"/>
  <c r="E14" i="41"/>
  <c r="E30" i="41"/>
  <c r="E38" i="41"/>
  <c r="E46" i="41"/>
  <c r="E21" i="26"/>
  <c r="E53" i="39"/>
  <c r="E53" i="26"/>
  <c r="E23" i="32"/>
  <c r="E39" i="32"/>
  <c r="E25" i="26"/>
  <c r="E37" i="26"/>
  <c r="E17" i="27"/>
  <c r="E21" i="27"/>
  <c r="E37" i="27"/>
  <c r="E49" i="27"/>
  <c r="E11" i="39"/>
  <c r="E57" i="39"/>
  <c r="E31" i="31"/>
  <c r="E35" i="31"/>
  <c r="E39" i="31"/>
  <c r="E43" i="31"/>
  <c r="E47" i="31"/>
  <c r="E51" i="31"/>
  <c r="E7" i="32"/>
  <c r="E10" i="32"/>
  <c r="E15" i="32"/>
  <c r="E41" i="32"/>
  <c r="E45" i="32"/>
  <c r="E10" i="33"/>
  <c r="E34" i="33"/>
  <c r="E50" i="33"/>
  <c r="E16" i="36"/>
  <c r="E25" i="36"/>
  <c r="E30" i="40"/>
  <c r="E50" i="41"/>
  <c r="E7" i="31"/>
  <c r="E14" i="31"/>
  <c r="E18" i="31"/>
  <c r="E22" i="31"/>
  <c r="E26" i="31"/>
  <c r="E30" i="31"/>
  <c r="E34" i="31"/>
  <c r="E38" i="31"/>
  <c r="E54" i="31"/>
  <c r="E57" i="31"/>
  <c r="E9" i="32"/>
  <c r="E14" i="32"/>
  <c r="E20" i="32"/>
  <c r="E32" i="32"/>
  <c r="E34" i="32"/>
  <c r="E36" i="32"/>
  <c r="E47" i="32"/>
  <c r="E51" i="32"/>
  <c r="E53" i="32"/>
  <c r="E9" i="33"/>
  <c r="E14" i="33"/>
  <c r="E19" i="33"/>
  <c r="E24" i="33"/>
  <c r="E36" i="33"/>
  <c r="E40" i="33"/>
  <c r="E46" i="33"/>
  <c r="E53" i="33"/>
  <c r="E16" i="34"/>
  <c r="E21" i="34"/>
  <c r="E37" i="34"/>
  <c r="E46" i="34"/>
  <c r="E9" i="35"/>
  <c r="E28" i="35"/>
  <c r="E37" i="35"/>
  <c r="E11" i="36"/>
  <c r="E34" i="36"/>
  <c r="E39" i="36"/>
  <c r="E48" i="36"/>
  <c r="E25" i="37"/>
  <c r="E18" i="39"/>
  <c r="E34" i="39"/>
  <c r="E50" i="39"/>
  <c r="E55" i="39"/>
  <c r="E34" i="40"/>
  <c r="E39" i="40"/>
  <c r="E53" i="40"/>
  <c r="E19" i="41"/>
  <c r="E24" i="41"/>
  <c r="E29" i="41"/>
  <c r="E34" i="41"/>
  <c r="E27" i="31"/>
  <c r="E24" i="32"/>
  <c r="E28" i="32"/>
  <c r="E30" i="32"/>
  <c r="E43" i="32"/>
  <c r="E7" i="33"/>
  <c r="E15" i="33"/>
  <c r="E20" i="33"/>
  <c r="E44" i="33"/>
  <c r="E10" i="34"/>
  <c r="E33" i="34"/>
  <c r="E30" i="36"/>
  <c r="E9" i="37"/>
  <c r="E25" i="40"/>
  <c r="E45" i="41"/>
  <c r="E9" i="31"/>
  <c r="E13" i="31"/>
  <c r="E17" i="31"/>
  <c r="E21" i="31"/>
  <c r="E25" i="31"/>
  <c r="E29" i="31"/>
  <c r="E41" i="31"/>
  <c r="E45" i="31"/>
  <c r="E49" i="31"/>
  <c r="E53" i="31"/>
  <c r="E12" i="32"/>
  <c r="E19" i="32"/>
  <c r="E25" i="32"/>
  <c r="E29" i="32"/>
  <c r="E40" i="32"/>
  <c r="E42" i="32"/>
  <c r="E46" i="32"/>
  <c r="E57" i="32"/>
  <c r="E22" i="33"/>
  <c r="E27" i="33"/>
  <c r="E31" i="33"/>
  <c r="E39" i="33"/>
  <c r="E42" i="33"/>
  <c r="E45" i="33"/>
  <c r="E49" i="33"/>
  <c r="E55" i="33"/>
  <c r="E7" i="34"/>
  <c r="E11" i="34"/>
  <c r="E14" i="34"/>
  <c r="E25" i="34"/>
  <c r="E41" i="34"/>
  <c r="E50" i="34"/>
  <c r="E57" i="34"/>
  <c r="E18" i="35"/>
  <c r="E23" i="35"/>
  <c r="E41" i="35"/>
  <c r="E46" i="35"/>
  <c r="E43" i="36"/>
  <c r="E10" i="37"/>
  <c r="E36" i="37"/>
  <c r="E41" i="37"/>
  <c r="E22" i="39"/>
  <c r="E43" i="40"/>
  <c r="E51" i="41"/>
  <c r="E11" i="31"/>
  <c r="E23" i="31"/>
  <c r="E21" i="32"/>
  <c r="E26" i="32"/>
  <c r="E25" i="33"/>
  <c r="E29" i="33"/>
  <c r="E37" i="33"/>
  <c r="E42" i="34"/>
  <c r="E30" i="39"/>
  <c r="E11" i="40"/>
  <c r="E12" i="31"/>
  <c r="E16" i="31"/>
  <c r="E20" i="31"/>
  <c r="E32" i="31"/>
  <c r="E36" i="31"/>
  <c r="E40" i="31"/>
  <c r="E44" i="31"/>
  <c r="E48" i="31"/>
  <c r="E52" i="31"/>
  <c r="E17" i="32"/>
  <c r="E18" i="32"/>
  <c r="E31" i="32"/>
  <c r="E35" i="32"/>
  <c r="E37" i="32"/>
  <c r="E48" i="32"/>
  <c r="E50" i="32"/>
  <c r="E52" i="32"/>
  <c r="E54" i="32"/>
  <c r="E11" i="33"/>
  <c r="E12" i="33"/>
  <c r="E17" i="33"/>
  <c r="E21" i="33"/>
  <c r="E26" i="33"/>
  <c r="E30" i="33"/>
  <c r="E35" i="33"/>
  <c r="E41" i="33"/>
  <c r="E48" i="33"/>
  <c r="E51" i="33"/>
  <c r="E54" i="33"/>
  <c r="E17" i="34"/>
  <c r="E29" i="34"/>
  <c r="E54" i="34"/>
  <c r="E27" i="35"/>
  <c r="E50" i="35"/>
  <c r="E55" i="35"/>
  <c r="E12" i="36"/>
  <c r="E21" i="36"/>
  <c r="E47" i="37"/>
  <c r="E52" i="37"/>
  <c r="E26" i="39"/>
  <c r="E42" i="39"/>
  <c r="E21" i="40"/>
  <c r="E13" i="41"/>
  <c r="E18" i="41"/>
  <c r="E35" i="41"/>
  <c r="E40" i="41"/>
  <c r="E20" i="34"/>
  <c r="E24" i="34"/>
  <c r="E28" i="34"/>
  <c r="E32" i="34"/>
  <c r="E36" i="34"/>
  <c r="E40" i="34"/>
  <c r="E45" i="34"/>
  <c r="E49" i="34"/>
  <c r="E53" i="34"/>
  <c r="E13" i="35"/>
  <c r="E17" i="35"/>
  <c r="E22" i="35"/>
  <c r="E31" i="35"/>
  <c r="E36" i="35"/>
  <c r="E40" i="35"/>
  <c r="E45" i="35"/>
  <c r="E49" i="35"/>
  <c r="E54" i="35"/>
  <c r="E7" i="36"/>
  <c r="E10" i="36"/>
  <c r="E15" i="36"/>
  <c r="E20" i="36"/>
  <c r="E24" i="36"/>
  <c r="E29" i="36"/>
  <c r="E33" i="36"/>
  <c r="E38" i="36"/>
  <c r="E42" i="36"/>
  <c r="E47" i="36"/>
  <c r="E52" i="36"/>
  <c r="E14" i="37"/>
  <c r="E19" i="37"/>
  <c r="E24" i="37"/>
  <c r="E30" i="37"/>
  <c r="E35" i="37"/>
  <c r="E40" i="37"/>
  <c r="E46" i="37"/>
  <c r="E51" i="37"/>
  <c r="E12" i="39"/>
  <c r="E17" i="39"/>
  <c r="E25" i="39"/>
  <c r="E33" i="39"/>
  <c r="E37" i="39"/>
  <c r="E41" i="39"/>
  <c r="E45" i="39"/>
  <c r="E49" i="39"/>
  <c r="E7" i="40"/>
  <c r="E10" i="40"/>
  <c r="E15" i="40"/>
  <c r="E29" i="40"/>
  <c r="E33" i="40"/>
  <c r="E38" i="40"/>
  <c r="E42" i="40"/>
  <c r="E47" i="40"/>
  <c r="E12" i="41"/>
  <c r="E17" i="41"/>
  <c r="E23" i="41"/>
  <c r="E28" i="41"/>
  <c r="E33" i="41"/>
  <c r="E39" i="41"/>
  <c r="E44" i="41"/>
  <c r="E49" i="41"/>
  <c r="E55" i="41"/>
  <c r="E57" i="33"/>
  <c r="E9" i="34"/>
  <c r="E13" i="34"/>
  <c r="E19" i="34"/>
  <c r="E23" i="34"/>
  <c r="E27" i="34"/>
  <c r="E31" i="34"/>
  <c r="E35" i="34"/>
  <c r="E39" i="34"/>
  <c r="E44" i="34"/>
  <c r="E48" i="34"/>
  <c r="E52" i="34"/>
  <c r="E12" i="35"/>
  <c r="E16" i="35"/>
  <c r="E21" i="35"/>
  <c r="E25" i="35"/>
  <c r="E30" i="35"/>
  <c r="E34" i="35"/>
  <c r="E35" i="35"/>
  <c r="E39" i="35"/>
  <c r="E48" i="35"/>
  <c r="E53" i="35"/>
  <c r="E57" i="35"/>
  <c r="E9" i="36"/>
  <c r="E14" i="36"/>
  <c r="E18" i="36"/>
  <c r="E19" i="36"/>
  <c r="E23" i="36"/>
  <c r="E28" i="36"/>
  <c r="E32" i="36"/>
  <c r="E37" i="36"/>
  <c r="E41" i="36"/>
  <c r="E46" i="36"/>
  <c r="E50" i="36"/>
  <c r="E51" i="36"/>
  <c r="E55" i="36"/>
  <c r="E7" i="37"/>
  <c r="E12" i="37"/>
  <c r="E13" i="37"/>
  <c r="E18" i="37"/>
  <c r="E23" i="37"/>
  <c r="E28" i="37"/>
  <c r="E29" i="37"/>
  <c r="E34" i="37"/>
  <c r="E39" i="37"/>
  <c r="E44" i="37"/>
  <c r="E45" i="37"/>
  <c r="E50" i="37"/>
  <c r="E55" i="37"/>
  <c r="E7" i="39"/>
  <c r="E10" i="39"/>
  <c r="E16" i="39"/>
  <c r="E20" i="39"/>
  <c r="E24" i="39"/>
  <c r="E28" i="39"/>
  <c r="E32" i="39"/>
  <c r="E36" i="39"/>
  <c r="E40" i="39"/>
  <c r="E44" i="39"/>
  <c r="E48" i="39"/>
  <c r="E52" i="39"/>
  <c r="E9" i="40"/>
  <c r="E14" i="40"/>
  <c r="E18" i="40"/>
  <c r="E23" i="40"/>
  <c r="E37" i="40"/>
  <c r="E41" i="40"/>
  <c r="E46" i="40"/>
  <c r="E50" i="40"/>
  <c r="E55" i="40"/>
  <c r="E7" i="41"/>
  <c r="E21" i="41"/>
  <c r="E43" i="41"/>
  <c r="E48" i="41"/>
  <c r="E54" i="41"/>
  <c r="E57" i="41"/>
  <c r="E12" i="34"/>
  <c r="E18" i="34"/>
  <c r="E22" i="34"/>
  <c r="E26" i="34"/>
  <c r="E30" i="34"/>
  <c r="E38" i="34"/>
  <c r="E43" i="34"/>
  <c r="E47" i="34"/>
  <c r="E51" i="34"/>
  <c r="E55" i="34"/>
  <c r="E7" i="35"/>
  <c r="E10" i="35"/>
  <c r="E11" i="35"/>
  <c r="E15" i="35"/>
  <c r="E24" i="35"/>
  <c r="E29" i="35"/>
  <c r="E33" i="35"/>
  <c r="E42" i="35"/>
  <c r="E43" i="35"/>
  <c r="E47" i="35"/>
  <c r="E52" i="35"/>
  <c r="E13" i="36"/>
  <c r="E22" i="36"/>
  <c r="E27" i="36"/>
  <c r="E31" i="36"/>
  <c r="E36" i="36"/>
  <c r="E40" i="36"/>
  <c r="E45" i="36"/>
  <c r="E49" i="36"/>
  <c r="E54" i="36"/>
  <c r="E57" i="36"/>
  <c r="E11" i="37"/>
  <c r="E16" i="37"/>
  <c r="E17" i="37"/>
  <c r="E22" i="37"/>
  <c r="E27" i="37"/>
  <c r="E32" i="37"/>
  <c r="E33" i="37"/>
  <c r="E38" i="37"/>
  <c r="E43" i="37"/>
  <c r="E49" i="37"/>
  <c r="E54" i="37"/>
  <c r="E57" i="37"/>
  <c r="E9" i="39"/>
  <c r="E14" i="39"/>
  <c r="E15" i="39"/>
  <c r="E19" i="39"/>
  <c r="E23" i="39"/>
  <c r="E27" i="39"/>
  <c r="E31" i="39"/>
  <c r="E35" i="39"/>
  <c r="E39" i="39"/>
  <c r="E43" i="39"/>
  <c r="E47" i="39"/>
  <c r="E51" i="39"/>
  <c r="E13" i="40"/>
  <c r="E17" i="40"/>
  <c r="E22" i="40"/>
  <c r="E26" i="40"/>
  <c r="E27" i="40"/>
  <c r="E31" i="40"/>
  <c r="E45" i="40"/>
  <c r="E49" i="40"/>
  <c r="E54" i="40"/>
  <c r="E57" i="40"/>
  <c r="E9" i="41"/>
  <c r="E10" i="41"/>
  <c r="E15" i="41"/>
  <c r="E20" i="41"/>
  <c r="E25" i="41"/>
  <c r="E26" i="41"/>
  <c r="E31" i="41"/>
  <c r="E36" i="41"/>
  <c r="E41" i="41"/>
  <c r="E52" i="41"/>
  <c r="E15" i="27"/>
  <c r="E14" i="29"/>
  <c r="E38" i="29"/>
  <c r="E42" i="29"/>
  <c r="E7" i="30"/>
  <c r="E14" i="30"/>
  <c r="E18" i="30"/>
  <c r="E50" i="30"/>
  <c r="E54" i="30"/>
  <c r="E40" i="27"/>
  <c r="E51" i="27"/>
  <c r="E17" i="29"/>
  <c r="E21" i="29"/>
  <c r="E25" i="29"/>
  <c r="E29" i="29"/>
  <c r="E33" i="29"/>
  <c r="E37" i="29"/>
  <c r="E41" i="29"/>
  <c r="E46" i="29"/>
  <c r="E50" i="29"/>
  <c r="E54" i="29"/>
  <c r="E57" i="29"/>
  <c r="E9" i="30"/>
  <c r="E17" i="30"/>
  <c r="E25" i="30"/>
  <c r="E33" i="30"/>
  <c r="E41" i="30"/>
  <c r="E49" i="30"/>
  <c r="E53" i="30"/>
  <c r="E7" i="27"/>
  <c r="E12" i="27"/>
  <c r="E18" i="27"/>
  <c r="E23" i="27"/>
  <c r="E28" i="27"/>
  <c r="E29" i="27"/>
  <c r="E34" i="27"/>
  <c r="E39" i="27"/>
  <c r="E44" i="27"/>
  <c r="E45" i="27"/>
  <c r="E50" i="27"/>
  <c r="E54" i="27"/>
  <c r="E57" i="27"/>
  <c r="E9" i="28"/>
  <c r="E12" i="29"/>
  <c r="E16" i="29"/>
  <c r="E20" i="29"/>
  <c r="E24" i="29"/>
  <c r="E28" i="29"/>
  <c r="E32" i="29"/>
  <c r="E36" i="29"/>
  <c r="E40" i="29"/>
  <c r="E45" i="29"/>
  <c r="E49" i="29"/>
  <c r="E53" i="29"/>
  <c r="E12" i="30"/>
  <c r="E16" i="30"/>
  <c r="E20" i="30"/>
  <c r="E24" i="30"/>
  <c r="E28" i="30"/>
  <c r="E36" i="30"/>
  <c r="E40" i="30"/>
  <c r="E44" i="30"/>
  <c r="E48" i="30"/>
  <c r="E52" i="30"/>
  <c r="E10" i="27"/>
  <c r="E20" i="27"/>
  <c r="E26" i="27"/>
  <c r="E31" i="27"/>
  <c r="E36" i="27"/>
  <c r="E42" i="27"/>
  <c r="E47" i="27"/>
  <c r="E12" i="28"/>
  <c r="E9" i="29"/>
  <c r="E10" i="30"/>
  <c r="E22" i="30"/>
  <c r="E30" i="30"/>
  <c r="E34" i="30"/>
  <c r="E42" i="30"/>
  <c r="E46" i="30"/>
  <c r="E57" i="30"/>
  <c r="E9" i="27"/>
  <c r="E14" i="27"/>
  <c r="E25" i="27"/>
  <c r="E55" i="27"/>
  <c r="E7" i="28"/>
  <c r="E11" i="28"/>
  <c r="E21" i="30"/>
  <c r="E29" i="30"/>
  <c r="E37" i="30"/>
  <c r="E11" i="27"/>
  <c r="E16" i="27"/>
  <c r="E22" i="27"/>
  <c r="E27" i="27"/>
  <c r="E32" i="27"/>
  <c r="E38" i="27"/>
  <c r="E43" i="27"/>
  <c r="E48" i="27"/>
  <c r="E53" i="27"/>
  <c r="E7" i="29"/>
  <c r="E10" i="29"/>
  <c r="E11" i="29"/>
  <c r="E15" i="29"/>
  <c r="E19" i="29"/>
  <c r="E23" i="29"/>
  <c r="E27" i="29"/>
  <c r="E31" i="29"/>
  <c r="E35" i="29"/>
  <c r="E44" i="29"/>
  <c r="E48" i="29"/>
  <c r="E52" i="29"/>
  <c r="E11" i="30"/>
  <c r="E15" i="30"/>
  <c r="E23" i="30"/>
  <c r="E27" i="30"/>
  <c r="E31" i="30"/>
  <c r="E35" i="30"/>
  <c r="E39" i="30"/>
  <c r="E43" i="30"/>
  <c r="E47" i="30"/>
  <c r="E55" i="30"/>
  <c r="E9" i="26"/>
  <c r="E30" i="26"/>
  <c r="E35" i="26"/>
  <c r="E40" i="26"/>
  <c r="E7" i="26"/>
  <c r="E12" i="26"/>
  <c r="E13" i="26"/>
  <c r="E18" i="26"/>
  <c r="E23" i="26"/>
  <c r="E28" i="26"/>
  <c r="E29" i="26"/>
  <c r="E34" i="26"/>
  <c r="E45" i="26"/>
  <c r="E17" i="26"/>
  <c r="E32" i="26"/>
  <c r="E38" i="26"/>
  <c r="E43" i="26"/>
  <c r="E48" i="26"/>
  <c r="E49" i="26"/>
  <c r="E54" i="26"/>
  <c r="E57" i="26"/>
  <c r="E14" i="26"/>
  <c r="E19" i="26"/>
  <c r="E24" i="26"/>
  <c r="E46" i="26"/>
  <c r="E51" i="26"/>
  <c r="E10" i="26"/>
  <c r="E15" i="26"/>
  <c r="E20" i="26"/>
  <c r="E26" i="26"/>
  <c r="E31" i="26"/>
  <c r="E36" i="26"/>
  <c r="E42" i="26"/>
  <c r="E47" i="26"/>
  <c r="E52" i="26"/>
  <c r="I49" i="29" l="1"/>
  <c r="J49" i="29" s="1"/>
  <c r="I37" i="29"/>
  <c r="J37" i="29" s="1"/>
  <c r="I31" i="29"/>
  <c r="J31" i="29" s="1"/>
  <c r="I38" i="29"/>
  <c r="J38" i="29" s="1"/>
  <c r="I28" i="29"/>
  <c r="J28" i="29" s="1"/>
  <c r="I27" i="29"/>
  <c r="J27" i="29" s="1"/>
  <c r="I12" i="29"/>
  <c r="J12" i="29" s="1"/>
  <c r="I54" i="29"/>
  <c r="J54" i="29" s="1"/>
  <c r="I21" i="29"/>
  <c r="J21" i="29" s="1"/>
  <c r="I25" i="29"/>
  <c r="J25" i="29" s="1"/>
  <c r="I23" i="29"/>
  <c r="J23" i="29" s="1"/>
  <c r="I42" i="29"/>
  <c r="J42" i="29" s="1"/>
  <c r="I10" i="29"/>
  <c r="J10" i="29" s="1"/>
  <c r="I52" i="29"/>
  <c r="J52" i="29" s="1"/>
  <c r="I19" i="29"/>
  <c r="J19" i="29" s="1"/>
  <c r="I9" i="29"/>
  <c r="I53" i="29"/>
  <c r="I16" i="29"/>
  <c r="J16" i="29" s="1"/>
  <c r="I36" i="29"/>
  <c r="J36" i="29" s="1"/>
  <c r="I20" i="29"/>
  <c r="I7" i="29"/>
  <c r="J7" i="29" s="1"/>
  <c r="I14" i="29"/>
  <c r="J14" i="29" s="1"/>
  <c r="I32" i="29"/>
  <c r="J32" i="29" s="1"/>
  <c r="I41" i="29"/>
  <c r="J41" i="29" s="1"/>
  <c r="I46" i="29"/>
  <c r="J46" i="29" s="1"/>
  <c r="I29" i="29"/>
  <c r="J29" i="29" s="1"/>
  <c r="I48" i="29"/>
  <c r="I15" i="29"/>
  <c r="I44" i="29"/>
  <c r="J44" i="29" s="1"/>
  <c r="I11" i="29"/>
  <c r="I45" i="29"/>
  <c r="I40" i="29"/>
  <c r="J40" i="29" s="1"/>
  <c r="I24" i="29"/>
  <c r="I57" i="29"/>
  <c r="J57" i="29" s="1"/>
  <c r="P17" i="29" s="1"/>
  <c r="I50" i="29"/>
  <c r="J50" i="29" s="1"/>
  <c r="I33" i="29"/>
  <c r="I17" i="29"/>
  <c r="I35" i="29"/>
  <c r="I57" i="35"/>
  <c r="J57" i="35" s="1"/>
  <c r="P17" i="35" s="1"/>
  <c r="I53" i="35"/>
  <c r="J53" i="35" s="1"/>
  <c r="I48" i="35"/>
  <c r="J48" i="35" s="1"/>
  <c r="I39" i="35"/>
  <c r="J39" i="35" s="1"/>
  <c r="I35" i="35"/>
  <c r="J35" i="35" s="1"/>
  <c r="I34" i="35"/>
  <c r="J34" i="35" s="1"/>
  <c r="I30" i="35"/>
  <c r="J30" i="35" s="1"/>
  <c r="I25" i="35"/>
  <c r="J25" i="35" s="1"/>
  <c r="I21" i="35"/>
  <c r="J21" i="35" s="1"/>
  <c r="I16" i="35"/>
  <c r="J16" i="35" s="1"/>
  <c r="I12" i="35"/>
  <c r="J12" i="35" s="1"/>
  <c r="I54" i="35"/>
  <c r="J54" i="35" s="1"/>
  <c r="I49" i="35"/>
  <c r="J49" i="35" s="1"/>
  <c r="I45" i="35"/>
  <c r="J45" i="35" s="1"/>
  <c r="I40" i="35"/>
  <c r="J40" i="35" s="1"/>
  <c r="I36" i="35"/>
  <c r="J36" i="35" s="1"/>
  <c r="I31" i="35"/>
  <c r="J31" i="35" s="1"/>
  <c r="I27" i="35"/>
  <c r="J27" i="35" s="1"/>
  <c r="I22" i="35"/>
  <c r="J22" i="35" s="1"/>
  <c r="I17" i="35"/>
  <c r="J17" i="35" s="1"/>
  <c r="I13" i="35"/>
  <c r="J13" i="35" s="1"/>
  <c r="I55" i="35"/>
  <c r="I50" i="35"/>
  <c r="J50" i="35" s="1"/>
  <c r="I46" i="35"/>
  <c r="J46" i="35" s="1"/>
  <c r="I41" i="35"/>
  <c r="J41" i="35" s="1"/>
  <c r="I37" i="35"/>
  <c r="J37" i="35" s="1"/>
  <c r="I28" i="35"/>
  <c r="J28" i="35" s="1"/>
  <c r="I23" i="35"/>
  <c r="J23" i="35" s="1"/>
  <c r="I19" i="35"/>
  <c r="J19" i="35" s="1"/>
  <c r="I18" i="35"/>
  <c r="J18" i="35" s="1"/>
  <c r="I9" i="35"/>
  <c r="J9" i="35" s="1"/>
  <c r="I11" i="35"/>
  <c r="J11" i="35" s="1"/>
  <c r="I52" i="35"/>
  <c r="J52" i="35" s="1"/>
  <c r="I47" i="35"/>
  <c r="J47" i="35" s="1"/>
  <c r="I42" i="35"/>
  <c r="J42" i="35" s="1"/>
  <c r="I33" i="35"/>
  <c r="J33" i="35" s="1"/>
  <c r="I24" i="35"/>
  <c r="J24" i="35" s="1"/>
  <c r="I7" i="35"/>
  <c r="J7" i="35" s="1"/>
  <c r="I43" i="35"/>
  <c r="J43" i="35" s="1"/>
  <c r="I29" i="35"/>
  <c r="J29" i="35" s="1"/>
  <c r="I15" i="35"/>
  <c r="J15" i="35" s="1"/>
  <c r="I10" i="35"/>
  <c r="J10" i="35" s="1"/>
  <c r="I57" i="39"/>
  <c r="J57" i="39" s="1"/>
  <c r="P17" i="39" s="1"/>
  <c r="I53" i="39"/>
  <c r="J53" i="39" s="1"/>
  <c r="I52" i="39"/>
  <c r="J52" i="39" s="1"/>
  <c r="I48" i="39"/>
  <c r="J48" i="39" s="1"/>
  <c r="I44" i="39"/>
  <c r="J44" i="39" s="1"/>
  <c r="I40" i="39"/>
  <c r="J40" i="39" s="1"/>
  <c r="I36" i="39"/>
  <c r="J36" i="39" s="1"/>
  <c r="I32" i="39"/>
  <c r="J32" i="39" s="1"/>
  <c r="I28" i="39"/>
  <c r="J28" i="39" s="1"/>
  <c r="I24" i="39"/>
  <c r="J24" i="39" s="1"/>
  <c r="I20" i="39"/>
  <c r="J20" i="39" s="1"/>
  <c r="I16" i="39"/>
  <c r="J16" i="39" s="1"/>
  <c r="I11" i="39"/>
  <c r="J11" i="39" s="1"/>
  <c r="I10" i="39"/>
  <c r="J10" i="39" s="1"/>
  <c r="I7" i="39"/>
  <c r="J7" i="39" s="1"/>
  <c r="I49" i="39"/>
  <c r="J49" i="39" s="1"/>
  <c r="I45" i="39"/>
  <c r="J45" i="39" s="1"/>
  <c r="I41" i="39"/>
  <c r="J41" i="39" s="1"/>
  <c r="I37" i="39"/>
  <c r="J37" i="39" s="1"/>
  <c r="I33" i="39"/>
  <c r="J33" i="39" s="1"/>
  <c r="I25" i="39"/>
  <c r="J25" i="39" s="1"/>
  <c r="I17" i="39"/>
  <c r="J17" i="39" s="1"/>
  <c r="I12" i="39"/>
  <c r="J12" i="39" s="1"/>
  <c r="I55" i="39"/>
  <c r="I50" i="39"/>
  <c r="J50" i="39" s="1"/>
  <c r="I42" i="39"/>
  <c r="J42" i="39" s="1"/>
  <c r="I34" i="39"/>
  <c r="J34" i="39" s="1"/>
  <c r="I30" i="39"/>
  <c r="J30" i="39" s="1"/>
  <c r="I26" i="39"/>
  <c r="J26" i="39" s="1"/>
  <c r="I22" i="39"/>
  <c r="J22" i="39" s="1"/>
  <c r="I18" i="39"/>
  <c r="J18" i="39" s="1"/>
  <c r="I47" i="39"/>
  <c r="J47" i="39" s="1"/>
  <c r="I31" i="39"/>
  <c r="J31" i="39" s="1"/>
  <c r="I15" i="39"/>
  <c r="J15" i="39" s="1"/>
  <c r="I9" i="39"/>
  <c r="J9" i="39" s="1"/>
  <c r="I43" i="39"/>
  <c r="J43" i="39" s="1"/>
  <c r="I27" i="39"/>
  <c r="J27" i="39" s="1"/>
  <c r="I35" i="39"/>
  <c r="J35" i="39" s="1"/>
  <c r="I39" i="39"/>
  <c r="J39" i="39" s="1"/>
  <c r="I23" i="39"/>
  <c r="J23" i="39" s="1"/>
  <c r="I51" i="39"/>
  <c r="J51" i="39" s="1"/>
  <c r="I19" i="39"/>
  <c r="J19" i="39" s="1"/>
  <c r="I14" i="39"/>
  <c r="J14" i="39" s="1"/>
  <c r="I55" i="37"/>
  <c r="I50" i="37"/>
  <c r="J50" i="37" s="1"/>
  <c r="I45" i="37"/>
  <c r="J45" i="37" s="1"/>
  <c r="I44" i="37"/>
  <c r="J44" i="37" s="1"/>
  <c r="I39" i="37"/>
  <c r="J39" i="37" s="1"/>
  <c r="I34" i="37"/>
  <c r="J34" i="37" s="1"/>
  <c r="I29" i="37"/>
  <c r="J29" i="37" s="1"/>
  <c r="I28" i="37"/>
  <c r="J28" i="37" s="1"/>
  <c r="I23" i="37"/>
  <c r="J23" i="37" s="1"/>
  <c r="I18" i="37"/>
  <c r="J18" i="37" s="1"/>
  <c r="I13" i="37"/>
  <c r="J13" i="37" s="1"/>
  <c r="I12" i="37"/>
  <c r="J12" i="37" s="1"/>
  <c r="I7" i="37"/>
  <c r="J7" i="37" s="1"/>
  <c r="I51" i="37"/>
  <c r="J51" i="37" s="1"/>
  <c r="I46" i="37"/>
  <c r="J46" i="37" s="1"/>
  <c r="I41" i="37"/>
  <c r="J41" i="37" s="1"/>
  <c r="I40" i="37"/>
  <c r="J40" i="37" s="1"/>
  <c r="I35" i="37"/>
  <c r="J35" i="37" s="1"/>
  <c r="I30" i="37"/>
  <c r="J30" i="37" s="1"/>
  <c r="I25" i="37"/>
  <c r="J25" i="37" s="1"/>
  <c r="I24" i="37"/>
  <c r="J24" i="37" s="1"/>
  <c r="I19" i="37"/>
  <c r="J19" i="37" s="1"/>
  <c r="I14" i="37"/>
  <c r="J14" i="37" s="1"/>
  <c r="I9" i="37"/>
  <c r="J9" i="37" s="1"/>
  <c r="I52" i="37"/>
  <c r="J52" i="37" s="1"/>
  <c r="I47" i="37"/>
  <c r="J47" i="37" s="1"/>
  <c r="I36" i="37"/>
  <c r="J36" i="37" s="1"/>
  <c r="I21" i="37"/>
  <c r="J21" i="37" s="1"/>
  <c r="I10" i="37"/>
  <c r="J10" i="37" s="1"/>
  <c r="I43" i="37"/>
  <c r="J43" i="37" s="1"/>
  <c r="I22" i="37"/>
  <c r="J22" i="37" s="1"/>
  <c r="I17" i="37"/>
  <c r="J17" i="37" s="1"/>
  <c r="I27" i="37"/>
  <c r="J27" i="37" s="1"/>
  <c r="I57" i="37"/>
  <c r="J57" i="37" s="1"/>
  <c r="P17" i="37" s="1"/>
  <c r="I38" i="37"/>
  <c r="J38" i="37" s="1"/>
  <c r="I33" i="37"/>
  <c r="J33" i="37" s="1"/>
  <c r="I16" i="37"/>
  <c r="J16" i="37" s="1"/>
  <c r="I54" i="37"/>
  <c r="J54" i="37" s="1"/>
  <c r="I49" i="37"/>
  <c r="J49" i="37" s="1"/>
  <c r="I32" i="37"/>
  <c r="J32" i="37" s="1"/>
  <c r="I11" i="37"/>
  <c r="J11" i="37" s="1"/>
  <c r="I53" i="31"/>
  <c r="J53" i="31" s="1"/>
  <c r="I49" i="31"/>
  <c r="J49" i="31" s="1"/>
  <c r="I45" i="31"/>
  <c r="J45" i="31" s="1"/>
  <c r="I41" i="31"/>
  <c r="J41" i="31" s="1"/>
  <c r="I29" i="31"/>
  <c r="J29" i="31" s="1"/>
  <c r="I25" i="31"/>
  <c r="J25" i="31" s="1"/>
  <c r="I21" i="31"/>
  <c r="J21" i="31" s="1"/>
  <c r="I17" i="31"/>
  <c r="J17" i="31" s="1"/>
  <c r="I13" i="31"/>
  <c r="J13" i="31" s="1"/>
  <c r="I9" i="31"/>
  <c r="J9" i="31" s="1"/>
  <c r="I20" i="31"/>
  <c r="J20" i="31" s="1"/>
  <c r="I16" i="31"/>
  <c r="J16" i="31" s="1"/>
  <c r="I12" i="31"/>
  <c r="J12" i="31" s="1"/>
  <c r="I57" i="31"/>
  <c r="J57" i="31" s="1"/>
  <c r="P17" i="31" s="1"/>
  <c r="I54" i="31"/>
  <c r="J54" i="31" s="1"/>
  <c r="I38" i="31"/>
  <c r="J38" i="31" s="1"/>
  <c r="I34" i="31"/>
  <c r="J34" i="31" s="1"/>
  <c r="I30" i="31"/>
  <c r="J30" i="31" s="1"/>
  <c r="I26" i="31"/>
  <c r="J26" i="31" s="1"/>
  <c r="I22" i="31"/>
  <c r="J22" i="31" s="1"/>
  <c r="I18" i="31"/>
  <c r="J18" i="31" s="1"/>
  <c r="I14" i="31"/>
  <c r="J14" i="31" s="1"/>
  <c r="I7" i="31"/>
  <c r="J7" i="31" s="1"/>
  <c r="I51" i="31"/>
  <c r="J51" i="31" s="1"/>
  <c r="I47" i="31"/>
  <c r="J47" i="31" s="1"/>
  <c r="I43" i="31"/>
  <c r="J43" i="31" s="1"/>
  <c r="I39" i="31"/>
  <c r="J39" i="31" s="1"/>
  <c r="I35" i="31"/>
  <c r="J35" i="31" s="1"/>
  <c r="I31" i="31"/>
  <c r="J31" i="31" s="1"/>
  <c r="I27" i="31"/>
  <c r="J27" i="31" s="1"/>
  <c r="I23" i="31"/>
  <c r="J23" i="31" s="1"/>
  <c r="I11" i="31"/>
  <c r="J11" i="31" s="1"/>
  <c r="I52" i="31"/>
  <c r="J52" i="31" s="1"/>
  <c r="I48" i="31"/>
  <c r="J48" i="31" s="1"/>
  <c r="I44" i="31"/>
  <c r="J44" i="31" s="1"/>
  <c r="I40" i="31"/>
  <c r="J40" i="31" s="1"/>
  <c r="I36" i="31"/>
  <c r="J36" i="31" s="1"/>
  <c r="I32" i="31"/>
  <c r="J32" i="31" s="1"/>
  <c r="I55" i="36"/>
  <c r="I51" i="36"/>
  <c r="J51" i="36" s="1"/>
  <c r="I50" i="36"/>
  <c r="J50" i="36" s="1"/>
  <c r="I46" i="36"/>
  <c r="J46" i="36" s="1"/>
  <c r="I41" i="36"/>
  <c r="J41" i="36" s="1"/>
  <c r="I37" i="36"/>
  <c r="J37" i="36" s="1"/>
  <c r="I32" i="36"/>
  <c r="J32" i="36" s="1"/>
  <c r="I28" i="36"/>
  <c r="J28" i="36" s="1"/>
  <c r="I23" i="36"/>
  <c r="J23" i="36" s="1"/>
  <c r="I19" i="36"/>
  <c r="J19" i="36" s="1"/>
  <c r="I18" i="36"/>
  <c r="J18" i="36" s="1"/>
  <c r="I14" i="36"/>
  <c r="J14" i="36" s="1"/>
  <c r="I9" i="36"/>
  <c r="J9" i="36" s="1"/>
  <c r="I52" i="36"/>
  <c r="J52" i="36" s="1"/>
  <c r="I47" i="36"/>
  <c r="J47" i="36" s="1"/>
  <c r="I43" i="36"/>
  <c r="J43" i="36" s="1"/>
  <c r="I42" i="36"/>
  <c r="J42" i="36" s="1"/>
  <c r="I38" i="36"/>
  <c r="J38" i="36" s="1"/>
  <c r="I33" i="36"/>
  <c r="J33" i="36" s="1"/>
  <c r="I29" i="36"/>
  <c r="J29" i="36" s="1"/>
  <c r="I24" i="36"/>
  <c r="J24" i="36" s="1"/>
  <c r="I20" i="36"/>
  <c r="J20" i="36" s="1"/>
  <c r="I15" i="36"/>
  <c r="J15" i="36" s="1"/>
  <c r="I11" i="36"/>
  <c r="J11" i="36" s="1"/>
  <c r="I10" i="36"/>
  <c r="J10" i="36" s="1"/>
  <c r="I7" i="36"/>
  <c r="J7" i="36" s="1"/>
  <c r="I48" i="36"/>
  <c r="J48" i="36" s="1"/>
  <c r="I39" i="36"/>
  <c r="J39" i="36" s="1"/>
  <c r="I34" i="36"/>
  <c r="J34" i="36" s="1"/>
  <c r="I30" i="36"/>
  <c r="J30" i="36" s="1"/>
  <c r="I25" i="36"/>
  <c r="J25" i="36" s="1"/>
  <c r="I21" i="36"/>
  <c r="J21" i="36" s="1"/>
  <c r="I16" i="36"/>
  <c r="J16" i="36" s="1"/>
  <c r="I12" i="36"/>
  <c r="J12" i="36" s="1"/>
  <c r="I54" i="36"/>
  <c r="J54" i="36" s="1"/>
  <c r="I45" i="36"/>
  <c r="J45" i="36" s="1"/>
  <c r="I36" i="36"/>
  <c r="J36" i="36" s="1"/>
  <c r="I31" i="36"/>
  <c r="J31" i="36" s="1"/>
  <c r="I57" i="36"/>
  <c r="J57" i="36" s="1"/>
  <c r="P17" i="36" s="1"/>
  <c r="I27" i="36"/>
  <c r="J27" i="36" s="1"/>
  <c r="I22" i="36"/>
  <c r="J22" i="36" s="1"/>
  <c r="I13" i="36"/>
  <c r="J13" i="36" s="1"/>
  <c r="I49" i="36"/>
  <c r="J49" i="36" s="1"/>
  <c r="I40" i="36"/>
  <c r="J40" i="36" s="1"/>
  <c r="I19" i="32"/>
  <c r="J19" i="32" s="1"/>
  <c r="I13" i="32"/>
  <c r="J13" i="32" s="1"/>
  <c r="I12" i="32"/>
  <c r="J12" i="32" s="1"/>
  <c r="I18" i="32"/>
  <c r="J18" i="32" s="1"/>
  <c r="I17" i="32"/>
  <c r="J17" i="32" s="1"/>
  <c r="I20" i="32"/>
  <c r="J20" i="32" s="1"/>
  <c r="I14" i="32"/>
  <c r="J14" i="32" s="1"/>
  <c r="I9" i="32"/>
  <c r="J9" i="32" s="1"/>
  <c r="I15" i="32"/>
  <c r="J15" i="32" s="1"/>
  <c r="I10" i="32"/>
  <c r="J10" i="32" s="1"/>
  <c r="I7" i="32"/>
  <c r="I55" i="40"/>
  <c r="I51" i="40"/>
  <c r="J51" i="40" s="1"/>
  <c r="I50" i="40"/>
  <c r="J50" i="40" s="1"/>
  <c r="I46" i="40"/>
  <c r="J46" i="40" s="1"/>
  <c r="I41" i="40"/>
  <c r="J41" i="40" s="1"/>
  <c r="I37" i="40"/>
  <c r="J37" i="40" s="1"/>
  <c r="I23" i="40"/>
  <c r="J23" i="40" s="1"/>
  <c r="I19" i="40"/>
  <c r="J19" i="40" s="1"/>
  <c r="I18" i="40"/>
  <c r="J18" i="40" s="1"/>
  <c r="I14" i="40"/>
  <c r="J14" i="40" s="1"/>
  <c r="I9" i="40"/>
  <c r="J9" i="40" s="1"/>
  <c r="I47" i="40"/>
  <c r="J47" i="40" s="1"/>
  <c r="I43" i="40"/>
  <c r="J43" i="40" s="1"/>
  <c r="I42" i="40"/>
  <c r="J42" i="40" s="1"/>
  <c r="I38" i="40"/>
  <c r="J38" i="40" s="1"/>
  <c r="I33" i="40"/>
  <c r="J33" i="40" s="1"/>
  <c r="I29" i="40"/>
  <c r="J29" i="40" s="1"/>
  <c r="I15" i="40"/>
  <c r="J15" i="40" s="1"/>
  <c r="I11" i="40"/>
  <c r="J11" i="40" s="1"/>
  <c r="I10" i="40"/>
  <c r="J10" i="40" s="1"/>
  <c r="I7" i="40"/>
  <c r="J7" i="40" s="1"/>
  <c r="I53" i="40"/>
  <c r="J53" i="40" s="1"/>
  <c r="I39" i="40"/>
  <c r="J39" i="40" s="1"/>
  <c r="I35" i="40"/>
  <c r="J35" i="40" s="1"/>
  <c r="I34" i="40"/>
  <c r="J34" i="40" s="1"/>
  <c r="I30" i="40"/>
  <c r="J30" i="40" s="1"/>
  <c r="I25" i="40"/>
  <c r="J25" i="40" s="1"/>
  <c r="I21" i="40"/>
  <c r="J21" i="40" s="1"/>
  <c r="I57" i="40"/>
  <c r="J57" i="40" s="1"/>
  <c r="P17" i="40" s="1"/>
  <c r="I45" i="40"/>
  <c r="J45" i="40" s="1"/>
  <c r="I31" i="40"/>
  <c r="J31" i="40" s="1"/>
  <c r="I26" i="40"/>
  <c r="J26" i="40" s="1"/>
  <c r="I27" i="40"/>
  <c r="J27" i="40" s="1"/>
  <c r="I22" i="40"/>
  <c r="J22" i="40" s="1"/>
  <c r="I17" i="40"/>
  <c r="J17" i="40" s="1"/>
  <c r="I49" i="40"/>
  <c r="J49" i="40" s="1"/>
  <c r="I13" i="40"/>
  <c r="J13" i="40" s="1"/>
  <c r="I54" i="40"/>
  <c r="J54" i="40" s="1"/>
  <c r="I15" i="34"/>
  <c r="J15" i="34" s="1"/>
  <c r="I52" i="34"/>
  <c r="J52" i="34" s="1"/>
  <c r="I48" i="34"/>
  <c r="J48" i="34" s="1"/>
  <c r="I44" i="34"/>
  <c r="J44" i="34" s="1"/>
  <c r="I39" i="34"/>
  <c r="J39" i="34" s="1"/>
  <c r="I35" i="34"/>
  <c r="J35" i="34" s="1"/>
  <c r="I31" i="34"/>
  <c r="J31" i="34" s="1"/>
  <c r="I27" i="34"/>
  <c r="J27" i="34" s="1"/>
  <c r="I23" i="34"/>
  <c r="J23" i="34" s="1"/>
  <c r="I19" i="34"/>
  <c r="J19" i="34" s="1"/>
  <c r="I13" i="34"/>
  <c r="J13" i="34" s="1"/>
  <c r="I9" i="34"/>
  <c r="J9" i="34" s="1"/>
  <c r="I53" i="34"/>
  <c r="J53" i="34" s="1"/>
  <c r="I49" i="34"/>
  <c r="J49" i="34" s="1"/>
  <c r="I45" i="34"/>
  <c r="J45" i="34" s="1"/>
  <c r="I41" i="34"/>
  <c r="J41" i="34" s="1"/>
  <c r="I40" i="34"/>
  <c r="J40" i="34" s="1"/>
  <c r="I36" i="34"/>
  <c r="J36" i="34" s="1"/>
  <c r="I32" i="34"/>
  <c r="J32" i="34" s="1"/>
  <c r="I28" i="34"/>
  <c r="J28" i="34" s="1"/>
  <c r="I24" i="34"/>
  <c r="J24" i="34" s="1"/>
  <c r="I20" i="34"/>
  <c r="J20" i="34" s="1"/>
  <c r="I16" i="34"/>
  <c r="J16" i="34" s="1"/>
  <c r="I14" i="34"/>
  <c r="J14" i="34" s="1"/>
  <c r="I10" i="34"/>
  <c r="J10" i="34" s="1"/>
  <c r="I7" i="34"/>
  <c r="J7" i="34" s="1"/>
  <c r="I57" i="34"/>
  <c r="J57" i="34" s="1"/>
  <c r="P17" i="34" s="1"/>
  <c r="I54" i="34"/>
  <c r="J54" i="34" s="1"/>
  <c r="I50" i="34"/>
  <c r="J50" i="34" s="1"/>
  <c r="I46" i="34"/>
  <c r="J46" i="34" s="1"/>
  <c r="I42" i="34"/>
  <c r="J42" i="34" s="1"/>
  <c r="I37" i="34"/>
  <c r="J37" i="34" s="1"/>
  <c r="I33" i="34"/>
  <c r="J33" i="34" s="1"/>
  <c r="I29" i="34"/>
  <c r="J29" i="34" s="1"/>
  <c r="I25" i="34"/>
  <c r="J25" i="34" s="1"/>
  <c r="I21" i="34"/>
  <c r="J21" i="34" s="1"/>
  <c r="I43" i="34"/>
  <c r="J43" i="34" s="1"/>
  <c r="I18" i="34"/>
  <c r="J18" i="34" s="1"/>
  <c r="I11" i="34"/>
  <c r="J11" i="34" s="1"/>
  <c r="I17" i="34"/>
  <c r="J17" i="34" s="1"/>
  <c r="I55" i="34"/>
  <c r="I30" i="34"/>
  <c r="J30" i="34" s="1"/>
  <c r="I12" i="34"/>
  <c r="J12" i="34" s="1"/>
  <c r="I47" i="34"/>
  <c r="J47" i="34" s="1"/>
  <c r="I38" i="34"/>
  <c r="J38" i="34" s="1"/>
  <c r="I22" i="34"/>
  <c r="J22" i="34" s="1"/>
  <c r="I51" i="34"/>
  <c r="J51" i="34" s="1"/>
  <c r="I26" i="34"/>
  <c r="J26" i="34" s="1"/>
  <c r="I57" i="33"/>
  <c r="J57" i="33" s="1"/>
  <c r="P17" i="33" s="1"/>
  <c r="I53" i="33"/>
  <c r="J53" i="33" s="1"/>
  <c r="I49" i="33"/>
  <c r="J49" i="33" s="1"/>
  <c r="I44" i="33"/>
  <c r="J44" i="33" s="1"/>
  <c r="I40" i="33"/>
  <c r="J40" i="33" s="1"/>
  <c r="I39" i="33"/>
  <c r="J39" i="33" s="1"/>
  <c r="I35" i="33"/>
  <c r="J35" i="33" s="1"/>
  <c r="I55" i="33"/>
  <c r="I45" i="33"/>
  <c r="J45" i="33" s="1"/>
  <c r="I42" i="33"/>
  <c r="J42" i="33" s="1"/>
  <c r="I32" i="33"/>
  <c r="J32" i="33" s="1"/>
  <c r="I31" i="33"/>
  <c r="J31" i="33" s="1"/>
  <c r="I27" i="33"/>
  <c r="J27" i="33" s="1"/>
  <c r="I22" i="33"/>
  <c r="J22" i="33" s="1"/>
  <c r="I54" i="33"/>
  <c r="J54" i="33" s="1"/>
  <c r="I41" i="33"/>
  <c r="J41" i="33" s="1"/>
  <c r="I30" i="33"/>
  <c r="J30" i="33" s="1"/>
  <c r="I46" i="33"/>
  <c r="J46" i="33" s="1"/>
  <c r="I36" i="33"/>
  <c r="J36" i="33" s="1"/>
  <c r="I24" i="33"/>
  <c r="J24" i="33" s="1"/>
  <c r="I19" i="33"/>
  <c r="J19" i="33" s="1"/>
  <c r="I14" i="33"/>
  <c r="J14" i="33" s="1"/>
  <c r="I9" i="33"/>
  <c r="J9" i="33" s="1"/>
  <c r="I48" i="33"/>
  <c r="J48" i="33" s="1"/>
  <c r="I21" i="33"/>
  <c r="J21" i="33" s="1"/>
  <c r="I17" i="33"/>
  <c r="J17" i="33" s="1"/>
  <c r="I12" i="33"/>
  <c r="J12" i="33" s="1"/>
  <c r="I11" i="33"/>
  <c r="J11" i="33" s="1"/>
  <c r="I50" i="33"/>
  <c r="J50" i="33" s="1"/>
  <c r="I37" i="33"/>
  <c r="J37" i="33" s="1"/>
  <c r="I34" i="33"/>
  <c r="J34" i="33" s="1"/>
  <c r="I29" i="33"/>
  <c r="J29" i="33" s="1"/>
  <c r="I25" i="33"/>
  <c r="J25" i="33" s="1"/>
  <c r="I20" i="33"/>
  <c r="J20" i="33" s="1"/>
  <c r="I16" i="33"/>
  <c r="J16" i="33" s="1"/>
  <c r="I15" i="33"/>
  <c r="J15" i="33" s="1"/>
  <c r="I10" i="33"/>
  <c r="J10" i="33" s="1"/>
  <c r="I7" i="33"/>
  <c r="I51" i="33"/>
  <c r="J51" i="33" s="1"/>
  <c r="I26" i="33"/>
  <c r="J26" i="33" s="1"/>
  <c r="I57" i="41"/>
  <c r="J57" i="41" s="1"/>
  <c r="P17" i="41" s="1"/>
  <c r="I54" i="41"/>
  <c r="J54" i="41" s="1"/>
  <c r="I48" i="41"/>
  <c r="J48" i="41" s="1"/>
  <c r="I43" i="41"/>
  <c r="J43" i="41" s="1"/>
  <c r="I38" i="41"/>
  <c r="J38" i="41" s="1"/>
  <c r="I21" i="41"/>
  <c r="J21" i="41" s="1"/>
  <c r="I7" i="41"/>
  <c r="J7" i="41" s="1"/>
  <c r="I55" i="41"/>
  <c r="I50" i="41"/>
  <c r="J50" i="41" s="1"/>
  <c r="I49" i="41"/>
  <c r="J49" i="41" s="1"/>
  <c r="I44" i="41"/>
  <c r="J44" i="41" s="1"/>
  <c r="I39" i="41"/>
  <c r="J39" i="41" s="1"/>
  <c r="I34" i="41"/>
  <c r="J34" i="41" s="1"/>
  <c r="I33" i="41"/>
  <c r="J33" i="41" s="1"/>
  <c r="I28" i="41"/>
  <c r="J28" i="41" s="1"/>
  <c r="I23" i="41"/>
  <c r="J23" i="41" s="1"/>
  <c r="I18" i="41"/>
  <c r="J18" i="41" s="1"/>
  <c r="I17" i="41"/>
  <c r="J17" i="41" s="1"/>
  <c r="I12" i="41"/>
  <c r="J12" i="41" s="1"/>
  <c r="I51" i="41"/>
  <c r="J51" i="41" s="1"/>
  <c r="I46" i="41"/>
  <c r="J46" i="41" s="1"/>
  <c r="I45" i="41"/>
  <c r="J45" i="41" s="1"/>
  <c r="I40" i="41"/>
  <c r="J40" i="41" s="1"/>
  <c r="I35" i="41"/>
  <c r="J35" i="41" s="1"/>
  <c r="I30" i="41"/>
  <c r="J30" i="41" s="1"/>
  <c r="I29" i="41"/>
  <c r="J29" i="41" s="1"/>
  <c r="I24" i="41"/>
  <c r="J24" i="41" s="1"/>
  <c r="I19" i="41"/>
  <c r="J19" i="41" s="1"/>
  <c r="I14" i="41"/>
  <c r="J14" i="41" s="1"/>
  <c r="I13" i="41"/>
  <c r="J13" i="41" s="1"/>
  <c r="I31" i="41"/>
  <c r="J31" i="41" s="1"/>
  <c r="I26" i="41"/>
  <c r="J26" i="41" s="1"/>
  <c r="I41" i="41"/>
  <c r="J41" i="41" s="1"/>
  <c r="I36" i="41"/>
  <c r="J36" i="41" s="1"/>
  <c r="I9" i="41"/>
  <c r="J9" i="41" s="1"/>
  <c r="I52" i="41"/>
  <c r="J52" i="41" s="1"/>
  <c r="I15" i="41"/>
  <c r="J15" i="41" s="1"/>
  <c r="I10" i="41"/>
  <c r="J10" i="41" s="1"/>
  <c r="I25" i="41"/>
  <c r="J25" i="41" s="1"/>
  <c r="I20" i="41"/>
  <c r="J20" i="41" s="1"/>
  <c r="I52" i="30"/>
  <c r="J52" i="30" s="1"/>
  <c r="I48" i="30"/>
  <c r="J48" i="30" s="1"/>
  <c r="I44" i="30"/>
  <c r="J44" i="30" s="1"/>
  <c r="I40" i="30"/>
  <c r="J40" i="30" s="1"/>
  <c r="I36" i="30"/>
  <c r="J36" i="30" s="1"/>
  <c r="I28" i="30"/>
  <c r="J28" i="30" s="1"/>
  <c r="I24" i="30"/>
  <c r="J24" i="30" s="1"/>
  <c r="I20" i="30"/>
  <c r="J20" i="30" s="1"/>
  <c r="I16" i="30"/>
  <c r="J16" i="30" s="1"/>
  <c r="I12" i="30"/>
  <c r="J12" i="30" s="1"/>
  <c r="I46" i="30"/>
  <c r="J46" i="30" s="1"/>
  <c r="I30" i="30"/>
  <c r="J30" i="30" s="1"/>
  <c r="I22" i="30"/>
  <c r="J22" i="30" s="1"/>
  <c r="I14" i="30"/>
  <c r="J14" i="30" s="1"/>
  <c r="I47" i="30"/>
  <c r="J47" i="30" s="1"/>
  <c r="I43" i="30"/>
  <c r="J43" i="30" s="1"/>
  <c r="I39" i="30"/>
  <c r="J39" i="30" s="1"/>
  <c r="I35" i="30"/>
  <c r="J35" i="30" s="1"/>
  <c r="I31" i="30"/>
  <c r="J31" i="30" s="1"/>
  <c r="I27" i="30"/>
  <c r="J27" i="30" s="1"/>
  <c r="I23" i="30"/>
  <c r="J23" i="30" s="1"/>
  <c r="I11" i="30"/>
  <c r="J11" i="30" s="1"/>
  <c r="I53" i="30"/>
  <c r="J53" i="30" s="1"/>
  <c r="I49" i="30"/>
  <c r="J49" i="30" s="1"/>
  <c r="I41" i="30"/>
  <c r="J41" i="30" s="1"/>
  <c r="I37" i="30"/>
  <c r="J37" i="30" s="1"/>
  <c r="I33" i="30"/>
  <c r="J33" i="30" s="1"/>
  <c r="I29" i="30"/>
  <c r="J29" i="30" s="1"/>
  <c r="I25" i="30"/>
  <c r="J25" i="30" s="1"/>
  <c r="I21" i="30"/>
  <c r="J21" i="30" s="1"/>
  <c r="I17" i="30"/>
  <c r="J17" i="30" s="1"/>
  <c r="I9" i="30"/>
  <c r="J9" i="30" s="1"/>
  <c r="I57" i="30"/>
  <c r="J57" i="30" s="1"/>
  <c r="P17" i="30" s="1"/>
  <c r="I54" i="30"/>
  <c r="J54" i="30" s="1"/>
  <c r="I50" i="30"/>
  <c r="J50" i="30" s="1"/>
  <c r="I42" i="30"/>
  <c r="J42" i="30" s="1"/>
  <c r="I34" i="30"/>
  <c r="J34" i="30" s="1"/>
  <c r="I18" i="30"/>
  <c r="J18" i="30" s="1"/>
  <c r="I10" i="30"/>
  <c r="J10" i="30" s="1"/>
  <c r="I7" i="30"/>
  <c r="J7" i="30" s="1"/>
  <c r="I55" i="30"/>
  <c r="J55" i="30" s="1"/>
  <c r="I15" i="30"/>
  <c r="J15" i="30" s="1"/>
  <c r="I55" i="28"/>
  <c r="J55" i="28" s="1"/>
  <c r="I50" i="28"/>
  <c r="J50" i="28" s="1"/>
  <c r="I46" i="28"/>
  <c r="J46" i="28" s="1"/>
  <c r="I42" i="28"/>
  <c r="J42" i="28" s="1"/>
  <c r="I38" i="28"/>
  <c r="J38" i="28" s="1"/>
  <c r="I34" i="28"/>
  <c r="J34" i="28" s="1"/>
  <c r="I30" i="28"/>
  <c r="J30" i="28" s="1"/>
  <c r="I26" i="28"/>
  <c r="J26" i="28" s="1"/>
  <c r="I18" i="28"/>
  <c r="J18" i="28" s="1"/>
  <c r="I14" i="28"/>
  <c r="J14" i="28" s="1"/>
  <c r="I9" i="28"/>
  <c r="J9" i="28" s="1"/>
  <c r="I24" i="28"/>
  <c r="J24" i="28" s="1"/>
  <c r="I20" i="28"/>
  <c r="J20" i="28" s="1"/>
  <c r="I12" i="28"/>
  <c r="J12" i="28" s="1"/>
  <c r="I37" i="28"/>
  <c r="J37" i="28" s="1"/>
  <c r="I29" i="28"/>
  <c r="J29" i="28" s="1"/>
  <c r="I21" i="28"/>
  <c r="J21" i="28" s="1"/>
  <c r="I13" i="28"/>
  <c r="J13" i="28" s="1"/>
  <c r="I52" i="28"/>
  <c r="J52" i="28" s="1"/>
  <c r="I51" i="28"/>
  <c r="J51" i="28" s="1"/>
  <c r="I47" i="28"/>
  <c r="J47" i="28" s="1"/>
  <c r="I43" i="28"/>
  <c r="J43" i="28" s="1"/>
  <c r="I39" i="28"/>
  <c r="J39" i="28" s="1"/>
  <c r="I35" i="28"/>
  <c r="J35" i="28" s="1"/>
  <c r="I31" i="28"/>
  <c r="J31" i="28" s="1"/>
  <c r="I27" i="28"/>
  <c r="J27" i="28" s="1"/>
  <c r="I23" i="28"/>
  <c r="J23" i="28" s="1"/>
  <c r="I19" i="28"/>
  <c r="J19" i="28" s="1"/>
  <c r="I15" i="28"/>
  <c r="J15" i="28" s="1"/>
  <c r="I11" i="28"/>
  <c r="J11" i="28" s="1"/>
  <c r="I7" i="28"/>
  <c r="J7" i="28" s="1"/>
  <c r="I53" i="28"/>
  <c r="J53" i="28" s="1"/>
  <c r="I48" i="28"/>
  <c r="J48" i="28" s="1"/>
  <c r="I44" i="28"/>
  <c r="J44" i="28" s="1"/>
  <c r="I40" i="28"/>
  <c r="J40" i="28" s="1"/>
  <c r="I36" i="28"/>
  <c r="J36" i="28" s="1"/>
  <c r="I32" i="28"/>
  <c r="J32" i="28" s="1"/>
  <c r="I28" i="28"/>
  <c r="J28" i="28" s="1"/>
  <c r="I16" i="28"/>
  <c r="J16" i="28" s="1"/>
  <c r="I57" i="28"/>
  <c r="J57" i="28" s="1"/>
  <c r="P17" i="28" s="1"/>
  <c r="I54" i="28"/>
  <c r="J54" i="28" s="1"/>
  <c r="I49" i="28"/>
  <c r="J49" i="28" s="1"/>
  <c r="I41" i="28"/>
  <c r="J41" i="28" s="1"/>
  <c r="I25" i="28"/>
  <c r="J25" i="28" s="1"/>
  <c r="I17" i="28"/>
  <c r="J17" i="28" s="1"/>
  <c r="I57" i="27"/>
  <c r="J57" i="27" s="1"/>
  <c r="P17" i="27" s="1"/>
  <c r="I54" i="27"/>
  <c r="J54" i="27" s="1"/>
  <c r="I50" i="27"/>
  <c r="J50" i="27" s="1"/>
  <c r="I45" i="27"/>
  <c r="J45" i="27" s="1"/>
  <c r="I44" i="27"/>
  <c r="J44" i="27" s="1"/>
  <c r="I39" i="27"/>
  <c r="J39" i="27" s="1"/>
  <c r="I34" i="27"/>
  <c r="J34" i="27" s="1"/>
  <c r="I29" i="27"/>
  <c r="J29" i="27" s="1"/>
  <c r="I28" i="27"/>
  <c r="J28" i="27" s="1"/>
  <c r="I23" i="27"/>
  <c r="J23" i="27" s="1"/>
  <c r="I18" i="27"/>
  <c r="J18" i="27" s="1"/>
  <c r="I12" i="27"/>
  <c r="J12" i="27" s="1"/>
  <c r="I7" i="27"/>
  <c r="J7" i="27" s="1"/>
  <c r="I42" i="27"/>
  <c r="J42" i="27" s="1"/>
  <c r="I31" i="27"/>
  <c r="J31" i="27" s="1"/>
  <c r="I15" i="27"/>
  <c r="J15" i="27" s="1"/>
  <c r="I10" i="27"/>
  <c r="J10" i="27" s="1"/>
  <c r="I53" i="27"/>
  <c r="J53" i="27" s="1"/>
  <c r="I49" i="27"/>
  <c r="J49" i="27" s="1"/>
  <c r="I48" i="27"/>
  <c r="J48" i="27" s="1"/>
  <c r="I43" i="27"/>
  <c r="J43" i="27" s="1"/>
  <c r="I38" i="27"/>
  <c r="J38" i="27" s="1"/>
  <c r="I33" i="27"/>
  <c r="J33" i="27" s="1"/>
  <c r="I32" i="27"/>
  <c r="J32" i="27" s="1"/>
  <c r="I27" i="27"/>
  <c r="J27" i="27" s="1"/>
  <c r="I22" i="27"/>
  <c r="J22" i="27" s="1"/>
  <c r="I11" i="27"/>
  <c r="J11" i="27" s="1"/>
  <c r="I55" i="27"/>
  <c r="I51" i="27"/>
  <c r="J51" i="27" s="1"/>
  <c r="I40" i="27"/>
  <c r="J40" i="27" s="1"/>
  <c r="I25" i="27"/>
  <c r="J25" i="27" s="1"/>
  <c r="I14" i="27"/>
  <c r="J14" i="27" s="1"/>
  <c r="I9" i="27"/>
  <c r="J9" i="27" s="1"/>
  <c r="I47" i="27"/>
  <c r="J47" i="27" s="1"/>
  <c r="I37" i="27"/>
  <c r="J37" i="27" s="1"/>
  <c r="I36" i="27"/>
  <c r="J36" i="27" s="1"/>
  <c r="I26" i="27"/>
  <c r="J26" i="27" s="1"/>
  <c r="I21" i="27"/>
  <c r="J21" i="27" s="1"/>
  <c r="I20" i="27"/>
  <c r="J20" i="27" s="1"/>
  <c r="I17" i="27"/>
  <c r="J17" i="27" s="1"/>
  <c r="I16" i="27"/>
  <c r="J16" i="27" s="1"/>
  <c r="I57" i="26"/>
  <c r="J57" i="26" s="1"/>
  <c r="P17" i="26" s="1"/>
  <c r="I54" i="26"/>
  <c r="J54" i="26" s="1"/>
  <c r="I49" i="26"/>
  <c r="J49" i="26" s="1"/>
  <c r="I48" i="26"/>
  <c r="J48" i="26" s="1"/>
  <c r="I43" i="26"/>
  <c r="J43" i="26" s="1"/>
  <c r="I38" i="26"/>
  <c r="J38" i="26" s="1"/>
  <c r="I32" i="26"/>
  <c r="J32" i="26" s="1"/>
  <c r="I17" i="26"/>
  <c r="J17" i="26" s="1"/>
  <c r="I53" i="26"/>
  <c r="J53" i="26" s="1"/>
  <c r="I52" i="26"/>
  <c r="J52" i="26" s="1"/>
  <c r="I47" i="26"/>
  <c r="J47" i="26" s="1"/>
  <c r="I42" i="26"/>
  <c r="J42" i="26" s="1"/>
  <c r="I26" i="26"/>
  <c r="J26" i="26" s="1"/>
  <c r="I21" i="26"/>
  <c r="J21" i="26" s="1"/>
  <c r="I20" i="26"/>
  <c r="J20" i="26" s="1"/>
  <c r="I15" i="26"/>
  <c r="J15" i="26" s="1"/>
  <c r="I45" i="26"/>
  <c r="J45" i="26" s="1"/>
  <c r="I34" i="26"/>
  <c r="J34" i="26" s="1"/>
  <c r="I29" i="26"/>
  <c r="J29" i="26" s="1"/>
  <c r="I28" i="26"/>
  <c r="J28" i="26" s="1"/>
  <c r="I23" i="26"/>
  <c r="J23" i="26" s="1"/>
  <c r="I18" i="26"/>
  <c r="J18" i="26" s="1"/>
  <c r="I13" i="26"/>
  <c r="J13" i="26" s="1"/>
  <c r="I12" i="26"/>
  <c r="J12" i="26" s="1"/>
  <c r="I7" i="26"/>
  <c r="J7" i="26" s="1"/>
  <c r="I51" i="26"/>
  <c r="J51" i="26" s="1"/>
  <c r="I46" i="26"/>
  <c r="J46" i="26" s="1"/>
  <c r="I41" i="26"/>
  <c r="J41" i="26" s="1"/>
  <c r="I40" i="26"/>
  <c r="J40" i="26" s="1"/>
  <c r="I35" i="26"/>
  <c r="J35" i="26" s="1"/>
  <c r="I30" i="26"/>
  <c r="J30" i="26" s="1"/>
  <c r="I25" i="26"/>
  <c r="J25" i="26" s="1"/>
  <c r="I24" i="26"/>
  <c r="J24" i="26" s="1"/>
  <c r="I19" i="26"/>
  <c r="J19" i="26" s="1"/>
  <c r="I14" i="26"/>
  <c r="J14" i="26" s="1"/>
  <c r="I9" i="26"/>
  <c r="J9" i="26" s="1"/>
  <c r="I37" i="26"/>
  <c r="J37" i="26" s="1"/>
  <c r="I36" i="26"/>
  <c r="J36" i="26" s="1"/>
  <c r="I31" i="26"/>
  <c r="J31" i="26" s="1"/>
  <c r="I10" i="26"/>
  <c r="J10" i="26" s="1"/>
  <c r="F57" i="41" l="1"/>
  <c r="J55" i="41"/>
  <c r="F57" i="33"/>
  <c r="J55" i="33"/>
  <c r="F57" i="39"/>
  <c r="J55" i="39"/>
  <c r="F57" i="35"/>
  <c r="J55" i="35"/>
  <c r="F36" i="29"/>
  <c r="J35" i="29"/>
  <c r="J17" i="29"/>
  <c r="F25" i="29"/>
  <c r="J24" i="29"/>
  <c r="F49" i="29"/>
  <c r="J48" i="29"/>
  <c r="F21" i="29"/>
  <c r="J20" i="29"/>
  <c r="F10" i="29"/>
  <c r="J9" i="29"/>
  <c r="F57" i="26"/>
  <c r="F9" i="33"/>
  <c r="J7" i="33"/>
  <c r="F57" i="40"/>
  <c r="J55" i="40"/>
  <c r="F57" i="31"/>
  <c r="F57" i="37"/>
  <c r="J55" i="37"/>
  <c r="J33" i="29"/>
  <c r="F12" i="29"/>
  <c r="J11" i="29"/>
  <c r="F52" i="29"/>
  <c r="F46" i="29"/>
  <c r="J45" i="29"/>
  <c r="F57" i="27"/>
  <c r="J55" i="27"/>
  <c r="F57" i="34"/>
  <c r="J55" i="34"/>
  <c r="F9" i="32"/>
  <c r="J7" i="32"/>
  <c r="F57" i="36"/>
  <c r="J55" i="36"/>
  <c r="F40" i="29"/>
  <c r="F31" i="29"/>
  <c r="F16" i="29"/>
  <c r="J15" i="29"/>
  <c r="F54" i="29"/>
  <c r="J53" i="29"/>
  <c r="F37" i="29"/>
  <c r="F28" i="29"/>
  <c r="F42" i="29"/>
  <c r="F53" i="29"/>
  <c r="F35" i="29"/>
  <c r="F17" i="29"/>
  <c r="F48" i="29"/>
  <c r="F38" i="29"/>
  <c r="F20" i="29"/>
  <c r="F24" i="29"/>
  <c r="F29" i="29"/>
  <c r="F50" i="29"/>
  <c r="F57" i="28"/>
  <c r="F57" i="30"/>
  <c r="F41" i="29"/>
  <c r="F45" i="29"/>
  <c r="F14" i="29"/>
  <c r="F33" i="29"/>
  <c r="F11" i="29"/>
  <c r="F19" i="29"/>
  <c r="F44" i="29"/>
  <c r="F32" i="29"/>
  <c r="F23" i="29"/>
  <c r="F57" i="29"/>
  <c r="F7" i="29"/>
  <c r="F15" i="29"/>
  <c r="F9" i="29"/>
  <c r="F27" i="29"/>
  <c r="F9" i="40"/>
  <c r="F9" i="36"/>
  <c r="F9" i="31"/>
  <c r="F9" i="26"/>
  <c r="F9" i="27"/>
  <c r="F9" i="30"/>
  <c r="F9" i="35"/>
  <c r="F9" i="41"/>
  <c r="F9" i="34"/>
  <c r="F9" i="28"/>
  <c r="F9" i="37"/>
  <c r="F9" i="39"/>
  <c r="F52" i="41"/>
  <c r="F54" i="41"/>
  <c r="F30" i="33"/>
  <c r="F22" i="33"/>
  <c r="F31" i="33"/>
  <c r="F32" i="33"/>
  <c r="F41" i="33"/>
  <c r="F31" i="34"/>
  <c r="F26" i="34"/>
  <c r="F43" i="34"/>
  <c r="F46" i="34"/>
  <c r="F14" i="34"/>
  <c r="F55" i="40"/>
  <c r="F13" i="40"/>
  <c r="F45" i="40"/>
  <c r="F10" i="40"/>
  <c r="F15" i="32"/>
  <c r="F41" i="36"/>
  <c r="F32" i="36"/>
  <c r="F45" i="36"/>
  <c r="F25" i="36"/>
  <c r="F24" i="36"/>
  <c r="F20" i="31"/>
  <c r="F22" i="31"/>
  <c r="F54" i="31"/>
  <c r="F39" i="37"/>
  <c r="F16" i="37"/>
  <c r="F47" i="37"/>
  <c r="F30" i="37"/>
  <c r="F15" i="39"/>
  <c r="F10" i="39"/>
  <c r="F31" i="39"/>
  <c r="F18" i="39"/>
  <c r="F50" i="39"/>
  <c r="F12" i="39"/>
  <c r="F45" i="39"/>
  <c r="F21" i="35"/>
  <c r="F48" i="35"/>
  <c r="F29" i="35"/>
  <c r="F46" i="35"/>
  <c r="F49" i="35"/>
  <c r="F25" i="41"/>
  <c r="F41" i="41"/>
  <c r="F13" i="41"/>
  <c r="F29" i="41"/>
  <c r="F45" i="41"/>
  <c r="F7" i="41"/>
  <c r="F23" i="41"/>
  <c r="F39" i="41"/>
  <c r="F55" i="41"/>
  <c r="F17" i="33"/>
  <c r="F35" i="33"/>
  <c r="F12" i="33"/>
  <c r="F49" i="33"/>
  <c r="F24" i="33"/>
  <c r="F37" i="33"/>
  <c r="F39" i="33"/>
  <c r="F19" i="33"/>
  <c r="F45" i="33"/>
  <c r="F39" i="34"/>
  <c r="F35" i="34"/>
  <c r="F30" i="34"/>
  <c r="F47" i="34"/>
  <c r="F7" i="34"/>
  <c r="F21" i="34"/>
  <c r="F37" i="34"/>
  <c r="F50" i="34"/>
  <c r="F20" i="34"/>
  <c r="F36" i="34"/>
  <c r="F53" i="34"/>
  <c r="F14" i="40"/>
  <c r="F23" i="40"/>
  <c r="F37" i="40"/>
  <c r="F17" i="40"/>
  <c r="F35" i="40"/>
  <c r="F49" i="40"/>
  <c r="F30" i="40"/>
  <c r="F15" i="40"/>
  <c r="F29" i="40"/>
  <c r="F47" i="40"/>
  <c r="F14" i="32"/>
  <c r="F50" i="36"/>
  <c r="F37" i="36"/>
  <c r="F49" i="36"/>
  <c r="F12" i="36"/>
  <c r="F30" i="36"/>
  <c r="F15" i="36"/>
  <c r="F29" i="36"/>
  <c r="F47" i="36"/>
  <c r="F53" i="31"/>
  <c r="F40" i="31"/>
  <c r="F31" i="31"/>
  <c r="F47" i="31"/>
  <c r="F13" i="31"/>
  <c r="F26" i="31"/>
  <c r="F55" i="37"/>
  <c r="F23" i="37"/>
  <c r="F21" i="37"/>
  <c r="F36" i="37"/>
  <c r="F52" i="37"/>
  <c r="F19" i="37"/>
  <c r="F35" i="37"/>
  <c r="F51" i="37"/>
  <c r="F20" i="39"/>
  <c r="F36" i="39"/>
  <c r="F16" i="39"/>
  <c r="F19" i="39"/>
  <c r="F35" i="39"/>
  <c r="F51" i="39"/>
  <c r="F22" i="39"/>
  <c r="F55" i="39"/>
  <c r="F17" i="39"/>
  <c r="F33" i="39"/>
  <c r="F49" i="39"/>
  <c r="F30" i="35"/>
  <c r="F25" i="35"/>
  <c r="F53" i="35"/>
  <c r="F19" i="35"/>
  <c r="F33" i="35"/>
  <c r="F18" i="35"/>
  <c r="F50" i="35"/>
  <c r="F22" i="35"/>
  <c r="F36" i="35"/>
  <c r="F54" i="35"/>
  <c r="F36" i="41"/>
  <c r="F40" i="41"/>
  <c r="F38" i="41"/>
  <c r="F16" i="33"/>
  <c r="F20" i="33"/>
  <c r="F33" i="34"/>
  <c r="F32" i="34"/>
  <c r="F18" i="40"/>
  <c r="F31" i="40"/>
  <c r="F11" i="40"/>
  <c r="F43" i="40"/>
  <c r="F42" i="40"/>
  <c r="F28" i="36"/>
  <c r="F13" i="36"/>
  <c r="F11" i="36"/>
  <c r="F43" i="36"/>
  <c r="F42" i="36"/>
  <c r="F49" i="31"/>
  <c r="F36" i="31"/>
  <c r="F52" i="31"/>
  <c r="F11" i="31"/>
  <c r="F43" i="31"/>
  <c r="F25" i="31"/>
  <c r="F38" i="31"/>
  <c r="F50" i="37"/>
  <c r="F18" i="37"/>
  <c r="F32" i="37"/>
  <c r="F14" i="37"/>
  <c r="F46" i="37"/>
  <c r="F40" i="39"/>
  <c r="F14" i="39"/>
  <c r="F47" i="39"/>
  <c r="F34" i="39"/>
  <c r="F7" i="35"/>
  <c r="F15" i="35"/>
  <c r="F47" i="35"/>
  <c r="F28" i="35"/>
  <c r="F35" i="35"/>
  <c r="F21" i="41"/>
  <c r="F43" i="41"/>
  <c r="F14" i="41"/>
  <c r="F30" i="41"/>
  <c r="F46" i="41"/>
  <c r="F18" i="41"/>
  <c r="F34" i="41"/>
  <c r="F50" i="41"/>
  <c r="F12" i="41"/>
  <c r="F28" i="41"/>
  <c r="F44" i="41"/>
  <c r="F7" i="33"/>
  <c r="F21" i="33"/>
  <c r="F10" i="33"/>
  <c r="F25" i="33"/>
  <c r="F44" i="33"/>
  <c r="F42" i="33"/>
  <c r="F36" i="33"/>
  <c r="F50" i="33"/>
  <c r="F27" i="34"/>
  <c r="F48" i="34"/>
  <c r="F18" i="34"/>
  <c r="F44" i="34"/>
  <c r="F51" i="34"/>
  <c r="F11" i="34"/>
  <c r="F25" i="34"/>
  <c r="F41" i="34"/>
  <c r="F54" i="34"/>
  <c r="F24" i="34"/>
  <c r="F40" i="34"/>
  <c r="F16" i="34"/>
  <c r="F41" i="40"/>
  <c r="F46" i="40"/>
  <c r="F22" i="40"/>
  <c r="F54" i="40"/>
  <c r="F34" i="40"/>
  <c r="F19" i="40"/>
  <c r="F33" i="40"/>
  <c r="F51" i="40"/>
  <c r="F12" i="32"/>
  <c r="F17" i="32"/>
  <c r="F18" i="32"/>
  <c r="F20" i="32"/>
  <c r="F14" i="36"/>
  <c r="F18" i="36"/>
  <c r="F46" i="36"/>
  <c r="F22" i="36"/>
  <c r="F36" i="36"/>
  <c r="F54" i="36"/>
  <c r="F16" i="36"/>
  <c r="F34" i="36"/>
  <c r="F48" i="36"/>
  <c r="F19" i="36"/>
  <c r="F33" i="36"/>
  <c r="F51" i="36"/>
  <c r="F41" i="31"/>
  <c r="F12" i="31"/>
  <c r="F44" i="31"/>
  <c r="F29" i="31"/>
  <c r="F35" i="31"/>
  <c r="F51" i="31"/>
  <c r="F17" i="31"/>
  <c r="F14" i="31"/>
  <c r="F30" i="31"/>
  <c r="F12" i="37"/>
  <c r="F17" i="37"/>
  <c r="F28" i="37"/>
  <c r="F44" i="37"/>
  <c r="F22" i="37"/>
  <c r="F38" i="37"/>
  <c r="F54" i="37"/>
  <c r="F25" i="37"/>
  <c r="F41" i="37"/>
  <c r="F7" i="37"/>
  <c r="F24" i="37"/>
  <c r="F40" i="37"/>
  <c r="F52" i="39"/>
  <c r="F28" i="39"/>
  <c r="F32" i="39"/>
  <c r="F23" i="39"/>
  <c r="F39" i="39"/>
  <c r="F26" i="39"/>
  <c r="F42" i="39"/>
  <c r="F7" i="39"/>
  <c r="F37" i="39"/>
  <c r="F53" i="39"/>
  <c r="F11" i="35"/>
  <c r="F39" i="35"/>
  <c r="F34" i="35"/>
  <c r="F12" i="35"/>
  <c r="F52" i="35"/>
  <c r="F23" i="35"/>
  <c r="F37" i="35"/>
  <c r="F55" i="35"/>
  <c r="F40" i="35"/>
  <c r="F20" i="41"/>
  <c r="F24" i="41"/>
  <c r="F27" i="33"/>
  <c r="F51" i="33"/>
  <c r="F34" i="33"/>
  <c r="F14" i="33"/>
  <c r="F53" i="33"/>
  <c r="F23" i="34"/>
  <c r="F19" i="34"/>
  <c r="F17" i="34"/>
  <c r="F49" i="34"/>
  <c r="F25" i="40"/>
  <c r="F13" i="32"/>
  <c r="F31" i="36"/>
  <c r="F10" i="36"/>
  <c r="F27" i="31"/>
  <c r="F17" i="35"/>
  <c r="F26" i="41"/>
  <c r="F10" i="41"/>
  <c r="F48" i="41"/>
  <c r="F15" i="41"/>
  <c r="F31" i="41"/>
  <c r="F19" i="41"/>
  <c r="F35" i="41"/>
  <c r="F51" i="41"/>
  <c r="F17" i="41"/>
  <c r="F33" i="41"/>
  <c r="F49" i="41"/>
  <c r="F11" i="33"/>
  <c r="F26" i="33"/>
  <c r="F48" i="33"/>
  <c r="F15" i="33"/>
  <c r="F29" i="33"/>
  <c r="F55" i="33"/>
  <c r="F46" i="33"/>
  <c r="F40" i="33"/>
  <c r="F54" i="33"/>
  <c r="F52" i="34"/>
  <c r="F13" i="34"/>
  <c r="F12" i="34"/>
  <c r="F22" i="34"/>
  <c r="F38" i="34"/>
  <c r="F55" i="34"/>
  <c r="F15" i="34"/>
  <c r="F29" i="34"/>
  <c r="F42" i="34"/>
  <c r="F10" i="34"/>
  <c r="F28" i="34"/>
  <c r="F45" i="34"/>
  <c r="F50" i="40"/>
  <c r="F27" i="40"/>
  <c r="F26" i="40"/>
  <c r="F7" i="40"/>
  <c r="F21" i="40"/>
  <c r="F39" i="40"/>
  <c r="F53" i="40"/>
  <c r="F38" i="40"/>
  <c r="F7" i="32"/>
  <c r="F10" i="32"/>
  <c r="F19" i="32"/>
  <c r="F23" i="36"/>
  <c r="F27" i="36"/>
  <c r="F55" i="36"/>
  <c r="F40" i="36"/>
  <c r="F7" i="36"/>
  <c r="F21" i="36"/>
  <c r="F39" i="36"/>
  <c r="F20" i="36"/>
  <c r="F38" i="36"/>
  <c r="F52" i="36"/>
  <c r="F45" i="31"/>
  <c r="F16" i="31"/>
  <c r="F32" i="31"/>
  <c r="F48" i="31"/>
  <c r="F7" i="31"/>
  <c r="F23" i="31"/>
  <c r="F39" i="31"/>
  <c r="F21" i="31"/>
  <c r="F18" i="31"/>
  <c r="F34" i="31"/>
  <c r="F33" i="37"/>
  <c r="F34" i="37"/>
  <c r="F49" i="37"/>
  <c r="F11" i="37"/>
  <c r="F27" i="37"/>
  <c r="F43" i="37"/>
  <c r="F10" i="37"/>
  <c r="F13" i="37"/>
  <c r="F29" i="37"/>
  <c r="F45" i="37"/>
  <c r="F24" i="39"/>
  <c r="F44" i="39"/>
  <c r="F48" i="39"/>
  <c r="F27" i="39"/>
  <c r="F43" i="39"/>
  <c r="F30" i="39"/>
  <c r="F11" i="39"/>
  <c r="F25" i="39"/>
  <c r="F41" i="39"/>
  <c r="F16" i="35"/>
  <c r="F43" i="35"/>
  <c r="F10" i="35"/>
  <c r="F24" i="35"/>
  <c r="F42" i="35"/>
  <c r="F27" i="35"/>
  <c r="F41" i="35"/>
  <c r="F13" i="35"/>
  <c r="F31" i="35"/>
  <c r="F45" i="35"/>
  <c r="F10" i="27"/>
  <c r="F12" i="27"/>
  <c r="F41" i="28"/>
  <c r="F24" i="28"/>
  <c r="F53" i="28"/>
  <c r="F25" i="28"/>
  <c r="F14" i="30"/>
  <c r="F46" i="30"/>
  <c r="F40" i="30"/>
  <c r="F21" i="27"/>
  <c r="F38" i="27"/>
  <c r="F15" i="27"/>
  <c r="F31" i="27"/>
  <c r="F47" i="27"/>
  <c r="F23" i="27"/>
  <c r="F39" i="27"/>
  <c r="F54" i="27"/>
  <c r="F43" i="27"/>
  <c r="F51" i="27"/>
  <c r="F18" i="28"/>
  <c r="F50" i="28"/>
  <c r="F29" i="28"/>
  <c r="F12" i="28"/>
  <c r="F28" i="28"/>
  <c r="F44" i="28"/>
  <c r="F14" i="28"/>
  <c r="F46" i="28"/>
  <c r="F23" i="28"/>
  <c r="F39" i="28"/>
  <c r="F27" i="30"/>
  <c r="F55" i="30"/>
  <c r="F18" i="30"/>
  <c r="F34" i="30"/>
  <c r="F50" i="30"/>
  <c r="F28" i="30"/>
  <c r="F44" i="30"/>
  <c r="F31" i="30"/>
  <c r="F17" i="30"/>
  <c r="F33" i="30"/>
  <c r="F49" i="30"/>
  <c r="F37" i="27"/>
  <c r="F26" i="27"/>
  <c r="F34" i="27"/>
  <c r="F50" i="27"/>
  <c r="F14" i="27"/>
  <c r="F42" i="28"/>
  <c r="F7" i="28"/>
  <c r="F40" i="28"/>
  <c r="F38" i="28"/>
  <c r="F19" i="28"/>
  <c r="F35" i="28"/>
  <c r="F51" i="28"/>
  <c r="F52" i="30"/>
  <c r="F30" i="30"/>
  <c r="F24" i="30"/>
  <c r="F23" i="30"/>
  <c r="F29" i="30"/>
  <c r="F22" i="27"/>
  <c r="F48" i="27"/>
  <c r="F20" i="27"/>
  <c r="F36" i="27"/>
  <c r="F28" i="27"/>
  <c r="F44" i="27"/>
  <c r="F11" i="27"/>
  <c r="F7" i="27"/>
  <c r="F40" i="27"/>
  <c r="F55" i="27"/>
  <c r="F26" i="28"/>
  <c r="F55" i="28"/>
  <c r="F49" i="28"/>
  <c r="F16" i="28"/>
  <c r="F32" i="28"/>
  <c r="F48" i="28"/>
  <c r="F13" i="28"/>
  <c r="F11" i="28"/>
  <c r="F27" i="28"/>
  <c r="F43" i="28"/>
  <c r="F16" i="30"/>
  <c r="F7" i="30"/>
  <c r="F35" i="30"/>
  <c r="F22" i="30"/>
  <c r="F54" i="30"/>
  <c r="F48" i="30"/>
  <c r="F39" i="30"/>
  <c r="F21" i="30"/>
  <c r="F37" i="30"/>
  <c r="F53" i="30"/>
  <c r="F18" i="27"/>
  <c r="F42" i="27"/>
  <c r="F32" i="27"/>
  <c r="F17" i="28"/>
  <c r="F17" i="27"/>
  <c r="F27" i="27"/>
  <c r="F53" i="27"/>
  <c r="F25" i="27"/>
  <c r="F33" i="27"/>
  <c r="F49" i="27"/>
  <c r="F16" i="27"/>
  <c r="F29" i="27"/>
  <c r="F45" i="27"/>
  <c r="F34" i="28"/>
  <c r="F37" i="28"/>
  <c r="F54" i="28"/>
  <c r="F20" i="28"/>
  <c r="F36" i="28"/>
  <c r="F52" i="28"/>
  <c r="F30" i="28"/>
  <c r="F21" i="28"/>
  <c r="F15" i="28"/>
  <c r="F31" i="28"/>
  <c r="F47" i="28"/>
  <c r="F20" i="30"/>
  <c r="F11" i="30"/>
  <c r="F43" i="30"/>
  <c r="F10" i="30"/>
  <c r="F42" i="30"/>
  <c r="F12" i="30"/>
  <c r="F36" i="30"/>
  <c r="F15" i="30"/>
  <c r="F47" i="30"/>
  <c r="F25" i="30"/>
  <c r="F41" i="30"/>
  <c r="F37" i="26"/>
  <c r="F36" i="26"/>
  <c r="F19" i="26"/>
  <c r="F51" i="26"/>
  <c r="F53" i="26"/>
  <c r="F38" i="26"/>
  <c r="F25" i="26"/>
  <c r="F41" i="26"/>
  <c r="F7" i="26"/>
  <c r="F24" i="26"/>
  <c r="F40" i="26"/>
  <c r="F54" i="26"/>
  <c r="F23" i="26"/>
  <c r="F10" i="26"/>
  <c r="F26" i="26"/>
  <c r="F42" i="26"/>
  <c r="F13" i="26"/>
  <c r="F29" i="26"/>
  <c r="F45" i="26"/>
  <c r="F43" i="26"/>
  <c r="F12" i="26"/>
  <c r="F28" i="26"/>
  <c r="F20" i="26"/>
  <c r="F52" i="26"/>
  <c r="F35" i="26"/>
  <c r="F18" i="26"/>
  <c r="F34" i="26"/>
  <c r="F32" i="26"/>
  <c r="F15" i="26"/>
  <c r="F31" i="26"/>
  <c r="F47" i="26"/>
  <c r="F14" i="26"/>
  <c r="F30" i="26"/>
  <c r="F46" i="26"/>
  <c r="F21" i="26"/>
  <c r="F48" i="26"/>
  <c r="F17" i="26"/>
  <c r="F49" i="26"/>
  <c r="D57" i="3" l="1"/>
  <c r="D10" i="3"/>
  <c r="D11" i="3"/>
  <c r="D52" i="3"/>
  <c r="D53" i="3"/>
  <c r="G53" i="3" s="1"/>
  <c r="D54" i="3"/>
  <c r="D55" i="3"/>
  <c r="G55" i="3" s="1"/>
  <c r="D9" i="3"/>
  <c r="D7" i="3"/>
  <c r="G54" i="3" l="1"/>
  <c r="H54" i="3" s="1"/>
  <c r="G9" i="3"/>
  <c r="H9" i="3" s="1"/>
  <c r="G52" i="3"/>
  <c r="H52" i="3" s="1"/>
  <c r="G57" i="3"/>
  <c r="H57" i="3" s="1"/>
  <c r="G11" i="3"/>
  <c r="H11" i="3" s="1"/>
  <c r="G12" i="3"/>
  <c r="H12" i="3" s="1"/>
  <c r="G7" i="3"/>
  <c r="I9" i="3" s="1"/>
  <c r="G10" i="3"/>
  <c r="H10" i="3" s="1"/>
  <c r="H55" i="3"/>
  <c r="H53" i="3"/>
  <c r="I57" i="3" l="1"/>
  <c r="J57" i="3" s="1"/>
  <c r="P17" i="3" s="1"/>
  <c r="I11" i="3"/>
  <c r="J11" i="3" s="1"/>
  <c r="I10" i="3"/>
  <c r="J10" i="3" s="1"/>
  <c r="I7" i="3"/>
  <c r="J7" i="3" s="1"/>
  <c r="H7" i="3"/>
  <c r="I49" i="3"/>
  <c r="J49" i="3" s="1"/>
  <c r="I26" i="3"/>
  <c r="J26" i="3" s="1"/>
  <c r="I19" i="3"/>
  <c r="J19" i="3" s="1"/>
  <c r="I32" i="3"/>
  <c r="J32" i="3" s="1"/>
  <c r="I46" i="3"/>
  <c r="J46" i="3" s="1"/>
  <c r="I34" i="3"/>
  <c r="J34" i="3" s="1"/>
  <c r="I40" i="3"/>
  <c r="J40" i="3" s="1"/>
  <c r="I24" i="3"/>
  <c r="J24" i="3" s="1"/>
  <c r="I16" i="3"/>
  <c r="I47" i="3"/>
  <c r="J47" i="3" s="1"/>
  <c r="I25" i="3"/>
  <c r="J25" i="3" s="1"/>
  <c r="I17" i="3"/>
  <c r="J17" i="3" s="1"/>
  <c r="I44" i="3"/>
  <c r="I30" i="3"/>
  <c r="J30" i="3" s="1"/>
  <c r="I45" i="3"/>
  <c r="I33" i="3"/>
  <c r="J33" i="3" s="1"/>
  <c r="I38" i="3"/>
  <c r="I22" i="3"/>
  <c r="J22" i="3" s="1"/>
  <c r="I14" i="3"/>
  <c r="J14" i="3" s="1"/>
  <c r="I39" i="3"/>
  <c r="J39" i="3" s="1"/>
  <c r="I23" i="3"/>
  <c r="J23" i="3" s="1"/>
  <c r="I15" i="3"/>
  <c r="J15" i="3" s="1"/>
  <c r="I42" i="3"/>
  <c r="J42" i="3" s="1"/>
  <c r="I29" i="3"/>
  <c r="J29" i="3" s="1"/>
  <c r="I31" i="3"/>
  <c r="J31" i="3" s="1"/>
  <c r="I37" i="3"/>
  <c r="I12" i="3"/>
  <c r="I50" i="3"/>
  <c r="J50" i="3" s="1"/>
  <c r="I21" i="3"/>
  <c r="J21" i="3" s="1"/>
  <c r="I41" i="3"/>
  <c r="J41" i="3" s="1"/>
  <c r="I27" i="3"/>
  <c r="J27" i="3" s="1"/>
  <c r="I48" i="3"/>
  <c r="I35" i="3"/>
  <c r="J35" i="3" s="1"/>
  <c r="I18" i="3"/>
  <c r="J18" i="3" s="1"/>
  <c r="F10" i="3"/>
  <c r="J9" i="3"/>
  <c r="I53" i="3"/>
  <c r="J53" i="3" s="1"/>
  <c r="I55" i="3"/>
  <c r="J55" i="3" s="1"/>
  <c r="I52" i="3"/>
  <c r="J52" i="3" s="1"/>
  <c r="I54" i="3"/>
  <c r="J54" i="3" s="1"/>
  <c r="F9" i="3"/>
  <c r="F7" i="3"/>
  <c r="F44" i="3" l="1"/>
  <c r="F46" i="3"/>
  <c r="F25" i="3"/>
  <c r="F23" i="3"/>
  <c r="F42" i="3"/>
  <c r="F16" i="3"/>
  <c r="F48" i="3"/>
  <c r="F15" i="3"/>
  <c r="F38" i="3"/>
  <c r="F39" i="3"/>
  <c r="F17" i="3"/>
  <c r="F12" i="3"/>
  <c r="J38" i="3"/>
  <c r="J37" i="3"/>
  <c r="F34" i="3"/>
  <c r="F14" i="3"/>
  <c r="F26" i="3"/>
  <c r="F11" i="3"/>
  <c r="F30" i="3"/>
  <c r="F49" i="3"/>
  <c r="F45" i="3"/>
  <c r="J16" i="3"/>
  <c r="F32" i="3"/>
  <c r="F31" i="3"/>
  <c r="F19" i="3"/>
  <c r="F29" i="3"/>
  <c r="J48" i="3"/>
  <c r="J45" i="3"/>
  <c r="F41" i="3"/>
  <c r="F37" i="3"/>
  <c r="F35" i="3"/>
  <c r="F24" i="3"/>
  <c r="F47" i="3"/>
  <c r="F27" i="3"/>
  <c r="J12" i="3"/>
  <c r="J44" i="3"/>
  <c r="F22" i="3"/>
  <c r="F21" i="3"/>
  <c r="F40" i="3"/>
  <c r="F18" i="3"/>
  <c r="F33" i="3"/>
  <c r="F50" i="3"/>
  <c r="F55" i="3"/>
  <c r="F57" i="3"/>
  <c r="F54" i="3"/>
  <c r="F53" i="3"/>
  <c r="F52" i="3"/>
  <c r="E7" i="3"/>
  <c r="E9" i="3"/>
  <c r="E10" i="3"/>
  <c r="E11" i="3"/>
  <c r="E52" i="3"/>
  <c r="E53" i="3"/>
  <c r="E54" i="3"/>
  <c r="E55" i="3"/>
  <c r="E57" i="3"/>
  <c r="I52" i="32" l="1"/>
  <c r="I46" i="32"/>
  <c r="I42" i="32"/>
  <c r="I34" i="32"/>
  <c r="I30" i="32"/>
  <c r="I26" i="32"/>
  <c r="I43" i="32"/>
  <c r="I29" i="32"/>
  <c r="I51" i="32"/>
  <c r="I39" i="32"/>
  <c r="I50" i="32"/>
  <c r="I54" i="32"/>
  <c r="J54" i="32" s="1"/>
  <c r="I48" i="32"/>
  <c r="I40" i="32"/>
  <c r="I36" i="32"/>
  <c r="I32" i="32"/>
  <c r="I28" i="32"/>
  <c r="I24" i="32"/>
  <c r="I57" i="32"/>
  <c r="J57" i="32" s="1"/>
  <c r="P17" i="32" s="1"/>
  <c r="I41" i="32"/>
  <c r="I31" i="32"/>
  <c r="I37" i="32"/>
  <c r="I23" i="32"/>
  <c r="I45" i="32"/>
  <c r="I25" i="32"/>
  <c r="I53" i="32"/>
  <c r="I47" i="32"/>
  <c r="I21" i="32"/>
  <c r="F21" i="32" s="1"/>
  <c r="I35" i="32"/>
  <c r="F26" i="32" l="1"/>
  <c r="J25" i="32"/>
  <c r="F42" i="32"/>
  <c r="J41" i="32"/>
  <c r="J48" i="32"/>
  <c r="F23" i="32"/>
  <c r="F37" i="32"/>
  <c r="J36" i="32"/>
  <c r="F30" i="32"/>
  <c r="J29" i="32"/>
  <c r="J26" i="32"/>
  <c r="F28" i="32"/>
  <c r="F41" i="32"/>
  <c r="J40" i="32"/>
  <c r="F51" i="32"/>
  <c r="J50" i="32"/>
  <c r="F34" i="32"/>
  <c r="F31" i="32"/>
  <c r="J30" i="32"/>
  <c r="F47" i="32"/>
  <c r="J46" i="32"/>
  <c r="F36" i="32"/>
  <c r="J35" i="32"/>
  <c r="F50" i="32"/>
  <c r="J32" i="32"/>
  <c r="F52" i="32"/>
  <c r="J51" i="32"/>
  <c r="F39" i="32"/>
  <c r="J21" i="32"/>
  <c r="F46" i="32"/>
  <c r="J45" i="32"/>
  <c r="F43" i="32"/>
  <c r="J42" i="32"/>
  <c r="F48" i="32"/>
  <c r="J47" i="32"/>
  <c r="F24" i="32"/>
  <c r="J23" i="32"/>
  <c r="F25" i="32"/>
  <c r="J24" i="32"/>
  <c r="F54" i="32"/>
  <c r="J53" i="32"/>
  <c r="J37" i="32"/>
  <c r="F32" i="32"/>
  <c r="J31" i="32"/>
  <c r="F29" i="32"/>
  <c r="J28" i="32"/>
  <c r="F45" i="32"/>
  <c r="F40" i="32"/>
  <c r="J39" i="32"/>
  <c r="J43" i="32"/>
  <c r="F35" i="32"/>
  <c r="J34" i="32"/>
  <c r="F53" i="32"/>
  <c r="J52" i="32"/>
  <c r="F57" i="32"/>
</calcChain>
</file>

<file path=xl/sharedStrings.xml><?xml version="1.0" encoding="utf-8"?>
<sst xmlns="http://schemas.openxmlformats.org/spreadsheetml/2006/main" count="792" uniqueCount="169">
  <si>
    <t>표준편차</t>
    <phoneticPr fontId="1" type="noConversion"/>
  </si>
  <si>
    <t>응시자 수</t>
    <phoneticPr fontId="1" type="noConversion"/>
  </si>
  <si>
    <t>평균</t>
    <phoneticPr fontId="1" type="noConversion"/>
  </si>
  <si>
    <t>생활과 윤리</t>
    <phoneticPr fontId="1" type="noConversion"/>
  </si>
  <si>
    <t>윤리와 사상</t>
    <phoneticPr fontId="1" type="noConversion"/>
  </si>
  <si>
    <t>한국지리</t>
    <phoneticPr fontId="1" type="noConversion"/>
  </si>
  <si>
    <t>세계지리</t>
    <phoneticPr fontId="1" type="noConversion"/>
  </si>
  <si>
    <t>동아시아사</t>
    <phoneticPr fontId="1" type="noConversion"/>
  </si>
  <si>
    <t>세계사</t>
    <phoneticPr fontId="1" type="noConversion"/>
  </si>
  <si>
    <t>경제</t>
    <phoneticPr fontId="1" type="noConversion"/>
  </si>
  <si>
    <t>사회∙문화</t>
    <phoneticPr fontId="1" type="noConversion"/>
  </si>
  <si>
    <t>화학Ⅰ</t>
    <phoneticPr fontId="1" type="noConversion"/>
  </si>
  <si>
    <t>생명과학Ⅰ</t>
    <phoneticPr fontId="1" type="noConversion"/>
  </si>
  <si>
    <t>지구과학Ⅰ</t>
    <phoneticPr fontId="1" type="noConversion"/>
  </si>
  <si>
    <t>화학Ⅱ</t>
    <phoneticPr fontId="1" type="noConversion"/>
  </si>
  <si>
    <t>생명과학Ⅱ</t>
    <phoneticPr fontId="1" type="noConversion"/>
  </si>
  <si>
    <t>지구과학Ⅱ</t>
    <phoneticPr fontId="1" type="noConversion"/>
  </si>
  <si>
    <t>물리Ⅰ</t>
  </si>
  <si>
    <t>1등급</t>
    <phoneticPr fontId="1" type="noConversion"/>
  </si>
  <si>
    <t>2등급</t>
    <phoneticPr fontId="1" type="noConversion"/>
  </si>
  <si>
    <t>3등급</t>
    <phoneticPr fontId="1" type="noConversion"/>
  </si>
  <si>
    <t>4등급</t>
    <phoneticPr fontId="1" type="noConversion"/>
  </si>
  <si>
    <t>5등급</t>
    <phoneticPr fontId="1" type="noConversion"/>
  </si>
  <si>
    <t>6등급</t>
    <phoneticPr fontId="1" type="noConversion"/>
  </si>
  <si>
    <t>7등급</t>
    <phoneticPr fontId="1" type="noConversion"/>
  </si>
  <si>
    <t>8등급</t>
    <phoneticPr fontId="1" type="noConversion"/>
  </si>
  <si>
    <t>농업 기초 기술</t>
    <phoneticPr fontId="1" type="noConversion"/>
  </si>
  <si>
    <t>공업 일반</t>
    <phoneticPr fontId="1" type="noConversion"/>
  </si>
  <si>
    <t>상업 경제</t>
    <phoneticPr fontId="1" type="noConversion"/>
  </si>
  <si>
    <t>인간 발달</t>
    <phoneticPr fontId="1" type="noConversion"/>
  </si>
  <si>
    <t>9등급</t>
    <phoneticPr fontId="1" type="noConversion"/>
  </si>
  <si>
    <t>-</t>
    <phoneticPr fontId="1" type="noConversion"/>
  </si>
  <si>
    <t>물리학Ⅱ</t>
    <phoneticPr fontId="1" type="noConversion"/>
  </si>
  <si>
    <t>물리학Ⅰ</t>
    <phoneticPr fontId="1" type="noConversion"/>
  </si>
  <si>
    <t>정치와 법</t>
    <phoneticPr fontId="1" type="noConversion"/>
  </si>
  <si>
    <t>수산·해운 산업 기초</t>
    <phoneticPr fontId="1" type="noConversion"/>
  </si>
  <si>
    <t>성공적인 직업생활</t>
    <phoneticPr fontId="1" type="noConversion"/>
  </si>
  <si>
    <t>물리학Ⅱ</t>
    <phoneticPr fontId="1" type="noConversion"/>
  </si>
  <si>
    <t>성직</t>
    <phoneticPr fontId="1" type="noConversion"/>
  </si>
  <si>
    <t>농업</t>
    <phoneticPr fontId="1" type="noConversion"/>
  </si>
  <si>
    <t>공업</t>
    <phoneticPr fontId="1" type="noConversion"/>
  </si>
  <si>
    <t>상업</t>
    <phoneticPr fontId="1" type="noConversion"/>
  </si>
  <si>
    <t>시험명</t>
    <phoneticPr fontId="1" type="noConversion"/>
  </si>
  <si>
    <t>직업탐구 (수산·해운 산업 기초)</t>
    <phoneticPr fontId="1" type="noConversion"/>
  </si>
  <si>
    <t>B2:K58</t>
    <phoneticPr fontId="1" type="noConversion"/>
  </si>
  <si>
    <t>B3:M39</t>
    <phoneticPr fontId="1" type="noConversion"/>
  </si>
  <si>
    <r>
      <rPr>
        <sz val="12"/>
        <color theme="1"/>
        <rFont val="맑은 고딕"/>
        <family val="3"/>
        <charset val="129"/>
      </rPr>
      <t>시험명</t>
    </r>
  </si>
  <si>
    <r>
      <rPr>
        <sz val="12"/>
        <color theme="1"/>
        <rFont val="맑은 고딕"/>
        <family val="2"/>
        <charset val="129"/>
      </rPr>
      <t>시험명</t>
    </r>
  </si>
  <si>
    <r>
      <rPr>
        <sz val="12"/>
        <color theme="1"/>
        <rFont val="맑은 고딕"/>
        <family val="2"/>
        <charset val="129"/>
      </rPr>
      <t>평균</t>
    </r>
    <phoneticPr fontId="1" type="noConversion"/>
  </si>
  <si>
    <r>
      <rPr>
        <sz val="12"/>
        <color theme="1"/>
        <rFont val="맑은 고딕"/>
        <family val="2"/>
        <charset val="129"/>
      </rPr>
      <t>응시자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수</t>
    </r>
    <phoneticPr fontId="1" type="noConversion"/>
  </si>
  <si>
    <r>
      <rPr>
        <sz val="12"/>
        <color theme="1"/>
        <rFont val="맑은 고딕"/>
        <family val="2"/>
        <charset val="129"/>
      </rPr>
      <t>과목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</si>
  <si>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생활과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윤리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</si>
  <si>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표준편차</t>
    </r>
    <phoneticPr fontId="1" type="noConversion"/>
  </si>
  <si>
    <r>
      <rPr>
        <sz val="12"/>
        <color theme="1"/>
        <rFont val="맑은 고딕"/>
        <family val="2"/>
        <charset val="129"/>
      </rPr>
      <t>직업탐구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인간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발달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</si>
  <si>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직업탐구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상업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경제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</si>
  <si>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직업탐구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공업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일반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</si>
  <si>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직업탐구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성공적인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직업생활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</si>
  <si>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지구과학</t>
    </r>
    <r>
      <rPr>
        <sz val="12"/>
        <color theme="1"/>
        <rFont val="맑은 고딕"/>
        <family val="3"/>
        <charset val="129"/>
      </rPr>
      <t>Ⅱ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</si>
  <si>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생명과학</t>
    </r>
    <r>
      <rPr>
        <sz val="12"/>
        <color theme="1"/>
        <rFont val="맑은 고딕"/>
        <family val="3"/>
        <charset val="129"/>
      </rPr>
      <t>Ⅱ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</si>
  <si>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화학</t>
    </r>
    <r>
      <rPr>
        <sz val="12"/>
        <color theme="1"/>
        <rFont val="맑은 고딕"/>
        <family val="3"/>
        <charset val="129"/>
      </rPr>
      <t>Ⅱ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</si>
  <si>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물리학</t>
    </r>
    <r>
      <rPr>
        <sz val="12"/>
        <color theme="1"/>
        <rFont val="맑은 고딕"/>
        <family val="3"/>
        <charset val="129"/>
      </rPr>
      <t>Ⅱ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</si>
  <si>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지구과학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</si>
  <si>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생명과학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</si>
  <si>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화학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</si>
  <si>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물리학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</si>
  <si>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사회</t>
    </r>
    <r>
      <rPr>
        <sz val="12"/>
        <color theme="1"/>
        <rFont val="맑은 고딕"/>
        <family val="3"/>
        <charset val="129"/>
      </rPr>
      <t>∙</t>
    </r>
    <r>
      <rPr>
        <sz val="12"/>
        <color theme="1"/>
        <rFont val="맑은 고딕"/>
        <family val="2"/>
        <charset val="129"/>
      </rPr>
      <t>문화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</si>
  <si>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정치와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법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</si>
  <si>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경제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</si>
  <si>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세계사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</si>
  <si>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동아시아사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</si>
  <si>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세계지리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</si>
  <si>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한국지리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</si>
  <si>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윤리와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사상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</si>
  <si>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3"/>
        <color theme="1"/>
        <rFont val="맑은 고딕"/>
        <family val="2"/>
        <charset val="129"/>
      </rPr>
      <t>원점수</t>
    </r>
    <phoneticPr fontId="1" type="noConversion"/>
  </si>
  <si>
    <r>
      <rPr>
        <sz val="13"/>
        <color theme="1"/>
        <rFont val="맑은 고딕"/>
        <family val="2"/>
        <charset val="129"/>
      </rPr>
      <t>표준점수</t>
    </r>
    <phoneticPr fontId="1" type="noConversion"/>
  </si>
  <si>
    <r>
      <rPr>
        <sz val="13"/>
        <color theme="1"/>
        <rFont val="맑은 고딕"/>
        <family val="2"/>
        <charset val="129"/>
      </rPr>
      <t>등급</t>
    </r>
    <phoneticPr fontId="1" type="noConversion"/>
  </si>
  <si>
    <r>
      <rPr>
        <sz val="13"/>
        <color theme="1"/>
        <rFont val="맑은 고딕"/>
        <family val="2"/>
        <charset val="129"/>
      </rPr>
      <t>백분위</t>
    </r>
    <phoneticPr fontId="1" type="noConversion"/>
  </si>
  <si>
    <r>
      <rPr>
        <sz val="13"/>
        <color theme="1"/>
        <rFont val="맑은 고딕"/>
        <family val="2"/>
        <charset val="129"/>
      </rPr>
      <t>인원</t>
    </r>
    <phoneticPr fontId="1" type="noConversion"/>
  </si>
  <si>
    <r>
      <rPr>
        <sz val="13"/>
        <color theme="1"/>
        <rFont val="맑은 고딕"/>
        <family val="2"/>
        <charset val="129"/>
      </rPr>
      <t>비율</t>
    </r>
    <phoneticPr fontId="1" type="noConversion"/>
  </si>
  <si>
    <r>
      <rPr>
        <sz val="13"/>
        <color theme="1"/>
        <rFont val="맑은 고딕"/>
        <family val="2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2"/>
        <charset val="129"/>
      </rPr>
      <t>인원</t>
    </r>
    <phoneticPr fontId="1" type="noConversion"/>
  </si>
  <si>
    <r>
      <rPr>
        <sz val="13"/>
        <color theme="1"/>
        <rFont val="맑은 고딕"/>
        <family val="2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2"/>
        <charset val="129"/>
      </rPr>
      <t>비율</t>
    </r>
    <phoneticPr fontId="1" type="noConversion"/>
  </si>
  <si>
    <r>
      <rPr>
        <sz val="12"/>
        <color theme="1"/>
        <rFont val="맑은 고딕"/>
        <family val="3"/>
        <charset val="129"/>
      </rPr>
      <t>과목</t>
    </r>
  </si>
  <si>
    <r>
      <rPr>
        <sz val="12"/>
        <color theme="1"/>
        <rFont val="맑은 고딕"/>
        <family val="3"/>
        <charset val="129"/>
      </rPr>
      <t>탐구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3"/>
        <charset val="129"/>
      </rPr>
      <t>등급컷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3"/>
        <charset val="129"/>
      </rPr>
      <t>모아보기</t>
    </r>
    <phoneticPr fontId="1" type="noConversion"/>
  </si>
  <si>
    <r>
      <rPr>
        <b/>
        <sz val="13"/>
        <color theme="1"/>
        <rFont val="맑은 고딕"/>
        <family val="3"/>
        <charset val="129"/>
      </rPr>
      <t>사회탐구</t>
    </r>
    <phoneticPr fontId="1" type="noConversion"/>
  </si>
  <si>
    <r>
      <rPr>
        <b/>
        <sz val="13"/>
        <color theme="1"/>
        <rFont val="맑은 고딕"/>
        <family val="3"/>
        <charset val="129"/>
      </rPr>
      <t>생활과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윤리</t>
    </r>
    <phoneticPr fontId="1" type="noConversion"/>
  </si>
  <si>
    <r>
      <rPr>
        <b/>
        <sz val="13"/>
        <color theme="1"/>
        <rFont val="맑은 고딕"/>
        <family val="3"/>
        <charset val="129"/>
      </rPr>
      <t>윤리와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사상</t>
    </r>
    <phoneticPr fontId="1" type="noConversion"/>
  </si>
  <si>
    <r>
      <rPr>
        <b/>
        <sz val="13"/>
        <color theme="1"/>
        <rFont val="맑은 고딕"/>
        <family val="3"/>
        <charset val="129"/>
      </rPr>
      <t>한국지리</t>
    </r>
    <phoneticPr fontId="1" type="noConversion"/>
  </si>
  <si>
    <r>
      <rPr>
        <b/>
        <sz val="13"/>
        <color theme="1"/>
        <rFont val="맑은 고딕"/>
        <family val="3"/>
        <charset val="129"/>
      </rPr>
      <t>세계지리</t>
    </r>
    <phoneticPr fontId="1" type="noConversion"/>
  </si>
  <si>
    <r>
      <rPr>
        <b/>
        <sz val="13"/>
        <color theme="1"/>
        <rFont val="맑은 고딕"/>
        <family val="3"/>
        <charset val="129"/>
      </rPr>
      <t>동아시아사</t>
    </r>
    <phoneticPr fontId="1" type="noConversion"/>
  </si>
  <si>
    <r>
      <rPr>
        <b/>
        <sz val="13"/>
        <color theme="1"/>
        <rFont val="맑은 고딕"/>
        <family val="3"/>
        <charset val="129"/>
      </rPr>
      <t>세계사</t>
    </r>
    <phoneticPr fontId="1" type="noConversion"/>
  </si>
  <si>
    <r>
      <rPr>
        <b/>
        <sz val="13"/>
        <color theme="1"/>
        <rFont val="맑은 고딕"/>
        <family val="3"/>
        <charset val="129"/>
      </rPr>
      <t>경제</t>
    </r>
    <phoneticPr fontId="1" type="noConversion"/>
  </si>
  <si>
    <r>
      <rPr>
        <b/>
        <sz val="13"/>
        <color theme="1"/>
        <rFont val="맑은 고딕"/>
        <family val="3"/>
        <charset val="129"/>
      </rPr>
      <t>정치와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법</t>
    </r>
    <phoneticPr fontId="1" type="noConversion"/>
  </si>
  <si>
    <r>
      <t>1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</si>
  <si>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2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</si>
  <si>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3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</si>
  <si>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4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</si>
  <si>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5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</si>
  <si>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6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</si>
  <si>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7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</si>
  <si>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8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</si>
  <si>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rPr>
        <b/>
        <sz val="13"/>
        <color theme="1"/>
        <rFont val="맑은 고딕"/>
        <family val="3"/>
        <charset val="129"/>
      </rPr>
      <t>과학탐구</t>
    </r>
    <phoneticPr fontId="1" type="noConversion"/>
  </si>
  <si>
    <r>
      <rPr>
        <b/>
        <sz val="13"/>
        <color theme="1"/>
        <rFont val="맑은 고딕"/>
        <family val="3"/>
        <charset val="129"/>
      </rPr>
      <t>물리학Ⅰ</t>
    </r>
    <phoneticPr fontId="1" type="noConversion"/>
  </si>
  <si>
    <r>
      <rPr>
        <b/>
        <sz val="13"/>
        <color theme="1"/>
        <rFont val="맑은 고딕"/>
        <family val="3"/>
        <charset val="129"/>
      </rPr>
      <t>화학Ⅰ</t>
    </r>
    <phoneticPr fontId="1" type="noConversion"/>
  </si>
  <si>
    <r>
      <rPr>
        <b/>
        <sz val="13"/>
        <color theme="1"/>
        <rFont val="맑은 고딕"/>
        <family val="3"/>
        <charset val="129"/>
      </rPr>
      <t>생명과학Ⅰ</t>
    </r>
    <phoneticPr fontId="1" type="noConversion"/>
  </si>
  <si>
    <r>
      <rPr>
        <b/>
        <sz val="13"/>
        <color theme="1"/>
        <rFont val="맑은 고딕"/>
        <family val="3"/>
        <charset val="129"/>
      </rPr>
      <t>화학Ⅱ</t>
    </r>
    <phoneticPr fontId="1" type="noConversion"/>
  </si>
  <si>
    <r>
      <rPr>
        <b/>
        <sz val="13"/>
        <color theme="1"/>
        <rFont val="맑은 고딕"/>
        <family val="3"/>
        <charset val="129"/>
      </rPr>
      <t>생명과학Ⅱ</t>
    </r>
    <phoneticPr fontId="1" type="noConversion"/>
  </si>
  <si>
    <r>
      <rPr>
        <b/>
        <sz val="13"/>
        <color theme="1"/>
        <rFont val="맑은 고딕"/>
        <family val="3"/>
        <charset val="129"/>
      </rPr>
      <t>지구과학Ⅱ</t>
    </r>
    <phoneticPr fontId="1" type="noConversion"/>
  </si>
  <si>
    <r>
      <rPr>
        <b/>
        <sz val="13"/>
        <color theme="1"/>
        <rFont val="맑은 고딕"/>
        <family val="3"/>
        <charset val="129"/>
      </rPr>
      <t>직업탐구</t>
    </r>
    <phoneticPr fontId="1" type="noConversion"/>
  </si>
  <si>
    <r>
      <rPr>
        <b/>
        <sz val="13"/>
        <color theme="1"/>
        <rFont val="맑은 고딕"/>
        <family val="3"/>
        <charset val="129"/>
      </rPr>
      <t>성공적인</t>
    </r>
    <r>
      <rPr>
        <b/>
        <sz val="13"/>
        <color theme="1"/>
        <rFont val="Microsoft Sans Serif"/>
        <family val="2"/>
      </rPr>
      <t xml:space="preserve">    </t>
    </r>
    <r>
      <rPr>
        <b/>
        <sz val="13"/>
        <color theme="1"/>
        <rFont val="맑은 고딕"/>
        <family val="3"/>
        <charset val="129"/>
      </rPr>
      <t>직업생활</t>
    </r>
    <phoneticPr fontId="1" type="noConversion"/>
  </si>
  <si>
    <r>
      <rPr>
        <b/>
        <sz val="13"/>
        <color theme="1"/>
        <rFont val="맑은 고딕"/>
        <family val="3"/>
        <charset val="129"/>
      </rPr>
      <t>농업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기초</t>
    </r>
    <r>
      <rPr>
        <b/>
        <sz val="13"/>
        <color theme="1"/>
        <rFont val="Microsoft Sans Serif"/>
        <family val="2"/>
      </rPr>
      <t xml:space="preserve">   </t>
    </r>
    <r>
      <rPr>
        <b/>
        <sz val="13"/>
        <color theme="1"/>
        <rFont val="맑은 고딕"/>
        <family val="3"/>
        <charset val="129"/>
      </rPr>
      <t>기술</t>
    </r>
    <phoneticPr fontId="1" type="noConversion"/>
  </si>
  <si>
    <r>
      <rPr>
        <b/>
        <sz val="13"/>
        <color theme="1"/>
        <rFont val="맑은 고딕"/>
        <family val="3"/>
        <charset val="129"/>
      </rPr>
      <t>공업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일반</t>
    </r>
    <phoneticPr fontId="1" type="noConversion"/>
  </si>
  <si>
    <r>
      <rPr>
        <b/>
        <sz val="13"/>
        <color theme="1"/>
        <rFont val="맑은 고딕"/>
        <family val="3"/>
        <charset val="129"/>
      </rPr>
      <t>상업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경제</t>
    </r>
    <phoneticPr fontId="1" type="noConversion"/>
  </si>
  <si>
    <r>
      <rPr>
        <b/>
        <sz val="13"/>
        <color theme="1"/>
        <rFont val="맑은 고딕"/>
        <family val="3"/>
        <charset val="129"/>
      </rPr>
      <t>수산∙해운</t>
    </r>
    <r>
      <rPr>
        <b/>
        <sz val="13"/>
        <color theme="1"/>
        <rFont val="Microsoft Sans Serif"/>
        <family val="2"/>
      </rPr>
      <t xml:space="preserve">   </t>
    </r>
    <r>
      <rPr>
        <b/>
        <sz val="13"/>
        <color theme="1"/>
        <rFont val="맑은 고딕"/>
        <family val="3"/>
        <charset val="129"/>
      </rPr>
      <t>산업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기초</t>
    </r>
    <phoneticPr fontId="1" type="noConversion"/>
  </si>
  <si>
    <r>
      <rPr>
        <b/>
        <sz val="13"/>
        <color theme="1"/>
        <rFont val="맑은 고딕"/>
        <family val="3"/>
        <charset val="129"/>
      </rPr>
      <t>인간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발달</t>
    </r>
    <phoneticPr fontId="1" type="noConversion"/>
  </si>
  <si>
    <t>직업탐구 (농업 기초 기술)</t>
    <phoneticPr fontId="1" type="noConversion"/>
  </si>
  <si>
    <t xml:space="preserve">2022학년도 대학수학능력시험 6월 모의평가 </t>
  </si>
  <si>
    <t>생활과 윤리</t>
  </si>
  <si>
    <t>윤리와 사상</t>
  </si>
  <si>
    <t>한국지리</t>
  </si>
  <si>
    <t>세계지리</t>
  </si>
  <si>
    <t>동아시아사</t>
  </si>
  <si>
    <t>세계사</t>
  </si>
  <si>
    <t>경제</t>
  </si>
  <si>
    <t>정치와 법</t>
  </si>
  <si>
    <t>사회·문화</t>
  </si>
  <si>
    <r>
      <t>물리학</t>
    </r>
    <r>
      <rPr>
        <sz val="9"/>
        <rFont val="휴먼명조"/>
        <family val="3"/>
        <charset val="129"/>
      </rPr>
      <t xml:space="preserve"> </t>
    </r>
    <r>
      <rPr>
        <sz val="9"/>
        <rFont val="바탕"/>
        <family val="1"/>
        <charset val="129"/>
      </rPr>
      <t>I</t>
    </r>
  </si>
  <si>
    <r>
      <t>화학</t>
    </r>
    <r>
      <rPr>
        <sz val="9"/>
        <rFont val="바탕"/>
        <family val="1"/>
        <charset val="129"/>
      </rPr>
      <t xml:space="preserve"> I</t>
    </r>
  </si>
  <si>
    <r>
      <t>생명</t>
    </r>
    <r>
      <rPr>
        <sz val="9"/>
        <rFont val="돋움"/>
        <family val="3"/>
        <charset val="129"/>
      </rPr>
      <t>과학</t>
    </r>
    <r>
      <rPr>
        <sz val="9"/>
        <rFont val="바탕"/>
        <family val="1"/>
        <charset val="129"/>
      </rPr>
      <t xml:space="preserve"> I</t>
    </r>
  </si>
  <si>
    <r>
      <t>지구</t>
    </r>
    <r>
      <rPr>
        <sz val="9"/>
        <rFont val="돋움"/>
        <family val="3"/>
        <charset val="129"/>
      </rPr>
      <t>과학</t>
    </r>
    <r>
      <rPr>
        <sz val="9"/>
        <rFont val="바탕"/>
        <family val="1"/>
        <charset val="129"/>
      </rPr>
      <t xml:space="preserve"> I</t>
    </r>
  </si>
  <si>
    <r>
      <t>물리학</t>
    </r>
    <r>
      <rPr>
        <sz val="9"/>
        <rFont val="바탕"/>
        <family val="1"/>
        <charset val="129"/>
      </rPr>
      <t xml:space="preserve"> II</t>
    </r>
  </si>
  <si>
    <r>
      <t xml:space="preserve">화학 </t>
    </r>
    <r>
      <rPr>
        <sz val="9"/>
        <rFont val="바탕"/>
        <family val="1"/>
        <charset val="129"/>
      </rPr>
      <t>II</t>
    </r>
  </si>
  <si>
    <r>
      <t>생명</t>
    </r>
    <r>
      <rPr>
        <sz val="9"/>
        <rFont val="돋움"/>
        <family val="3"/>
        <charset val="129"/>
      </rPr>
      <t>과학</t>
    </r>
    <r>
      <rPr>
        <sz val="9"/>
        <rFont val="바탕"/>
        <family val="1"/>
        <charset val="129"/>
      </rPr>
      <t xml:space="preserve"> II</t>
    </r>
  </si>
  <si>
    <r>
      <t>지구</t>
    </r>
    <r>
      <rPr>
        <sz val="9"/>
        <rFont val="돋움"/>
        <family val="3"/>
        <charset val="129"/>
      </rPr>
      <t>과학</t>
    </r>
    <r>
      <rPr>
        <sz val="9"/>
        <rFont val="바탕"/>
        <family val="1"/>
        <charset val="129"/>
      </rPr>
      <t xml:space="preserve"> II</t>
    </r>
  </si>
  <si>
    <t>성공적인 직업생활</t>
  </si>
  <si>
    <t>농업 기초 기술</t>
  </si>
  <si>
    <t>공업 일반</t>
  </si>
  <si>
    <t>상업 경제</t>
  </si>
  <si>
    <t>수산·해운 산업 기초</t>
  </si>
  <si>
    <t>인간 발달</t>
  </si>
  <si>
    <t>표준점수</t>
  </si>
  <si>
    <t>남자</t>
  </si>
  <si>
    <t>여자</t>
  </si>
  <si>
    <t>계</t>
  </si>
  <si>
    <t>누적(계)</t>
  </si>
  <si>
    <t>ㅡ</t>
  </si>
  <si>
    <t>33미만</t>
    <phoneticPr fontId="27" type="noConversion"/>
  </si>
  <si>
    <t>38미만</t>
    <phoneticPr fontId="27" type="noConversion"/>
  </si>
  <si>
    <t>36미만</t>
    <phoneticPr fontId="27" type="noConversion"/>
  </si>
  <si>
    <t>동아시아사</t>
    <phoneticPr fontId="27" type="noConversion"/>
  </si>
  <si>
    <t>세계사</t>
    <phoneticPr fontId="27" type="noConversion"/>
  </si>
  <si>
    <t>경제</t>
    <phoneticPr fontId="27" type="noConversion"/>
  </si>
  <si>
    <t>정치와 법</t>
    <phoneticPr fontId="27" type="noConversion"/>
  </si>
  <si>
    <t>등급</t>
    <phoneticPr fontId="27" type="noConversion"/>
  </si>
  <si>
    <t>인원(명)</t>
  </si>
  <si>
    <t>비율(%)</t>
    <phoneticPr fontId="27" type="noConversion"/>
  </si>
  <si>
    <t>구분 점수</t>
  </si>
  <si>
    <t>35미만</t>
    <phoneticPr fontId="27" type="noConversion"/>
  </si>
  <si>
    <t>39미만</t>
    <phoneticPr fontId="27" type="noConversion"/>
  </si>
  <si>
    <t>사회·문화</t>
    <phoneticPr fontId="27" type="noConversion"/>
  </si>
  <si>
    <t>34미만</t>
    <phoneticPr fontId="27" type="noConversion"/>
  </si>
  <si>
    <r>
      <rPr>
        <sz val="10"/>
        <color indexed="8"/>
        <rFont val="한양중고딕,한컴돋움"/>
        <family val="3"/>
        <charset val="129"/>
      </rPr>
      <t xml:space="preserve">물리학 </t>
    </r>
    <r>
      <rPr>
        <sz val="10"/>
        <color indexed="8"/>
        <rFont val="맑은 고딕"/>
        <family val="3"/>
        <charset val="129"/>
      </rPr>
      <t>Ⅱ</t>
    </r>
    <phoneticPr fontId="27" type="noConversion"/>
  </si>
  <si>
    <r>
      <rPr>
        <sz val="10"/>
        <color indexed="8"/>
        <rFont val="한양중고딕,한컴돋움"/>
        <family val="3"/>
        <charset val="129"/>
      </rPr>
      <t xml:space="preserve">화학 </t>
    </r>
    <r>
      <rPr>
        <sz val="10"/>
        <color indexed="8"/>
        <rFont val="맑은 고딕"/>
        <family val="3"/>
        <charset val="129"/>
      </rPr>
      <t>Ⅱ</t>
    </r>
    <phoneticPr fontId="27" type="noConversion"/>
  </si>
  <si>
    <r>
      <rPr>
        <sz val="10"/>
        <color indexed="8"/>
        <rFont val="한양중고딕,한컴돋움"/>
        <family val="3"/>
        <charset val="129"/>
      </rPr>
      <t xml:space="preserve">생명과학 </t>
    </r>
    <r>
      <rPr>
        <sz val="10"/>
        <color indexed="8"/>
        <rFont val="맑은 고딕"/>
        <family val="3"/>
        <charset val="129"/>
      </rPr>
      <t>Ⅱ</t>
    </r>
    <phoneticPr fontId="27" type="noConversion"/>
  </si>
  <si>
    <r>
      <rPr>
        <sz val="10"/>
        <color indexed="8"/>
        <rFont val="한양중고딕,한컴돋움"/>
        <family val="3"/>
        <charset val="129"/>
      </rPr>
      <t xml:space="preserve">지구과학 </t>
    </r>
    <r>
      <rPr>
        <sz val="10"/>
        <color indexed="8"/>
        <rFont val="맑은 고딕"/>
        <family val="3"/>
        <charset val="129"/>
      </rPr>
      <t>Ⅱ</t>
    </r>
    <phoneticPr fontId="27" type="noConversion"/>
  </si>
  <si>
    <t>등급</t>
  </si>
  <si>
    <t>37미만</t>
    <phoneticPr fontId="27" type="noConversion"/>
  </si>
  <si>
    <t>수산·해운 산업 기초</t>
    <phoneticPr fontId="27" type="noConversion"/>
  </si>
  <si>
    <t>인간발달</t>
    <phoneticPr fontId="27" type="noConversion"/>
  </si>
  <si>
    <t>비율(%)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</si>
</sst>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,##0_ "/>
    <numFmt numFmtId="177" formatCode="0_);[Red]\(0\)"/>
    <numFmt numFmtId="179" formatCode="0.00_ "/>
  </numFmts>
  <fonts count="4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name val="Arial"/>
      <family val="2"/>
    </font>
    <font>
      <b/>
      <sz val="18"/>
      <color theme="3"/>
      <name val="맑은 고딕"/>
      <family val="2"/>
      <charset val="129"/>
      <scheme val="major"/>
    </font>
    <font>
      <sz val="11"/>
      <color rgb="FF9C6500"/>
      <name val="맑은 고딕"/>
      <family val="2"/>
      <charset val="129"/>
      <scheme val="minor"/>
    </font>
    <font>
      <u/>
      <sz val="11"/>
      <color rgb="FF0000FF"/>
      <name val="맑은 고딕"/>
      <family val="2"/>
      <charset val="129"/>
      <scheme val="minor"/>
    </font>
    <font>
      <u/>
      <sz val="11"/>
      <color rgb="FF800080"/>
      <name val="맑은 고딕"/>
      <family val="2"/>
      <charset val="129"/>
      <scheme val="minor"/>
    </font>
    <font>
      <sz val="11"/>
      <color theme="1"/>
      <name val="Microsoft Sans Serif"/>
      <family val="2"/>
    </font>
    <font>
      <sz val="12"/>
      <color theme="1"/>
      <name val="Microsoft Sans Serif"/>
      <family val="2"/>
    </font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2"/>
      <charset val="129"/>
    </font>
    <font>
      <sz val="8"/>
      <name val="돋움"/>
      <family val="3"/>
      <charset val="129"/>
    </font>
    <font>
      <sz val="9"/>
      <name val="한컴돋움"/>
      <family val="1"/>
      <charset val="129"/>
    </font>
    <font>
      <sz val="10"/>
      <name val="한양중고딕,한컴돋움"/>
      <family val="3"/>
      <charset val="129"/>
    </font>
    <font>
      <sz val="11"/>
      <color rgb="FF000000"/>
      <name val="맑은 고딕"/>
      <family val="3"/>
      <charset val="129"/>
    </font>
    <font>
      <sz val="12"/>
      <color theme="1"/>
      <name val="Microsoft Sans Serif"/>
      <family val="2"/>
      <charset val="129"/>
    </font>
    <font>
      <sz val="12"/>
      <color theme="1"/>
      <name val="맑은 고딕"/>
      <family val="3"/>
      <charset val="129"/>
    </font>
    <font>
      <sz val="13"/>
      <color theme="1"/>
      <name val="Microsoft Sans Serif"/>
      <family val="2"/>
    </font>
    <font>
      <sz val="13"/>
      <color theme="1"/>
      <name val="맑은 고딕"/>
      <family val="2"/>
      <charset val="129"/>
    </font>
    <font>
      <sz val="13"/>
      <name val="Microsoft Sans Serif"/>
      <family val="2"/>
    </font>
    <font>
      <b/>
      <sz val="13"/>
      <color theme="1"/>
      <name val="Microsoft Sans Serif"/>
      <family val="2"/>
    </font>
    <font>
      <b/>
      <sz val="13"/>
      <color theme="1"/>
      <name val="맑은 고딕"/>
      <family val="3"/>
      <charset val="129"/>
    </font>
    <font>
      <sz val="12"/>
      <color theme="1"/>
      <name val="맑은 고딕"/>
      <family val="3"/>
      <charset val="129"/>
      <scheme val="minor"/>
    </font>
    <font>
      <sz val="8.8000000000000007"/>
      <name val="한컴돋움"/>
      <family val="1"/>
      <charset val="129"/>
    </font>
    <font>
      <sz val="9"/>
      <name val="돋움"/>
      <family val="3"/>
      <charset val="129"/>
    </font>
    <font>
      <sz val="9"/>
      <name val="휴먼명조"/>
      <family val="3"/>
      <charset val="129"/>
    </font>
    <font>
      <sz val="9"/>
      <name val="바탕"/>
      <family val="1"/>
      <charset val="129"/>
    </font>
    <font>
      <sz val="9"/>
      <name val="Arial"/>
      <family val="2"/>
    </font>
    <font>
      <sz val="10"/>
      <name val="한컴돋움"/>
      <family val="1"/>
      <charset val="129"/>
    </font>
    <font>
      <sz val="10"/>
      <name val="맑은 고딕"/>
      <family val="3"/>
      <charset val="129"/>
    </font>
    <font>
      <sz val="10"/>
      <color indexed="8"/>
      <name val="한양중고딕,한컴돋움"/>
      <family val="3"/>
      <charset val="129"/>
    </font>
    <font>
      <sz val="10"/>
      <color indexed="8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</fonts>
  <fills count="40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FFCC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99FF"/>
        <bgColor indexed="64"/>
      </patternFill>
    </fill>
  </fills>
  <borders count="168">
    <border>
      <left/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8"/>
      </right>
      <top style="thin">
        <color indexed="8"/>
      </top>
      <bottom style="thin">
        <color indexed="23"/>
      </bottom>
      <diagonal/>
    </border>
    <border>
      <left style="thin">
        <color indexed="23"/>
      </left>
      <right style="thin">
        <color indexed="8"/>
      </right>
      <top style="thin">
        <color indexed="23"/>
      </top>
      <bottom style="hair">
        <color indexed="8"/>
      </bottom>
      <diagonal/>
    </border>
    <border>
      <left style="thin">
        <color theme="0" tint="-0.499984740745262"/>
      </left>
      <right style="thin">
        <color indexed="8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8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D4D4D4"/>
      </left>
      <right/>
      <top style="thin">
        <color rgb="FFD4D4D4"/>
      </top>
      <bottom/>
      <diagonal/>
    </border>
    <border>
      <left/>
      <right/>
      <top style="thin">
        <color rgb="FFD4D4D4"/>
      </top>
      <bottom/>
      <diagonal/>
    </border>
    <border>
      <left/>
      <right style="thin">
        <color rgb="FFD4D4D4"/>
      </right>
      <top style="thin">
        <color rgb="FFD4D4D4"/>
      </top>
      <bottom/>
      <diagonal/>
    </border>
    <border>
      <left style="thin">
        <color rgb="FFD4D4D4"/>
      </left>
      <right/>
      <top/>
      <bottom/>
      <diagonal/>
    </border>
    <border>
      <left/>
      <right style="thin">
        <color rgb="FFD4D4D4"/>
      </right>
      <top/>
      <bottom/>
      <diagonal/>
    </border>
    <border>
      <left style="thin">
        <color rgb="FFD4D4D4"/>
      </left>
      <right/>
      <top/>
      <bottom style="thin">
        <color rgb="FFD4D4D4"/>
      </bottom>
      <diagonal/>
    </border>
    <border>
      <left/>
      <right/>
      <top/>
      <bottom style="thin">
        <color rgb="FFD4D4D4"/>
      </bottom>
      <diagonal/>
    </border>
    <border>
      <left/>
      <right style="thin">
        <color rgb="FFD4D4D4"/>
      </right>
      <top/>
      <bottom style="thin">
        <color rgb="FFD4D4D4"/>
      </bottom>
      <diagonal/>
    </border>
    <border>
      <left style="thin">
        <color indexed="8"/>
      </left>
      <right style="thin">
        <color indexed="23"/>
      </right>
      <top style="thin">
        <color indexed="8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8"/>
      </top>
      <bottom style="thin">
        <color indexed="23"/>
      </bottom>
      <diagonal/>
    </border>
    <border>
      <left style="thin">
        <color indexed="23"/>
      </left>
      <right/>
      <top style="thin">
        <color indexed="8"/>
      </top>
      <bottom style="thin">
        <color indexed="23"/>
      </bottom>
      <diagonal/>
    </border>
    <border>
      <left/>
      <right style="thin">
        <color indexed="23"/>
      </right>
      <top style="thin">
        <color indexed="8"/>
      </top>
      <bottom style="thin">
        <color indexed="23"/>
      </bottom>
      <diagonal/>
    </border>
    <border>
      <left style="thin">
        <color indexed="64"/>
      </left>
      <right style="thin">
        <color indexed="23"/>
      </right>
      <top style="thin">
        <color indexed="64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 style="thin">
        <color indexed="23"/>
      </bottom>
      <diagonal/>
    </border>
    <border>
      <left style="thin">
        <color indexed="23"/>
      </left>
      <right style="thin">
        <color indexed="64"/>
      </right>
      <top style="thin">
        <color indexed="64"/>
      </top>
      <bottom style="thin">
        <color indexed="23"/>
      </bottom>
      <diagonal/>
    </border>
    <border>
      <left style="thin">
        <color indexed="8"/>
      </left>
      <right/>
      <top style="thin">
        <color indexed="8"/>
      </top>
      <bottom style="thin">
        <color indexed="23"/>
      </bottom>
      <diagonal/>
    </border>
    <border>
      <left/>
      <right/>
      <top style="thin">
        <color indexed="8"/>
      </top>
      <bottom style="thin">
        <color indexed="23"/>
      </bottom>
      <diagonal/>
    </border>
    <border>
      <left/>
      <right style="thin">
        <color indexed="8"/>
      </right>
      <top style="thin">
        <color indexed="8"/>
      </top>
      <bottom style="thin">
        <color indexed="23"/>
      </bottom>
      <diagonal/>
    </border>
    <border>
      <left style="thin">
        <color indexed="8"/>
      </left>
      <right/>
      <top style="thin">
        <color auto="1"/>
      </top>
      <bottom style="thin">
        <color indexed="23"/>
      </bottom>
      <diagonal/>
    </border>
    <border>
      <left/>
      <right/>
      <top style="thin">
        <color auto="1"/>
      </top>
      <bottom style="thin">
        <color indexed="23"/>
      </bottom>
      <diagonal/>
    </border>
    <border>
      <left/>
      <right style="thin">
        <color indexed="8"/>
      </right>
      <top style="thin">
        <color auto="1"/>
      </top>
      <bottom style="thin">
        <color indexed="23"/>
      </bottom>
      <diagonal/>
    </border>
    <border>
      <left style="thin">
        <color indexed="8"/>
      </left>
      <right style="thin">
        <color indexed="23"/>
      </right>
      <top style="thin">
        <color indexed="23"/>
      </top>
      <bottom style="hair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hair">
        <color indexed="8"/>
      </bottom>
      <diagonal/>
    </border>
    <border>
      <left style="thin">
        <color indexed="23"/>
      </left>
      <right/>
      <top style="thin">
        <color indexed="23"/>
      </top>
      <bottom style="hair">
        <color indexed="8"/>
      </bottom>
      <diagonal/>
    </border>
    <border>
      <left/>
      <right style="thin">
        <color indexed="23"/>
      </right>
      <top style="thin">
        <color indexed="23"/>
      </top>
      <bottom style="hair">
        <color indexed="8"/>
      </bottom>
      <diagonal/>
    </border>
    <border>
      <left style="thin">
        <color indexed="64"/>
      </left>
      <right style="thin">
        <color indexed="23"/>
      </right>
      <top style="thin">
        <color indexed="23"/>
      </top>
      <bottom style="hair">
        <color indexed="8"/>
      </bottom>
      <diagonal/>
    </border>
    <border>
      <left style="thin">
        <color indexed="23"/>
      </left>
      <right style="thin">
        <color indexed="64"/>
      </right>
      <top style="thin">
        <color indexed="23"/>
      </top>
      <bottom style="hair">
        <color indexed="8"/>
      </bottom>
      <diagonal/>
    </border>
    <border>
      <left style="thin">
        <color indexed="8"/>
      </left>
      <right style="thin">
        <color indexed="23"/>
      </right>
      <top/>
      <bottom style="hair">
        <color indexed="8"/>
      </bottom>
      <diagonal/>
    </border>
    <border>
      <left style="thin">
        <color indexed="23"/>
      </left>
      <right style="thin">
        <color indexed="23"/>
      </right>
      <top/>
      <bottom style="hair">
        <color indexed="8"/>
      </bottom>
      <diagonal/>
    </border>
    <border>
      <left style="thin">
        <color indexed="23"/>
      </left>
      <right style="thin">
        <color indexed="8"/>
      </right>
      <top/>
      <bottom style="hair">
        <color indexed="8"/>
      </bottom>
      <diagonal/>
    </border>
    <border>
      <left/>
      <right style="thin">
        <color indexed="23"/>
      </right>
      <top/>
      <bottom style="hair">
        <color indexed="8"/>
      </bottom>
      <diagonal/>
    </border>
    <border>
      <left style="thin">
        <color indexed="8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/>
      <bottom style="thin">
        <color theme="0" tint="-0.499984740745262"/>
      </bottom>
      <diagonal/>
    </border>
    <border>
      <left style="thin">
        <color indexed="8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double">
        <color indexed="8"/>
      </right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double">
        <color indexed="64"/>
      </right>
      <top/>
      <bottom style="thin">
        <color indexed="8"/>
      </bottom>
      <diagonal/>
    </border>
    <border>
      <left style="thin">
        <color indexed="8"/>
      </left>
      <right style="medium">
        <color indexed="64"/>
      </right>
      <top/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medium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double">
        <color indexed="64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/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double">
        <color indexed="8"/>
      </right>
      <top style="medium">
        <color indexed="8"/>
      </top>
      <bottom style="thin">
        <color indexed="8"/>
      </bottom>
      <diagonal/>
    </border>
    <border>
      <left style="double">
        <color indexed="8"/>
      </left>
      <right/>
      <top style="medium">
        <color indexed="8"/>
      </top>
      <bottom style="thin">
        <color indexed="8"/>
      </bottom>
      <diagonal/>
    </border>
    <border>
      <left/>
      <right style="double">
        <color indexed="64"/>
      </right>
      <top style="medium">
        <color indexed="8"/>
      </top>
      <bottom style="thin">
        <color indexed="8"/>
      </bottom>
      <diagonal/>
    </border>
    <border>
      <left style="double">
        <color indexed="64"/>
      </left>
      <right/>
      <top style="medium">
        <color indexed="8"/>
      </top>
      <bottom style="thin">
        <color indexed="8"/>
      </bottom>
      <diagonal/>
    </border>
    <border>
      <left/>
      <right style="medium">
        <color indexed="64"/>
      </right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double">
        <color indexed="8"/>
      </right>
      <top style="thin">
        <color indexed="8"/>
      </top>
      <bottom/>
      <diagonal/>
    </border>
    <border>
      <left style="double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double">
        <color indexed="64"/>
      </right>
      <top style="thin">
        <color indexed="8"/>
      </top>
      <bottom/>
      <diagonal/>
    </border>
    <border>
      <left style="thin">
        <color indexed="8"/>
      </left>
      <right style="medium">
        <color indexed="64"/>
      </right>
      <top style="thin">
        <color indexed="8"/>
      </top>
      <bottom/>
      <diagonal/>
    </border>
    <border>
      <left/>
      <right style="thin">
        <color indexed="8"/>
      </right>
      <top/>
      <bottom style="double">
        <color indexed="64"/>
      </bottom>
      <diagonal/>
    </border>
    <border>
      <left style="thin">
        <color indexed="8"/>
      </left>
      <right style="thin">
        <color indexed="8"/>
      </right>
      <top/>
      <bottom style="double">
        <color indexed="64"/>
      </bottom>
      <diagonal/>
    </border>
    <border>
      <left style="thin">
        <color indexed="8"/>
      </left>
      <right style="double">
        <color indexed="8"/>
      </right>
      <top/>
      <bottom style="double">
        <color indexed="64"/>
      </bottom>
      <diagonal/>
    </border>
    <border>
      <left style="double">
        <color indexed="8"/>
      </left>
      <right style="thin">
        <color indexed="8"/>
      </right>
      <top/>
      <bottom style="double">
        <color indexed="64"/>
      </bottom>
      <diagonal/>
    </border>
    <border>
      <left style="thin">
        <color indexed="8"/>
      </left>
      <right style="double">
        <color indexed="64"/>
      </right>
      <top/>
      <bottom style="double">
        <color indexed="64"/>
      </bottom>
      <diagonal/>
    </border>
    <border>
      <left style="thin">
        <color indexed="8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64"/>
      </right>
      <top style="medium">
        <color indexed="8"/>
      </top>
      <bottom style="thin">
        <color indexed="8"/>
      </bottom>
      <diagonal/>
    </border>
    <border diagonalUp="1">
      <left/>
      <right/>
      <top style="medium">
        <color indexed="64"/>
      </top>
      <bottom/>
      <diagonal style="thin">
        <color indexed="64"/>
      </diagonal>
    </border>
    <border diagonalUp="1">
      <left/>
      <right style="medium">
        <color indexed="64"/>
      </right>
      <top style="medium">
        <color indexed="64"/>
      </top>
      <bottom/>
      <diagonal style="thin">
        <color indexed="64"/>
      </diagonal>
    </border>
    <border diagonalUp="1">
      <left/>
      <right/>
      <top/>
      <bottom/>
      <diagonal style="thin">
        <color indexed="64"/>
      </diagonal>
    </border>
    <border diagonalUp="1">
      <left/>
      <right style="medium">
        <color indexed="64"/>
      </right>
      <top/>
      <bottom/>
      <diagonal style="thin">
        <color indexed="64"/>
      </diagonal>
    </border>
    <border>
      <left/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double">
        <color indexed="64"/>
      </right>
      <top style="thin">
        <color indexed="8"/>
      </top>
      <bottom style="medium">
        <color indexed="64"/>
      </bottom>
      <diagonal/>
    </border>
    <border diagonalUp="1">
      <left/>
      <right/>
      <top/>
      <bottom style="medium">
        <color indexed="64"/>
      </bottom>
      <diagonal style="thin">
        <color indexed="64"/>
      </diagonal>
    </border>
    <border diagonalUp="1">
      <left/>
      <right style="medium">
        <color indexed="64"/>
      </right>
      <top/>
      <bottom style="medium">
        <color indexed="64"/>
      </bottom>
      <diagonal style="thin">
        <color indexed="64"/>
      </diagonal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double">
        <color indexed="8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medium">
        <color indexed="64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thin">
        <color indexed="64"/>
      </left>
      <right style="double">
        <color indexed="8"/>
      </right>
      <top/>
      <bottom style="thin">
        <color indexed="64"/>
      </bottom>
      <diagonal/>
    </border>
    <border>
      <left style="double">
        <color indexed="8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8"/>
      </right>
      <top style="thin">
        <color indexed="64"/>
      </top>
      <bottom style="thin">
        <color indexed="64"/>
      </bottom>
      <diagonal/>
    </border>
    <border>
      <left style="double">
        <color indexed="8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medium">
        <color indexed="64"/>
      </top>
      <bottom style="thin">
        <color indexed="8"/>
      </bottom>
      <diagonal/>
    </border>
    <border>
      <left/>
      <right/>
      <top style="medium">
        <color indexed="64"/>
      </top>
      <bottom style="thin">
        <color indexed="8"/>
      </bottom>
      <diagonal/>
    </border>
    <border>
      <left/>
      <right style="double">
        <color indexed="8"/>
      </right>
      <top style="medium">
        <color indexed="64"/>
      </top>
      <bottom style="thin">
        <color indexed="8"/>
      </bottom>
      <diagonal/>
    </border>
    <border>
      <left style="double">
        <color indexed="8"/>
      </left>
      <right/>
      <top style="medium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51">
    <xf numFmtId="0" fontId="0" fillId="0" borderId="0">
      <alignment vertical="center"/>
    </xf>
    <xf numFmtId="0" fontId="2" fillId="0" borderId="0"/>
    <xf numFmtId="0" fontId="4" fillId="0" borderId="25" applyNumberFormat="0" applyFill="0" applyAlignment="0" applyProtection="0">
      <alignment vertical="center"/>
    </xf>
    <xf numFmtId="0" fontId="5" fillId="0" borderId="26" applyNumberFormat="0" applyFill="0" applyAlignment="0" applyProtection="0">
      <alignment vertical="center"/>
    </xf>
    <xf numFmtId="0" fontId="6" fillId="0" borderId="27" applyNumberFormat="0" applyFill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9" fillId="9" borderId="28" applyNumberFormat="0" applyAlignment="0" applyProtection="0">
      <alignment vertical="center"/>
    </xf>
    <xf numFmtId="0" fontId="10" fillId="10" borderId="29" applyNumberFormat="0" applyAlignment="0" applyProtection="0">
      <alignment vertical="center"/>
    </xf>
    <xf numFmtId="0" fontId="11" fillId="10" borderId="28" applyNumberFormat="0" applyAlignment="0" applyProtection="0">
      <alignment vertical="center"/>
    </xf>
    <xf numFmtId="0" fontId="12" fillId="0" borderId="30" applyNumberFormat="0" applyFill="0" applyAlignment="0" applyProtection="0">
      <alignment vertical="center"/>
    </xf>
    <xf numFmtId="0" fontId="13" fillId="11" borderId="31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33" applyNumberFormat="0" applyFill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18" fillId="0" borderId="0"/>
    <xf numFmtId="0" fontId="19" fillId="0" borderId="0" applyNumberFormat="0" applyFill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7" fillId="36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12" borderId="32" applyNumberFormat="0" applyFont="0" applyAlignment="0" applyProtection="0">
      <alignment vertical="center"/>
    </xf>
    <xf numFmtId="0" fontId="2" fillId="0" borderId="0"/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3" fillId="0" borderId="0">
      <alignment vertical="center"/>
    </xf>
    <xf numFmtId="0" fontId="18" fillId="0" borderId="0"/>
    <xf numFmtId="9" fontId="3" fillId="0" borderId="0" applyFont="0" applyFill="0" applyBorder="0" applyAlignment="0" applyProtection="0">
      <alignment vertical="center"/>
    </xf>
  </cellStyleXfs>
  <cellXfs count="31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0" xfId="0" quotePrefix="1" applyFill="1" applyAlignment="1">
      <alignment horizontal="center" vertical="center"/>
    </xf>
    <xf numFmtId="0" fontId="0" fillId="5" borderId="0" xfId="0" applyFill="1">
      <alignment vertical="center"/>
    </xf>
    <xf numFmtId="0" fontId="0" fillId="0" borderId="35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23" fillId="5" borderId="0" xfId="0" applyFont="1" applyFill="1" applyAlignment="1">
      <alignment horizontal="center" vertical="center"/>
    </xf>
    <xf numFmtId="0" fontId="23" fillId="5" borderId="0" xfId="0" applyFont="1" applyFill="1">
      <alignment vertical="center"/>
    </xf>
    <xf numFmtId="0" fontId="24" fillId="5" borderId="0" xfId="0" applyFont="1" applyFill="1" applyAlignment="1">
      <alignment horizontal="center" vertical="center"/>
    </xf>
    <xf numFmtId="0" fontId="23" fillId="0" borderId="0" xfId="0" applyFont="1">
      <alignment vertical="center"/>
    </xf>
    <xf numFmtId="0" fontId="23" fillId="0" borderId="0" xfId="0" applyFont="1" applyAlignment="1">
      <alignment horizontal="center" vertical="center"/>
    </xf>
    <xf numFmtId="0" fontId="25" fillId="5" borderId="59" xfId="0" applyFont="1" applyFill="1" applyBorder="1">
      <alignment vertical="center"/>
    </xf>
    <xf numFmtId="0" fontId="0" fillId="5" borderId="61" xfId="0" applyFill="1" applyBorder="1">
      <alignment vertical="center"/>
    </xf>
    <xf numFmtId="0" fontId="25" fillId="5" borderId="62" xfId="0" applyFont="1" applyFill="1" applyBorder="1">
      <alignment vertical="center"/>
    </xf>
    <xf numFmtId="0" fontId="0" fillId="5" borderId="63" xfId="0" applyFill="1" applyBorder="1">
      <alignment vertical="center"/>
    </xf>
    <xf numFmtId="0" fontId="24" fillId="5" borderId="0" xfId="0" applyFont="1" applyFill="1">
      <alignment vertical="center"/>
    </xf>
    <xf numFmtId="0" fontId="0" fillId="5" borderId="64" xfId="0" applyFill="1" applyBorder="1">
      <alignment vertical="center"/>
    </xf>
    <xf numFmtId="0" fontId="0" fillId="5" borderId="65" xfId="0" applyFill="1" applyBorder="1">
      <alignment vertical="center"/>
    </xf>
    <xf numFmtId="0" fontId="0" fillId="5" borderId="66" xfId="0" applyFill="1" applyBorder="1">
      <alignment vertical="center"/>
    </xf>
    <xf numFmtId="0" fontId="25" fillId="5" borderId="60" xfId="0" applyFont="1" applyFill="1" applyBorder="1">
      <alignment vertical="center"/>
    </xf>
    <xf numFmtId="0" fontId="23" fillId="5" borderId="59" xfId="0" applyFont="1" applyFill="1" applyBorder="1">
      <alignment vertical="center"/>
    </xf>
    <xf numFmtId="0" fontId="23" fillId="5" borderId="60" xfId="0" applyFont="1" applyFill="1" applyBorder="1" applyAlignment="1">
      <alignment horizontal="center" vertical="center"/>
    </xf>
    <xf numFmtId="0" fontId="23" fillId="5" borderId="62" xfId="0" applyFont="1" applyFill="1" applyBorder="1">
      <alignment vertical="center"/>
    </xf>
    <xf numFmtId="0" fontId="23" fillId="5" borderId="64" xfId="0" applyFont="1" applyFill="1" applyBorder="1">
      <alignment vertical="center"/>
    </xf>
    <xf numFmtId="0" fontId="23" fillId="5" borderId="65" xfId="0" applyFont="1" applyFill="1" applyBorder="1" applyAlignment="1">
      <alignment horizontal="center" vertical="center"/>
    </xf>
    <xf numFmtId="0" fontId="23" fillId="5" borderId="66" xfId="0" applyFont="1" applyFill="1" applyBorder="1">
      <alignment vertical="center"/>
    </xf>
    <xf numFmtId="0" fontId="23" fillId="0" borderId="60" xfId="0" applyFont="1" applyBorder="1">
      <alignment vertical="center"/>
    </xf>
    <xf numFmtId="0" fontId="23" fillId="5" borderId="63" xfId="0" applyFont="1" applyFill="1" applyBorder="1">
      <alignment vertical="center"/>
    </xf>
    <xf numFmtId="0" fontId="23" fillId="5" borderId="65" xfId="0" applyFont="1" applyFill="1" applyBorder="1">
      <alignment vertical="center"/>
    </xf>
    <xf numFmtId="0" fontId="23" fillId="5" borderId="61" xfId="0" applyFont="1" applyFill="1" applyBorder="1">
      <alignment vertical="center"/>
    </xf>
    <xf numFmtId="0" fontId="24" fillId="4" borderId="20" xfId="0" applyFont="1" applyFill="1" applyBorder="1" applyAlignment="1">
      <alignment horizontal="center" vertical="center"/>
    </xf>
    <xf numFmtId="0" fontId="24" fillId="4" borderId="4" xfId="0" applyFont="1" applyFill="1" applyBorder="1" applyAlignment="1">
      <alignment horizontal="center" vertical="center"/>
    </xf>
    <xf numFmtId="0" fontId="24" fillId="4" borderId="17" xfId="0" applyFont="1" applyFill="1" applyBorder="1" applyAlignment="1">
      <alignment horizontal="center" vertical="center"/>
    </xf>
    <xf numFmtId="0" fontId="26" fillId="4" borderId="20" xfId="0" applyFont="1" applyFill="1" applyBorder="1" applyAlignment="1">
      <alignment horizontal="center" vertical="center"/>
    </xf>
    <xf numFmtId="0" fontId="33" fillId="4" borderId="15" xfId="0" applyFont="1" applyFill="1" applyBorder="1" applyAlignment="1">
      <alignment horizontal="center" vertical="center"/>
    </xf>
    <xf numFmtId="0" fontId="33" fillId="4" borderId="14" xfId="0" applyFont="1" applyFill="1" applyBorder="1" applyAlignment="1">
      <alignment horizontal="center" vertical="center"/>
    </xf>
    <xf numFmtId="0" fontId="33" fillId="4" borderId="13" xfId="0" applyFont="1" applyFill="1" applyBorder="1" applyAlignment="1">
      <alignment horizontal="center" vertical="center"/>
    </xf>
    <xf numFmtId="0" fontId="33" fillId="4" borderId="12" xfId="0" applyFont="1" applyFill="1" applyBorder="1" applyAlignment="1">
      <alignment horizontal="center" vertical="center"/>
    </xf>
    <xf numFmtId="0" fontId="33" fillId="0" borderId="11" xfId="0" applyFont="1" applyBorder="1" applyAlignment="1">
      <alignment horizontal="center" vertical="center"/>
    </xf>
    <xf numFmtId="0" fontId="33" fillId="0" borderId="8" xfId="0" applyFont="1" applyBorder="1" applyAlignment="1">
      <alignment horizontal="center" vertical="center"/>
    </xf>
    <xf numFmtId="177" fontId="33" fillId="0" borderId="8" xfId="0" applyNumberFormat="1" applyFont="1" applyBorder="1" applyAlignment="1">
      <alignment horizontal="center" vertical="center"/>
    </xf>
    <xf numFmtId="176" fontId="35" fillId="0" borderId="8" xfId="1" applyNumberFormat="1" applyFont="1" applyBorder="1" applyAlignment="1">
      <alignment horizontal="center" vertical="center"/>
    </xf>
    <xf numFmtId="10" fontId="35" fillId="0" borderId="7" xfId="50" applyNumberFormat="1" applyFont="1" applyBorder="1" applyAlignment="1">
      <alignment horizontal="center" vertical="center"/>
    </xf>
    <xf numFmtId="176" fontId="33" fillId="0" borderId="10" xfId="0" applyNumberFormat="1" applyFont="1" applyBorder="1" applyAlignment="1">
      <alignment horizontal="center" vertical="center"/>
    </xf>
    <xf numFmtId="10" fontId="35" fillId="0" borderId="5" xfId="50" applyNumberFormat="1" applyFont="1" applyBorder="1" applyAlignment="1">
      <alignment horizontal="center" vertical="center"/>
    </xf>
    <xf numFmtId="0" fontId="33" fillId="0" borderId="9" xfId="0" applyFont="1" applyBorder="1" applyAlignment="1">
      <alignment horizontal="center" vertical="center"/>
    </xf>
    <xf numFmtId="176" fontId="33" fillId="0" borderId="6" xfId="0" applyNumberFormat="1" applyFont="1" applyBorder="1" applyAlignment="1">
      <alignment horizontal="center" vertical="center"/>
    </xf>
    <xf numFmtId="0" fontId="33" fillId="5" borderId="11" xfId="0" applyFont="1" applyFill="1" applyBorder="1" applyAlignment="1">
      <alignment horizontal="center" vertical="center"/>
    </xf>
    <xf numFmtId="0" fontId="33" fillId="5" borderId="9" xfId="0" applyFont="1" applyFill="1" applyBorder="1" applyAlignment="1">
      <alignment horizontal="center" vertical="center"/>
    </xf>
    <xf numFmtId="0" fontId="33" fillId="5" borderId="8" xfId="0" applyFont="1" applyFill="1" applyBorder="1" applyAlignment="1">
      <alignment horizontal="center" vertical="center"/>
    </xf>
    <xf numFmtId="0" fontId="33" fillId="3" borderId="38" xfId="0" applyFont="1" applyFill="1" applyBorder="1">
      <alignment vertical="center"/>
    </xf>
    <xf numFmtId="0" fontId="33" fillId="3" borderId="39" xfId="0" applyFont="1" applyFill="1" applyBorder="1">
      <alignment vertical="center"/>
    </xf>
    <xf numFmtId="0" fontId="33" fillId="3" borderId="40" xfId="0" applyFont="1" applyFill="1" applyBorder="1">
      <alignment vertical="center"/>
    </xf>
    <xf numFmtId="0" fontId="33" fillId="2" borderId="17" xfId="0" applyFont="1" applyFill="1" applyBorder="1" applyAlignment="1">
      <alignment horizontal="center" vertical="center"/>
    </xf>
    <xf numFmtId="0" fontId="33" fillId="2" borderId="2" xfId="0" applyFont="1" applyFill="1" applyBorder="1" applyAlignment="1">
      <alignment horizontal="center" vertical="center"/>
    </xf>
    <xf numFmtId="0" fontId="33" fillId="2" borderId="23" xfId="0" applyFont="1" applyFill="1" applyBorder="1" applyAlignment="1">
      <alignment horizontal="center" vertical="center"/>
    </xf>
    <xf numFmtId="177" fontId="33" fillId="2" borderId="2" xfId="0" applyNumberFormat="1" applyFont="1" applyFill="1" applyBorder="1" applyAlignment="1">
      <alignment horizontal="center" vertical="center"/>
    </xf>
    <xf numFmtId="176" fontId="35" fillId="2" borderId="23" xfId="1" applyNumberFormat="1" applyFont="1" applyFill="1" applyBorder="1" applyAlignment="1">
      <alignment horizontal="center" vertical="center"/>
    </xf>
    <xf numFmtId="10" fontId="35" fillId="2" borderId="23" xfId="50" applyNumberFormat="1" applyFont="1" applyFill="1" applyBorder="1" applyAlignment="1">
      <alignment horizontal="center" vertical="center"/>
    </xf>
    <xf numFmtId="176" fontId="33" fillId="2" borderId="2" xfId="0" applyNumberFormat="1" applyFont="1" applyFill="1" applyBorder="1" applyAlignment="1">
      <alignment horizontal="center" vertical="center"/>
    </xf>
    <xf numFmtId="10" fontId="35" fillId="2" borderId="16" xfId="50" applyNumberFormat="1" applyFont="1" applyFill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0" fontId="36" fillId="37" borderId="43" xfId="0" applyFont="1" applyFill="1" applyBorder="1" applyAlignment="1">
      <alignment horizontal="center" vertical="center"/>
    </xf>
    <xf numFmtId="0" fontId="36" fillId="37" borderId="44" xfId="0" applyFont="1" applyFill="1" applyBorder="1" applyAlignment="1">
      <alignment horizontal="center" vertical="center"/>
    </xf>
    <xf numFmtId="0" fontId="36" fillId="37" borderId="14" xfId="0" applyFont="1" applyFill="1" applyBorder="1" applyAlignment="1">
      <alignment horizontal="center" vertical="center"/>
    </xf>
    <xf numFmtId="0" fontId="37" fillId="37" borderId="12" xfId="0" applyFont="1" applyFill="1" applyBorder="1" applyAlignment="1">
      <alignment horizontal="center" vertical="center"/>
    </xf>
    <xf numFmtId="0" fontId="36" fillId="37" borderId="45" xfId="0" applyFont="1" applyFill="1" applyBorder="1" applyAlignment="1">
      <alignment horizontal="center" vertical="center"/>
    </xf>
    <xf numFmtId="0" fontId="33" fillId="5" borderId="20" xfId="0" applyFont="1" applyFill="1" applyBorder="1" applyAlignment="1">
      <alignment horizontal="center" vertical="center"/>
    </xf>
    <xf numFmtId="0" fontId="33" fillId="5" borderId="46" xfId="0" applyFont="1" applyFill="1" applyBorder="1" applyAlignment="1">
      <alignment horizontal="center" vertical="center"/>
    </xf>
    <xf numFmtId="0" fontId="33" fillId="5" borderId="21" xfId="0" applyFont="1" applyFill="1" applyBorder="1" applyAlignment="1">
      <alignment horizontal="center" vertical="center"/>
    </xf>
    <xf numFmtId="0" fontId="36" fillId="37" borderId="47" xfId="0" applyFont="1" applyFill="1" applyBorder="1" applyAlignment="1">
      <alignment horizontal="center" vertical="center"/>
    </xf>
    <xf numFmtId="0" fontId="33" fillId="5" borderId="48" xfId="0" applyFont="1" applyFill="1" applyBorder="1" applyAlignment="1">
      <alignment horizontal="center" vertical="center"/>
    </xf>
    <xf numFmtId="0" fontId="33" fillId="5" borderId="5" xfId="0" applyFont="1" applyFill="1" applyBorder="1" applyAlignment="1">
      <alignment horizontal="center" vertical="center"/>
    </xf>
    <xf numFmtId="0" fontId="36" fillId="37" borderId="49" xfId="0" applyFont="1" applyFill="1" applyBorder="1" applyAlignment="1">
      <alignment horizontal="center" vertical="center"/>
    </xf>
    <xf numFmtId="0" fontId="33" fillId="5" borderId="17" xfId="0" applyFont="1" applyFill="1" applyBorder="1" applyAlignment="1">
      <alignment horizontal="center" vertical="center"/>
    </xf>
    <xf numFmtId="0" fontId="33" fillId="5" borderId="50" xfId="0" applyFont="1" applyFill="1" applyBorder="1" applyAlignment="1">
      <alignment horizontal="center" vertical="center"/>
    </xf>
    <xf numFmtId="0" fontId="33" fillId="5" borderId="16" xfId="0" applyFont="1" applyFill="1" applyBorder="1" applyAlignment="1">
      <alignment horizontal="center" vertical="center"/>
    </xf>
    <xf numFmtId="0" fontId="33" fillId="5" borderId="0" xfId="0" applyFont="1" applyFill="1" applyAlignment="1">
      <alignment horizontal="center" vertical="center"/>
    </xf>
    <xf numFmtId="0" fontId="33" fillId="5" borderId="0" xfId="0" applyFont="1" applyFill="1">
      <alignment vertical="center"/>
    </xf>
    <xf numFmtId="0" fontId="36" fillId="37" borderId="15" xfId="0" applyFont="1" applyFill="1" applyBorder="1" applyAlignment="1">
      <alignment horizontal="center" vertical="center"/>
    </xf>
    <xf numFmtId="0" fontId="37" fillId="37" borderId="44" xfId="0" applyFont="1" applyFill="1" applyBorder="1" applyAlignment="1">
      <alignment horizontal="center" vertical="center"/>
    </xf>
    <xf numFmtId="0" fontId="36" fillId="37" borderId="12" xfId="0" applyFont="1" applyFill="1" applyBorder="1" applyAlignment="1">
      <alignment horizontal="center" vertical="center"/>
    </xf>
    <xf numFmtId="0" fontId="36" fillId="5" borderId="0" xfId="0" applyFont="1" applyFill="1" applyAlignment="1">
      <alignment horizontal="center" vertical="center"/>
    </xf>
    <xf numFmtId="0" fontId="36" fillId="37" borderId="15" xfId="0" applyFont="1" applyFill="1" applyBorder="1" applyAlignment="1">
      <alignment horizontal="center" vertical="center" wrapText="1"/>
    </xf>
    <xf numFmtId="0" fontId="36" fillId="37" borderId="14" xfId="0" applyFont="1" applyFill="1" applyBorder="1" applyAlignment="1">
      <alignment horizontal="center" vertical="center" wrapText="1"/>
    </xf>
    <xf numFmtId="0" fontId="36" fillId="37" borderId="13" xfId="0" applyFont="1" applyFill="1" applyBorder="1" applyAlignment="1">
      <alignment horizontal="center" vertical="center" wrapText="1"/>
    </xf>
    <xf numFmtId="0" fontId="36" fillId="37" borderId="12" xfId="0" applyFont="1" applyFill="1" applyBorder="1" applyAlignment="1">
      <alignment horizontal="center" vertical="center" wrapText="1"/>
    </xf>
    <xf numFmtId="0" fontId="36" fillId="37" borderId="51" xfId="0" applyFont="1" applyFill="1" applyBorder="1" applyAlignment="1">
      <alignment horizontal="center" vertical="center"/>
    </xf>
    <xf numFmtId="0" fontId="33" fillId="5" borderId="54" xfId="0" applyFont="1" applyFill="1" applyBorder="1" applyAlignment="1">
      <alignment horizontal="center" vertical="center"/>
    </xf>
    <xf numFmtId="0" fontId="36" fillId="37" borderId="52" xfId="0" applyFont="1" applyFill="1" applyBorder="1" applyAlignment="1">
      <alignment horizontal="center" vertical="center"/>
    </xf>
    <xf numFmtId="0" fontId="33" fillId="5" borderId="6" xfId="0" applyFont="1" applyFill="1" applyBorder="1" applyAlignment="1">
      <alignment horizontal="center" vertical="center"/>
    </xf>
    <xf numFmtId="0" fontId="33" fillId="5" borderId="24" xfId="0" applyFont="1" applyFill="1" applyBorder="1" applyAlignment="1">
      <alignment horizontal="center" vertical="center"/>
    </xf>
    <xf numFmtId="0" fontId="36" fillId="37" borderId="53" xfId="0" applyFont="1" applyFill="1" applyBorder="1" applyAlignment="1">
      <alignment horizontal="center" vertical="center"/>
    </xf>
    <xf numFmtId="0" fontId="33" fillId="5" borderId="4" xfId="0" applyFont="1" applyFill="1" applyBorder="1" applyAlignment="1">
      <alignment horizontal="center" vertical="center"/>
    </xf>
    <xf numFmtId="0" fontId="33" fillId="5" borderId="2" xfId="0" applyFont="1" applyFill="1" applyBorder="1" applyAlignment="1">
      <alignment horizontal="center" vertical="center"/>
    </xf>
    <xf numFmtId="0" fontId="33" fillId="5" borderId="42" xfId="0" applyFont="1" applyFill="1" applyBorder="1" applyAlignment="1">
      <alignment horizontal="center" vertical="center"/>
    </xf>
    <xf numFmtId="0" fontId="26" fillId="5" borderId="0" xfId="0" applyFont="1" applyFill="1" applyAlignment="1">
      <alignment horizontal="center" vertical="center"/>
    </xf>
    <xf numFmtId="2" fontId="24" fillId="0" borderId="21" xfId="0" applyNumberFormat="1" applyFont="1" applyBorder="1" applyAlignment="1">
      <alignment horizontal="center" vertical="center"/>
    </xf>
    <xf numFmtId="2" fontId="24" fillId="0" borderId="16" xfId="0" applyNumberFormat="1" applyFont="1" applyBorder="1" applyAlignment="1">
      <alignment horizontal="center" vertical="center"/>
    </xf>
    <xf numFmtId="0" fontId="24" fillId="4" borderId="15" xfId="0" applyFont="1" applyFill="1" applyBorder="1" applyAlignment="1">
      <alignment horizontal="center" vertical="center"/>
    </xf>
    <xf numFmtId="3" fontId="24" fillId="0" borderId="12" xfId="0" applyNumberFormat="1" applyFont="1" applyBorder="1" applyAlignment="1">
      <alignment horizontal="center" vertical="center"/>
    </xf>
    <xf numFmtId="0" fontId="24" fillId="5" borderId="22" xfId="0" applyFont="1" applyFill="1" applyBorder="1" applyAlignment="1">
      <alignment horizontal="center" vertical="center"/>
    </xf>
    <xf numFmtId="0" fontId="24" fillId="5" borderId="19" xfId="0" applyFont="1" applyFill="1" applyBorder="1" applyAlignment="1">
      <alignment horizontal="center" vertical="center"/>
    </xf>
    <xf numFmtId="0" fontId="24" fillId="5" borderId="21" xfId="0" applyFont="1" applyFill="1" applyBorder="1" applyAlignment="1">
      <alignment horizontal="center" vertical="center"/>
    </xf>
    <xf numFmtId="0" fontId="24" fillId="5" borderId="3" xfId="0" applyFont="1" applyFill="1" applyBorder="1" applyAlignment="1">
      <alignment horizontal="center" vertical="center"/>
    </xf>
    <xf numFmtId="0" fontId="24" fillId="5" borderId="18" xfId="0" applyFont="1" applyFill="1" applyBorder="1" applyAlignment="1">
      <alignment horizontal="center" vertical="center"/>
    </xf>
    <xf numFmtId="0" fontId="24" fillId="5" borderId="1" xfId="0" applyFont="1" applyFill="1" applyBorder="1" applyAlignment="1">
      <alignment horizontal="center" vertical="center"/>
    </xf>
    <xf numFmtId="0" fontId="33" fillId="3" borderId="38" xfId="0" applyFont="1" applyFill="1" applyBorder="1" applyAlignment="1">
      <alignment horizontal="center" vertical="center"/>
    </xf>
    <xf numFmtId="0" fontId="33" fillId="3" borderId="39" xfId="0" applyFont="1" applyFill="1" applyBorder="1" applyAlignment="1">
      <alignment horizontal="center" vertical="center"/>
    </xf>
    <xf numFmtId="0" fontId="33" fillId="3" borderId="40" xfId="0" applyFont="1" applyFill="1" applyBorder="1" applyAlignment="1">
      <alignment horizontal="center" vertical="center"/>
    </xf>
    <xf numFmtId="0" fontId="31" fillId="5" borderId="3" xfId="0" applyFont="1" applyFill="1" applyBorder="1" applyAlignment="1">
      <alignment horizontal="center" vertical="center"/>
    </xf>
    <xf numFmtId="0" fontId="38" fillId="5" borderId="3" xfId="0" applyFont="1" applyFill="1" applyBorder="1" applyAlignment="1">
      <alignment horizontal="center" vertical="center"/>
    </xf>
    <xf numFmtId="0" fontId="38" fillId="5" borderId="18" xfId="0" applyFont="1" applyFill="1" applyBorder="1" applyAlignment="1">
      <alignment horizontal="center" vertical="center"/>
    </xf>
    <xf numFmtId="0" fontId="38" fillId="5" borderId="1" xfId="0" applyFont="1" applyFill="1" applyBorder="1" applyAlignment="1">
      <alignment horizontal="center" vertical="center"/>
    </xf>
    <xf numFmtId="0" fontId="26" fillId="5" borderId="3" xfId="0" applyFont="1" applyFill="1" applyBorder="1" applyAlignment="1">
      <alignment horizontal="center" vertical="center"/>
    </xf>
    <xf numFmtId="0" fontId="24" fillId="5" borderId="10" xfId="0" applyFont="1" applyFill="1" applyBorder="1" applyAlignment="1">
      <alignment horizontal="center" vertical="center"/>
    </xf>
    <xf numFmtId="0" fontId="24" fillId="5" borderId="41" xfId="0" applyFont="1" applyFill="1" applyBorder="1" applyAlignment="1">
      <alignment horizontal="center" vertical="center"/>
    </xf>
    <xf numFmtId="0" fontId="24" fillId="5" borderId="2" xfId="0" applyFont="1" applyFill="1" applyBorder="1" applyAlignment="1">
      <alignment horizontal="center" vertical="center"/>
    </xf>
    <xf numFmtId="0" fontId="24" fillId="5" borderId="42" xfId="0" applyFont="1" applyFill="1" applyBorder="1" applyAlignment="1">
      <alignment horizontal="center" vertical="center"/>
    </xf>
    <xf numFmtId="38" fontId="39" fillId="38" borderId="67" xfId="45" applyNumberFormat="1" applyFont="1" applyFill="1" applyBorder="1" applyAlignment="1">
      <alignment horizontal="center" vertical="center"/>
    </xf>
    <xf numFmtId="38" fontId="39" fillId="38" borderId="68" xfId="45" applyNumberFormat="1" applyFont="1" applyFill="1" applyBorder="1" applyAlignment="1">
      <alignment horizontal="center" vertical="center"/>
    </xf>
    <xf numFmtId="38" fontId="39" fillId="38" borderId="69" xfId="45" applyNumberFormat="1" applyFont="1" applyFill="1" applyBorder="1" applyAlignment="1">
      <alignment horizontal="center" vertical="center"/>
    </xf>
    <xf numFmtId="38" fontId="39" fillId="38" borderId="55" xfId="45" applyNumberFormat="1" applyFont="1" applyFill="1" applyBorder="1" applyAlignment="1">
      <alignment horizontal="center" vertical="center"/>
    </xf>
    <xf numFmtId="38" fontId="28" fillId="38" borderId="67" xfId="45" applyNumberFormat="1" applyFont="1" applyFill="1" applyBorder="1" applyAlignment="1">
      <alignment horizontal="center" vertical="center"/>
    </xf>
    <xf numFmtId="38" fontId="28" fillId="38" borderId="68" xfId="45" applyNumberFormat="1" applyFont="1" applyFill="1" applyBorder="1" applyAlignment="1">
      <alignment horizontal="center" vertical="center"/>
    </xf>
    <xf numFmtId="38" fontId="28" fillId="38" borderId="55" xfId="45" applyNumberFormat="1" applyFont="1" applyFill="1" applyBorder="1" applyAlignment="1">
      <alignment horizontal="center" vertical="center"/>
    </xf>
    <xf numFmtId="38" fontId="28" fillId="38" borderId="70" xfId="45" applyNumberFormat="1" applyFont="1" applyFill="1" applyBorder="1" applyAlignment="1">
      <alignment horizontal="center" vertical="center"/>
    </xf>
    <xf numFmtId="38" fontId="28" fillId="38" borderId="71" xfId="45" applyNumberFormat="1" applyFont="1" applyFill="1" applyBorder="1" applyAlignment="1">
      <alignment horizontal="center" vertical="center"/>
    </xf>
    <xf numFmtId="38" fontId="28" fillId="38" borderId="72" xfId="45" applyNumberFormat="1" applyFont="1" applyFill="1" applyBorder="1" applyAlignment="1">
      <alignment horizontal="center" vertical="center"/>
    </xf>
    <xf numFmtId="38" fontId="28" fillId="38" borderId="73" xfId="45" applyNumberFormat="1" applyFont="1" applyFill="1" applyBorder="1" applyAlignment="1">
      <alignment horizontal="center" vertical="center"/>
    </xf>
    <xf numFmtId="38" fontId="40" fillId="38" borderId="67" xfId="45" applyNumberFormat="1" applyFont="1" applyFill="1" applyBorder="1" applyAlignment="1">
      <alignment horizontal="center" vertical="center" shrinkToFit="1"/>
    </xf>
    <xf numFmtId="38" fontId="40" fillId="38" borderId="68" xfId="45" applyNumberFormat="1" applyFont="1" applyFill="1" applyBorder="1" applyAlignment="1">
      <alignment horizontal="center" vertical="center" shrinkToFit="1"/>
    </xf>
    <xf numFmtId="38" fontId="40" fillId="38" borderId="55" xfId="45" applyNumberFormat="1" applyFont="1" applyFill="1" applyBorder="1" applyAlignment="1">
      <alignment horizontal="center" vertical="center" shrinkToFit="1"/>
    </xf>
    <xf numFmtId="38" fontId="40" fillId="38" borderId="70" xfId="45" applyNumberFormat="1" applyFont="1" applyFill="1" applyBorder="1" applyAlignment="1">
      <alignment horizontal="center" vertical="center" shrinkToFit="1"/>
    </xf>
    <xf numFmtId="38" fontId="43" fillId="38" borderId="68" xfId="45" applyNumberFormat="1" applyFont="1" applyFill="1" applyBorder="1" applyAlignment="1">
      <alignment horizontal="center" vertical="center" shrinkToFit="1"/>
    </xf>
    <xf numFmtId="38" fontId="43" fillId="38" borderId="55" xfId="45" applyNumberFormat="1" applyFont="1" applyFill="1" applyBorder="1" applyAlignment="1">
      <alignment horizontal="center" vertical="center" shrinkToFit="1"/>
    </xf>
    <xf numFmtId="38" fontId="44" fillId="38" borderId="74" xfId="45" applyNumberFormat="1" applyFont="1" applyFill="1" applyBorder="1" applyAlignment="1">
      <alignment horizontal="center" vertical="center" shrinkToFit="1"/>
    </xf>
    <xf numFmtId="38" fontId="44" fillId="38" borderId="75" xfId="45" applyNumberFormat="1" applyFont="1" applyFill="1" applyBorder="1" applyAlignment="1">
      <alignment horizontal="center" vertical="center" shrinkToFit="1"/>
    </xf>
    <xf numFmtId="38" fontId="44" fillId="38" borderId="76" xfId="45" applyNumberFormat="1" applyFont="1" applyFill="1" applyBorder="1" applyAlignment="1">
      <alignment horizontal="center" vertical="center" shrinkToFit="1"/>
    </xf>
    <xf numFmtId="38" fontId="44" fillId="38" borderId="67" xfId="45" applyNumberFormat="1" applyFont="1" applyFill="1" applyBorder="1" applyAlignment="1">
      <alignment horizontal="center" vertical="center" shrinkToFit="1"/>
    </xf>
    <xf numFmtId="38" fontId="44" fillId="38" borderId="68" xfId="45" applyNumberFormat="1" applyFont="1" applyFill="1" applyBorder="1" applyAlignment="1">
      <alignment horizontal="center" vertical="center" shrinkToFit="1"/>
    </xf>
    <xf numFmtId="38" fontId="44" fillId="38" borderId="55" xfId="45" applyNumberFormat="1" applyFont="1" applyFill="1" applyBorder="1" applyAlignment="1">
      <alignment horizontal="center" vertical="center" shrinkToFit="1"/>
    </xf>
    <xf numFmtId="38" fontId="44" fillId="38" borderId="77" xfId="45" applyNumberFormat="1" applyFont="1" applyFill="1" applyBorder="1" applyAlignment="1">
      <alignment horizontal="center" vertical="center" shrinkToFit="1"/>
    </xf>
    <xf numFmtId="38" fontId="44" fillId="38" borderId="78" xfId="45" applyNumberFormat="1" applyFont="1" applyFill="1" applyBorder="1" applyAlignment="1">
      <alignment horizontal="center" vertical="center" shrinkToFit="1"/>
    </xf>
    <xf numFmtId="38" fontId="44" fillId="38" borderId="79" xfId="45" applyNumberFormat="1" applyFont="1" applyFill="1" applyBorder="1" applyAlignment="1">
      <alignment horizontal="center" vertical="center" shrinkToFit="1"/>
    </xf>
    <xf numFmtId="38" fontId="39" fillId="38" borderId="80" xfId="45" applyNumberFormat="1" applyFont="1" applyFill="1" applyBorder="1" applyAlignment="1">
      <alignment horizontal="center" vertical="center"/>
    </xf>
    <xf numFmtId="38" fontId="39" fillId="38" borderId="81" xfId="45" applyNumberFormat="1" applyFont="1" applyFill="1" applyBorder="1" applyAlignment="1">
      <alignment horizontal="center" vertical="center"/>
    </xf>
    <xf numFmtId="38" fontId="39" fillId="38" borderId="82" xfId="45" applyNumberFormat="1" applyFont="1" applyFill="1" applyBorder="1" applyAlignment="1">
      <alignment horizontal="center" vertical="center"/>
    </xf>
    <xf numFmtId="38" fontId="39" fillId="38" borderId="56" xfId="45" applyNumberFormat="1" applyFont="1" applyFill="1" applyBorder="1" applyAlignment="1">
      <alignment horizontal="center" vertical="center"/>
    </xf>
    <xf numFmtId="38" fontId="28" fillId="38" borderId="80" xfId="45" applyNumberFormat="1" applyFont="1" applyFill="1" applyBorder="1" applyAlignment="1">
      <alignment horizontal="center" vertical="center"/>
    </xf>
    <xf numFmtId="38" fontId="28" fillId="38" borderId="81" xfId="45" applyNumberFormat="1" applyFont="1" applyFill="1" applyBorder="1" applyAlignment="1">
      <alignment horizontal="center" vertical="center"/>
    </xf>
    <xf numFmtId="38" fontId="28" fillId="38" borderId="56" xfId="45" applyNumberFormat="1" applyFont="1" applyFill="1" applyBorder="1" applyAlignment="1">
      <alignment horizontal="center" vertical="center"/>
    </xf>
    <xf numFmtId="38" fontId="28" fillId="38" borderId="83" xfId="45" applyNumberFormat="1" applyFont="1" applyFill="1" applyBorder="1" applyAlignment="1">
      <alignment horizontal="center" vertical="center"/>
    </xf>
    <xf numFmtId="38" fontId="28" fillId="38" borderId="84" xfId="45" applyNumberFormat="1" applyFont="1" applyFill="1" applyBorder="1" applyAlignment="1">
      <alignment horizontal="center" vertical="center"/>
    </xf>
    <xf numFmtId="38" fontId="28" fillId="38" borderId="85" xfId="45" applyNumberFormat="1" applyFont="1" applyFill="1" applyBorder="1" applyAlignment="1">
      <alignment horizontal="center" vertical="center"/>
    </xf>
    <xf numFmtId="38" fontId="28" fillId="38" borderId="80" xfId="45" applyNumberFormat="1" applyFont="1" applyFill="1" applyBorder="1" applyAlignment="1">
      <alignment horizontal="center" vertical="center" shrinkToFit="1"/>
    </xf>
    <xf numFmtId="38" fontId="28" fillId="38" borderId="81" xfId="45" applyNumberFormat="1" applyFont="1" applyFill="1" applyBorder="1" applyAlignment="1">
      <alignment horizontal="center" vertical="center" shrinkToFit="1"/>
    </xf>
    <xf numFmtId="38" fontId="28" fillId="38" borderId="56" xfId="45" applyNumberFormat="1" applyFont="1" applyFill="1" applyBorder="1" applyAlignment="1">
      <alignment horizontal="center" vertical="center" shrinkToFit="1"/>
    </xf>
    <xf numFmtId="38" fontId="28" fillId="38" borderId="83" xfId="45" applyNumberFormat="1" applyFont="1" applyFill="1" applyBorder="1" applyAlignment="1">
      <alignment horizontal="center" vertical="center" shrinkToFit="1"/>
    </xf>
    <xf numFmtId="38" fontId="28" fillId="38" borderId="86" xfId="45" applyNumberFormat="1" applyFont="1" applyFill="1" applyBorder="1" applyAlignment="1">
      <alignment horizontal="center" vertical="center" shrinkToFit="1"/>
    </xf>
    <xf numFmtId="38" fontId="28" fillId="38" borderId="87" xfId="45" applyNumberFormat="1" applyFont="1" applyFill="1" applyBorder="1" applyAlignment="1">
      <alignment horizontal="center" vertical="center" shrinkToFit="1"/>
    </xf>
    <xf numFmtId="38" fontId="28" fillId="38" borderId="88" xfId="45" applyNumberFormat="1" applyFont="1" applyFill="1" applyBorder="1" applyAlignment="1">
      <alignment horizontal="center" vertical="center" shrinkToFit="1"/>
    </xf>
    <xf numFmtId="38" fontId="28" fillId="38" borderId="89" xfId="45" applyNumberFormat="1" applyFont="1" applyFill="1" applyBorder="1" applyAlignment="1">
      <alignment horizontal="center" vertical="center" shrinkToFit="1"/>
    </xf>
    <xf numFmtId="38" fontId="44" fillId="38" borderId="80" xfId="45" applyNumberFormat="1" applyFont="1" applyFill="1" applyBorder="1" applyAlignment="1">
      <alignment horizontal="center" vertical="center" shrinkToFit="1"/>
    </xf>
    <xf numFmtId="38" fontId="44" fillId="38" borderId="81" xfId="45" applyNumberFormat="1" applyFont="1" applyFill="1" applyBorder="1" applyAlignment="1">
      <alignment horizontal="center" vertical="center" shrinkToFit="1"/>
    </xf>
    <xf numFmtId="38" fontId="44" fillId="38" borderId="56" xfId="45" applyNumberFormat="1" applyFont="1" applyFill="1" applyBorder="1" applyAlignment="1">
      <alignment horizontal="center" vertical="center" shrinkToFit="1"/>
    </xf>
    <xf numFmtId="0" fontId="28" fillId="0" borderId="90" xfId="34" applyFont="1" applyBorder="1" applyAlignment="1">
      <alignment horizontal="center" vertical="center"/>
    </xf>
    <xf numFmtId="38" fontId="28" fillId="0" borderId="91" xfId="34" applyNumberFormat="1" applyFont="1" applyBorder="1" applyAlignment="1">
      <alignment horizontal="center" vertical="center"/>
    </xf>
    <xf numFmtId="38" fontId="28" fillId="0" borderId="57" xfId="34" applyNumberFormat="1" applyFont="1" applyBorder="1" applyAlignment="1">
      <alignment horizontal="center" vertical="center"/>
    </xf>
    <xf numFmtId="0" fontId="28" fillId="0" borderId="92" xfId="34" applyFont="1" applyBorder="1" applyAlignment="1">
      <alignment horizontal="center" vertical="center"/>
    </xf>
    <xf numFmtId="38" fontId="28" fillId="0" borderId="93" xfId="34" applyNumberFormat="1" applyFont="1" applyBorder="1" applyAlignment="1">
      <alignment horizontal="center" vertical="center"/>
    </xf>
    <xf numFmtId="0" fontId="28" fillId="0" borderId="94" xfId="34" applyFont="1" applyBorder="1" applyAlignment="1">
      <alignment horizontal="center" vertical="center"/>
    </xf>
    <xf numFmtId="38" fontId="28" fillId="0" borderId="95" xfId="34" applyNumberFormat="1" applyFont="1" applyBorder="1" applyAlignment="1">
      <alignment horizontal="center" vertical="center"/>
    </xf>
    <xf numFmtId="38" fontId="28" fillId="0" borderId="58" xfId="34" applyNumberFormat="1" applyFont="1" applyBorder="1" applyAlignment="1">
      <alignment horizontal="center" vertical="center"/>
    </xf>
    <xf numFmtId="38" fontId="28" fillId="0" borderId="96" xfId="34" applyNumberFormat="1" applyFont="1" applyBorder="1" applyAlignment="1">
      <alignment horizontal="center" vertical="center"/>
    </xf>
    <xf numFmtId="38" fontId="28" fillId="0" borderId="94" xfId="45" applyNumberFormat="1" applyFont="1" applyBorder="1" applyAlignment="1">
      <alignment horizontal="center" vertical="center"/>
    </xf>
    <xf numFmtId="38" fontId="28" fillId="0" borderId="95" xfId="45" applyNumberFormat="1" applyFont="1" applyBorder="1" applyAlignment="1">
      <alignment horizontal="center" vertical="center"/>
    </xf>
    <xf numFmtId="38" fontId="28" fillId="0" borderId="58" xfId="45" applyNumberFormat="1" applyFont="1" applyBorder="1" applyAlignment="1">
      <alignment horizontal="center" vertical="center"/>
    </xf>
    <xf numFmtId="0" fontId="28" fillId="0" borderId="97" xfId="34" applyFont="1" applyBorder="1" applyAlignment="1">
      <alignment horizontal="center" vertical="center"/>
    </xf>
    <xf numFmtId="38" fontId="28" fillId="0" borderId="94" xfId="34" applyNumberFormat="1" applyFont="1" applyBorder="1" applyAlignment="1">
      <alignment horizontal="center" vertical="center"/>
    </xf>
    <xf numFmtId="0" fontId="29" fillId="0" borderId="98" xfId="34" applyFont="1" applyBorder="1" applyAlignment="1">
      <alignment horizontal="center" vertical="center"/>
    </xf>
    <xf numFmtId="176" fontId="29" fillId="0" borderId="99" xfId="34" applyNumberFormat="1" applyFont="1" applyBorder="1" applyAlignment="1">
      <alignment horizontal="center" vertical="center"/>
    </xf>
    <xf numFmtId="179" fontId="29" fillId="0" borderId="100" xfId="34" applyNumberFormat="1" applyFont="1" applyBorder="1" applyAlignment="1">
      <alignment horizontal="center" vertical="center"/>
    </xf>
    <xf numFmtId="0" fontId="29" fillId="0" borderId="101" xfId="34" applyFont="1" applyBorder="1" applyAlignment="1">
      <alignment horizontal="center" vertical="center"/>
    </xf>
    <xf numFmtId="179" fontId="29" fillId="0" borderId="102" xfId="34" applyNumberFormat="1" applyFont="1" applyBorder="1" applyAlignment="1">
      <alignment horizontal="center" vertical="center"/>
    </xf>
    <xf numFmtId="179" fontId="29" fillId="0" borderId="103" xfId="34" applyNumberFormat="1" applyFont="1" applyBorder="1" applyAlignment="1">
      <alignment horizontal="center" vertical="center"/>
    </xf>
    <xf numFmtId="0" fontId="29" fillId="0" borderId="104" xfId="34" applyFont="1" applyBorder="1" applyAlignment="1">
      <alignment horizontal="center" vertical="center"/>
    </xf>
    <xf numFmtId="176" fontId="29" fillId="0" borderId="105" xfId="34" applyNumberFormat="1" applyFont="1" applyBorder="1" applyAlignment="1">
      <alignment horizontal="center" vertical="center"/>
    </xf>
    <xf numFmtId="179" fontId="29" fillId="0" borderId="106" xfId="34" applyNumberFormat="1" applyFont="1" applyBorder="1" applyAlignment="1">
      <alignment horizontal="center" vertical="center"/>
    </xf>
    <xf numFmtId="0" fontId="29" fillId="0" borderId="107" xfId="34" applyFont="1" applyBorder="1" applyAlignment="1">
      <alignment horizontal="center" vertical="center"/>
    </xf>
    <xf numFmtId="179" fontId="29" fillId="0" borderId="108" xfId="34" applyNumberFormat="1" applyFont="1" applyBorder="1" applyAlignment="1">
      <alignment horizontal="center" vertical="center"/>
    </xf>
    <xf numFmtId="179" fontId="29" fillId="0" borderId="109" xfId="34" applyNumberFormat="1" applyFont="1" applyBorder="1" applyAlignment="1">
      <alignment horizontal="center" vertical="center"/>
    </xf>
    <xf numFmtId="176" fontId="45" fillId="0" borderId="105" xfId="34" applyNumberFormat="1" applyFont="1" applyBorder="1" applyAlignment="1">
      <alignment horizontal="center" vertical="center"/>
    </xf>
    <xf numFmtId="0" fontId="29" fillId="0" borderId="110" xfId="34" applyFont="1" applyBorder="1" applyAlignment="1">
      <alignment horizontal="center" vertical="center"/>
    </xf>
    <xf numFmtId="176" fontId="29" fillId="0" borderId="111" xfId="34" applyNumberFormat="1" applyFont="1" applyBorder="1" applyAlignment="1">
      <alignment horizontal="center" vertical="center"/>
    </xf>
    <xf numFmtId="179" fontId="29" fillId="0" borderId="112" xfId="34" applyNumberFormat="1" applyFont="1" applyBorder="1" applyAlignment="1">
      <alignment horizontal="center" vertical="center"/>
    </xf>
    <xf numFmtId="0" fontId="29" fillId="0" borderId="113" xfId="34" applyFont="1" applyBorder="1" applyAlignment="1">
      <alignment horizontal="center" vertical="center"/>
    </xf>
    <xf numFmtId="179" fontId="29" fillId="0" borderId="114" xfId="34" applyNumberFormat="1" applyFont="1" applyBorder="1" applyAlignment="1">
      <alignment horizontal="center" vertical="center"/>
    </xf>
    <xf numFmtId="179" fontId="29" fillId="0" borderId="115" xfId="34" applyNumberFormat="1" applyFont="1" applyBorder="1" applyAlignment="1">
      <alignment horizontal="center" vertical="center"/>
    </xf>
    <xf numFmtId="0" fontId="46" fillId="38" borderId="116" xfId="0" applyFont="1" applyFill="1" applyBorder="1" applyAlignment="1">
      <alignment horizontal="center" vertical="center" wrapText="1"/>
    </xf>
    <xf numFmtId="0" fontId="46" fillId="38" borderId="117" xfId="0" applyFont="1" applyFill="1" applyBorder="1" applyAlignment="1">
      <alignment horizontal="center" vertical="center" wrapText="1"/>
    </xf>
    <xf numFmtId="0" fontId="46" fillId="38" borderId="118" xfId="0" applyFont="1" applyFill="1" applyBorder="1" applyAlignment="1">
      <alignment horizontal="center" vertical="center" wrapText="1"/>
    </xf>
    <xf numFmtId="0" fontId="46" fillId="38" borderId="119" xfId="0" applyFont="1" applyFill="1" applyBorder="1" applyAlignment="1">
      <alignment horizontal="center" vertical="center" wrapText="1"/>
    </xf>
    <xf numFmtId="0" fontId="46" fillId="38" borderId="120" xfId="0" applyFont="1" applyFill="1" applyBorder="1" applyAlignment="1">
      <alignment horizontal="center" vertical="center" wrapText="1"/>
    </xf>
    <xf numFmtId="0" fontId="46" fillId="38" borderId="121" xfId="0" applyFont="1" applyFill="1" applyBorder="1" applyAlignment="1">
      <alignment horizontal="center" vertical="center" wrapText="1"/>
    </xf>
    <xf numFmtId="0" fontId="46" fillId="38" borderId="122" xfId="0" applyFont="1" applyFill="1" applyBorder="1" applyAlignment="1">
      <alignment horizontal="center" vertical="center" wrapText="1"/>
    </xf>
    <xf numFmtId="0" fontId="46" fillId="38" borderId="123" xfId="0" applyFont="1" applyFill="1" applyBorder="1" applyAlignment="1">
      <alignment horizontal="center" vertical="center"/>
    </xf>
    <xf numFmtId="0" fontId="46" fillId="38" borderId="124" xfId="0" applyFont="1" applyFill="1" applyBorder="1" applyAlignment="1">
      <alignment horizontal="center" vertical="center" wrapText="1"/>
    </xf>
    <xf numFmtId="0" fontId="46" fillId="38" borderId="125" xfId="0" applyFont="1" applyFill="1" applyBorder="1" applyAlignment="1">
      <alignment horizontal="center" vertical="center" wrapText="1"/>
    </xf>
    <xf numFmtId="0" fontId="46" fillId="38" borderId="124" xfId="0" applyFont="1" applyFill="1" applyBorder="1" applyAlignment="1">
      <alignment horizontal="center" vertical="center"/>
    </xf>
    <xf numFmtId="0" fontId="46" fillId="38" borderId="126" xfId="0" applyFont="1" applyFill="1" applyBorder="1" applyAlignment="1">
      <alignment horizontal="center" vertical="center"/>
    </xf>
    <xf numFmtId="0" fontId="46" fillId="38" borderId="127" xfId="0" applyFont="1" applyFill="1" applyBorder="1" applyAlignment="1">
      <alignment horizontal="center" vertical="center" wrapText="1"/>
    </xf>
    <xf numFmtId="0" fontId="46" fillId="38" borderId="128" xfId="0" applyFont="1" applyFill="1" applyBorder="1" applyAlignment="1">
      <alignment horizontal="center" vertical="center" wrapText="1"/>
    </xf>
    <xf numFmtId="0" fontId="46" fillId="38" borderId="129" xfId="0" applyFont="1" applyFill="1" applyBorder="1" applyAlignment="1">
      <alignment horizontal="center" vertical="center"/>
    </xf>
    <xf numFmtId="0" fontId="46" fillId="38" borderId="130" xfId="0" applyFont="1" applyFill="1" applyBorder="1" applyAlignment="1">
      <alignment horizontal="center" vertical="center" wrapText="1"/>
    </xf>
    <xf numFmtId="0" fontId="46" fillId="38" borderId="131" xfId="0" applyFont="1" applyFill="1" applyBorder="1" applyAlignment="1">
      <alignment horizontal="center" vertical="center" wrapText="1"/>
    </xf>
    <xf numFmtId="0" fontId="46" fillId="38" borderId="130" xfId="0" applyFont="1" applyFill="1" applyBorder="1" applyAlignment="1">
      <alignment horizontal="center" vertical="center"/>
    </xf>
    <xf numFmtId="0" fontId="46" fillId="38" borderId="132" xfId="0" applyFont="1" applyFill="1" applyBorder="1" applyAlignment="1">
      <alignment horizontal="center" vertical="center"/>
    </xf>
    <xf numFmtId="0" fontId="46" fillId="38" borderId="133" xfId="0" applyFont="1" applyFill="1" applyBorder="1" applyAlignment="1">
      <alignment horizontal="center" vertical="center" wrapText="1"/>
    </xf>
    <xf numFmtId="0" fontId="46" fillId="38" borderId="134" xfId="0" applyFont="1" applyFill="1" applyBorder="1" applyAlignment="1">
      <alignment horizontal="center" vertical="center" wrapText="1"/>
    </xf>
    <xf numFmtId="2" fontId="29" fillId="0" borderId="100" xfId="34" applyNumberFormat="1" applyFont="1" applyBorder="1" applyAlignment="1">
      <alignment horizontal="center" vertical="center"/>
    </xf>
    <xf numFmtId="2" fontId="29" fillId="0" borderId="106" xfId="34" applyNumberFormat="1" applyFont="1" applyBorder="1" applyAlignment="1">
      <alignment horizontal="center" vertical="center"/>
    </xf>
    <xf numFmtId="2" fontId="29" fillId="0" borderId="112" xfId="34" applyNumberFormat="1" applyFont="1" applyBorder="1" applyAlignment="1">
      <alignment horizontal="center" vertical="center"/>
    </xf>
    <xf numFmtId="176" fontId="29" fillId="0" borderId="124" xfId="34" applyNumberFormat="1" applyFont="1" applyBorder="1" applyAlignment="1">
      <alignment horizontal="center" vertical="center"/>
    </xf>
    <xf numFmtId="179" fontId="29" fillId="0" borderId="125" xfId="34" applyNumberFormat="1" applyFont="1" applyBorder="1" applyAlignment="1">
      <alignment horizontal="center" vertical="center"/>
    </xf>
    <xf numFmtId="0" fontId="29" fillId="0" borderId="123" xfId="34" applyFont="1" applyBorder="1" applyAlignment="1">
      <alignment horizontal="center" vertical="center"/>
    </xf>
    <xf numFmtId="179" fontId="29" fillId="0" borderId="127" xfId="34" applyNumberFormat="1" applyFont="1" applyBorder="1" applyAlignment="1">
      <alignment horizontal="center" vertical="center"/>
    </xf>
    <xf numFmtId="179" fontId="29" fillId="0" borderId="128" xfId="34" applyNumberFormat="1" applyFont="1" applyBorder="1" applyAlignment="1">
      <alignment horizontal="center" vertical="center"/>
    </xf>
    <xf numFmtId="0" fontId="46" fillId="38" borderId="135" xfId="0" applyFont="1" applyFill="1" applyBorder="1" applyAlignment="1">
      <alignment horizontal="center" vertical="center" wrapText="1"/>
    </xf>
    <xf numFmtId="0" fontId="46" fillId="38" borderId="136" xfId="0" applyFont="1" applyFill="1" applyBorder="1" applyAlignment="1">
      <alignment horizontal="center" vertical="center" wrapText="1"/>
    </xf>
    <xf numFmtId="0" fontId="46" fillId="38" borderId="137" xfId="0" applyFont="1" applyFill="1" applyBorder="1" applyAlignment="1">
      <alignment horizontal="center" vertical="center" wrapText="1"/>
    </xf>
    <xf numFmtId="0" fontId="46" fillId="0" borderId="138" xfId="0" applyFont="1" applyBorder="1" applyAlignment="1">
      <alignment horizontal="center" vertical="center" wrapText="1"/>
    </xf>
    <xf numFmtId="0" fontId="46" fillId="0" borderId="139" xfId="0" applyFont="1" applyBorder="1" applyAlignment="1">
      <alignment horizontal="center" vertical="center" wrapText="1"/>
    </xf>
    <xf numFmtId="0" fontId="46" fillId="0" borderId="140" xfId="0" applyFont="1" applyBorder="1" applyAlignment="1">
      <alignment horizontal="center" vertical="center" wrapText="1"/>
    </xf>
    <xf numFmtId="0" fontId="46" fillId="0" borderId="141" xfId="0" applyFont="1" applyBorder="1" applyAlignment="1">
      <alignment horizontal="center" vertical="center" wrapText="1"/>
    </xf>
    <xf numFmtId="0" fontId="29" fillId="0" borderId="142" xfId="34" applyFont="1" applyBorder="1" applyAlignment="1">
      <alignment horizontal="center" vertical="center"/>
    </xf>
    <xf numFmtId="176" fontId="29" fillId="0" borderId="143" xfId="34" applyNumberFormat="1" applyFont="1" applyBorder="1" applyAlignment="1">
      <alignment horizontal="center" vertical="center"/>
    </xf>
    <xf numFmtId="179" fontId="29" fillId="0" borderId="144" xfId="34" applyNumberFormat="1" applyFont="1" applyBorder="1" applyAlignment="1">
      <alignment horizontal="center" vertical="center"/>
    </xf>
    <xf numFmtId="0" fontId="46" fillId="0" borderId="145" xfId="0" applyFont="1" applyBorder="1" applyAlignment="1">
      <alignment horizontal="center" vertical="center" wrapText="1"/>
    </xf>
    <xf numFmtId="0" fontId="46" fillId="0" borderId="146" xfId="0" applyFont="1" applyBorder="1" applyAlignment="1">
      <alignment horizontal="center" vertical="center" wrapText="1"/>
    </xf>
    <xf numFmtId="0" fontId="29" fillId="0" borderId="99" xfId="34" applyFont="1" applyBorder="1" applyAlignment="1">
      <alignment horizontal="center" vertical="center"/>
    </xf>
    <xf numFmtId="0" fontId="29" fillId="0" borderId="105" xfId="34" applyFont="1" applyBorder="1" applyAlignment="1">
      <alignment horizontal="center" vertical="center"/>
    </xf>
    <xf numFmtId="0" fontId="29" fillId="0" borderId="111" xfId="34" applyFont="1" applyBorder="1" applyAlignment="1">
      <alignment horizontal="center" vertical="center"/>
    </xf>
    <xf numFmtId="0" fontId="47" fillId="38" borderId="147" xfId="0" applyFont="1" applyFill="1" applyBorder="1" applyAlignment="1">
      <alignment horizontal="center" vertical="center" wrapText="1"/>
    </xf>
    <xf numFmtId="0" fontId="48" fillId="38" borderId="117" xfId="0" applyFont="1" applyFill="1" applyBorder="1" applyAlignment="1">
      <alignment horizontal="center" vertical="center" wrapText="1"/>
    </xf>
    <xf numFmtId="0" fontId="48" fillId="38" borderId="118" xfId="0" applyFont="1" applyFill="1" applyBorder="1" applyAlignment="1">
      <alignment horizontal="center" vertical="center" wrapText="1"/>
    </xf>
    <xf numFmtId="0" fontId="47" fillId="38" borderId="119" xfId="0" applyFont="1" applyFill="1" applyBorder="1" applyAlignment="1">
      <alignment horizontal="center" vertical="center" wrapText="1"/>
    </xf>
    <xf numFmtId="0" fontId="48" fillId="38" borderId="122" xfId="0" applyFont="1" applyFill="1" applyBorder="1" applyAlignment="1">
      <alignment horizontal="center" vertical="center" wrapText="1"/>
    </xf>
    <xf numFmtId="0" fontId="46" fillId="38" borderId="124" xfId="0" applyFont="1" applyFill="1" applyBorder="1" applyAlignment="1">
      <alignment horizontal="center" vertical="center" wrapText="1"/>
    </xf>
    <xf numFmtId="0" fontId="46" fillId="38" borderId="126" xfId="0" applyFont="1" applyFill="1" applyBorder="1" applyAlignment="1">
      <alignment horizontal="center" vertical="center" wrapText="1"/>
    </xf>
    <xf numFmtId="0" fontId="46" fillId="38" borderId="148" xfId="0" applyFont="1" applyFill="1" applyBorder="1" applyAlignment="1">
      <alignment horizontal="center" vertical="center" wrapText="1"/>
    </xf>
    <xf numFmtId="0" fontId="46" fillId="38" borderId="149" xfId="0" applyFont="1" applyFill="1" applyBorder="1" applyAlignment="1">
      <alignment horizontal="center" vertical="center" wrapText="1"/>
    </xf>
    <xf numFmtId="2" fontId="29" fillId="0" borderId="103" xfId="34" applyNumberFormat="1" applyFont="1" applyBorder="1" applyAlignment="1">
      <alignment horizontal="center" vertical="center"/>
    </xf>
    <xf numFmtId="2" fontId="29" fillId="0" borderId="109" xfId="34" applyNumberFormat="1" applyFont="1" applyBorder="1" applyAlignment="1">
      <alignment horizontal="center" vertical="center"/>
    </xf>
    <xf numFmtId="0" fontId="29" fillId="0" borderId="143" xfId="34" applyFont="1" applyBorder="1" applyAlignment="1">
      <alignment horizontal="center" vertical="center"/>
    </xf>
    <xf numFmtId="2" fontId="29" fillId="0" borderId="150" xfId="34" applyNumberFormat="1" applyFont="1" applyBorder="1" applyAlignment="1">
      <alignment horizontal="center" vertical="center"/>
    </xf>
    <xf numFmtId="0" fontId="29" fillId="0" borderId="151" xfId="34" applyFont="1" applyBorder="1" applyAlignment="1">
      <alignment horizontal="center" vertical="center"/>
    </xf>
    <xf numFmtId="179" fontId="29" fillId="0" borderId="150" xfId="34" applyNumberFormat="1" applyFont="1" applyBorder="1" applyAlignment="1">
      <alignment horizontal="center" vertical="center"/>
    </xf>
    <xf numFmtId="2" fontId="29" fillId="0" borderId="152" xfId="34" applyNumberFormat="1" applyFont="1" applyBorder="1" applyAlignment="1">
      <alignment horizontal="center" vertical="center"/>
    </xf>
    <xf numFmtId="0" fontId="29" fillId="0" borderId="48" xfId="34" applyFont="1" applyBorder="1" applyAlignment="1">
      <alignment horizontal="center" vertical="center"/>
    </xf>
    <xf numFmtId="176" fontId="29" fillId="0" borderId="8" xfId="34" applyNumberFormat="1" applyFont="1" applyBorder="1" applyAlignment="1">
      <alignment horizontal="center" vertical="center"/>
    </xf>
    <xf numFmtId="179" fontId="29" fillId="0" borderId="153" xfId="34" applyNumberFormat="1" applyFont="1" applyBorder="1" applyAlignment="1">
      <alignment horizontal="center" vertical="center"/>
    </xf>
    <xf numFmtId="0" fontId="29" fillId="0" borderId="154" xfId="34" applyFont="1" applyBorder="1" applyAlignment="1">
      <alignment horizontal="center" vertical="center"/>
    </xf>
    <xf numFmtId="179" fontId="29" fillId="0" borderId="54" xfId="34" applyNumberFormat="1" applyFont="1" applyBorder="1" applyAlignment="1">
      <alignment horizontal="center" vertical="center"/>
    </xf>
    <xf numFmtId="0" fontId="29" fillId="0" borderId="155" xfId="34" applyFont="1" applyBorder="1" applyAlignment="1">
      <alignment horizontal="center" vertical="center"/>
    </xf>
    <xf numFmtId="176" fontId="29" fillId="0" borderId="6" xfId="34" applyNumberFormat="1" applyFont="1" applyBorder="1" applyAlignment="1">
      <alignment horizontal="center" vertical="center"/>
    </xf>
    <xf numFmtId="179" fontId="29" fillId="0" borderId="156" xfId="34" applyNumberFormat="1" applyFont="1" applyBorder="1" applyAlignment="1">
      <alignment horizontal="center" vertical="center"/>
    </xf>
    <xf numFmtId="0" fontId="29" fillId="0" borderId="157" xfId="34" applyFont="1" applyBorder="1" applyAlignment="1">
      <alignment horizontal="center" vertical="center"/>
    </xf>
    <xf numFmtId="179" fontId="29" fillId="0" borderId="24" xfId="34" applyNumberFormat="1" applyFont="1" applyBorder="1" applyAlignment="1">
      <alignment horizontal="center" vertical="center"/>
    </xf>
    <xf numFmtId="0" fontId="29" fillId="0" borderId="126" xfId="34" applyFont="1" applyBorder="1" applyAlignment="1">
      <alignment horizontal="center" vertical="center"/>
    </xf>
    <xf numFmtId="0" fontId="46" fillId="38" borderId="158" xfId="0" applyFont="1" applyFill="1" applyBorder="1" applyAlignment="1">
      <alignment horizontal="center" vertical="center" wrapText="1"/>
    </xf>
    <xf numFmtId="0" fontId="46" fillId="38" borderId="159" xfId="0" applyFont="1" applyFill="1" applyBorder="1" applyAlignment="1">
      <alignment horizontal="center" vertical="center" wrapText="1"/>
    </xf>
    <xf numFmtId="0" fontId="46" fillId="38" borderId="160" xfId="0" applyFont="1" applyFill="1" applyBorder="1" applyAlignment="1">
      <alignment horizontal="center" vertical="center" wrapText="1"/>
    </xf>
    <xf numFmtId="0" fontId="46" fillId="38" borderId="161" xfId="0" applyFont="1" applyFill="1" applyBorder="1" applyAlignment="1">
      <alignment horizontal="center" vertical="center" wrapText="1"/>
    </xf>
    <xf numFmtId="0" fontId="46" fillId="38" borderId="105" xfId="0" applyFont="1" applyFill="1" applyBorder="1" applyAlignment="1">
      <alignment horizontal="center" vertical="center" wrapText="1"/>
    </xf>
    <xf numFmtId="0" fontId="46" fillId="38" borderId="106" xfId="0" applyFont="1" applyFill="1" applyBorder="1" applyAlignment="1">
      <alignment horizontal="center" vertical="center" wrapText="1"/>
    </xf>
    <xf numFmtId="0" fontId="46" fillId="38" borderId="148" xfId="0" applyFont="1" applyFill="1" applyBorder="1" applyAlignment="1">
      <alignment horizontal="center" vertical="center"/>
    </xf>
    <xf numFmtId="0" fontId="46" fillId="38" borderId="162" xfId="0" applyFont="1" applyFill="1" applyBorder="1" applyAlignment="1">
      <alignment horizontal="center" vertical="center" wrapText="1"/>
    </xf>
    <xf numFmtId="0" fontId="46" fillId="38" borderId="163" xfId="0" applyFont="1" applyFill="1" applyBorder="1" applyAlignment="1">
      <alignment horizontal="center" vertical="center" wrapText="1"/>
    </xf>
    <xf numFmtId="179" fontId="29" fillId="0" borderId="164" xfId="34" applyNumberFormat="1" applyFont="1" applyBorder="1" applyAlignment="1">
      <alignment horizontal="center" vertical="center"/>
    </xf>
    <xf numFmtId="179" fontId="29" fillId="0" borderId="165" xfId="34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center" vertical="center"/>
    </xf>
    <xf numFmtId="0" fontId="33" fillId="0" borderId="166" xfId="0" applyFont="1" applyBorder="1" applyAlignment="1">
      <alignment horizontal="center" vertical="center"/>
    </xf>
    <xf numFmtId="177" fontId="33" fillId="0" borderId="8" xfId="0" applyNumberFormat="1" applyFont="1" applyBorder="1" applyAlignment="1">
      <alignment horizontal="center" vertical="center"/>
    </xf>
    <xf numFmtId="177" fontId="33" fillId="0" borderId="166" xfId="0" applyNumberFormat="1" applyFont="1" applyBorder="1" applyAlignment="1">
      <alignment horizontal="center" vertical="center"/>
    </xf>
    <xf numFmtId="176" fontId="35" fillId="0" borderId="8" xfId="1" applyNumberFormat="1" applyFont="1" applyBorder="1" applyAlignment="1">
      <alignment horizontal="center" vertical="center"/>
    </xf>
    <xf numFmtId="176" fontId="35" fillId="0" borderId="166" xfId="1" applyNumberFormat="1" applyFont="1" applyBorder="1" applyAlignment="1">
      <alignment horizontal="center" vertical="center"/>
    </xf>
    <xf numFmtId="10" fontId="35" fillId="0" borderId="166" xfId="50" applyNumberFormat="1" applyFont="1" applyBorder="1" applyAlignment="1">
      <alignment horizontal="center" vertical="center"/>
    </xf>
    <xf numFmtId="10" fontId="35" fillId="0" borderId="8" xfId="50" applyNumberFormat="1" applyFont="1" applyBorder="1" applyAlignment="1">
      <alignment horizontal="center" vertical="center"/>
    </xf>
    <xf numFmtId="176" fontId="33" fillId="0" borderId="166" xfId="0" applyNumberFormat="1" applyFont="1" applyBorder="1" applyAlignment="1">
      <alignment horizontal="center" vertical="center"/>
    </xf>
    <xf numFmtId="176" fontId="33" fillId="0" borderId="8" xfId="0" applyNumberFormat="1" applyFont="1" applyBorder="1" applyAlignment="1">
      <alignment horizontal="center" vertical="center"/>
    </xf>
    <xf numFmtId="10" fontId="35" fillId="0" borderId="167" xfId="50" applyNumberFormat="1" applyFont="1" applyBorder="1" applyAlignment="1">
      <alignment horizontal="center" vertical="center"/>
    </xf>
    <xf numFmtId="10" fontId="35" fillId="0" borderId="54" xfId="50" applyNumberFormat="1" applyFont="1" applyBorder="1" applyAlignment="1">
      <alignment horizontal="center" vertical="center"/>
    </xf>
    <xf numFmtId="0" fontId="33" fillId="5" borderId="8" xfId="0" applyFont="1" applyFill="1" applyBorder="1" applyAlignment="1">
      <alignment horizontal="center" vertical="center"/>
    </xf>
    <xf numFmtId="0" fontId="33" fillId="5" borderId="166" xfId="0" applyFont="1" applyFill="1" applyBorder="1" applyAlignment="1">
      <alignment horizontal="center" vertical="center"/>
    </xf>
    <xf numFmtId="0" fontId="33" fillId="39" borderId="9" xfId="0" applyFont="1" applyFill="1" applyBorder="1" applyAlignment="1">
      <alignment horizontal="center" vertical="center"/>
    </xf>
    <xf numFmtId="0" fontId="33" fillId="39" borderId="166" xfId="0" applyFont="1" applyFill="1" applyBorder="1" applyAlignment="1">
      <alignment horizontal="center" vertical="center"/>
    </xf>
    <xf numFmtId="177" fontId="33" fillId="39" borderId="166" xfId="0" applyNumberFormat="1" applyFont="1" applyFill="1" applyBorder="1" applyAlignment="1">
      <alignment horizontal="center" vertical="center"/>
    </xf>
    <xf numFmtId="176" fontId="35" fillId="39" borderId="166" xfId="1" applyNumberFormat="1" applyFont="1" applyFill="1" applyBorder="1" applyAlignment="1">
      <alignment horizontal="center" vertical="center"/>
    </xf>
    <xf numFmtId="10" fontId="35" fillId="39" borderId="166" xfId="50" applyNumberFormat="1" applyFont="1" applyFill="1" applyBorder="1" applyAlignment="1">
      <alignment horizontal="center" vertical="center"/>
    </xf>
    <xf numFmtId="176" fontId="33" fillId="39" borderId="166" xfId="0" applyNumberFormat="1" applyFont="1" applyFill="1" applyBorder="1" applyAlignment="1">
      <alignment horizontal="center" vertical="center"/>
    </xf>
    <xf numFmtId="10" fontId="35" fillId="39" borderId="167" xfId="50" applyNumberFormat="1" applyFont="1" applyFill="1" applyBorder="1" applyAlignment="1">
      <alignment horizontal="center" vertical="center"/>
    </xf>
    <xf numFmtId="0" fontId="33" fillId="39" borderId="8" xfId="0" applyFont="1" applyFill="1" applyBorder="1" applyAlignment="1">
      <alignment horizontal="center" vertical="center"/>
    </xf>
    <xf numFmtId="177" fontId="33" fillId="39" borderId="8" xfId="0" applyNumberFormat="1" applyFont="1" applyFill="1" applyBorder="1" applyAlignment="1">
      <alignment horizontal="center" vertical="center"/>
    </xf>
    <xf numFmtId="176" fontId="35" fillId="39" borderId="8" xfId="1" applyNumberFormat="1" applyFont="1" applyFill="1" applyBorder="1" applyAlignment="1">
      <alignment horizontal="center" vertical="center"/>
    </xf>
    <xf numFmtId="10" fontId="35" fillId="39" borderId="8" xfId="50" applyNumberFormat="1" applyFont="1" applyFill="1" applyBorder="1" applyAlignment="1">
      <alignment horizontal="center" vertical="center"/>
    </xf>
    <xf numFmtId="176" fontId="33" fillId="39" borderId="8" xfId="0" applyNumberFormat="1" applyFont="1" applyFill="1" applyBorder="1" applyAlignment="1">
      <alignment horizontal="center" vertical="center"/>
    </xf>
    <xf numFmtId="10" fontId="35" fillId="39" borderId="54" xfId="50" applyNumberFormat="1" applyFont="1" applyFill="1" applyBorder="1" applyAlignment="1">
      <alignment horizontal="center" vertical="center"/>
    </xf>
    <xf numFmtId="0" fontId="33" fillId="39" borderId="8" xfId="0" applyFont="1" applyFill="1" applyBorder="1" applyAlignment="1">
      <alignment horizontal="center" vertical="center"/>
    </xf>
    <xf numFmtId="177" fontId="33" fillId="39" borderId="8" xfId="0" applyNumberFormat="1" applyFont="1" applyFill="1" applyBorder="1" applyAlignment="1">
      <alignment horizontal="center" vertical="center"/>
    </xf>
    <xf numFmtId="176" fontId="35" fillId="39" borderId="8" xfId="1" applyNumberFormat="1" applyFont="1" applyFill="1" applyBorder="1" applyAlignment="1">
      <alignment horizontal="center" vertical="center"/>
    </xf>
    <xf numFmtId="10" fontId="35" fillId="39" borderId="7" xfId="50" applyNumberFormat="1" applyFont="1" applyFill="1" applyBorder="1" applyAlignment="1">
      <alignment horizontal="center" vertical="center"/>
    </xf>
    <xf numFmtId="176" fontId="33" fillId="39" borderId="6" xfId="0" applyNumberFormat="1" applyFont="1" applyFill="1" applyBorder="1" applyAlignment="1">
      <alignment horizontal="center" vertical="center"/>
    </xf>
    <xf numFmtId="10" fontId="35" fillId="39" borderId="5" xfId="50" applyNumberFormat="1" applyFont="1" applyFill="1" applyBorder="1" applyAlignment="1">
      <alignment horizontal="center" vertical="center"/>
    </xf>
  </cellXfs>
  <cellStyles count="51">
    <cellStyle name="20% - 강조색1" xfId="17" builtinId="30" customBuiltin="1"/>
    <cellStyle name="20% - 강조색2" xfId="20" builtinId="34" customBuiltin="1"/>
    <cellStyle name="20% - 강조색3" xfId="23" builtinId="38" customBuiltin="1"/>
    <cellStyle name="20% - 강조색4" xfId="26" builtinId="42" customBuiltin="1"/>
    <cellStyle name="20% - 강조색5" xfId="29" builtinId="46" customBuiltin="1"/>
    <cellStyle name="20% - 강조색6" xfId="32" builtinId="50" customBuiltin="1"/>
    <cellStyle name="40% - 강조색1" xfId="18" builtinId="31" customBuiltin="1"/>
    <cellStyle name="40% - 강조색2" xfId="21" builtinId="35" customBuiltin="1"/>
    <cellStyle name="40% - 강조색3" xfId="24" builtinId="39" customBuiltin="1"/>
    <cellStyle name="40% - 강조색4" xfId="27" builtinId="43" customBuiltin="1"/>
    <cellStyle name="40% - 강조색5" xfId="30" builtinId="47" customBuiltin="1"/>
    <cellStyle name="40% - 강조색6" xfId="33" builtinId="51" customBuiltin="1"/>
    <cellStyle name="60% - 강조색1 2" xfId="37" xr:uid="{00000000-0005-0000-0000-000032000000}"/>
    <cellStyle name="60% - 강조색2 2" xfId="38" xr:uid="{00000000-0005-0000-0000-000033000000}"/>
    <cellStyle name="60% - 강조색3 2" xfId="39" xr:uid="{00000000-0005-0000-0000-000034000000}"/>
    <cellStyle name="60% - 강조색4 2" xfId="40" xr:uid="{00000000-0005-0000-0000-000035000000}"/>
    <cellStyle name="60% - 강조색5 2" xfId="41" xr:uid="{00000000-0005-0000-0000-000036000000}"/>
    <cellStyle name="60% - 강조색6 2" xfId="42" xr:uid="{00000000-0005-0000-0000-000037000000}"/>
    <cellStyle name="강조색1" xfId="16" builtinId="29" customBuiltin="1"/>
    <cellStyle name="강조색2" xfId="19" builtinId="33" customBuiltin="1"/>
    <cellStyle name="강조색3" xfId="22" builtinId="37" customBuiltin="1"/>
    <cellStyle name="강조색4" xfId="25" builtinId="41" customBuiltin="1"/>
    <cellStyle name="강조색5" xfId="28" builtinId="45" customBuiltin="1"/>
    <cellStyle name="강조색6" xfId="31" builtinId="49" customBuiltin="1"/>
    <cellStyle name="경고문" xfId="13" builtinId="11" customBuiltin="1"/>
    <cellStyle name="계산" xfId="10" builtinId="22" customBuiltin="1"/>
    <cellStyle name="나쁨" xfId="7" builtinId="27" customBuiltin="1"/>
    <cellStyle name="메모 2" xfId="44" xr:uid="{00000000-0005-0000-0000-00001B000000}"/>
    <cellStyle name="백분율" xfId="50" builtinId="5"/>
    <cellStyle name="보통 2" xfId="36" xr:uid="{00000000-0005-0000-0000-000039000000}"/>
    <cellStyle name="설명 텍스트" xfId="14" builtinId="53" customBuiltin="1"/>
    <cellStyle name="셀 확인" xfId="12" builtinId="23" customBuiltin="1"/>
    <cellStyle name="연결된 셀" xfId="11" builtinId="24" customBuiltin="1"/>
    <cellStyle name="열어 본 하이퍼링크 2" xfId="47" xr:uid="{00000000-0005-0000-0000-000020000000}"/>
    <cellStyle name="요약" xfId="15" builtinId="25" customBuiltin="1"/>
    <cellStyle name="입력" xfId="8" builtinId="20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제목 5" xfId="35" xr:uid="{00000000-0005-0000-0000-00003B000000}"/>
    <cellStyle name="좋음" xfId="6" builtinId="26" customBuiltin="1"/>
    <cellStyle name="출력" xfId="9" builtinId="21" customBuiltin="1"/>
    <cellStyle name="표준" xfId="0" builtinId="0"/>
    <cellStyle name="표준 2" xfId="34" xr:uid="{00000000-0005-0000-0000-00002B000000}"/>
    <cellStyle name="표준 3" xfId="45" xr:uid="{00000000-0005-0000-0000-00002C000000}"/>
    <cellStyle name="표준 3 2" xfId="49" xr:uid="{00000000-0005-0000-0000-00002D000000}"/>
    <cellStyle name="표준 4" xfId="1" xr:uid="{2FF9B68B-8794-4F1F-9B6D-29886EAF3713}"/>
    <cellStyle name="표준 4 2" xfId="43" xr:uid="{00000000-0005-0000-0000-00002E000000}"/>
    <cellStyle name="표준 5" xfId="48" xr:uid="{00000000-0005-0000-0000-00002F000000}"/>
    <cellStyle name="하이퍼링크 2" xfId="46" xr:uid="{00000000-0005-0000-0000-000030000000}"/>
  </cellStyles>
  <dxfs count="161"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</dxfs>
  <tableStyles count="0" defaultTableStyle="TableStyleMedium2" defaultPivotStyle="PivotStyleLight16"/>
  <colors>
    <mruColors>
      <color rgb="FFFF99FF"/>
      <color rgb="FFFFFF99"/>
      <color rgb="FFD4D4D4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</xdr:colOff>
          <xdr:row>5</xdr:row>
          <xdr:rowOff>6350</xdr:rowOff>
        </xdr:from>
        <xdr:to>
          <xdr:col>8</xdr:col>
          <xdr:colOff>6350</xdr:colOff>
          <xdr:row>8</xdr:row>
          <xdr:rowOff>12700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자동 병합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9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2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2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2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2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hongik-my.sharepoint.com/personal/edc9566_mail_hongik_ac_kr/Documents/&#48148;&#53461;%20&#54868;&#47732;/&#47784;&#51032;&#44256;&#49324;&amp;&#49688;&#45733;%20&#44288;&#47144;/2021/6&#50900;/3&#54617;&#45380;/2206-3%20&#53456;&#44396;.xlsm" TargetMode="External"/><Relationship Id="rId1" Type="http://schemas.openxmlformats.org/officeDocument/2006/relationships/externalLinkPath" Target="6&#50900;/3&#54617;&#45380;/2206-3%20&#53456;&#44396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통계 및 응시자 수 입력 기능"/>
      <sheetName val="인원 입력 기능"/>
      <sheetName val="표준점수 등급컷 입력기능"/>
      <sheetName val="생활과 윤리"/>
      <sheetName val="윤리와 사상"/>
      <sheetName val="한국지리"/>
      <sheetName val="세계지리"/>
      <sheetName val="동아시아사"/>
      <sheetName val="세계사"/>
      <sheetName val="경제"/>
      <sheetName val="정치와 법"/>
      <sheetName val="사회∙문화"/>
      <sheetName val="물리학Ⅰ"/>
      <sheetName val="화학Ⅰ"/>
      <sheetName val="생명과학Ⅰ"/>
      <sheetName val="지구과학Ⅰ"/>
      <sheetName val="물리학Ⅱ"/>
      <sheetName val="화학Ⅱ"/>
      <sheetName val="생명과학Ⅱ"/>
      <sheetName val="지구과학Ⅱ"/>
      <sheetName val="성공적인 직업생활"/>
      <sheetName val="농업 기초 기술"/>
      <sheetName val="공업 일반"/>
      <sheetName val="상업 경제"/>
      <sheetName val="수산·해운 산업 기초"/>
      <sheetName val="인간 발달"/>
      <sheetName val="등급컷 모아보기"/>
    </sheetNames>
    <sheetDataSet>
      <sheetData sheetId="0" refreshError="1"/>
      <sheetData sheetId="1">
        <row r="4">
          <cell r="F4" t="str">
            <v>누적(계)</v>
          </cell>
          <cell r="K4" t="str">
            <v>누적(계)</v>
          </cell>
          <cell r="P4" t="str">
            <v>누적(계)</v>
          </cell>
          <cell r="U4" t="str">
            <v>누적(계)</v>
          </cell>
          <cell r="Z4" t="str">
            <v>누적(계)</v>
          </cell>
          <cell r="AE4" t="str">
            <v>누적(계)</v>
          </cell>
          <cell r="AJ4" t="str">
            <v>누적(계)</v>
          </cell>
          <cell r="AO4" t="str">
            <v>누적(계)</v>
          </cell>
          <cell r="AT4" t="str">
            <v>누적(계)</v>
          </cell>
          <cell r="AY4" t="str">
            <v>누적(계)</v>
          </cell>
          <cell r="BD4" t="str">
            <v>누적(계)</v>
          </cell>
          <cell r="BI4" t="str">
            <v>누적(계)</v>
          </cell>
          <cell r="BN4" t="str">
            <v>누적(계)</v>
          </cell>
          <cell r="BS4" t="str">
            <v>누적(계)</v>
          </cell>
          <cell r="BX4" t="str">
            <v>누적(계)</v>
          </cell>
          <cell r="CC4" t="str">
            <v>누적(계)</v>
          </cell>
          <cell r="CH4" t="str">
            <v>누적(계)</v>
          </cell>
          <cell r="CM4" t="str">
            <v>누적(계)</v>
          </cell>
          <cell r="CR4" t="str">
            <v>누적(계)</v>
          </cell>
          <cell r="CW4" t="str">
            <v>누적(계)</v>
          </cell>
          <cell r="DB4" t="str">
            <v>누적(계)</v>
          </cell>
          <cell r="DG4" t="str">
            <v>누적(계)</v>
          </cell>
          <cell r="DL4" t="str">
            <v>누적(계)</v>
          </cell>
        </row>
        <row r="5">
          <cell r="F5">
            <v>972</v>
          </cell>
          <cell r="K5">
            <v>322</v>
          </cell>
          <cell r="P5">
            <v>622</v>
          </cell>
          <cell r="U5">
            <v>158</v>
          </cell>
          <cell r="Z5">
            <v>976</v>
          </cell>
          <cell r="AE5">
            <v>254</v>
          </cell>
          <cell r="AJ5">
            <v>196</v>
          </cell>
          <cell r="AO5">
            <v>297</v>
          </cell>
          <cell r="AT5">
            <v>2505</v>
          </cell>
          <cell r="AY5">
            <v>297</v>
          </cell>
          <cell r="BD5">
            <v>817</v>
          </cell>
          <cell r="BI5">
            <v>578</v>
          </cell>
          <cell r="BN5">
            <v>2364</v>
          </cell>
          <cell r="BS5">
            <v>18</v>
          </cell>
          <cell r="BX5">
            <v>65</v>
          </cell>
          <cell r="CC5">
            <v>257</v>
          </cell>
          <cell r="CH5">
            <v>41</v>
          </cell>
          <cell r="CM5">
            <v>16</v>
          </cell>
          <cell r="CR5">
            <v>2</v>
          </cell>
          <cell r="CW5">
            <v>24</v>
          </cell>
          <cell r="DB5">
            <v>13</v>
          </cell>
          <cell r="DG5">
            <v>1</v>
          </cell>
          <cell r="DL5">
            <v>1</v>
          </cell>
        </row>
        <row r="6">
          <cell r="F6">
            <v>2525</v>
          </cell>
          <cell r="K6">
            <v>603</v>
          </cell>
          <cell r="P6">
            <v>1456</v>
          </cell>
          <cell r="U6">
            <v>812</v>
          </cell>
          <cell r="Z6">
            <v>1622</v>
          </cell>
          <cell r="AE6">
            <v>452</v>
          </cell>
          <cell r="AJ6">
            <v>445</v>
          </cell>
          <cell r="AO6">
            <v>718</v>
          </cell>
          <cell r="AT6">
            <v>3311</v>
          </cell>
          <cell r="AY6">
            <v>484</v>
          </cell>
          <cell r="BD6">
            <v>1423</v>
          </cell>
          <cell r="BI6">
            <v>1025</v>
          </cell>
          <cell r="BN6">
            <v>3084</v>
          </cell>
          <cell r="BS6">
            <v>65</v>
          </cell>
          <cell r="BX6">
            <v>91</v>
          </cell>
          <cell r="CC6">
            <v>381</v>
          </cell>
          <cell r="CH6">
            <v>87</v>
          </cell>
          <cell r="CM6">
            <v>31</v>
          </cell>
          <cell r="CR6">
            <v>7</v>
          </cell>
          <cell r="CW6">
            <v>34</v>
          </cell>
          <cell r="DB6">
            <v>21</v>
          </cell>
          <cell r="DG6">
            <v>2</v>
          </cell>
          <cell r="DL6">
            <v>3</v>
          </cell>
        </row>
        <row r="7">
          <cell r="F7">
            <v>3471</v>
          </cell>
          <cell r="K7">
            <v>1060</v>
          </cell>
          <cell r="P7">
            <v>1623</v>
          </cell>
          <cell r="U7">
            <v>844</v>
          </cell>
          <cell r="Z7">
            <v>1893</v>
          </cell>
          <cell r="AE7">
            <v>631</v>
          </cell>
          <cell r="AJ7">
            <v>483</v>
          </cell>
          <cell r="AO7">
            <v>1202</v>
          </cell>
          <cell r="AT7">
            <v>6125</v>
          </cell>
          <cell r="AY7">
            <v>771</v>
          </cell>
          <cell r="BD7">
            <v>2763</v>
          </cell>
          <cell r="BI7">
            <v>2791</v>
          </cell>
          <cell r="BN7">
            <v>6917</v>
          </cell>
          <cell r="BS7">
            <v>78</v>
          </cell>
          <cell r="BX7">
            <v>145</v>
          </cell>
          <cell r="CC7">
            <v>577</v>
          </cell>
          <cell r="CH7">
            <v>182</v>
          </cell>
          <cell r="CM7">
            <v>108</v>
          </cell>
          <cell r="CR7">
            <v>8</v>
          </cell>
          <cell r="CW7">
            <v>61</v>
          </cell>
          <cell r="DB7">
            <v>32</v>
          </cell>
          <cell r="DG7">
            <v>4</v>
          </cell>
          <cell r="DL7">
            <v>5</v>
          </cell>
        </row>
        <row r="8">
          <cell r="F8">
            <v>4423</v>
          </cell>
          <cell r="K8">
            <v>1583</v>
          </cell>
          <cell r="P8">
            <v>2284</v>
          </cell>
          <cell r="U8">
            <v>1187</v>
          </cell>
          <cell r="Z8">
            <v>2228</v>
          </cell>
          <cell r="AE8">
            <v>743</v>
          </cell>
          <cell r="AJ8">
            <v>608</v>
          </cell>
          <cell r="AO8">
            <v>1808</v>
          </cell>
          <cell r="AT8">
            <v>6300</v>
          </cell>
          <cell r="AY8">
            <v>878</v>
          </cell>
          <cell r="BD8">
            <v>2883</v>
          </cell>
          <cell r="BI8">
            <v>2908</v>
          </cell>
          <cell r="BN8">
            <v>7076</v>
          </cell>
          <cell r="BS8">
            <v>159</v>
          </cell>
          <cell r="BX8">
            <v>153</v>
          </cell>
          <cell r="CC8">
            <v>809</v>
          </cell>
          <cell r="CH8">
            <v>281</v>
          </cell>
          <cell r="CM8">
            <v>114</v>
          </cell>
          <cell r="CR8">
            <v>12</v>
          </cell>
          <cell r="CW8">
            <v>67</v>
          </cell>
          <cell r="DB8">
            <v>35</v>
          </cell>
          <cell r="DG8">
            <v>7</v>
          </cell>
          <cell r="DL8">
            <v>6</v>
          </cell>
        </row>
        <row r="9">
          <cell r="F9">
            <v>7651</v>
          </cell>
          <cell r="K9">
            <v>1834</v>
          </cell>
          <cell r="P9">
            <v>3133</v>
          </cell>
          <cell r="U9">
            <v>1690</v>
          </cell>
          <cell r="Z9">
            <v>2933</v>
          </cell>
          <cell r="AE9">
            <v>1040</v>
          </cell>
          <cell r="AJ9">
            <v>681</v>
          </cell>
          <cell r="AO9">
            <v>2016</v>
          </cell>
          <cell r="AT9">
            <v>10358</v>
          </cell>
          <cell r="AY9">
            <v>1306</v>
          </cell>
          <cell r="BD9">
            <v>4792</v>
          </cell>
          <cell r="BI9">
            <v>4857</v>
          </cell>
          <cell r="BN9">
            <v>8932</v>
          </cell>
          <cell r="BS9">
            <v>186</v>
          </cell>
          <cell r="BX9">
            <v>242</v>
          </cell>
          <cell r="CC9">
            <v>932</v>
          </cell>
          <cell r="CH9">
            <v>351</v>
          </cell>
          <cell r="CM9">
            <v>287</v>
          </cell>
          <cell r="CR9">
            <v>14</v>
          </cell>
          <cell r="CW9">
            <v>83</v>
          </cell>
          <cell r="DB9">
            <v>44</v>
          </cell>
          <cell r="DG9">
            <v>8</v>
          </cell>
          <cell r="DL9">
            <v>7</v>
          </cell>
        </row>
        <row r="10">
          <cell r="F10">
            <v>9912</v>
          </cell>
          <cell r="K10">
            <v>2240</v>
          </cell>
          <cell r="P10">
            <v>3655</v>
          </cell>
          <cell r="U10">
            <v>1844</v>
          </cell>
          <cell r="Z10">
            <v>3408</v>
          </cell>
          <cell r="AE10">
            <v>1210</v>
          </cell>
          <cell r="AJ10">
            <v>842</v>
          </cell>
          <cell r="AO10">
            <v>2579</v>
          </cell>
          <cell r="AT10">
            <v>10980</v>
          </cell>
          <cell r="AY10">
            <v>1618</v>
          </cell>
          <cell r="BD10">
            <v>6787</v>
          </cell>
          <cell r="BI10">
            <v>7841</v>
          </cell>
          <cell r="BN10">
            <v>12555</v>
          </cell>
          <cell r="BS10">
            <v>247</v>
          </cell>
          <cell r="BX10">
            <v>278</v>
          </cell>
          <cell r="CC10">
            <v>1015</v>
          </cell>
          <cell r="CH10">
            <v>393</v>
          </cell>
          <cell r="CM10">
            <v>328</v>
          </cell>
          <cell r="CR10">
            <v>17</v>
          </cell>
          <cell r="CW10">
            <v>119</v>
          </cell>
          <cell r="DB10">
            <v>62</v>
          </cell>
          <cell r="DG10">
            <v>10</v>
          </cell>
          <cell r="DL10">
            <v>8</v>
          </cell>
        </row>
        <row r="11">
          <cell r="F11">
            <v>12236</v>
          </cell>
          <cell r="K11">
            <v>2978</v>
          </cell>
          <cell r="P11">
            <v>4032</v>
          </cell>
          <cell r="U11">
            <v>2344</v>
          </cell>
          <cell r="Z11">
            <v>3757</v>
          </cell>
          <cell r="AE11">
            <v>1361</v>
          </cell>
          <cell r="AJ11">
            <v>905</v>
          </cell>
          <cell r="AO11">
            <v>3354</v>
          </cell>
          <cell r="AT11">
            <v>13099</v>
          </cell>
          <cell r="AY11">
            <v>1899</v>
          </cell>
          <cell r="BD11">
            <v>9413</v>
          </cell>
          <cell r="BI11">
            <v>8622</v>
          </cell>
          <cell r="BN11">
            <v>15875</v>
          </cell>
          <cell r="BS11">
            <v>288</v>
          </cell>
          <cell r="BX11">
            <v>351</v>
          </cell>
          <cell r="CC11">
            <v>1268</v>
          </cell>
          <cell r="CH11">
            <v>545</v>
          </cell>
          <cell r="CM11">
            <v>459</v>
          </cell>
          <cell r="CR11">
            <v>21</v>
          </cell>
          <cell r="CW11">
            <v>139</v>
          </cell>
          <cell r="DB11">
            <v>67</v>
          </cell>
          <cell r="DG11">
            <v>13</v>
          </cell>
          <cell r="DL11">
            <v>11</v>
          </cell>
        </row>
        <row r="12">
          <cell r="F12">
            <v>13767</v>
          </cell>
          <cell r="K12">
            <v>3504</v>
          </cell>
          <cell r="P12">
            <v>4567</v>
          </cell>
          <cell r="U12">
            <v>2685</v>
          </cell>
          <cell r="Z12">
            <v>4022</v>
          </cell>
          <cell r="AE12">
            <v>1510</v>
          </cell>
          <cell r="AJ12">
            <v>997</v>
          </cell>
          <cell r="AO12">
            <v>3949</v>
          </cell>
          <cell r="AT12">
            <v>15218</v>
          </cell>
          <cell r="AY12">
            <v>2451</v>
          </cell>
          <cell r="BD12">
            <v>10510</v>
          </cell>
          <cell r="BI12">
            <v>12590</v>
          </cell>
          <cell r="BN12">
            <v>18645</v>
          </cell>
          <cell r="BS12">
            <v>352</v>
          </cell>
          <cell r="BX12">
            <v>387</v>
          </cell>
          <cell r="CC12">
            <v>1385</v>
          </cell>
          <cell r="CH12">
            <v>640</v>
          </cell>
          <cell r="CM12">
            <v>592</v>
          </cell>
          <cell r="CR12">
            <v>23</v>
          </cell>
          <cell r="CW12">
            <v>150</v>
          </cell>
          <cell r="DB12">
            <v>83</v>
          </cell>
          <cell r="DG12">
            <v>18</v>
          </cell>
          <cell r="DL12">
            <v>15</v>
          </cell>
        </row>
        <row r="13">
          <cell r="F13">
            <v>16970</v>
          </cell>
          <cell r="K13">
            <v>3860</v>
          </cell>
          <cell r="P13">
            <v>5016</v>
          </cell>
          <cell r="U13">
            <v>2971</v>
          </cell>
          <cell r="Z13">
            <v>4775</v>
          </cell>
          <cell r="AE13">
            <v>1647</v>
          </cell>
          <cell r="AJ13">
            <v>1129</v>
          </cell>
          <cell r="AO13">
            <v>4354</v>
          </cell>
          <cell r="AT13">
            <v>18810</v>
          </cell>
          <cell r="AY13">
            <v>2805</v>
          </cell>
          <cell r="BD13">
            <v>11939</v>
          </cell>
          <cell r="BI13">
            <v>17654</v>
          </cell>
          <cell r="BN13">
            <v>20130</v>
          </cell>
          <cell r="BS13">
            <v>419</v>
          </cell>
          <cell r="BX13">
            <v>432</v>
          </cell>
          <cell r="CC13">
            <v>1507</v>
          </cell>
          <cell r="CH13">
            <v>715</v>
          </cell>
          <cell r="CM13">
            <v>882</v>
          </cell>
          <cell r="CR13">
            <v>30</v>
          </cell>
          <cell r="CW13">
            <v>187</v>
          </cell>
          <cell r="DB13">
            <v>98</v>
          </cell>
          <cell r="DG13">
            <v>21</v>
          </cell>
          <cell r="DL13">
            <v>19</v>
          </cell>
        </row>
        <row r="14">
          <cell r="F14">
            <v>19006</v>
          </cell>
          <cell r="K14">
            <v>4250</v>
          </cell>
          <cell r="P14">
            <v>6113</v>
          </cell>
          <cell r="U14">
            <v>3420</v>
          </cell>
          <cell r="Z14">
            <v>5172</v>
          </cell>
          <cell r="AE14">
            <v>1944</v>
          </cell>
          <cell r="AJ14">
            <v>1226</v>
          </cell>
          <cell r="AO14">
            <v>4845</v>
          </cell>
          <cell r="AT14">
            <v>20641</v>
          </cell>
          <cell r="AY14">
            <v>3345</v>
          </cell>
          <cell r="BD14">
            <v>14293</v>
          </cell>
          <cell r="BI14">
            <v>22245</v>
          </cell>
          <cell r="BN14">
            <v>22996</v>
          </cell>
          <cell r="BS14">
            <v>531</v>
          </cell>
          <cell r="BX14">
            <v>490</v>
          </cell>
          <cell r="CC14">
            <v>1682</v>
          </cell>
          <cell r="CH14">
            <v>771</v>
          </cell>
          <cell r="CM14">
            <v>998</v>
          </cell>
          <cell r="CR14">
            <v>32</v>
          </cell>
          <cell r="CW14">
            <v>210</v>
          </cell>
          <cell r="DB14">
            <v>109</v>
          </cell>
          <cell r="DG14">
            <v>25</v>
          </cell>
          <cell r="DL14">
            <v>21</v>
          </cell>
        </row>
        <row r="15">
          <cell r="F15">
            <v>25131</v>
          </cell>
          <cell r="K15">
            <v>4723</v>
          </cell>
          <cell r="P15">
            <v>6631</v>
          </cell>
          <cell r="U15">
            <v>3723</v>
          </cell>
          <cell r="Z15">
            <v>5608</v>
          </cell>
          <cell r="AE15">
            <v>2098</v>
          </cell>
          <cell r="AJ15">
            <v>1300</v>
          </cell>
          <cell r="AO15">
            <v>5360</v>
          </cell>
          <cell r="AT15">
            <v>22520</v>
          </cell>
          <cell r="AY15">
            <v>3965</v>
          </cell>
          <cell r="BD15">
            <v>17102</v>
          </cell>
          <cell r="BI15">
            <v>24339</v>
          </cell>
          <cell r="BN15">
            <v>27225</v>
          </cell>
          <cell r="BS15">
            <v>604</v>
          </cell>
          <cell r="BX15">
            <v>540</v>
          </cell>
          <cell r="CC15">
            <v>1770</v>
          </cell>
          <cell r="CH15">
            <v>853</v>
          </cell>
          <cell r="CM15">
            <v>1170</v>
          </cell>
          <cell r="CR15">
            <v>42</v>
          </cell>
          <cell r="CW15">
            <v>222</v>
          </cell>
          <cell r="DB15">
            <v>131</v>
          </cell>
          <cell r="DG15">
            <v>33</v>
          </cell>
          <cell r="DL15">
            <v>26</v>
          </cell>
        </row>
        <row r="16">
          <cell r="F16">
            <v>27576</v>
          </cell>
          <cell r="K16">
            <v>5629</v>
          </cell>
          <cell r="P16">
            <v>7270</v>
          </cell>
          <cell r="U16">
            <v>4156</v>
          </cell>
          <cell r="Z16">
            <v>6375</v>
          </cell>
          <cell r="AE16">
            <v>2243</v>
          </cell>
          <cell r="AJ16">
            <v>1387</v>
          </cell>
          <cell r="AO16">
            <v>6326</v>
          </cell>
          <cell r="AT16">
            <v>24807</v>
          </cell>
          <cell r="AY16">
            <v>4441</v>
          </cell>
          <cell r="BD16">
            <v>18957</v>
          </cell>
          <cell r="BI16">
            <v>28327</v>
          </cell>
          <cell r="BN16">
            <v>29917</v>
          </cell>
          <cell r="BS16">
            <v>671</v>
          </cell>
          <cell r="BX16">
            <v>659</v>
          </cell>
          <cell r="CC16">
            <v>1846</v>
          </cell>
          <cell r="CH16">
            <v>967</v>
          </cell>
          <cell r="CM16">
            <v>1385</v>
          </cell>
          <cell r="CR16">
            <v>49</v>
          </cell>
          <cell r="CW16">
            <v>239</v>
          </cell>
          <cell r="DB16">
            <v>145</v>
          </cell>
          <cell r="DG16">
            <v>37</v>
          </cell>
          <cell r="DL16">
            <v>29</v>
          </cell>
        </row>
        <row r="17">
          <cell r="F17">
            <v>31284</v>
          </cell>
          <cell r="K17">
            <v>6084</v>
          </cell>
          <cell r="P17">
            <v>7855</v>
          </cell>
          <cell r="U17">
            <v>4975</v>
          </cell>
          <cell r="Z17">
            <v>6762</v>
          </cell>
          <cell r="AE17">
            <v>2393</v>
          </cell>
          <cell r="AJ17">
            <v>1550</v>
          </cell>
          <cell r="AO17">
            <v>6812</v>
          </cell>
          <cell r="AT17">
            <v>28988</v>
          </cell>
          <cell r="AY17">
            <v>5267</v>
          </cell>
          <cell r="BD17">
            <v>20122</v>
          </cell>
          <cell r="BI17">
            <v>31718</v>
          </cell>
          <cell r="BN17">
            <v>32125</v>
          </cell>
          <cell r="BS17">
            <v>747</v>
          </cell>
          <cell r="BX17">
            <v>715</v>
          </cell>
          <cell r="CC17">
            <v>2017</v>
          </cell>
          <cell r="CH17">
            <v>1027</v>
          </cell>
          <cell r="CM17">
            <v>1787</v>
          </cell>
          <cell r="CR17">
            <v>57</v>
          </cell>
          <cell r="CW17">
            <v>281</v>
          </cell>
          <cell r="DB17">
            <v>154</v>
          </cell>
          <cell r="DG17">
            <v>62</v>
          </cell>
          <cell r="DL17">
            <v>33</v>
          </cell>
        </row>
        <row r="18">
          <cell r="F18">
            <v>34728</v>
          </cell>
          <cell r="K18">
            <v>6512</v>
          </cell>
          <cell r="P18">
            <v>9228</v>
          </cell>
          <cell r="U18">
            <v>5468</v>
          </cell>
          <cell r="Z18">
            <v>7157</v>
          </cell>
          <cell r="AE18">
            <v>2518</v>
          </cell>
          <cell r="AJ18">
            <v>1639</v>
          </cell>
          <cell r="AO18">
            <v>7364</v>
          </cell>
          <cell r="AT18">
            <v>31130</v>
          </cell>
          <cell r="AY18">
            <v>5967</v>
          </cell>
          <cell r="BD18">
            <v>21899</v>
          </cell>
          <cell r="BI18">
            <v>34300</v>
          </cell>
          <cell r="BN18">
            <v>34606</v>
          </cell>
          <cell r="BS18">
            <v>812</v>
          </cell>
          <cell r="BX18">
            <v>776</v>
          </cell>
          <cell r="CC18">
            <v>2120</v>
          </cell>
          <cell r="CH18">
            <v>1084</v>
          </cell>
          <cell r="CM18">
            <v>1972</v>
          </cell>
          <cell r="CR18">
            <v>68</v>
          </cell>
          <cell r="CW18">
            <v>302</v>
          </cell>
          <cell r="DB18">
            <v>181</v>
          </cell>
          <cell r="DG18">
            <v>79</v>
          </cell>
          <cell r="DL18">
            <v>38</v>
          </cell>
        </row>
        <row r="19">
          <cell r="F19">
            <v>37943</v>
          </cell>
          <cell r="K19">
            <v>6989</v>
          </cell>
          <cell r="P19">
            <v>9858</v>
          </cell>
          <cell r="U19">
            <v>5897</v>
          </cell>
          <cell r="Z19">
            <v>7996</v>
          </cell>
          <cell r="AE19">
            <v>2701</v>
          </cell>
          <cell r="AJ19">
            <v>1737</v>
          </cell>
          <cell r="AO19">
            <v>7989</v>
          </cell>
          <cell r="AT19">
            <v>33327</v>
          </cell>
          <cell r="AY19">
            <v>6759</v>
          </cell>
          <cell r="BD19">
            <v>23328</v>
          </cell>
          <cell r="BI19">
            <v>38275</v>
          </cell>
          <cell r="BN19">
            <v>36959</v>
          </cell>
          <cell r="BS19">
            <v>874</v>
          </cell>
          <cell r="BX19">
            <v>824</v>
          </cell>
          <cell r="CC19">
            <v>2222</v>
          </cell>
          <cell r="CH19">
            <v>1137</v>
          </cell>
          <cell r="CM19">
            <v>2157</v>
          </cell>
          <cell r="CR19">
            <v>78</v>
          </cell>
          <cell r="CW19">
            <v>322</v>
          </cell>
          <cell r="DB19">
            <v>206</v>
          </cell>
          <cell r="DG19">
            <v>92</v>
          </cell>
          <cell r="DL19">
            <v>39</v>
          </cell>
        </row>
        <row r="20">
          <cell r="F20">
            <v>42331</v>
          </cell>
          <cell r="K20">
            <v>7886</v>
          </cell>
          <cell r="P20">
            <v>10707</v>
          </cell>
          <cell r="U20">
            <v>6364</v>
          </cell>
          <cell r="Z20">
            <v>8480</v>
          </cell>
          <cell r="AE20">
            <v>3061</v>
          </cell>
          <cell r="AJ20">
            <v>1952</v>
          </cell>
          <cell r="AO20">
            <v>9207</v>
          </cell>
          <cell r="AT20">
            <v>35764</v>
          </cell>
          <cell r="AY20">
            <v>7810</v>
          </cell>
          <cell r="BD20">
            <v>26319</v>
          </cell>
          <cell r="BI20">
            <v>40811</v>
          </cell>
          <cell r="BN20">
            <v>41905</v>
          </cell>
          <cell r="BS20">
            <v>1000</v>
          </cell>
          <cell r="BX20">
            <v>895</v>
          </cell>
          <cell r="CC20">
            <v>2400</v>
          </cell>
          <cell r="CH20">
            <v>1245</v>
          </cell>
          <cell r="CM20">
            <v>2363</v>
          </cell>
          <cell r="CR20">
            <v>90</v>
          </cell>
          <cell r="CW20">
            <v>369</v>
          </cell>
          <cell r="DB20">
            <v>225</v>
          </cell>
          <cell r="DG20">
            <v>104</v>
          </cell>
          <cell r="DL20">
            <v>47</v>
          </cell>
        </row>
        <row r="21">
          <cell r="F21">
            <v>45769</v>
          </cell>
          <cell r="K21">
            <v>8387</v>
          </cell>
          <cell r="P21">
            <v>11497</v>
          </cell>
          <cell r="U21">
            <v>6944</v>
          </cell>
          <cell r="Z21">
            <v>8920</v>
          </cell>
          <cell r="AE21">
            <v>3221</v>
          </cell>
          <cell r="AJ21">
            <v>2085</v>
          </cell>
          <cell r="AO21">
            <v>9757</v>
          </cell>
          <cell r="AT21">
            <v>40303</v>
          </cell>
          <cell r="AY21">
            <v>8608</v>
          </cell>
          <cell r="BD21">
            <v>27557</v>
          </cell>
          <cell r="BI21">
            <v>47110</v>
          </cell>
          <cell r="BN21">
            <v>44456</v>
          </cell>
          <cell r="BS21">
            <v>1069</v>
          </cell>
          <cell r="BX21">
            <v>954</v>
          </cell>
          <cell r="CC21">
            <v>2490</v>
          </cell>
          <cell r="CH21">
            <v>1300</v>
          </cell>
          <cell r="CM21">
            <v>2721</v>
          </cell>
          <cell r="CR21">
            <v>99</v>
          </cell>
          <cell r="CW21">
            <v>406</v>
          </cell>
          <cell r="DB21">
            <v>268</v>
          </cell>
          <cell r="DG21">
            <v>110</v>
          </cell>
          <cell r="DL21">
            <v>57</v>
          </cell>
        </row>
        <row r="22">
          <cell r="F22">
            <v>53842</v>
          </cell>
          <cell r="K22">
            <v>8880</v>
          </cell>
          <cell r="P22">
            <v>12351</v>
          </cell>
          <cell r="U22">
            <v>7513</v>
          </cell>
          <cell r="Z22">
            <v>9832</v>
          </cell>
          <cell r="AE22">
            <v>3430</v>
          </cell>
          <cell r="AJ22">
            <v>2212</v>
          </cell>
          <cell r="AO22">
            <v>10374</v>
          </cell>
          <cell r="AT22">
            <v>42714</v>
          </cell>
          <cell r="AY22">
            <v>9875</v>
          </cell>
          <cell r="BD22">
            <v>29132</v>
          </cell>
          <cell r="BI22">
            <v>49566</v>
          </cell>
          <cell r="BN22">
            <v>47119</v>
          </cell>
          <cell r="BS22">
            <v>1124</v>
          </cell>
          <cell r="BX22">
            <v>1025</v>
          </cell>
          <cell r="CC22">
            <v>2617</v>
          </cell>
          <cell r="CH22">
            <v>1353</v>
          </cell>
          <cell r="CM22">
            <v>2884</v>
          </cell>
          <cell r="CR22">
            <v>112</v>
          </cell>
          <cell r="CW22">
            <v>429</v>
          </cell>
          <cell r="DB22">
            <v>297</v>
          </cell>
          <cell r="DG22">
            <v>126</v>
          </cell>
          <cell r="DL22">
            <v>67</v>
          </cell>
        </row>
        <row r="23">
          <cell r="F23">
            <v>57527</v>
          </cell>
          <cell r="K23">
            <v>9402</v>
          </cell>
          <cell r="P23">
            <v>14084</v>
          </cell>
          <cell r="U23">
            <v>8167</v>
          </cell>
          <cell r="Z23">
            <v>10272</v>
          </cell>
          <cell r="AE23">
            <v>3633</v>
          </cell>
          <cell r="AJ23">
            <v>2328</v>
          </cell>
          <cell r="AO23">
            <v>11033</v>
          </cell>
          <cell r="AT23">
            <v>45089</v>
          </cell>
          <cell r="AY23">
            <v>10952</v>
          </cell>
          <cell r="BD23">
            <v>30559</v>
          </cell>
          <cell r="BI23">
            <v>52890</v>
          </cell>
          <cell r="BN23">
            <v>49686</v>
          </cell>
          <cell r="BS23">
            <v>1189</v>
          </cell>
          <cell r="BX23">
            <v>1188</v>
          </cell>
          <cell r="CC23">
            <v>2838</v>
          </cell>
          <cell r="CH23">
            <v>1409</v>
          </cell>
          <cell r="CM23">
            <v>3030</v>
          </cell>
          <cell r="CR23">
            <v>128</v>
          </cell>
          <cell r="CW23">
            <v>444</v>
          </cell>
          <cell r="DB23">
            <v>336</v>
          </cell>
          <cell r="DG23">
            <v>133</v>
          </cell>
          <cell r="DL23">
            <v>76</v>
          </cell>
        </row>
        <row r="24">
          <cell r="F24">
            <v>61898</v>
          </cell>
          <cell r="K24">
            <v>9903</v>
          </cell>
          <cell r="P24">
            <v>15132</v>
          </cell>
          <cell r="U24">
            <v>8807</v>
          </cell>
          <cell r="Z24">
            <v>10751</v>
          </cell>
          <cell r="AE24">
            <v>3827</v>
          </cell>
          <cell r="AJ24">
            <v>2597</v>
          </cell>
          <cell r="AO24">
            <v>11637</v>
          </cell>
          <cell r="AT24">
            <v>47659</v>
          </cell>
          <cell r="AY24">
            <v>12129</v>
          </cell>
          <cell r="BD24">
            <v>31977</v>
          </cell>
          <cell r="BI24">
            <v>55593</v>
          </cell>
          <cell r="BN24">
            <v>55137</v>
          </cell>
          <cell r="BS24">
            <v>1243</v>
          </cell>
          <cell r="BX24">
            <v>1279</v>
          </cell>
          <cell r="CC24">
            <v>2987</v>
          </cell>
          <cell r="CH24">
            <v>1530</v>
          </cell>
          <cell r="CM24">
            <v>3179</v>
          </cell>
          <cell r="CR24">
            <v>142</v>
          </cell>
          <cell r="CW24">
            <v>492</v>
          </cell>
          <cell r="DB24">
            <v>371</v>
          </cell>
          <cell r="DG24">
            <v>140</v>
          </cell>
          <cell r="DL24">
            <v>91</v>
          </cell>
        </row>
        <row r="25">
          <cell r="F25">
            <v>65369</v>
          </cell>
          <cell r="K25">
            <v>11008</v>
          </cell>
          <cell r="P25">
            <v>16102</v>
          </cell>
          <cell r="U25">
            <v>9552</v>
          </cell>
          <cell r="Z25">
            <v>11733</v>
          </cell>
          <cell r="AE25">
            <v>4292</v>
          </cell>
          <cell r="AJ25">
            <v>2745</v>
          </cell>
          <cell r="AO25">
            <v>12897</v>
          </cell>
          <cell r="AT25">
            <v>52757</v>
          </cell>
          <cell r="AY25">
            <v>13531</v>
          </cell>
          <cell r="BD25">
            <v>34893</v>
          </cell>
          <cell r="BI25">
            <v>58452</v>
          </cell>
          <cell r="BN25">
            <v>57818</v>
          </cell>
          <cell r="BS25">
            <v>1314</v>
          </cell>
          <cell r="BX25">
            <v>1349</v>
          </cell>
          <cell r="CC25">
            <v>3117</v>
          </cell>
          <cell r="CH25">
            <v>1606</v>
          </cell>
          <cell r="CM25">
            <v>3432</v>
          </cell>
          <cell r="CR25">
            <v>149</v>
          </cell>
          <cell r="CW25">
            <v>525</v>
          </cell>
          <cell r="DB25">
            <v>404</v>
          </cell>
          <cell r="DG25">
            <v>144</v>
          </cell>
          <cell r="DL25">
            <v>103</v>
          </cell>
        </row>
        <row r="26">
          <cell r="F26">
            <v>69228</v>
          </cell>
          <cell r="K26">
            <v>11577</v>
          </cell>
          <cell r="P26">
            <v>17098</v>
          </cell>
          <cell r="U26">
            <v>10335</v>
          </cell>
          <cell r="Z26">
            <v>12261</v>
          </cell>
          <cell r="AE26">
            <v>4539</v>
          </cell>
          <cell r="AJ26">
            <v>2898</v>
          </cell>
          <cell r="AO26">
            <v>13473</v>
          </cell>
          <cell r="AT26">
            <v>55325</v>
          </cell>
          <cell r="AY26">
            <v>14670</v>
          </cell>
          <cell r="BD26">
            <v>36545</v>
          </cell>
          <cell r="BI26">
            <v>61542</v>
          </cell>
          <cell r="BN26">
            <v>60685</v>
          </cell>
          <cell r="BS26">
            <v>1468</v>
          </cell>
          <cell r="BX26">
            <v>1444</v>
          </cell>
          <cell r="CC26">
            <v>3449</v>
          </cell>
          <cell r="CH26">
            <v>1666</v>
          </cell>
          <cell r="CM26">
            <v>3540</v>
          </cell>
          <cell r="CR26">
            <v>161</v>
          </cell>
          <cell r="CW26">
            <v>552</v>
          </cell>
          <cell r="DB26">
            <v>468</v>
          </cell>
          <cell r="DG26">
            <v>151</v>
          </cell>
          <cell r="DL26">
            <v>126</v>
          </cell>
        </row>
        <row r="27">
          <cell r="F27">
            <v>72897</v>
          </cell>
          <cell r="K27">
            <v>12228</v>
          </cell>
          <cell r="P27">
            <v>19187</v>
          </cell>
          <cell r="U27">
            <v>12084</v>
          </cell>
          <cell r="Z27">
            <v>12724</v>
          </cell>
          <cell r="AE27">
            <v>4853</v>
          </cell>
          <cell r="AJ27">
            <v>3194</v>
          </cell>
          <cell r="AO27">
            <v>14156</v>
          </cell>
          <cell r="AT27">
            <v>58048</v>
          </cell>
          <cell r="AY27">
            <v>16216</v>
          </cell>
          <cell r="BD27">
            <v>38090</v>
          </cell>
          <cell r="BI27">
            <v>64105</v>
          </cell>
          <cell r="BN27">
            <v>63438</v>
          </cell>
          <cell r="BS27">
            <v>1569</v>
          </cell>
          <cell r="BX27">
            <v>1551</v>
          </cell>
          <cell r="CC27">
            <v>3647</v>
          </cell>
          <cell r="CH27">
            <v>1742</v>
          </cell>
          <cell r="CM27">
            <v>3631</v>
          </cell>
          <cell r="CR27">
            <v>170</v>
          </cell>
          <cell r="CW27">
            <v>611</v>
          </cell>
          <cell r="DB27">
            <v>528</v>
          </cell>
          <cell r="DG27">
            <v>157</v>
          </cell>
          <cell r="DL27">
            <v>156</v>
          </cell>
        </row>
        <row r="28">
          <cell r="F28">
            <v>76220</v>
          </cell>
          <cell r="K28">
            <v>12867</v>
          </cell>
          <cell r="P28">
            <v>20371</v>
          </cell>
          <cell r="U28">
            <v>12997</v>
          </cell>
          <cell r="Z28">
            <v>13237</v>
          </cell>
          <cell r="AE28">
            <v>5181</v>
          </cell>
          <cell r="AJ28">
            <v>3366</v>
          </cell>
          <cell r="AO28">
            <v>14745</v>
          </cell>
          <cell r="AT28">
            <v>60956</v>
          </cell>
          <cell r="AY28">
            <v>17702</v>
          </cell>
          <cell r="BD28">
            <v>39685</v>
          </cell>
          <cell r="BI28">
            <v>67239</v>
          </cell>
          <cell r="BN28">
            <v>66291</v>
          </cell>
          <cell r="BS28">
            <v>1683</v>
          </cell>
          <cell r="BX28">
            <v>1646</v>
          </cell>
          <cell r="CC28">
            <v>3866</v>
          </cell>
          <cell r="CH28">
            <v>1934</v>
          </cell>
          <cell r="CM28">
            <v>3749</v>
          </cell>
          <cell r="CR28">
            <v>182</v>
          </cell>
          <cell r="CW28">
            <v>638</v>
          </cell>
          <cell r="DB28">
            <v>574</v>
          </cell>
          <cell r="DG28">
            <v>161</v>
          </cell>
          <cell r="DL28">
            <v>191</v>
          </cell>
        </row>
        <row r="29">
          <cell r="F29">
            <v>82541</v>
          </cell>
          <cell r="K29">
            <v>13646</v>
          </cell>
          <cell r="P29">
            <v>21506</v>
          </cell>
          <cell r="U29">
            <v>13998</v>
          </cell>
          <cell r="Z29">
            <v>14320</v>
          </cell>
          <cell r="AE29">
            <v>5553</v>
          </cell>
          <cell r="AJ29">
            <v>3540</v>
          </cell>
          <cell r="AO29">
            <v>16054</v>
          </cell>
          <cell r="AT29">
            <v>67060</v>
          </cell>
          <cell r="AY29">
            <v>19192</v>
          </cell>
          <cell r="BD29">
            <v>41470</v>
          </cell>
          <cell r="BI29">
            <v>73163</v>
          </cell>
          <cell r="BN29">
            <v>71817</v>
          </cell>
          <cell r="BS29">
            <v>1760</v>
          </cell>
          <cell r="BX29">
            <v>1787</v>
          </cell>
          <cell r="CC29">
            <v>4379</v>
          </cell>
          <cell r="CH29">
            <v>2056</v>
          </cell>
          <cell r="CM29">
            <v>3938</v>
          </cell>
          <cell r="CR29">
            <v>193</v>
          </cell>
          <cell r="CW29">
            <v>657</v>
          </cell>
          <cell r="DB29">
            <v>646</v>
          </cell>
          <cell r="DG29">
            <v>162</v>
          </cell>
          <cell r="DL29">
            <v>230</v>
          </cell>
        </row>
        <row r="30">
          <cell r="F30">
            <v>85531</v>
          </cell>
          <cell r="K30">
            <v>15194</v>
          </cell>
          <cell r="P30">
            <v>22620</v>
          </cell>
          <cell r="U30">
            <v>15128</v>
          </cell>
          <cell r="Z30">
            <v>14859</v>
          </cell>
          <cell r="AE30">
            <v>6448</v>
          </cell>
          <cell r="AJ30">
            <v>3738</v>
          </cell>
          <cell r="AO30">
            <v>16619</v>
          </cell>
          <cell r="AT30">
            <v>70157</v>
          </cell>
          <cell r="AY30">
            <v>22539</v>
          </cell>
          <cell r="BD30">
            <v>44876</v>
          </cell>
          <cell r="BI30">
            <v>76422</v>
          </cell>
          <cell r="BN30">
            <v>74651</v>
          </cell>
          <cell r="BS30">
            <v>1890</v>
          </cell>
          <cell r="BX30">
            <v>1913</v>
          </cell>
          <cell r="CC30">
            <v>4679</v>
          </cell>
          <cell r="CH30">
            <v>2187</v>
          </cell>
          <cell r="CM30">
            <v>4000</v>
          </cell>
          <cell r="CR30">
            <v>218</v>
          </cell>
          <cell r="CW30">
            <v>678</v>
          </cell>
          <cell r="DB30">
            <v>708</v>
          </cell>
          <cell r="DL30">
            <v>272</v>
          </cell>
        </row>
        <row r="31">
          <cell r="F31">
            <v>88121</v>
          </cell>
          <cell r="K31">
            <v>15993</v>
          </cell>
          <cell r="P31">
            <v>23823</v>
          </cell>
          <cell r="U31">
            <v>16205</v>
          </cell>
          <cell r="Z31">
            <v>15398</v>
          </cell>
          <cell r="AE31">
            <v>7023</v>
          </cell>
          <cell r="AJ31">
            <v>4165</v>
          </cell>
          <cell r="AO31">
            <v>17288</v>
          </cell>
          <cell r="AT31">
            <v>73705</v>
          </cell>
          <cell r="AY31">
            <v>24415</v>
          </cell>
          <cell r="BD31">
            <v>46565</v>
          </cell>
          <cell r="BI31">
            <v>79332</v>
          </cell>
          <cell r="BN31">
            <v>77457</v>
          </cell>
          <cell r="BS31">
            <v>2157</v>
          </cell>
          <cell r="BX31">
            <v>2207</v>
          </cell>
          <cell r="CC31">
            <v>5017</v>
          </cell>
          <cell r="CH31">
            <v>2324</v>
          </cell>
          <cell r="CM31">
            <v>4105</v>
          </cell>
          <cell r="CR31">
            <v>241</v>
          </cell>
          <cell r="CW31">
            <v>762</v>
          </cell>
          <cell r="DB31">
            <v>785</v>
          </cell>
          <cell r="DL31">
            <v>321</v>
          </cell>
        </row>
        <row r="32">
          <cell r="F32">
            <v>90416</v>
          </cell>
          <cell r="K32">
            <v>16815</v>
          </cell>
          <cell r="P32">
            <v>26181</v>
          </cell>
          <cell r="U32">
            <v>17384</v>
          </cell>
          <cell r="Z32">
            <v>16488</v>
          </cell>
          <cell r="AE32">
            <v>7536</v>
          </cell>
          <cell r="AJ32">
            <v>4453</v>
          </cell>
          <cell r="AO32">
            <v>17893</v>
          </cell>
          <cell r="AT32">
            <v>77181</v>
          </cell>
          <cell r="AY32">
            <v>26321</v>
          </cell>
          <cell r="BD32">
            <v>48290</v>
          </cell>
          <cell r="BI32">
            <v>82488</v>
          </cell>
          <cell r="BN32">
            <v>80327</v>
          </cell>
          <cell r="BS32">
            <v>2330</v>
          </cell>
          <cell r="BX32">
            <v>2347</v>
          </cell>
          <cell r="CC32">
            <v>5919</v>
          </cell>
          <cell r="CH32">
            <v>2658</v>
          </cell>
          <cell r="CM32">
            <v>4196</v>
          </cell>
          <cell r="CR32">
            <v>269</v>
          </cell>
          <cell r="CW32">
            <v>844</v>
          </cell>
          <cell r="DB32">
            <v>852</v>
          </cell>
          <cell r="DL32">
            <v>390</v>
          </cell>
        </row>
        <row r="33">
          <cell r="F33">
            <v>92898</v>
          </cell>
          <cell r="K33">
            <v>17849</v>
          </cell>
          <cell r="P33">
            <v>27541</v>
          </cell>
          <cell r="U33">
            <v>18467</v>
          </cell>
          <cell r="Z33">
            <v>18199</v>
          </cell>
          <cell r="AE33">
            <v>8213</v>
          </cell>
          <cell r="AJ33">
            <v>4660</v>
          </cell>
          <cell r="AO33">
            <v>18629</v>
          </cell>
          <cell r="AT33">
            <v>84491</v>
          </cell>
          <cell r="AY33">
            <v>28116</v>
          </cell>
          <cell r="BD33">
            <v>50272</v>
          </cell>
          <cell r="BI33">
            <v>85362</v>
          </cell>
          <cell r="BN33">
            <v>85829</v>
          </cell>
          <cell r="BS33">
            <v>2476</v>
          </cell>
          <cell r="BX33">
            <v>2581</v>
          </cell>
          <cell r="CC33">
            <v>6332</v>
          </cell>
          <cell r="CH33">
            <v>2877</v>
          </cell>
          <cell r="CM33">
            <v>4445</v>
          </cell>
          <cell r="CR33">
            <v>301</v>
          </cell>
          <cell r="CW33">
            <v>890</v>
          </cell>
          <cell r="DB33">
            <v>931</v>
          </cell>
          <cell r="DL33">
            <v>458</v>
          </cell>
        </row>
        <row r="34">
          <cell r="F34">
            <v>94883</v>
          </cell>
          <cell r="K34">
            <v>21180</v>
          </cell>
          <cell r="P34">
            <v>28586</v>
          </cell>
          <cell r="U34">
            <v>19608</v>
          </cell>
          <cell r="Z34">
            <v>18653</v>
          </cell>
          <cell r="AE34">
            <v>8888</v>
          </cell>
          <cell r="AJ34">
            <v>5777</v>
          </cell>
          <cell r="AO34">
            <v>21096</v>
          </cell>
          <cell r="AT34">
            <v>88174</v>
          </cell>
          <cell r="AY34">
            <v>30361</v>
          </cell>
          <cell r="BD34">
            <v>51890</v>
          </cell>
          <cell r="BI34">
            <v>88296</v>
          </cell>
          <cell r="BN34">
            <v>88383</v>
          </cell>
          <cell r="BS34">
            <v>2640</v>
          </cell>
          <cell r="BX34">
            <v>2758</v>
          </cell>
          <cell r="CC34">
            <v>6966</v>
          </cell>
          <cell r="CH34">
            <v>3153</v>
          </cell>
          <cell r="CM34">
            <v>4566</v>
          </cell>
          <cell r="CR34">
            <v>328</v>
          </cell>
          <cell r="CW34">
            <v>967</v>
          </cell>
          <cell r="DB34">
            <v>1007</v>
          </cell>
          <cell r="DL34">
            <v>542</v>
          </cell>
        </row>
        <row r="35">
          <cell r="F35">
            <v>99133</v>
          </cell>
          <cell r="K35">
            <v>22218</v>
          </cell>
          <cell r="P35">
            <v>29979</v>
          </cell>
          <cell r="U35">
            <v>20727</v>
          </cell>
          <cell r="Z35">
            <v>19624</v>
          </cell>
          <cell r="AE35">
            <v>9522</v>
          </cell>
          <cell r="AJ35">
            <v>5950</v>
          </cell>
          <cell r="AO35">
            <v>21757</v>
          </cell>
          <cell r="AT35">
            <v>96367</v>
          </cell>
          <cell r="AY35">
            <v>32256</v>
          </cell>
          <cell r="BD35">
            <v>55553</v>
          </cell>
          <cell r="BI35">
            <v>91245</v>
          </cell>
          <cell r="BN35">
            <v>92593</v>
          </cell>
          <cell r="BS35">
            <v>2805</v>
          </cell>
          <cell r="BX35">
            <v>2965</v>
          </cell>
          <cell r="CC35">
            <v>7814</v>
          </cell>
          <cell r="CH35">
            <v>3415</v>
          </cell>
          <cell r="CM35">
            <v>4887</v>
          </cell>
          <cell r="CR35">
            <v>380</v>
          </cell>
          <cell r="CW35">
            <v>1043</v>
          </cell>
          <cell r="DB35">
            <v>1103</v>
          </cell>
          <cell r="DL35">
            <v>620</v>
          </cell>
        </row>
        <row r="36">
          <cell r="F36">
            <v>103052</v>
          </cell>
          <cell r="K36">
            <v>23007</v>
          </cell>
          <cell r="P36">
            <v>32149</v>
          </cell>
          <cell r="U36">
            <v>21971</v>
          </cell>
          <cell r="Z36">
            <v>19930</v>
          </cell>
          <cell r="AE36">
            <v>11417</v>
          </cell>
          <cell r="AJ36">
            <v>6190</v>
          </cell>
          <cell r="AO36">
            <v>22486</v>
          </cell>
          <cell r="AT36">
            <v>106948</v>
          </cell>
          <cell r="AY36">
            <v>34470</v>
          </cell>
          <cell r="BD36">
            <v>58142</v>
          </cell>
          <cell r="BI36">
            <v>93782</v>
          </cell>
          <cell r="BN36">
            <v>95081</v>
          </cell>
          <cell r="BS36">
            <v>3016</v>
          </cell>
          <cell r="BX36">
            <v>3249</v>
          </cell>
          <cell r="CC36">
            <v>8658</v>
          </cell>
          <cell r="CH36">
            <v>4530</v>
          </cell>
          <cell r="CM36">
            <v>5027</v>
          </cell>
          <cell r="CR36">
            <v>405</v>
          </cell>
          <cell r="CW36">
            <v>1091</v>
          </cell>
          <cell r="DB36">
            <v>1208</v>
          </cell>
          <cell r="DL36">
            <v>749</v>
          </cell>
        </row>
        <row r="37">
          <cell r="F37">
            <v>105718</v>
          </cell>
          <cell r="K37">
            <v>23870</v>
          </cell>
          <cell r="P37">
            <v>36432</v>
          </cell>
          <cell r="U37">
            <v>23111</v>
          </cell>
          <cell r="Z37">
            <v>20254</v>
          </cell>
          <cell r="AE37">
            <v>12230</v>
          </cell>
          <cell r="AJ37">
            <v>6594</v>
          </cell>
          <cell r="AO37">
            <v>23035</v>
          </cell>
          <cell r="AT37">
            <v>109987</v>
          </cell>
          <cell r="AY37">
            <v>36480</v>
          </cell>
          <cell r="BD37">
            <v>59543</v>
          </cell>
          <cell r="BI37">
            <v>99778</v>
          </cell>
          <cell r="BN37">
            <v>97037</v>
          </cell>
          <cell r="BS37">
            <v>3443</v>
          </cell>
          <cell r="BX37">
            <v>3442</v>
          </cell>
          <cell r="CC37">
            <v>8947</v>
          </cell>
          <cell r="CH37">
            <v>4790</v>
          </cell>
          <cell r="CM37">
            <v>5592</v>
          </cell>
          <cell r="CR37">
            <v>580</v>
          </cell>
          <cell r="CW37">
            <v>1151</v>
          </cell>
          <cell r="DB37">
            <v>1300</v>
          </cell>
          <cell r="DL37">
            <v>846</v>
          </cell>
        </row>
        <row r="38">
          <cell r="F38">
            <v>107453</v>
          </cell>
          <cell r="K38">
            <v>24690</v>
          </cell>
          <cell r="P38">
            <v>37212</v>
          </cell>
          <cell r="U38">
            <v>25551</v>
          </cell>
          <cell r="Z38">
            <v>20856</v>
          </cell>
          <cell r="AE38">
            <v>13771</v>
          </cell>
          <cell r="AJ38">
            <v>6678</v>
          </cell>
          <cell r="AO38">
            <v>24818</v>
          </cell>
          <cell r="AT38">
            <v>113096</v>
          </cell>
          <cell r="AY38">
            <v>38571</v>
          </cell>
          <cell r="BD38">
            <v>61337</v>
          </cell>
          <cell r="BI38">
            <v>102252</v>
          </cell>
          <cell r="BN38">
            <v>102333</v>
          </cell>
          <cell r="BS38">
            <v>3880</v>
          </cell>
          <cell r="BX38">
            <v>4099</v>
          </cell>
          <cell r="CC38">
            <v>9300</v>
          </cell>
          <cell r="CH38">
            <v>4990</v>
          </cell>
          <cell r="CM38">
            <v>6196</v>
          </cell>
          <cell r="CR38">
            <v>659</v>
          </cell>
          <cell r="CW38">
            <v>1384</v>
          </cell>
          <cell r="DB38">
            <v>1411</v>
          </cell>
          <cell r="DL38">
            <v>969</v>
          </cell>
        </row>
        <row r="39">
          <cell r="F39">
            <v>109789</v>
          </cell>
          <cell r="K39">
            <v>27020</v>
          </cell>
          <cell r="P39">
            <v>38316</v>
          </cell>
          <cell r="U39">
            <v>26380</v>
          </cell>
          <cell r="Z39">
            <v>21060</v>
          </cell>
          <cell r="AE39">
            <v>14244</v>
          </cell>
          <cell r="AJ39">
            <v>6804</v>
          </cell>
          <cell r="AO39">
            <v>25204</v>
          </cell>
          <cell r="AT39">
            <v>115647</v>
          </cell>
          <cell r="AY39">
            <v>40767</v>
          </cell>
          <cell r="BD39">
            <v>62415</v>
          </cell>
          <cell r="BI39">
            <v>104309</v>
          </cell>
          <cell r="BN39">
            <v>103658</v>
          </cell>
          <cell r="BS39">
            <v>4064</v>
          </cell>
          <cell r="BX39">
            <v>4305</v>
          </cell>
          <cell r="CC39">
            <v>9402</v>
          </cell>
          <cell r="CH39">
            <v>5146</v>
          </cell>
          <cell r="CM39">
            <v>6364</v>
          </cell>
          <cell r="CR39">
            <v>681</v>
          </cell>
          <cell r="CW39">
            <v>1407</v>
          </cell>
          <cell r="DB39">
            <v>1530</v>
          </cell>
          <cell r="DL39">
            <v>1063</v>
          </cell>
        </row>
        <row r="40">
          <cell r="F40">
            <v>111516</v>
          </cell>
          <cell r="K40">
            <v>27290</v>
          </cell>
          <cell r="P40">
            <v>39166</v>
          </cell>
          <cell r="U40">
            <v>27059</v>
          </cell>
          <cell r="Z40">
            <v>21136</v>
          </cell>
          <cell r="AE40">
            <v>14803</v>
          </cell>
          <cell r="AJ40">
            <v>6834</v>
          </cell>
          <cell r="AO40">
            <v>25402</v>
          </cell>
          <cell r="AT40">
            <v>118445</v>
          </cell>
          <cell r="AY40">
            <v>42491</v>
          </cell>
          <cell r="BD40">
            <v>63184</v>
          </cell>
          <cell r="BI40">
            <v>105830</v>
          </cell>
          <cell r="BN40">
            <v>105207</v>
          </cell>
          <cell r="BS40">
            <v>4184</v>
          </cell>
          <cell r="BX40">
            <v>4467</v>
          </cell>
          <cell r="CC40">
            <v>9463</v>
          </cell>
          <cell r="CH40">
            <v>5236</v>
          </cell>
          <cell r="CM40">
            <v>6430</v>
          </cell>
          <cell r="CR40">
            <v>711</v>
          </cell>
          <cell r="CW40">
            <v>1433</v>
          </cell>
          <cell r="DB40">
            <v>1649</v>
          </cell>
          <cell r="DL40">
            <v>1226</v>
          </cell>
        </row>
        <row r="41">
          <cell r="F41">
            <v>113473</v>
          </cell>
          <cell r="K41">
            <v>27633</v>
          </cell>
          <cell r="P41">
            <v>40189</v>
          </cell>
          <cell r="U41">
            <v>28533</v>
          </cell>
          <cell r="Z41">
            <v>21291</v>
          </cell>
          <cell r="AE41">
            <v>15494</v>
          </cell>
          <cell r="AJ41">
            <v>6902</v>
          </cell>
          <cell r="AO41">
            <v>25668</v>
          </cell>
          <cell r="AT41">
            <v>119268</v>
          </cell>
          <cell r="AY41">
            <v>44761</v>
          </cell>
          <cell r="BD41">
            <v>64220</v>
          </cell>
          <cell r="BI41">
            <v>109011</v>
          </cell>
          <cell r="BN41">
            <v>105908</v>
          </cell>
          <cell r="BS41">
            <v>4407</v>
          </cell>
          <cell r="BX41">
            <v>4753</v>
          </cell>
          <cell r="CC41">
            <v>9533</v>
          </cell>
          <cell r="CH41">
            <v>5410</v>
          </cell>
          <cell r="CM41">
            <v>6635</v>
          </cell>
          <cell r="CR41">
            <v>742</v>
          </cell>
          <cell r="CW41">
            <v>1460</v>
          </cell>
          <cell r="DB41">
            <v>1778</v>
          </cell>
          <cell r="DL41">
            <v>1303</v>
          </cell>
        </row>
        <row r="42">
          <cell r="F42">
            <v>120181</v>
          </cell>
          <cell r="K42">
            <v>27781</v>
          </cell>
          <cell r="P42">
            <v>40402</v>
          </cell>
          <cell r="U42">
            <v>29138</v>
          </cell>
          <cell r="Z42">
            <v>21313</v>
          </cell>
          <cell r="AE42">
            <v>15805</v>
          </cell>
          <cell r="AJ42">
            <v>6919</v>
          </cell>
          <cell r="AO42">
            <v>25777</v>
          </cell>
          <cell r="AT42">
            <v>119709</v>
          </cell>
          <cell r="AY42">
            <v>46561</v>
          </cell>
          <cell r="BD42">
            <v>64487</v>
          </cell>
          <cell r="BI42">
            <v>110174</v>
          </cell>
          <cell r="BN42">
            <v>107168</v>
          </cell>
          <cell r="BS42">
            <v>4483</v>
          </cell>
          <cell r="BX42">
            <v>4933</v>
          </cell>
          <cell r="CC42">
            <v>9559</v>
          </cell>
          <cell r="CH42">
            <v>5442</v>
          </cell>
          <cell r="CM42">
            <v>6679</v>
          </cell>
          <cell r="CR42">
            <v>756</v>
          </cell>
          <cell r="CW42">
            <v>1468</v>
          </cell>
          <cell r="DB42">
            <v>1966</v>
          </cell>
          <cell r="DL42">
            <v>1345</v>
          </cell>
        </row>
        <row r="43">
          <cell r="F43">
            <v>121117</v>
          </cell>
          <cell r="K43">
            <v>28015</v>
          </cell>
          <cell r="P43">
            <v>40593</v>
          </cell>
          <cell r="U43">
            <v>29496</v>
          </cell>
          <cell r="AE43">
            <v>15897</v>
          </cell>
          <cell r="AO43">
            <v>25934</v>
          </cell>
          <cell r="AT43">
            <v>120381</v>
          </cell>
          <cell r="AY43">
            <v>49548</v>
          </cell>
          <cell r="BD43">
            <v>64725</v>
          </cell>
          <cell r="BI43">
            <v>111211</v>
          </cell>
          <cell r="BN43">
            <v>107454</v>
          </cell>
          <cell r="BS43">
            <v>4620</v>
          </cell>
          <cell r="BX43">
            <v>5001</v>
          </cell>
          <cell r="CH43">
            <v>5489</v>
          </cell>
          <cell r="CM43">
            <v>6706</v>
          </cell>
          <cell r="CR43">
            <v>816</v>
          </cell>
          <cell r="CW43">
            <v>1471</v>
          </cell>
          <cell r="DB43">
            <v>2078</v>
          </cell>
          <cell r="DL43">
            <v>1393</v>
          </cell>
        </row>
        <row r="44">
          <cell r="F44">
            <v>121496</v>
          </cell>
          <cell r="K44">
            <v>28059</v>
          </cell>
          <cell r="P44">
            <v>40790</v>
          </cell>
          <cell r="U44">
            <v>29846</v>
          </cell>
          <cell r="AE44">
            <v>15992</v>
          </cell>
          <cell r="AO44">
            <v>25967</v>
          </cell>
          <cell r="AT44">
            <v>120581</v>
          </cell>
          <cell r="AY44">
            <v>50954</v>
          </cell>
          <cell r="BD44">
            <v>64785</v>
          </cell>
          <cell r="BI44">
            <v>111792</v>
          </cell>
          <cell r="BN44">
            <v>107756</v>
          </cell>
          <cell r="BS44">
            <v>4656</v>
          </cell>
          <cell r="BX44">
            <v>5111</v>
          </cell>
          <cell r="CH44">
            <v>5499</v>
          </cell>
          <cell r="CM44">
            <v>6719</v>
          </cell>
          <cell r="CR44">
            <v>828</v>
          </cell>
          <cell r="DB44">
            <v>2494</v>
          </cell>
          <cell r="DL44">
            <v>1464</v>
          </cell>
        </row>
        <row r="45">
          <cell r="F45">
            <v>121746</v>
          </cell>
          <cell r="P45">
            <v>40869</v>
          </cell>
          <cell r="U45">
            <v>30058</v>
          </cell>
          <cell r="AE45">
            <v>16075</v>
          </cell>
          <cell r="AY45">
            <v>52036</v>
          </cell>
          <cell r="BD45">
            <v>64884</v>
          </cell>
          <cell r="BI45">
            <v>112630</v>
          </cell>
          <cell r="BN45">
            <v>107867</v>
          </cell>
          <cell r="BS45">
            <v>4682</v>
          </cell>
          <cell r="BX45">
            <v>5199</v>
          </cell>
          <cell r="CR45">
            <v>837</v>
          </cell>
          <cell r="DB45">
            <v>2577</v>
          </cell>
          <cell r="DL45">
            <v>1491</v>
          </cell>
        </row>
        <row r="46">
          <cell r="F46">
            <v>122083</v>
          </cell>
          <cell r="U46">
            <v>30197</v>
          </cell>
          <cell r="AE46">
            <v>16100</v>
          </cell>
          <cell r="AY46">
            <v>53092</v>
          </cell>
          <cell r="BD46">
            <v>64919</v>
          </cell>
          <cell r="BI46">
            <v>112821</v>
          </cell>
          <cell r="BS46">
            <v>4692</v>
          </cell>
          <cell r="BX46">
            <v>5237</v>
          </cell>
          <cell r="CR46">
            <v>844</v>
          </cell>
          <cell r="DB46">
            <v>2702</v>
          </cell>
          <cell r="DL46">
            <v>1520</v>
          </cell>
        </row>
        <row r="47">
          <cell r="F47">
            <v>122206</v>
          </cell>
          <cell r="U47">
            <v>30270</v>
          </cell>
          <cell r="AY47">
            <v>53574</v>
          </cell>
          <cell r="BI47">
            <v>113015</v>
          </cell>
          <cell r="BX47">
            <v>5258</v>
          </cell>
          <cell r="CR47">
            <v>850</v>
          </cell>
          <cell r="DB47">
            <v>2784</v>
          </cell>
          <cell r="DL47">
            <v>1567</v>
          </cell>
        </row>
        <row r="48">
          <cell r="U48">
            <v>30332</v>
          </cell>
          <cell r="AY48">
            <v>54078</v>
          </cell>
          <cell r="BI48">
            <v>113076</v>
          </cell>
          <cell r="DB48">
            <v>2834</v>
          </cell>
          <cell r="DL48">
            <v>1578</v>
          </cell>
        </row>
        <row r="49">
          <cell r="U49">
            <v>30372</v>
          </cell>
          <cell r="AY49">
            <v>54394</v>
          </cell>
          <cell r="DB49">
            <v>2884</v>
          </cell>
          <cell r="DL49">
            <v>1590</v>
          </cell>
        </row>
        <row r="50">
          <cell r="AY50">
            <v>54508</v>
          </cell>
          <cell r="DB50">
            <v>2923</v>
          </cell>
          <cell r="DL50">
            <v>1598</v>
          </cell>
        </row>
        <row r="51">
          <cell r="AY51">
            <v>54653</v>
          </cell>
          <cell r="DB51">
            <v>2938</v>
          </cell>
        </row>
        <row r="52">
          <cell r="AY52">
            <v>54697</v>
          </cell>
          <cell r="DB52">
            <v>2966</v>
          </cell>
        </row>
        <row r="53">
          <cell r="DB53">
            <v>2972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F596D-1499-418A-8860-3C8EB1877B25}">
  <sheetPr codeName="Sheet1"/>
  <dimension ref="B3:E26"/>
  <sheetViews>
    <sheetView topLeftCell="A4" workbookViewId="0">
      <selection activeCell="C4" sqref="C4:E26"/>
    </sheetView>
  </sheetViews>
  <sheetFormatPr defaultRowHeight="17"/>
  <cols>
    <col min="2" max="2" width="22" style="1" customWidth="1"/>
    <col min="3" max="5" width="12.58203125" style="1" customWidth="1"/>
  </cols>
  <sheetData>
    <row r="3" spans="2:5">
      <c r="C3" s="1" t="s">
        <v>1</v>
      </c>
      <c r="D3" s="1" t="s">
        <v>2</v>
      </c>
      <c r="E3" s="1" t="s">
        <v>0</v>
      </c>
    </row>
    <row r="4" spans="2:5">
      <c r="B4" s="1" t="s">
        <v>3</v>
      </c>
      <c r="C4" s="1">
        <f>MAX('[1]인원 입력 기능'!F:F)</f>
        <v>122206</v>
      </c>
      <c r="D4" s="1">
        <v>26.05</v>
      </c>
      <c r="E4" s="1">
        <v>11.5</v>
      </c>
    </row>
    <row r="5" spans="2:5">
      <c r="B5" s="1" t="s">
        <v>4</v>
      </c>
      <c r="C5" s="1">
        <f>MAX('[1]인원 입력 기능'!K:K)</f>
        <v>28059</v>
      </c>
      <c r="D5" s="1">
        <v>22.06</v>
      </c>
      <c r="E5" s="1">
        <v>12.18</v>
      </c>
    </row>
    <row r="6" spans="2:5">
      <c r="B6" s="1" t="s">
        <v>5</v>
      </c>
      <c r="C6" s="1">
        <f>MAX('[1]인원 입력 기능'!P:P)</f>
        <v>40869</v>
      </c>
      <c r="D6" s="1">
        <v>22.55</v>
      </c>
      <c r="E6" s="1">
        <v>12.22</v>
      </c>
    </row>
    <row r="7" spans="2:5">
      <c r="B7" s="1" t="s">
        <v>6</v>
      </c>
      <c r="C7" s="1">
        <f>MAX('[1]인원 입력 기능'!U:U)</f>
        <v>30372</v>
      </c>
      <c r="D7" s="1">
        <v>22.34</v>
      </c>
      <c r="E7" s="1">
        <v>10.93</v>
      </c>
    </row>
    <row r="8" spans="2:5">
      <c r="B8" s="1" t="s">
        <v>7</v>
      </c>
      <c r="C8" s="1">
        <f>MAX('[1]인원 입력 기능'!Z:Z)</f>
        <v>21313</v>
      </c>
      <c r="D8" s="1">
        <v>26.25</v>
      </c>
      <c r="E8" s="1">
        <v>13.12</v>
      </c>
    </row>
    <row r="9" spans="2:5">
      <c r="B9" s="1" t="s">
        <v>8</v>
      </c>
      <c r="C9" s="1">
        <f>MAX('[1]인원 입력 기능'!AE:AE)</f>
        <v>16100</v>
      </c>
      <c r="D9" s="1">
        <v>19.559999999999999</v>
      </c>
      <c r="E9" s="1">
        <v>11.87</v>
      </c>
    </row>
    <row r="10" spans="2:5">
      <c r="B10" s="1" t="s">
        <v>9</v>
      </c>
      <c r="C10" s="1">
        <f>MAX('[1]인원 입력 기능'!AJ:AJ)</f>
        <v>6919</v>
      </c>
      <c r="D10" s="1">
        <v>21.81</v>
      </c>
      <c r="E10" s="1">
        <v>12.89</v>
      </c>
    </row>
    <row r="11" spans="2:5">
      <c r="B11" s="1" t="s">
        <v>34</v>
      </c>
      <c r="C11" s="1">
        <f>MAX('[1]인원 입력 기능'!AO:AO)</f>
        <v>25967</v>
      </c>
      <c r="D11" s="1">
        <v>24.44</v>
      </c>
      <c r="E11" s="1">
        <v>12.22</v>
      </c>
    </row>
    <row r="12" spans="2:5">
      <c r="B12" s="1" t="s">
        <v>10</v>
      </c>
      <c r="C12" s="1">
        <f>MAX('[1]인원 입력 기능'!AT:AT)</f>
        <v>120581</v>
      </c>
      <c r="D12" s="1">
        <v>23.16</v>
      </c>
      <c r="E12" s="1">
        <v>12.54</v>
      </c>
    </row>
    <row r="13" spans="2:5">
      <c r="B13" s="1" t="s">
        <v>33</v>
      </c>
      <c r="C13" s="1">
        <f>MAX('[1]인원 입력 기능'!AY:AY)</f>
        <v>54697</v>
      </c>
      <c r="D13" s="1">
        <v>21.44</v>
      </c>
      <c r="E13" s="1">
        <v>10.31</v>
      </c>
    </row>
    <row r="14" spans="2:5">
      <c r="B14" s="1" t="s">
        <v>11</v>
      </c>
      <c r="C14" s="1">
        <f>MAX('[1]인원 입력 기능'!BD:BD)</f>
        <v>64919</v>
      </c>
      <c r="D14" s="1">
        <v>26.75</v>
      </c>
      <c r="E14" s="1">
        <v>11.96</v>
      </c>
    </row>
    <row r="15" spans="2:5">
      <c r="B15" s="1" t="s">
        <v>12</v>
      </c>
      <c r="C15" s="1">
        <f>MAX('[1]인원 입력 기능'!BI:BI)</f>
        <v>113076</v>
      </c>
      <c r="D15" s="1">
        <v>27</v>
      </c>
      <c r="E15" s="1">
        <v>11.25</v>
      </c>
    </row>
    <row r="16" spans="2:5">
      <c r="B16" s="1" t="s">
        <v>13</v>
      </c>
      <c r="C16" s="1">
        <f>MAX('[1]인원 입력 기능'!BN:BN)</f>
        <v>107867</v>
      </c>
      <c r="D16" s="1">
        <v>26.55</v>
      </c>
      <c r="E16" s="1">
        <v>12.22</v>
      </c>
    </row>
    <row r="17" spans="2:5">
      <c r="B17" s="1" t="s">
        <v>32</v>
      </c>
      <c r="C17" s="1">
        <f>MAX('[1]인원 입력 기능'!BS:BS)</f>
        <v>4692</v>
      </c>
      <c r="D17" s="1">
        <v>19.73</v>
      </c>
      <c r="E17" s="1">
        <v>11.73</v>
      </c>
    </row>
    <row r="18" spans="2:5">
      <c r="B18" s="1" t="s">
        <v>14</v>
      </c>
      <c r="C18" s="1">
        <f>MAX('[1]인원 입력 기능'!BX:BX)</f>
        <v>5258</v>
      </c>
      <c r="D18" s="1">
        <v>19.440000000000001</v>
      </c>
      <c r="E18" s="1">
        <v>11.38</v>
      </c>
    </row>
    <row r="19" spans="2:5">
      <c r="B19" s="1" t="s">
        <v>15</v>
      </c>
      <c r="C19" s="1">
        <f>MAX('[1]인원 입력 기능'!CC:CC)</f>
        <v>9559</v>
      </c>
      <c r="D19" s="1">
        <v>20.16</v>
      </c>
      <c r="E19" s="1">
        <v>13.34</v>
      </c>
    </row>
    <row r="20" spans="2:5">
      <c r="B20" s="1" t="s">
        <v>16</v>
      </c>
      <c r="C20" s="1">
        <f>MAX('[1]인원 입력 기능'!CH:CH)</f>
        <v>5499</v>
      </c>
      <c r="D20" s="1">
        <v>19.28</v>
      </c>
      <c r="E20" s="1">
        <v>12.4</v>
      </c>
    </row>
    <row r="21" spans="2:5">
      <c r="B21" s="1" t="s">
        <v>36</v>
      </c>
      <c r="C21" s="1">
        <f>MAX('[1]인원 입력 기능'!CM:CM)</f>
        <v>6719</v>
      </c>
      <c r="D21" s="1">
        <v>23.18</v>
      </c>
      <c r="E21" s="1">
        <v>12.53</v>
      </c>
    </row>
    <row r="22" spans="2:5">
      <c r="B22" s="1" t="s">
        <v>26</v>
      </c>
      <c r="C22" s="1">
        <f>MAX('[1]인원 입력 기능'!CR:CR)</f>
        <v>850</v>
      </c>
      <c r="D22" s="1">
        <v>14.516470588235293</v>
      </c>
      <c r="E22" s="1">
        <v>8.5045502984312318</v>
      </c>
    </row>
    <row r="23" spans="2:5">
      <c r="B23" s="1" t="s">
        <v>27</v>
      </c>
      <c r="C23" s="1">
        <f>MAX('[1]인원 입력 기능'!CW:CW)</f>
        <v>1471</v>
      </c>
      <c r="D23" s="1">
        <v>20.27</v>
      </c>
      <c r="E23" s="1">
        <v>12.85</v>
      </c>
    </row>
    <row r="24" spans="2:5">
      <c r="B24" s="1" t="s">
        <v>28</v>
      </c>
      <c r="C24" s="1">
        <f>MAX('[1]인원 입력 기능'!DB:DB)</f>
        <v>2972</v>
      </c>
      <c r="D24" s="1">
        <v>17.457940780619111</v>
      </c>
      <c r="E24" s="1">
        <v>9.7159479317170234</v>
      </c>
    </row>
    <row r="25" spans="2:5">
      <c r="B25" s="1" t="s">
        <v>35</v>
      </c>
      <c r="C25" s="1">
        <f>MAX('[1]인원 입력 기능'!DG:DG)</f>
        <v>162</v>
      </c>
      <c r="D25" s="1">
        <v>13.234567901234568</v>
      </c>
      <c r="E25" s="1">
        <v>5.2617220223469756</v>
      </c>
    </row>
    <row r="26" spans="2:5">
      <c r="B26" s="1" t="s">
        <v>29</v>
      </c>
      <c r="C26" s="1">
        <f>MAX('[1]인원 입력 기능'!DL:DL)</f>
        <v>1598</v>
      </c>
      <c r="D26" s="1">
        <v>14.839799749687108</v>
      </c>
      <c r="E26" s="1">
        <v>6.9440364711809615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매크로3">
                <anchor moveWithCells="1" sizeWithCells="1">
                  <from>
                    <xdr:col>6</xdr:col>
                    <xdr:colOff>6350</xdr:colOff>
                    <xdr:row>5</xdr:row>
                    <xdr:rowOff>6350</xdr:rowOff>
                  </from>
                  <to>
                    <xdr:col>8</xdr:col>
                    <xdr:colOff>6350</xdr:colOff>
                    <xdr:row>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3C3CE-17EB-47DF-B598-C7487F2B56E7}">
  <sheetPr codeName="Sheet2"/>
  <dimension ref="B3:DL53"/>
  <sheetViews>
    <sheetView topLeftCell="A7" zoomScale="60" zoomScaleNormal="60" workbookViewId="0">
      <selection sqref="A1:XFD1048576"/>
    </sheetView>
  </sheetViews>
  <sheetFormatPr defaultRowHeight="17"/>
  <cols>
    <col min="5" max="5" width="8.6640625" customWidth="1"/>
    <col min="7" max="8" width="8.6640625" customWidth="1"/>
    <col min="58" max="58" width="8.6640625" customWidth="1"/>
  </cols>
  <sheetData>
    <row r="3" spans="2:116">
      <c r="B3" s="123" t="s">
        <v>116</v>
      </c>
      <c r="C3" s="124"/>
      <c r="D3" s="124"/>
      <c r="E3" s="124"/>
      <c r="F3" s="125"/>
      <c r="G3" s="123" t="s">
        <v>117</v>
      </c>
      <c r="H3" s="124"/>
      <c r="I3" s="124"/>
      <c r="J3" s="124"/>
      <c r="K3" s="126"/>
      <c r="L3" s="123" t="s">
        <v>118</v>
      </c>
      <c r="M3" s="124"/>
      <c r="N3" s="124"/>
      <c r="O3" s="124"/>
      <c r="P3" s="126"/>
      <c r="Q3" s="123" t="s">
        <v>119</v>
      </c>
      <c r="R3" s="124"/>
      <c r="S3" s="124"/>
      <c r="T3" s="124"/>
      <c r="U3" s="126"/>
      <c r="V3" s="127" t="s">
        <v>120</v>
      </c>
      <c r="W3" s="128"/>
      <c r="X3" s="128"/>
      <c r="Y3" s="128"/>
      <c r="Z3" s="129"/>
      <c r="AA3" s="127" t="s">
        <v>121</v>
      </c>
      <c r="AB3" s="128"/>
      <c r="AC3" s="128"/>
      <c r="AD3" s="128"/>
      <c r="AE3" s="129"/>
      <c r="AF3" s="127" t="s">
        <v>122</v>
      </c>
      <c r="AG3" s="128"/>
      <c r="AH3" s="128"/>
      <c r="AI3" s="128"/>
      <c r="AJ3" s="129"/>
      <c r="AK3" s="130" t="s">
        <v>123</v>
      </c>
      <c r="AL3" s="128"/>
      <c r="AM3" s="128"/>
      <c r="AN3" s="128"/>
      <c r="AO3" s="129"/>
      <c r="AP3" s="131" t="s">
        <v>124</v>
      </c>
      <c r="AQ3" s="132"/>
      <c r="AR3" s="132"/>
      <c r="AS3" s="132"/>
      <c r="AT3" s="133"/>
      <c r="AU3" s="134" t="s">
        <v>125</v>
      </c>
      <c r="AV3" s="135"/>
      <c r="AW3" s="135"/>
      <c r="AX3" s="135"/>
      <c r="AY3" s="136"/>
      <c r="AZ3" s="134" t="s">
        <v>126</v>
      </c>
      <c r="BA3" s="135"/>
      <c r="BB3" s="135"/>
      <c r="BC3" s="135"/>
      <c r="BD3" s="136"/>
      <c r="BE3" s="134" t="s">
        <v>127</v>
      </c>
      <c r="BF3" s="135"/>
      <c r="BG3" s="135"/>
      <c r="BH3" s="135"/>
      <c r="BI3" s="136"/>
      <c r="BJ3" s="137" t="s">
        <v>128</v>
      </c>
      <c r="BK3" s="138"/>
      <c r="BL3" s="138"/>
      <c r="BM3" s="138"/>
      <c r="BN3" s="139"/>
      <c r="BO3" s="134" t="s">
        <v>129</v>
      </c>
      <c r="BP3" s="135"/>
      <c r="BQ3" s="135"/>
      <c r="BR3" s="135"/>
      <c r="BS3" s="136"/>
      <c r="BT3" s="134" t="s">
        <v>130</v>
      </c>
      <c r="BU3" s="135"/>
      <c r="BV3" s="135"/>
      <c r="BW3" s="135"/>
      <c r="BX3" s="136"/>
      <c r="BY3" s="134" t="s">
        <v>131</v>
      </c>
      <c r="BZ3" s="135"/>
      <c r="CA3" s="135"/>
      <c r="CB3" s="135"/>
      <c r="CC3" s="136"/>
      <c r="CD3" s="137" t="s">
        <v>132</v>
      </c>
      <c r="CE3" s="138"/>
      <c r="CF3" s="138"/>
      <c r="CG3" s="138"/>
      <c r="CH3" s="139"/>
      <c r="CI3" s="140" t="s">
        <v>133</v>
      </c>
      <c r="CJ3" s="141"/>
      <c r="CK3" s="141"/>
      <c r="CL3" s="141"/>
      <c r="CM3" s="142"/>
      <c r="CN3" s="143" t="s">
        <v>134</v>
      </c>
      <c r="CO3" s="144"/>
      <c r="CP3" s="144"/>
      <c r="CQ3" s="144"/>
      <c r="CR3" s="145"/>
      <c r="CS3" s="143" t="s">
        <v>135</v>
      </c>
      <c r="CT3" s="144"/>
      <c r="CU3" s="144"/>
      <c r="CV3" s="144"/>
      <c r="CW3" s="145"/>
      <c r="CX3" s="143" t="s">
        <v>136</v>
      </c>
      <c r="CY3" s="144"/>
      <c r="CZ3" s="144"/>
      <c r="DA3" s="144"/>
      <c r="DB3" s="145"/>
      <c r="DC3" s="146" t="s">
        <v>137</v>
      </c>
      <c r="DD3" s="147"/>
      <c r="DE3" s="147"/>
      <c r="DF3" s="147"/>
      <c r="DG3" s="148"/>
      <c r="DH3" s="143" t="s">
        <v>138</v>
      </c>
      <c r="DI3" s="144"/>
      <c r="DJ3" s="144"/>
      <c r="DK3" s="144"/>
      <c r="DL3" s="145"/>
    </row>
    <row r="4" spans="2:116">
      <c r="B4" s="149" t="s">
        <v>139</v>
      </c>
      <c r="C4" s="150" t="s">
        <v>140</v>
      </c>
      <c r="D4" s="150" t="s">
        <v>141</v>
      </c>
      <c r="E4" s="150" t="s">
        <v>142</v>
      </c>
      <c r="F4" s="151" t="s">
        <v>143</v>
      </c>
      <c r="G4" s="149" t="s">
        <v>139</v>
      </c>
      <c r="H4" s="150" t="s">
        <v>140</v>
      </c>
      <c r="I4" s="150" t="s">
        <v>141</v>
      </c>
      <c r="J4" s="150" t="s">
        <v>142</v>
      </c>
      <c r="K4" s="152" t="s">
        <v>143</v>
      </c>
      <c r="L4" s="149" t="s">
        <v>139</v>
      </c>
      <c r="M4" s="150" t="s">
        <v>140</v>
      </c>
      <c r="N4" s="150" t="s">
        <v>141</v>
      </c>
      <c r="O4" s="150" t="s">
        <v>142</v>
      </c>
      <c r="P4" s="152" t="s">
        <v>143</v>
      </c>
      <c r="Q4" s="149" t="s">
        <v>139</v>
      </c>
      <c r="R4" s="150" t="s">
        <v>140</v>
      </c>
      <c r="S4" s="150" t="s">
        <v>141</v>
      </c>
      <c r="T4" s="150" t="s">
        <v>142</v>
      </c>
      <c r="U4" s="152" t="s">
        <v>143</v>
      </c>
      <c r="V4" s="153" t="s">
        <v>139</v>
      </c>
      <c r="W4" s="154" t="s">
        <v>140</v>
      </c>
      <c r="X4" s="154" t="s">
        <v>141</v>
      </c>
      <c r="Y4" s="154" t="s">
        <v>142</v>
      </c>
      <c r="Z4" s="155" t="s">
        <v>143</v>
      </c>
      <c r="AA4" s="153" t="s">
        <v>139</v>
      </c>
      <c r="AB4" s="154" t="s">
        <v>140</v>
      </c>
      <c r="AC4" s="154" t="s">
        <v>141</v>
      </c>
      <c r="AD4" s="154" t="s">
        <v>142</v>
      </c>
      <c r="AE4" s="155" t="s">
        <v>143</v>
      </c>
      <c r="AF4" s="153" t="s">
        <v>139</v>
      </c>
      <c r="AG4" s="154" t="s">
        <v>140</v>
      </c>
      <c r="AH4" s="154" t="s">
        <v>141</v>
      </c>
      <c r="AI4" s="154" t="s">
        <v>142</v>
      </c>
      <c r="AJ4" s="155" t="s">
        <v>143</v>
      </c>
      <c r="AK4" s="156" t="s">
        <v>139</v>
      </c>
      <c r="AL4" s="154" t="s">
        <v>140</v>
      </c>
      <c r="AM4" s="154" t="s">
        <v>141</v>
      </c>
      <c r="AN4" s="154" t="s">
        <v>142</v>
      </c>
      <c r="AO4" s="155" t="s">
        <v>143</v>
      </c>
      <c r="AP4" s="157" t="s">
        <v>139</v>
      </c>
      <c r="AQ4" s="154" t="s">
        <v>140</v>
      </c>
      <c r="AR4" s="154" t="s">
        <v>141</v>
      </c>
      <c r="AS4" s="154" t="s">
        <v>142</v>
      </c>
      <c r="AT4" s="158" t="s">
        <v>143</v>
      </c>
      <c r="AU4" s="159" t="s">
        <v>139</v>
      </c>
      <c r="AV4" s="160" t="s">
        <v>140</v>
      </c>
      <c r="AW4" s="160" t="s">
        <v>141</v>
      </c>
      <c r="AX4" s="160" t="s">
        <v>142</v>
      </c>
      <c r="AY4" s="161" t="s">
        <v>143</v>
      </c>
      <c r="AZ4" s="159" t="s">
        <v>139</v>
      </c>
      <c r="BA4" s="160" t="s">
        <v>140</v>
      </c>
      <c r="BB4" s="160" t="s">
        <v>141</v>
      </c>
      <c r="BC4" s="160" t="s">
        <v>142</v>
      </c>
      <c r="BD4" s="161" t="s">
        <v>143</v>
      </c>
      <c r="BE4" s="159" t="s">
        <v>139</v>
      </c>
      <c r="BF4" s="160" t="s">
        <v>140</v>
      </c>
      <c r="BG4" s="160" t="s">
        <v>141</v>
      </c>
      <c r="BH4" s="160" t="s">
        <v>142</v>
      </c>
      <c r="BI4" s="161" t="s">
        <v>143</v>
      </c>
      <c r="BJ4" s="162" t="s">
        <v>139</v>
      </c>
      <c r="BK4" s="160" t="s">
        <v>140</v>
      </c>
      <c r="BL4" s="160" t="s">
        <v>141</v>
      </c>
      <c r="BM4" s="160" t="s">
        <v>142</v>
      </c>
      <c r="BN4" s="161" t="s">
        <v>143</v>
      </c>
      <c r="BO4" s="163" t="s">
        <v>139</v>
      </c>
      <c r="BP4" s="164" t="s">
        <v>140</v>
      </c>
      <c r="BQ4" s="164" t="s">
        <v>141</v>
      </c>
      <c r="BR4" s="164" t="s">
        <v>142</v>
      </c>
      <c r="BS4" s="165" t="s">
        <v>143</v>
      </c>
      <c r="BT4" s="163" t="s">
        <v>139</v>
      </c>
      <c r="BU4" s="164" t="s">
        <v>140</v>
      </c>
      <c r="BV4" s="164" t="s">
        <v>141</v>
      </c>
      <c r="BW4" s="164" t="s">
        <v>142</v>
      </c>
      <c r="BX4" s="165" t="s">
        <v>143</v>
      </c>
      <c r="BY4" s="163" t="s">
        <v>139</v>
      </c>
      <c r="BZ4" s="164" t="s">
        <v>140</v>
      </c>
      <c r="CA4" s="164" t="s">
        <v>141</v>
      </c>
      <c r="CB4" s="164" t="s">
        <v>142</v>
      </c>
      <c r="CC4" s="165" t="s">
        <v>143</v>
      </c>
      <c r="CD4" s="166" t="s">
        <v>139</v>
      </c>
      <c r="CE4" s="164" t="s">
        <v>140</v>
      </c>
      <c r="CF4" s="164" t="s">
        <v>141</v>
      </c>
      <c r="CG4" s="164" t="s">
        <v>142</v>
      </c>
      <c r="CH4" s="165" t="s">
        <v>143</v>
      </c>
      <c r="CI4" s="167" t="s">
        <v>139</v>
      </c>
      <c r="CJ4" s="168" t="s">
        <v>140</v>
      </c>
      <c r="CK4" s="168" t="s">
        <v>141</v>
      </c>
      <c r="CL4" s="168" t="s">
        <v>142</v>
      </c>
      <c r="CM4" s="169" t="s">
        <v>143</v>
      </c>
      <c r="CN4" s="167" t="s">
        <v>139</v>
      </c>
      <c r="CO4" s="168" t="s">
        <v>140</v>
      </c>
      <c r="CP4" s="168" t="s">
        <v>141</v>
      </c>
      <c r="CQ4" s="168" t="s">
        <v>142</v>
      </c>
      <c r="CR4" s="169" t="s">
        <v>143</v>
      </c>
      <c r="CS4" s="167" t="s">
        <v>139</v>
      </c>
      <c r="CT4" s="168" t="s">
        <v>140</v>
      </c>
      <c r="CU4" s="168" t="s">
        <v>141</v>
      </c>
      <c r="CV4" s="168" t="s">
        <v>142</v>
      </c>
      <c r="CW4" s="169" t="s">
        <v>143</v>
      </c>
      <c r="CX4" s="167" t="s">
        <v>139</v>
      </c>
      <c r="CY4" s="168" t="s">
        <v>140</v>
      </c>
      <c r="CZ4" s="168" t="s">
        <v>141</v>
      </c>
      <c r="DA4" s="168" t="s">
        <v>142</v>
      </c>
      <c r="DB4" s="169" t="s">
        <v>143</v>
      </c>
      <c r="DC4" s="167" t="s">
        <v>139</v>
      </c>
      <c r="DD4" s="168" t="s">
        <v>140</v>
      </c>
      <c r="DE4" s="168" t="s">
        <v>141</v>
      </c>
      <c r="DF4" s="168" t="s">
        <v>142</v>
      </c>
      <c r="DG4" s="169" t="s">
        <v>143</v>
      </c>
      <c r="DH4" s="167" t="s">
        <v>139</v>
      </c>
      <c r="DI4" s="168" t="s">
        <v>140</v>
      </c>
      <c r="DJ4" s="168" t="s">
        <v>141</v>
      </c>
      <c r="DK4" s="168" t="s">
        <v>142</v>
      </c>
      <c r="DL4" s="169" t="s">
        <v>143</v>
      </c>
    </row>
    <row r="5" spans="2:116">
      <c r="B5" s="170">
        <v>71</v>
      </c>
      <c r="C5" s="171">
        <v>418</v>
      </c>
      <c r="D5" s="171">
        <v>549</v>
      </c>
      <c r="E5" s="171">
        <v>972</v>
      </c>
      <c r="F5" s="172">
        <v>972</v>
      </c>
      <c r="G5" s="170">
        <v>73</v>
      </c>
      <c r="H5" s="171">
        <v>112</v>
      </c>
      <c r="I5" s="171">
        <v>210</v>
      </c>
      <c r="J5" s="171">
        <v>322</v>
      </c>
      <c r="K5" s="172">
        <v>322</v>
      </c>
      <c r="L5" s="170">
        <v>73</v>
      </c>
      <c r="M5" s="171">
        <v>383</v>
      </c>
      <c r="N5" s="171">
        <v>239</v>
      </c>
      <c r="O5" s="171">
        <v>622</v>
      </c>
      <c r="P5" s="172">
        <v>622</v>
      </c>
      <c r="Q5" s="170">
        <v>75</v>
      </c>
      <c r="R5" s="171">
        <v>98</v>
      </c>
      <c r="S5" s="171">
        <v>60</v>
      </c>
      <c r="T5" s="171">
        <v>158</v>
      </c>
      <c r="U5" s="172">
        <v>158</v>
      </c>
      <c r="V5" s="170">
        <v>68</v>
      </c>
      <c r="W5" s="171">
        <v>605</v>
      </c>
      <c r="X5" s="171">
        <v>368</v>
      </c>
      <c r="Y5" s="171">
        <v>976</v>
      </c>
      <c r="Z5" s="172">
        <v>976</v>
      </c>
      <c r="AA5" s="170">
        <v>76</v>
      </c>
      <c r="AB5" s="171">
        <v>194</v>
      </c>
      <c r="AC5" s="171">
        <v>60</v>
      </c>
      <c r="AD5" s="171">
        <v>254</v>
      </c>
      <c r="AE5" s="172">
        <v>254</v>
      </c>
      <c r="AF5" s="170">
        <v>72</v>
      </c>
      <c r="AG5" s="171">
        <v>158</v>
      </c>
      <c r="AH5" s="171">
        <v>38</v>
      </c>
      <c r="AI5" s="171">
        <v>196</v>
      </c>
      <c r="AJ5" s="172">
        <v>196</v>
      </c>
      <c r="AK5" s="170">
        <v>71</v>
      </c>
      <c r="AL5" s="171">
        <v>162</v>
      </c>
      <c r="AM5" s="171">
        <v>134</v>
      </c>
      <c r="AN5" s="171">
        <v>297</v>
      </c>
      <c r="AO5" s="172">
        <v>297</v>
      </c>
      <c r="AP5" s="173">
        <v>71</v>
      </c>
      <c r="AQ5" s="171">
        <v>1157</v>
      </c>
      <c r="AR5" s="171">
        <v>1338</v>
      </c>
      <c r="AS5" s="171">
        <v>2505</v>
      </c>
      <c r="AT5" s="174">
        <v>2505</v>
      </c>
      <c r="AU5" s="170">
        <v>78</v>
      </c>
      <c r="AV5" s="171">
        <v>260</v>
      </c>
      <c r="AW5" s="171">
        <v>37</v>
      </c>
      <c r="AX5" s="171">
        <v>297</v>
      </c>
      <c r="AY5" s="172">
        <v>297</v>
      </c>
      <c r="AZ5" s="170">
        <v>69</v>
      </c>
      <c r="BA5" s="171">
        <v>593</v>
      </c>
      <c r="BB5" s="171">
        <v>222</v>
      </c>
      <c r="BC5" s="171">
        <v>817</v>
      </c>
      <c r="BD5" s="172">
        <v>817</v>
      </c>
      <c r="BE5" s="170">
        <v>70</v>
      </c>
      <c r="BF5" s="171">
        <v>333</v>
      </c>
      <c r="BG5" s="171">
        <v>245</v>
      </c>
      <c r="BH5" s="171">
        <v>578</v>
      </c>
      <c r="BI5" s="172">
        <v>578</v>
      </c>
      <c r="BJ5" s="170">
        <v>69</v>
      </c>
      <c r="BK5" s="171">
        <v>1558</v>
      </c>
      <c r="BL5" s="171">
        <v>802</v>
      </c>
      <c r="BM5" s="171">
        <v>2364</v>
      </c>
      <c r="BN5" s="172">
        <v>2364</v>
      </c>
      <c r="BO5" s="170">
        <v>76</v>
      </c>
      <c r="BP5" s="171">
        <v>17</v>
      </c>
      <c r="BQ5" s="171">
        <v>1</v>
      </c>
      <c r="BR5" s="171">
        <v>18</v>
      </c>
      <c r="BS5" s="172">
        <v>18</v>
      </c>
      <c r="BT5" s="170">
        <v>77</v>
      </c>
      <c r="BU5" s="171">
        <v>59</v>
      </c>
      <c r="BV5" s="171">
        <v>6</v>
      </c>
      <c r="BW5" s="171">
        <v>65</v>
      </c>
      <c r="BX5" s="172">
        <v>65</v>
      </c>
      <c r="BY5" s="170">
        <v>72</v>
      </c>
      <c r="BZ5" s="171">
        <v>175</v>
      </c>
      <c r="CA5" s="171">
        <v>81</v>
      </c>
      <c r="CB5" s="171">
        <v>257</v>
      </c>
      <c r="CC5" s="172">
        <v>257</v>
      </c>
      <c r="CD5" s="170">
        <v>75</v>
      </c>
      <c r="CE5" s="171">
        <v>39</v>
      </c>
      <c r="CF5" s="171">
        <v>2</v>
      </c>
      <c r="CG5" s="171">
        <v>41</v>
      </c>
      <c r="CH5" s="172">
        <v>41</v>
      </c>
      <c r="CI5" s="170">
        <v>71</v>
      </c>
      <c r="CJ5" s="171">
        <v>10</v>
      </c>
      <c r="CK5" s="171">
        <v>6</v>
      </c>
      <c r="CL5" s="171">
        <v>16</v>
      </c>
      <c r="CM5" s="172">
        <v>16</v>
      </c>
      <c r="CN5" s="170">
        <v>88</v>
      </c>
      <c r="CO5" s="171">
        <v>2</v>
      </c>
      <c r="CP5" s="171">
        <v>0</v>
      </c>
      <c r="CQ5" s="171">
        <v>2</v>
      </c>
      <c r="CR5" s="172">
        <v>2</v>
      </c>
      <c r="CS5" s="170">
        <v>73</v>
      </c>
      <c r="CT5" s="171">
        <v>20</v>
      </c>
      <c r="CU5" s="171">
        <v>4</v>
      </c>
      <c r="CV5" s="171">
        <v>24</v>
      </c>
      <c r="CW5" s="172">
        <v>24</v>
      </c>
      <c r="CX5" s="170">
        <v>83</v>
      </c>
      <c r="CY5" s="171">
        <v>8</v>
      </c>
      <c r="CZ5" s="171">
        <v>5</v>
      </c>
      <c r="DA5" s="171">
        <v>13</v>
      </c>
      <c r="DB5" s="172">
        <v>13</v>
      </c>
      <c r="DC5" s="170">
        <v>86</v>
      </c>
      <c r="DD5" s="171">
        <v>1</v>
      </c>
      <c r="DE5" s="171">
        <v>0</v>
      </c>
      <c r="DF5" s="171">
        <v>1</v>
      </c>
      <c r="DG5" s="172">
        <v>1</v>
      </c>
      <c r="DH5" s="170">
        <v>100</v>
      </c>
      <c r="DI5" s="171">
        <v>0</v>
      </c>
      <c r="DJ5" s="171">
        <v>1</v>
      </c>
      <c r="DK5" s="171">
        <v>1</v>
      </c>
      <c r="DL5" s="172">
        <v>1</v>
      </c>
    </row>
    <row r="6" spans="2:116">
      <c r="B6" s="170">
        <v>69</v>
      </c>
      <c r="C6" s="171">
        <v>545</v>
      </c>
      <c r="D6" s="171">
        <v>1003</v>
      </c>
      <c r="E6" s="171">
        <v>1553</v>
      </c>
      <c r="F6" s="172">
        <v>2525</v>
      </c>
      <c r="G6" s="170">
        <v>71</v>
      </c>
      <c r="H6" s="171">
        <v>95</v>
      </c>
      <c r="I6" s="171">
        <v>186</v>
      </c>
      <c r="J6" s="171">
        <v>281</v>
      </c>
      <c r="K6" s="172">
        <v>603</v>
      </c>
      <c r="L6" s="170">
        <v>71</v>
      </c>
      <c r="M6" s="171">
        <v>452</v>
      </c>
      <c r="N6" s="171">
        <v>380</v>
      </c>
      <c r="O6" s="171">
        <v>834</v>
      </c>
      <c r="P6" s="172">
        <v>1456</v>
      </c>
      <c r="Q6" s="170">
        <v>73</v>
      </c>
      <c r="R6" s="171">
        <v>368</v>
      </c>
      <c r="S6" s="171">
        <v>284</v>
      </c>
      <c r="T6" s="171">
        <v>654</v>
      </c>
      <c r="U6" s="172">
        <v>812</v>
      </c>
      <c r="V6" s="170">
        <v>67</v>
      </c>
      <c r="W6" s="171">
        <v>399</v>
      </c>
      <c r="X6" s="171">
        <v>246</v>
      </c>
      <c r="Y6" s="171">
        <v>646</v>
      </c>
      <c r="Z6" s="172">
        <v>1622</v>
      </c>
      <c r="AA6" s="170">
        <v>74</v>
      </c>
      <c r="AB6" s="171">
        <v>142</v>
      </c>
      <c r="AC6" s="171">
        <v>56</v>
      </c>
      <c r="AD6" s="171">
        <v>198</v>
      </c>
      <c r="AE6" s="172">
        <v>452</v>
      </c>
      <c r="AF6" s="170">
        <v>70</v>
      </c>
      <c r="AG6" s="171">
        <v>192</v>
      </c>
      <c r="AH6" s="171">
        <v>56</v>
      </c>
      <c r="AI6" s="171">
        <v>249</v>
      </c>
      <c r="AJ6" s="172">
        <v>445</v>
      </c>
      <c r="AK6" s="170">
        <v>69</v>
      </c>
      <c r="AL6" s="171">
        <v>190</v>
      </c>
      <c r="AM6" s="171">
        <v>230</v>
      </c>
      <c r="AN6" s="171">
        <v>421</v>
      </c>
      <c r="AO6" s="172">
        <v>718</v>
      </c>
      <c r="AP6" s="173">
        <v>70</v>
      </c>
      <c r="AQ6" s="171">
        <v>376</v>
      </c>
      <c r="AR6" s="171">
        <v>428</v>
      </c>
      <c r="AS6" s="171">
        <v>806</v>
      </c>
      <c r="AT6" s="174">
        <v>3311</v>
      </c>
      <c r="AU6" s="170">
        <v>76</v>
      </c>
      <c r="AV6" s="171">
        <v>172</v>
      </c>
      <c r="AW6" s="171">
        <v>15</v>
      </c>
      <c r="AX6" s="171">
        <v>187</v>
      </c>
      <c r="AY6" s="172">
        <v>484</v>
      </c>
      <c r="AZ6" s="170">
        <v>68</v>
      </c>
      <c r="BA6" s="171">
        <v>434</v>
      </c>
      <c r="BB6" s="171">
        <v>172</v>
      </c>
      <c r="BC6" s="171">
        <v>606</v>
      </c>
      <c r="BD6" s="172">
        <v>1423</v>
      </c>
      <c r="BE6" s="170">
        <v>69</v>
      </c>
      <c r="BF6" s="171">
        <v>243</v>
      </c>
      <c r="BG6" s="171">
        <v>203</v>
      </c>
      <c r="BH6" s="171">
        <v>447</v>
      </c>
      <c r="BI6" s="172">
        <v>1025</v>
      </c>
      <c r="BJ6" s="170">
        <v>68</v>
      </c>
      <c r="BK6" s="171">
        <v>435</v>
      </c>
      <c r="BL6" s="171">
        <v>284</v>
      </c>
      <c r="BM6" s="171">
        <v>720</v>
      </c>
      <c r="BN6" s="172">
        <v>3084</v>
      </c>
      <c r="BO6" s="170">
        <v>74</v>
      </c>
      <c r="BP6" s="171">
        <v>44</v>
      </c>
      <c r="BQ6" s="171">
        <v>3</v>
      </c>
      <c r="BR6" s="171">
        <v>47</v>
      </c>
      <c r="BS6" s="172">
        <v>65</v>
      </c>
      <c r="BT6" s="170">
        <v>75</v>
      </c>
      <c r="BU6" s="171">
        <v>21</v>
      </c>
      <c r="BV6" s="171">
        <v>5</v>
      </c>
      <c r="BW6" s="171">
        <v>26</v>
      </c>
      <c r="BX6" s="172">
        <v>91</v>
      </c>
      <c r="BY6" s="170">
        <v>71</v>
      </c>
      <c r="BZ6" s="171">
        <v>76</v>
      </c>
      <c r="CA6" s="171">
        <v>48</v>
      </c>
      <c r="CB6" s="171">
        <v>124</v>
      </c>
      <c r="CC6" s="172">
        <v>381</v>
      </c>
      <c r="CD6" s="170">
        <v>73</v>
      </c>
      <c r="CE6" s="171">
        <v>42</v>
      </c>
      <c r="CF6" s="171">
        <v>4</v>
      </c>
      <c r="CG6" s="171">
        <v>46</v>
      </c>
      <c r="CH6" s="172">
        <v>87</v>
      </c>
      <c r="CI6" s="170">
        <v>70</v>
      </c>
      <c r="CJ6" s="171">
        <v>7</v>
      </c>
      <c r="CK6" s="171">
        <v>8</v>
      </c>
      <c r="CL6" s="171">
        <v>15</v>
      </c>
      <c r="CM6" s="172">
        <v>31</v>
      </c>
      <c r="CN6" s="170">
        <v>83</v>
      </c>
      <c r="CO6" s="171">
        <v>2</v>
      </c>
      <c r="CP6" s="171">
        <v>3</v>
      </c>
      <c r="CQ6" s="171">
        <v>5</v>
      </c>
      <c r="CR6" s="172">
        <v>7</v>
      </c>
      <c r="CS6" s="170">
        <v>72</v>
      </c>
      <c r="CT6" s="171">
        <v>7</v>
      </c>
      <c r="CU6" s="171">
        <v>3</v>
      </c>
      <c r="CV6" s="171">
        <v>10</v>
      </c>
      <c r="CW6" s="172">
        <v>34</v>
      </c>
      <c r="CX6" s="170">
        <v>81</v>
      </c>
      <c r="CY6" s="171">
        <v>4</v>
      </c>
      <c r="CZ6" s="171">
        <v>4</v>
      </c>
      <c r="DA6" s="171">
        <v>8</v>
      </c>
      <c r="DB6" s="172">
        <v>21</v>
      </c>
      <c r="DC6" s="170">
        <v>78</v>
      </c>
      <c r="DD6" s="171">
        <v>0</v>
      </c>
      <c r="DE6" s="171">
        <v>1</v>
      </c>
      <c r="DF6" s="171">
        <v>1</v>
      </c>
      <c r="DG6" s="172">
        <v>2</v>
      </c>
      <c r="DH6" s="170">
        <v>96</v>
      </c>
      <c r="DI6" s="171">
        <v>1</v>
      </c>
      <c r="DJ6" s="171">
        <v>1</v>
      </c>
      <c r="DK6" s="171">
        <v>2</v>
      </c>
      <c r="DL6" s="172">
        <v>3</v>
      </c>
    </row>
    <row r="7" spans="2:116">
      <c r="B7" s="170">
        <v>68</v>
      </c>
      <c r="C7" s="171">
        <v>368</v>
      </c>
      <c r="D7" s="171">
        <v>577</v>
      </c>
      <c r="E7" s="171">
        <v>946</v>
      </c>
      <c r="F7" s="172">
        <v>3471</v>
      </c>
      <c r="G7" s="170">
        <v>70</v>
      </c>
      <c r="H7" s="171">
        <v>140</v>
      </c>
      <c r="I7" s="171">
        <v>317</v>
      </c>
      <c r="J7" s="171">
        <v>457</v>
      </c>
      <c r="K7" s="172">
        <v>1060</v>
      </c>
      <c r="L7" s="170">
        <v>70</v>
      </c>
      <c r="M7" s="171">
        <v>87</v>
      </c>
      <c r="N7" s="171">
        <v>80</v>
      </c>
      <c r="O7" s="171">
        <v>167</v>
      </c>
      <c r="P7" s="172">
        <v>1623</v>
      </c>
      <c r="Q7" s="170">
        <v>72</v>
      </c>
      <c r="R7" s="171">
        <v>14</v>
      </c>
      <c r="S7" s="171">
        <v>18</v>
      </c>
      <c r="T7" s="171">
        <v>32</v>
      </c>
      <c r="U7" s="172">
        <v>844</v>
      </c>
      <c r="V7" s="170">
        <v>66</v>
      </c>
      <c r="W7" s="171">
        <v>146</v>
      </c>
      <c r="X7" s="171">
        <v>125</v>
      </c>
      <c r="Y7" s="171">
        <v>271</v>
      </c>
      <c r="Z7" s="172">
        <v>1893</v>
      </c>
      <c r="AA7" s="170">
        <v>73</v>
      </c>
      <c r="AB7" s="171">
        <v>121</v>
      </c>
      <c r="AC7" s="171">
        <v>57</v>
      </c>
      <c r="AD7" s="171">
        <v>179</v>
      </c>
      <c r="AE7" s="172">
        <v>631</v>
      </c>
      <c r="AF7" s="170">
        <v>69</v>
      </c>
      <c r="AG7" s="171">
        <v>28</v>
      </c>
      <c r="AH7" s="171">
        <v>9</v>
      </c>
      <c r="AI7" s="171">
        <v>38</v>
      </c>
      <c r="AJ7" s="172">
        <v>483</v>
      </c>
      <c r="AK7" s="170">
        <v>68</v>
      </c>
      <c r="AL7" s="171">
        <v>227</v>
      </c>
      <c r="AM7" s="171">
        <v>257</v>
      </c>
      <c r="AN7" s="171">
        <v>484</v>
      </c>
      <c r="AO7" s="172">
        <v>1202</v>
      </c>
      <c r="AP7" s="173">
        <v>69</v>
      </c>
      <c r="AQ7" s="171">
        <v>1066</v>
      </c>
      <c r="AR7" s="171">
        <v>1737</v>
      </c>
      <c r="AS7" s="171">
        <v>2814</v>
      </c>
      <c r="AT7" s="174">
        <v>6125</v>
      </c>
      <c r="AU7" s="170">
        <v>75</v>
      </c>
      <c r="AV7" s="171">
        <v>250</v>
      </c>
      <c r="AW7" s="171">
        <v>37</v>
      </c>
      <c r="AX7" s="171">
        <v>287</v>
      </c>
      <c r="AY7" s="172">
        <v>771</v>
      </c>
      <c r="AZ7" s="170">
        <v>67</v>
      </c>
      <c r="BA7" s="171">
        <v>935</v>
      </c>
      <c r="BB7" s="171">
        <v>401</v>
      </c>
      <c r="BC7" s="171">
        <v>1340</v>
      </c>
      <c r="BD7" s="172">
        <v>2763</v>
      </c>
      <c r="BE7" s="170">
        <v>68</v>
      </c>
      <c r="BF7" s="171">
        <v>1025</v>
      </c>
      <c r="BG7" s="171">
        <v>737</v>
      </c>
      <c r="BH7" s="171">
        <v>1766</v>
      </c>
      <c r="BI7" s="172">
        <v>2791</v>
      </c>
      <c r="BJ7" s="170">
        <v>67</v>
      </c>
      <c r="BK7" s="171">
        <v>2511</v>
      </c>
      <c r="BL7" s="171">
        <v>1316</v>
      </c>
      <c r="BM7" s="171">
        <v>3833</v>
      </c>
      <c r="BN7" s="172">
        <v>6917</v>
      </c>
      <c r="BO7" s="170">
        <v>73</v>
      </c>
      <c r="BP7" s="171">
        <v>12</v>
      </c>
      <c r="BQ7" s="171">
        <v>1</v>
      </c>
      <c r="BR7" s="171">
        <v>13</v>
      </c>
      <c r="BS7" s="172">
        <v>78</v>
      </c>
      <c r="BT7" s="170">
        <v>74</v>
      </c>
      <c r="BU7" s="171">
        <v>43</v>
      </c>
      <c r="BV7" s="171">
        <v>11</v>
      </c>
      <c r="BW7" s="171">
        <v>54</v>
      </c>
      <c r="BX7" s="172">
        <v>145</v>
      </c>
      <c r="BY7" s="170">
        <v>70</v>
      </c>
      <c r="BZ7" s="171">
        <v>134</v>
      </c>
      <c r="CA7" s="171">
        <v>62</v>
      </c>
      <c r="CB7" s="171">
        <v>196</v>
      </c>
      <c r="CC7" s="172">
        <v>577</v>
      </c>
      <c r="CD7" s="170">
        <v>72</v>
      </c>
      <c r="CE7" s="171">
        <v>86</v>
      </c>
      <c r="CF7" s="171">
        <v>9</v>
      </c>
      <c r="CG7" s="171">
        <v>95</v>
      </c>
      <c r="CH7" s="172">
        <v>182</v>
      </c>
      <c r="CI7" s="170">
        <v>69</v>
      </c>
      <c r="CJ7" s="171">
        <v>47</v>
      </c>
      <c r="CK7" s="171">
        <v>30</v>
      </c>
      <c r="CL7" s="171">
        <v>77</v>
      </c>
      <c r="CM7" s="172">
        <v>108</v>
      </c>
      <c r="CN7" s="170">
        <v>81</v>
      </c>
      <c r="CO7" s="171">
        <v>1</v>
      </c>
      <c r="CP7" s="171">
        <v>0</v>
      </c>
      <c r="CQ7" s="171">
        <v>1</v>
      </c>
      <c r="CR7" s="172">
        <v>8</v>
      </c>
      <c r="CS7" s="170">
        <v>71</v>
      </c>
      <c r="CT7" s="171">
        <v>21</v>
      </c>
      <c r="CU7" s="171">
        <v>6</v>
      </c>
      <c r="CV7" s="171">
        <v>27</v>
      </c>
      <c r="CW7" s="172">
        <v>61</v>
      </c>
      <c r="CX7" s="170">
        <v>80</v>
      </c>
      <c r="CY7" s="171">
        <v>5</v>
      </c>
      <c r="CZ7" s="171">
        <v>6</v>
      </c>
      <c r="DA7" s="171">
        <v>11</v>
      </c>
      <c r="DB7" s="172">
        <v>32</v>
      </c>
      <c r="DC7" s="170">
        <v>76</v>
      </c>
      <c r="DD7" s="171">
        <v>2</v>
      </c>
      <c r="DE7" s="171">
        <v>0</v>
      </c>
      <c r="DF7" s="171">
        <v>2</v>
      </c>
      <c r="DG7" s="172">
        <v>4</v>
      </c>
      <c r="DH7" s="170">
        <v>93</v>
      </c>
      <c r="DI7" s="171">
        <v>2</v>
      </c>
      <c r="DJ7" s="171">
        <v>0</v>
      </c>
      <c r="DK7" s="171">
        <v>2</v>
      </c>
      <c r="DL7" s="172">
        <v>5</v>
      </c>
    </row>
    <row r="8" spans="2:116">
      <c r="B8" s="170">
        <v>67</v>
      </c>
      <c r="C8" s="171">
        <v>329</v>
      </c>
      <c r="D8" s="171">
        <v>618</v>
      </c>
      <c r="E8" s="171">
        <v>952</v>
      </c>
      <c r="F8" s="172">
        <v>4423</v>
      </c>
      <c r="G8" s="170">
        <v>69</v>
      </c>
      <c r="H8" s="171">
        <v>175</v>
      </c>
      <c r="I8" s="171">
        <v>348</v>
      </c>
      <c r="J8" s="171">
        <v>523</v>
      </c>
      <c r="K8" s="172">
        <v>1583</v>
      </c>
      <c r="L8" s="170">
        <v>69</v>
      </c>
      <c r="M8" s="171">
        <v>342</v>
      </c>
      <c r="N8" s="171">
        <v>318</v>
      </c>
      <c r="O8" s="171">
        <v>661</v>
      </c>
      <c r="P8" s="172">
        <v>2284</v>
      </c>
      <c r="Q8" s="170">
        <v>71</v>
      </c>
      <c r="R8" s="171">
        <v>181</v>
      </c>
      <c r="S8" s="171">
        <v>160</v>
      </c>
      <c r="T8" s="171">
        <v>343</v>
      </c>
      <c r="U8" s="172">
        <v>1187</v>
      </c>
      <c r="V8" s="170">
        <v>65</v>
      </c>
      <c r="W8" s="171">
        <v>226</v>
      </c>
      <c r="X8" s="171">
        <v>108</v>
      </c>
      <c r="Y8" s="171">
        <v>335</v>
      </c>
      <c r="Z8" s="172">
        <v>2228</v>
      </c>
      <c r="AA8" s="170">
        <v>72</v>
      </c>
      <c r="AB8" s="171">
        <v>79</v>
      </c>
      <c r="AC8" s="171">
        <v>33</v>
      </c>
      <c r="AD8" s="171">
        <v>112</v>
      </c>
      <c r="AE8" s="172">
        <v>743</v>
      </c>
      <c r="AF8" s="170">
        <v>68</v>
      </c>
      <c r="AG8" s="171">
        <v>90</v>
      </c>
      <c r="AH8" s="171">
        <v>35</v>
      </c>
      <c r="AI8" s="171">
        <v>125</v>
      </c>
      <c r="AJ8" s="172">
        <v>608</v>
      </c>
      <c r="AK8" s="170">
        <v>67</v>
      </c>
      <c r="AL8" s="171">
        <v>264</v>
      </c>
      <c r="AM8" s="171">
        <v>342</v>
      </c>
      <c r="AN8" s="171">
        <v>606</v>
      </c>
      <c r="AO8" s="172">
        <v>1808</v>
      </c>
      <c r="AP8" s="173">
        <v>68</v>
      </c>
      <c r="AQ8" s="171">
        <v>78</v>
      </c>
      <c r="AR8" s="171">
        <v>97</v>
      </c>
      <c r="AS8" s="171">
        <v>175</v>
      </c>
      <c r="AT8" s="174">
        <v>6300</v>
      </c>
      <c r="AU8" s="170">
        <v>74</v>
      </c>
      <c r="AV8" s="171">
        <v>92</v>
      </c>
      <c r="AW8" s="171">
        <v>15</v>
      </c>
      <c r="AX8" s="171">
        <v>107</v>
      </c>
      <c r="AY8" s="172">
        <v>878</v>
      </c>
      <c r="AZ8" s="170">
        <v>66</v>
      </c>
      <c r="BA8" s="171">
        <v>75</v>
      </c>
      <c r="BB8" s="171">
        <v>45</v>
      </c>
      <c r="BC8" s="171">
        <v>120</v>
      </c>
      <c r="BD8" s="172">
        <v>2883</v>
      </c>
      <c r="BE8" s="170">
        <v>67</v>
      </c>
      <c r="BF8" s="171">
        <v>69</v>
      </c>
      <c r="BG8" s="171">
        <v>48</v>
      </c>
      <c r="BH8" s="171">
        <v>117</v>
      </c>
      <c r="BI8" s="172">
        <v>2908</v>
      </c>
      <c r="BJ8" s="170">
        <v>66</v>
      </c>
      <c r="BK8" s="171">
        <v>103</v>
      </c>
      <c r="BL8" s="171">
        <v>56</v>
      </c>
      <c r="BM8" s="171">
        <v>159</v>
      </c>
      <c r="BN8" s="172">
        <v>7076</v>
      </c>
      <c r="BO8" s="170">
        <v>72</v>
      </c>
      <c r="BP8" s="171">
        <v>76</v>
      </c>
      <c r="BQ8" s="171">
        <v>4</v>
      </c>
      <c r="BR8" s="171">
        <v>81</v>
      </c>
      <c r="BS8" s="172">
        <v>159</v>
      </c>
      <c r="BT8" s="170">
        <v>73</v>
      </c>
      <c r="BU8" s="171">
        <v>8</v>
      </c>
      <c r="BV8" s="171">
        <v>0</v>
      </c>
      <c r="BW8" s="171">
        <v>8</v>
      </c>
      <c r="BX8" s="172">
        <v>153</v>
      </c>
      <c r="BY8" s="170">
        <v>69</v>
      </c>
      <c r="BZ8" s="171">
        <v>148</v>
      </c>
      <c r="CA8" s="171">
        <v>83</v>
      </c>
      <c r="CB8" s="171">
        <v>232</v>
      </c>
      <c r="CC8" s="172">
        <v>809</v>
      </c>
      <c r="CD8" s="170">
        <v>71</v>
      </c>
      <c r="CE8" s="171">
        <v>88</v>
      </c>
      <c r="CF8" s="171">
        <v>11</v>
      </c>
      <c r="CG8" s="171">
        <v>99</v>
      </c>
      <c r="CH8" s="172">
        <v>281</v>
      </c>
      <c r="CI8" s="170">
        <v>68</v>
      </c>
      <c r="CJ8" s="171">
        <v>3</v>
      </c>
      <c r="CK8" s="171">
        <v>3</v>
      </c>
      <c r="CL8" s="171">
        <v>6</v>
      </c>
      <c r="CM8" s="172">
        <v>114</v>
      </c>
      <c r="CN8" s="170">
        <v>80</v>
      </c>
      <c r="CO8" s="171">
        <v>0</v>
      </c>
      <c r="CP8" s="171">
        <v>4</v>
      </c>
      <c r="CQ8" s="171">
        <v>4</v>
      </c>
      <c r="CR8" s="172">
        <v>12</v>
      </c>
      <c r="CS8" s="170">
        <v>70</v>
      </c>
      <c r="CT8" s="171">
        <v>5</v>
      </c>
      <c r="CU8" s="171">
        <v>1</v>
      </c>
      <c r="CV8" s="171">
        <v>6</v>
      </c>
      <c r="CW8" s="172">
        <v>67</v>
      </c>
      <c r="CX8" s="170">
        <v>79</v>
      </c>
      <c r="CY8" s="171">
        <v>1</v>
      </c>
      <c r="CZ8" s="171">
        <v>2</v>
      </c>
      <c r="DA8" s="171">
        <v>3</v>
      </c>
      <c r="DB8" s="172">
        <v>35</v>
      </c>
      <c r="DC8" s="170">
        <v>74</v>
      </c>
      <c r="DD8" s="171">
        <v>3</v>
      </c>
      <c r="DE8" s="171">
        <v>0</v>
      </c>
      <c r="DF8" s="171">
        <v>3</v>
      </c>
      <c r="DG8" s="172">
        <v>7</v>
      </c>
      <c r="DH8" s="170">
        <v>92</v>
      </c>
      <c r="DI8" s="171">
        <v>0</v>
      </c>
      <c r="DJ8" s="171">
        <v>1</v>
      </c>
      <c r="DK8" s="171">
        <v>1</v>
      </c>
      <c r="DL8" s="172">
        <v>6</v>
      </c>
    </row>
    <row r="9" spans="2:116">
      <c r="B9" s="170">
        <v>66</v>
      </c>
      <c r="C9" s="171">
        <v>1081</v>
      </c>
      <c r="D9" s="171">
        <v>2141</v>
      </c>
      <c r="E9" s="171">
        <v>3228</v>
      </c>
      <c r="F9" s="172">
        <v>7651</v>
      </c>
      <c r="G9" s="170">
        <v>68</v>
      </c>
      <c r="H9" s="171">
        <v>86</v>
      </c>
      <c r="I9" s="171">
        <v>165</v>
      </c>
      <c r="J9" s="171">
        <v>251</v>
      </c>
      <c r="K9" s="172">
        <v>1834</v>
      </c>
      <c r="L9" s="170">
        <v>68</v>
      </c>
      <c r="M9" s="171">
        <v>427</v>
      </c>
      <c r="N9" s="171">
        <v>420</v>
      </c>
      <c r="O9" s="171">
        <v>849</v>
      </c>
      <c r="P9" s="172">
        <v>3133</v>
      </c>
      <c r="Q9" s="170">
        <v>70</v>
      </c>
      <c r="R9" s="171">
        <v>258</v>
      </c>
      <c r="S9" s="171">
        <v>245</v>
      </c>
      <c r="T9" s="171">
        <v>503</v>
      </c>
      <c r="U9" s="172">
        <v>1690</v>
      </c>
      <c r="V9" s="170">
        <v>64</v>
      </c>
      <c r="W9" s="171">
        <v>383</v>
      </c>
      <c r="X9" s="171">
        <v>322</v>
      </c>
      <c r="Y9" s="171">
        <v>705</v>
      </c>
      <c r="Z9" s="172">
        <v>2933</v>
      </c>
      <c r="AA9" s="170">
        <v>71</v>
      </c>
      <c r="AB9" s="171">
        <v>196</v>
      </c>
      <c r="AC9" s="171">
        <v>100</v>
      </c>
      <c r="AD9" s="171">
        <v>297</v>
      </c>
      <c r="AE9" s="172">
        <v>1040</v>
      </c>
      <c r="AF9" s="170">
        <v>67</v>
      </c>
      <c r="AG9" s="171">
        <v>58</v>
      </c>
      <c r="AH9" s="171">
        <v>15</v>
      </c>
      <c r="AI9" s="171">
        <v>73</v>
      </c>
      <c r="AJ9" s="172">
        <v>681</v>
      </c>
      <c r="AK9" s="170">
        <v>66</v>
      </c>
      <c r="AL9" s="171">
        <v>103</v>
      </c>
      <c r="AM9" s="171">
        <v>104</v>
      </c>
      <c r="AN9" s="171">
        <v>208</v>
      </c>
      <c r="AO9" s="172">
        <v>2016</v>
      </c>
      <c r="AP9" s="173">
        <v>67</v>
      </c>
      <c r="AQ9" s="171">
        <v>1482</v>
      </c>
      <c r="AR9" s="171">
        <v>2567</v>
      </c>
      <c r="AS9" s="171">
        <v>4058</v>
      </c>
      <c r="AT9" s="174">
        <v>10358</v>
      </c>
      <c r="AU9" s="170">
        <v>73</v>
      </c>
      <c r="AV9" s="171">
        <v>378</v>
      </c>
      <c r="AW9" s="171">
        <v>50</v>
      </c>
      <c r="AX9" s="171">
        <v>428</v>
      </c>
      <c r="AY9" s="172">
        <v>1306</v>
      </c>
      <c r="AZ9" s="170">
        <v>65</v>
      </c>
      <c r="BA9" s="171">
        <v>1278</v>
      </c>
      <c r="BB9" s="171">
        <v>626</v>
      </c>
      <c r="BC9" s="171">
        <v>1909</v>
      </c>
      <c r="BD9" s="172">
        <v>4792</v>
      </c>
      <c r="BE9" s="170">
        <v>66</v>
      </c>
      <c r="BF9" s="171">
        <v>1071</v>
      </c>
      <c r="BG9" s="171">
        <v>871</v>
      </c>
      <c r="BH9" s="171">
        <v>1949</v>
      </c>
      <c r="BI9" s="172">
        <v>4857</v>
      </c>
      <c r="BJ9" s="170">
        <v>65</v>
      </c>
      <c r="BK9" s="171">
        <v>1178</v>
      </c>
      <c r="BL9" s="171">
        <v>676</v>
      </c>
      <c r="BM9" s="171">
        <v>1856</v>
      </c>
      <c r="BN9" s="172">
        <v>8932</v>
      </c>
      <c r="BO9" s="170">
        <v>71</v>
      </c>
      <c r="BP9" s="171">
        <v>25</v>
      </c>
      <c r="BQ9" s="171">
        <v>2</v>
      </c>
      <c r="BR9" s="171">
        <v>27</v>
      </c>
      <c r="BS9" s="172">
        <v>186</v>
      </c>
      <c r="BT9" s="170">
        <v>72</v>
      </c>
      <c r="BU9" s="171">
        <v>75</v>
      </c>
      <c r="BV9" s="171">
        <v>14</v>
      </c>
      <c r="BW9" s="171">
        <v>89</v>
      </c>
      <c r="BX9" s="172">
        <v>242</v>
      </c>
      <c r="BY9" s="170">
        <v>68</v>
      </c>
      <c r="BZ9" s="171">
        <v>76</v>
      </c>
      <c r="CA9" s="171">
        <v>46</v>
      </c>
      <c r="CB9" s="171">
        <v>123</v>
      </c>
      <c r="CC9" s="172">
        <v>932</v>
      </c>
      <c r="CD9" s="170">
        <v>70</v>
      </c>
      <c r="CE9" s="171">
        <v>60</v>
      </c>
      <c r="CF9" s="171">
        <v>10</v>
      </c>
      <c r="CG9" s="171">
        <v>70</v>
      </c>
      <c r="CH9" s="172">
        <v>351</v>
      </c>
      <c r="CI9" s="170">
        <v>67</v>
      </c>
      <c r="CJ9" s="171">
        <v>91</v>
      </c>
      <c r="CK9" s="171">
        <v>81</v>
      </c>
      <c r="CL9" s="171">
        <v>173</v>
      </c>
      <c r="CM9" s="172">
        <v>287</v>
      </c>
      <c r="CN9" s="170">
        <v>79</v>
      </c>
      <c r="CO9" s="171">
        <v>1</v>
      </c>
      <c r="CP9" s="171">
        <v>1</v>
      </c>
      <c r="CQ9" s="171">
        <v>2</v>
      </c>
      <c r="CR9" s="172">
        <v>14</v>
      </c>
      <c r="CS9" s="170">
        <v>69</v>
      </c>
      <c r="CT9" s="171">
        <v>15</v>
      </c>
      <c r="CU9" s="171">
        <v>1</v>
      </c>
      <c r="CV9" s="171">
        <v>16</v>
      </c>
      <c r="CW9" s="172">
        <v>83</v>
      </c>
      <c r="CX9" s="170">
        <v>78</v>
      </c>
      <c r="CY9" s="171">
        <v>2</v>
      </c>
      <c r="CZ9" s="171">
        <v>7</v>
      </c>
      <c r="DA9" s="171">
        <v>9</v>
      </c>
      <c r="DB9" s="172">
        <v>44</v>
      </c>
      <c r="DC9" s="170">
        <v>70</v>
      </c>
      <c r="DD9" s="171">
        <v>0</v>
      </c>
      <c r="DE9" s="171">
        <v>1</v>
      </c>
      <c r="DF9" s="171">
        <v>1</v>
      </c>
      <c r="DG9" s="172">
        <v>8</v>
      </c>
      <c r="DH9" s="170">
        <v>91</v>
      </c>
      <c r="DI9" s="171">
        <v>1</v>
      </c>
      <c r="DJ9" s="171">
        <v>0</v>
      </c>
      <c r="DK9" s="171">
        <v>1</v>
      </c>
      <c r="DL9" s="172">
        <v>7</v>
      </c>
    </row>
    <row r="10" spans="2:116">
      <c r="B10" s="170">
        <v>65</v>
      </c>
      <c r="C10" s="171">
        <v>710</v>
      </c>
      <c r="D10" s="171">
        <v>1546</v>
      </c>
      <c r="E10" s="171">
        <v>2261</v>
      </c>
      <c r="F10" s="172">
        <v>9912</v>
      </c>
      <c r="G10" s="170">
        <v>67</v>
      </c>
      <c r="H10" s="171">
        <v>115</v>
      </c>
      <c r="I10" s="171">
        <v>290</v>
      </c>
      <c r="J10" s="171">
        <v>406</v>
      </c>
      <c r="K10" s="172">
        <v>2240</v>
      </c>
      <c r="L10" s="170">
        <v>67</v>
      </c>
      <c r="M10" s="171">
        <v>255</v>
      </c>
      <c r="N10" s="171">
        <v>266</v>
      </c>
      <c r="O10" s="171">
        <v>522</v>
      </c>
      <c r="P10" s="172">
        <v>3655</v>
      </c>
      <c r="Q10" s="170">
        <v>69</v>
      </c>
      <c r="R10" s="171">
        <v>64</v>
      </c>
      <c r="S10" s="171">
        <v>89</v>
      </c>
      <c r="T10" s="171">
        <v>154</v>
      </c>
      <c r="U10" s="172">
        <v>1844</v>
      </c>
      <c r="V10" s="170">
        <v>63</v>
      </c>
      <c r="W10" s="171">
        <v>271</v>
      </c>
      <c r="X10" s="171">
        <v>202</v>
      </c>
      <c r="Y10" s="171">
        <v>475</v>
      </c>
      <c r="Z10" s="172">
        <v>3408</v>
      </c>
      <c r="AA10" s="170">
        <v>70</v>
      </c>
      <c r="AB10" s="171">
        <v>108</v>
      </c>
      <c r="AC10" s="171">
        <v>60</v>
      </c>
      <c r="AD10" s="171">
        <v>170</v>
      </c>
      <c r="AE10" s="172">
        <v>1210</v>
      </c>
      <c r="AF10" s="170">
        <v>66</v>
      </c>
      <c r="AG10" s="171">
        <v>119</v>
      </c>
      <c r="AH10" s="171">
        <v>41</v>
      </c>
      <c r="AI10" s="171">
        <v>161</v>
      </c>
      <c r="AJ10" s="172">
        <v>842</v>
      </c>
      <c r="AK10" s="170">
        <v>65</v>
      </c>
      <c r="AL10" s="171">
        <v>233</v>
      </c>
      <c r="AM10" s="171">
        <v>329</v>
      </c>
      <c r="AN10" s="171">
        <v>563</v>
      </c>
      <c r="AO10" s="172">
        <v>2579</v>
      </c>
      <c r="AP10" s="173">
        <v>66</v>
      </c>
      <c r="AQ10" s="171">
        <v>231</v>
      </c>
      <c r="AR10" s="171">
        <v>390</v>
      </c>
      <c r="AS10" s="171">
        <v>622</v>
      </c>
      <c r="AT10" s="174">
        <v>10980</v>
      </c>
      <c r="AU10" s="170">
        <v>72</v>
      </c>
      <c r="AV10" s="171">
        <v>277</v>
      </c>
      <c r="AW10" s="171">
        <v>34</v>
      </c>
      <c r="AX10" s="171">
        <v>312</v>
      </c>
      <c r="AY10" s="172">
        <v>1618</v>
      </c>
      <c r="AZ10" s="170">
        <v>64</v>
      </c>
      <c r="BA10" s="171">
        <v>1311</v>
      </c>
      <c r="BB10" s="171">
        <v>680</v>
      </c>
      <c r="BC10" s="171">
        <v>1995</v>
      </c>
      <c r="BD10" s="172">
        <v>6787</v>
      </c>
      <c r="BE10" s="170">
        <v>65</v>
      </c>
      <c r="BF10" s="171">
        <v>1697</v>
      </c>
      <c r="BG10" s="171">
        <v>1281</v>
      </c>
      <c r="BH10" s="171">
        <v>2984</v>
      </c>
      <c r="BI10" s="172">
        <v>7841</v>
      </c>
      <c r="BJ10" s="170">
        <v>64</v>
      </c>
      <c r="BK10" s="171">
        <v>2448</v>
      </c>
      <c r="BL10" s="171">
        <v>1169</v>
      </c>
      <c r="BM10" s="171">
        <v>3623</v>
      </c>
      <c r="BN10" s="172">
        <v>12555</v>
      </c>
      <c r="BO10" s="170">
        <v>70</v>
      </c>
      <c r="BP10" s="171">
        <v>60</v>
      </c>
      <c r="BQ10" s="171">
        <v>1</v>
      </c>
      <c r="BR10" s="171">
        <v>61</v>
      </c>
      <c r="BS10" s="172">
        <v>247</v>
      </c>
      <c r="BT10" s="170">
        <v>71</v>
      </c>
      <c r="BU10" s="171">
        <v>32</v>
      </c>
      <c r="BV10" s="171">
        <v>4</v>
      </c>
      <c r="BW10" s="171">
        <v>36</v>
      </c>
      <c r="BX10" s="172">
        <v>278</v>
      </c>
      <c r="BY10" s="170">
        <v>67</v>
      </c>
      <c r="BZ10" s="171">
        <v>48</v>
      </c>
      <c r="CA10" s="171">
        <v>35</v>
      </c>
      <c r="CB10" s="171">
        <v>83</v>
      </c>
      <c r="CC10" s="172">
        <v>1015</v>
      </c>
      <c r="CD10" s="170">
        <v>69</v>
      </c>
      <c r="CE10" s="171">
        <v>32</v>
      </c>
      <c r="CF10" s="171">
        <v>9</v>
      </c>
      <c r="CG10" s="171">
        <v>42</v>
      </c>
      <c r="CH10" s="172">
        <v>393</v>
      </c>
      <c r="CI10" s="170">
        <v>66</v>
      </c>
      <c r="CJ10" s="171">
        <v>17</v>
      </c>
      <c r="CK10" s="171">
        <v>24</v>
      </c>
      <c r="CL10" s="171">
        <v>41</v>
      </c>
      <c r="CM10" s="172">
        <v>328</v>
      </c>
      <c r="CN10" s="170">
        <v>78</v>
      </c>
      <c r="CO10" s="171">
        <v>2</v>
      </c>
      <c r="CP10" s="171">
        <v>1</v>
      </c>
      <c r="CQ10" s="171">
        <v>3</v>
      </c>
      <c r="CR10" s="172">
        <v>17</v>
      </c>
      <c r="CS10" s="170">
        <v>68</v>
      </c>
      <c r="CT10" s="171">
        <v>35</v>
      </c>
      <c r="CU10" s="171">
        <v>1</v>
      </c>
      <c r="CV10" s="171">
        <v>36</v>
      </c>
      <c r="CW10" s="172">
        <v>119</v>
      </c>
      <c r="CX10" s="170">
        <v>77</v>
      </c>
      <c r="CY10" s="171">
        <v>9</v>
      </c>
      <c r="CZ10" s="171">
        <v>9</v>
      </c>
      <c r="DA10" s="171">
        <v>18</v>
      </c>
      <c r="DB10" s="172">
        <v>62</v>
      </c>
      <c r="DC10" s="170">
        <v>69</v>
      </c>
      <c r="DD10" s="171">
        <v>1</v>
      </c>
      <c r="DE10" s="171">
        <v>1</v>
      </c>
      <c r="DF10" s="171">
        <v>2</v>
      </c>
      <c r="DG10" s="172">
        <v>10</v>
      </c>
      <c r="DH10" s="170">
        <v>88</v>
      </c>
      <c r="DI10" s="171">
        <v>0</v>
      </c>
      <c r="DJ10" s="171">
        <v>1</v>
      </c>
      <c r="DK10" s="171">
        <v>1</v>
      </c>
      <c r="DL10" s="172">
        <v>8</v>
      </c>
    </row>
    <row r="11" spans="2:116">
      <c r="B11" s="170">
        <v>64</v>
      </c>
      <c r="C11" s="171">
        <v>738</v>
      </c>
      <c r="D11" s="171">
        <v>1578</v>
      </c>
      <c r="E11" s="171">
        <v>2324</v>
      </c>
      <c r="F11" s="172">
        <v>12236</v>
      </c>
      <c r="G11" s="170">
        <v>66</v>
      </c>
      <c r="H11" s="171">
        <v>203</v>
      </c>
      <c r="I11" s="171">
        <v>533</v>
      </c>
      <c r="J11" s="171">
        <v>738</v>
      </c>
      <c r="K11" s="172">
        <v>2978</v>
      </c>
      <c r="L11" s="170">
        <v>66</v>
      </c>
      <c r="M11" s="171">
        <v>168</v>
      </c>
      <c r="N11" s="171">
        <v>203</v>
      </c>
      <c r="O11" s="171">
        <v>377</v>
      </c>
      <c r="P11" s="172">
        <v>4032</v>
      </c>
      <c r="Q11" s="170">
        <v>68</v>
      </c>
      <c r="R11" s="171">
        <v>265</v>
      </c>
      <c r="S11" s="171">
        <v>235</v>
      </c>
      <c r="T11" s="171">
        <v>500</v>
      </c>
      <c r="U11" s="172">
        <v>2344</v>
      </c>
      <c r="V11" s="170">
        <v>62</v>
      </c>
      <c r="W11" s="171">
        <v>177</v>
      </c>
      <c r="X11" s="171">
        <v>171</v>
      </c>
      <c r="Y11" s="171">
        <v>349</v>
      </c>
      <c r="Z11" s="172">
        <v>3757</v>
      </c>
      <c r="AA11" s="170">
        <v>69</v>
      </c>
      <c r="AB11" s="171">
        <v>99</v>
      </c>
      <c r="AC11" s="171">
        <v>52</v>
      </c>
      <c r="AD11" s="171">
        <v>151</v>
      </c>
      <c r="AE11" s="172">
        <v>1361</v>
      </c>
      <c r="AF11" s="170">
        <v>65</v>
      </c>
      <c r="AG11" s="171">
        <v>47</v>
      </c>
      <c r="AH11" s="171">
        <v>16</v>
      </c>
      <c r="AI11" s="171">
        <v>63</v>
      </c>
      <c r="AJ11" s="172">
        <v>905</v>
      </c>
      <c r="AK11" s="170">
        <v>64</v>
      </c>
      <c r="AL11" s="171">
        <v>326</v>
      </c>
      <c r="AM11" s="171">
        <v>447</v>
      </c>
      <c r="AN11" s="171">
        <v>775</v>
      </c>
      <c r="AO11" s="172">
        <v>3354</v>
      </c>
      <c r="AP11" s="173">
        <v>65</v>
      </c>
      <c r="AQ11" s="171">
        <v>723</v>
      </c>
      <c r="AR11" s="171">
        <v>1393</v>
      </c>
      <c r="AS11" s="171">
        <v>2119</v>
      </c>
      <c r="AT11" s="174">
        <v>13099</v>
      </c>
      <c r="AU11" s="170">
        <v>71</v>
      </c>
      <c r="AV11" s="171">
        <v>250</v>
      </c>
      <c r="AW11" s="171">
        <v>31</v>
      </c>
      <c r="AX11" s="171">
        <v>281</v>
      </c>
      <c r="AY11" s="172">
        <v>1899</v>
      </c>
      <c r="AZ11" s="170">
        <v>63</v>
      </c>
      <c r="BA11" s="171">
        <v>1643</v>
      </c>
      <c r="BB11" s="171">
        <v>976</v>
      </c>
      <c r="BC11" s="171">
        <v>2626</v>
      </c>
      <c r="BD11" s="172">
        <v>9413</v>
      </c>
      <c r="BE11" s="170">
        <v>64</v>
      </c>
      <c r="BF11" s="171">
        <v>417</v>
      </c>
      <c r="BG11" s="171">
        <v>363</v>
      </c>
      <c r="BH11" s="171">
        <v>781</v>
      </c>
      <c r="BI11" s="172">
        <v>8622</v>
      </c>
      <c r="BJ11" s="170">
        <v>63</v>
      </c>
      <c r="BK11" s="171">
        <v>2151</v>
      </c>
      <c r="BL11" s="171">
        <v>1162</v>
      </c>
      <c r="BM11" s="171">
        <v>3320</v>
      </c>
      <c r="BN11" s="172">
        <v>15875</v>
      </c>
      <c r="BO11" s="170">
        <v>69</v>
      </c>
      <c r="BP11" s="171">
        <v>38</v>
      </c>
      <c r="BQ11" s="171">
        <v>3</v>
      </c>
      <c r="BR11" s="171">
        <v>41</v>
      </c>
      <c r="BS11" s="172">
        <v>288</v>
      </c>
      <c r="BT11" s="170">
        <v>70</v>
      </c>
      <c r="BU11" s="171">
        <v>59</v>
      </c>
      <c r="BV11" s="171">
        <v>14</v>
      </c>
      <c r="BW11" s="171">
        <v>73</v>
      </c>
      <c r="BX11" s="172">
        <v>351</v>
      </c>
      <c r="BY11" s="170">
        <v>66</v>
      </c>
      <c r="BZ11" s="171">
        <v>148</v>
      </c>
      <c r="CA11" s="171">
        <v>104</v>
      </c>
      <c r="CB11" s="171">
        <v>253</v>
      </c>
      <c r="CC11" s="172">
        <v>1268</v>
      </c>
      <c r="CD11" s="170">
        <v>68</v>
      </c>
      <c r="CE11" s="171">
        <v>126</v>
      </c>
      <c r="CF11" s="171">
        <v>26</v>
      </c>
      <c r="CG11" s="171">
        <v>152</v>
      </c>
      <c r="CH11" s="172">
        <v>545</v>
      </c>
      <c r="CI11" s="170">
        <v>65</v>
      </c>
      <c r="CJ11" s="171">
        <v>56</v>
      </c>
      <c r="CK11" s="171">
        <v>75</v>
      </c>
      <c r="CL11" s="171">
        <v>131</v>
      </c>
      <c r="CM11" s="172">
        <v>459</v>
      </c>
      <c r="CN11" s="170">
        <v>76</v>
      </c>
      <c r="CO11" s="171">
        <v>1</v>
      </c>
      <c r="CP11" s="171">
        <v>3</v>
      </c>
      <c r="CQ11" s="171">
        <v>4</v>
      </c>
      <c r="CR11" s="172">
        <v>21</v>
      </c>
      <c r="CS11" s="170">
        <v>67</v>
      </c>
      <c r="CT11" s="171">
        <v>17</v>
      </c>
      <c r="CU11" s="171">
        <v>3</v>
      </c>
      <c r="CV11" s="171">
        <v>20</v>
      </c>
      <c r="CW11" s="172">
        <v>139</v>
      </c>
      <c r="CX11" s="170">
        <v>76</v>
      </c>
      <c r="CY11" s="171">
        <v>2</v>
      </c>
      <c r="CZ11" s="171">
        <v>3</v>
      </c>
      <c r="DA11" s="171">
        <v>5</v>
      </c>
      <c r="DB11" s="172">
        <v>67</v>
      </c>
      <c r="DC11" s="170">
        <v>65</v>
      </c>
      <c r="DD11" s="171">
        <v>2</v>
      </c>
      <c r="DE11" s="171">
        <v>1</v>
      </c>
      <c r="DF11" s="171">
        <v>3</v>
      </c>
      <c r="DG11" s="172">
        <v>13</v>
      </c>
      <c r="DH11" s="170">
        <v>86</v>
      </c>
      <c r="DI11" s="171">
        <v>3</v>
      </c>
      <c r="DJ11" s="171">
        <v>0</v>
      </c>
      <c r="DK11" s="171">
        <v>3</v>
      </c>
      <c r="DL11" s="172">
        <v>11</v>
      </c>
    </row>
    <row r="12" spans="2:116">
      <c r="B12" s="170">
        <v>63</v>
      </c>
      <c r="C12" s="171">
        <v>504</v>
      </c>
      <c r="D12" s="171">
        <v>1024</v>
      </c>
      <c r="E12" s="171">
        <v>1531</v>
      </c>
      <c r="F12" s="172">
        <v>13767</v>
      </c>
      <c r="G12" s="170">
        <v>65</v>
      </c>
      <c r="H12" s="171">
        <v>117</v>
      </c>
      <c r="I12" s="171">
        <v>406</v>
      </c>
      <c r="J12" s="171">
        <v>526</v>
      </c>
      <c r="K12" s="172">
        <v>3504</v>
      </c>
      <c r="L12" s="170">
        <v>65</v>
      </c>
      <c r="M12" s="171">
        <v>245</v>
      </c>
      <c r="N12" s="171">
        <v>289</v>
      </c>
      <c r="O12" s="171">
        <v>535</v>
      </c>
      <c r="P12" s="172">
        <v>4567</v>
      </c>
      <c r="Q12" s="170">
        <v>67</v>
      </c>
      <c r="R12" s="171">
        <v>164</v>
      </c>
      <c r="S12" s="171">
        <v>177</v>
      </c>
      <c r="T12" s="171">
        <v>341</v>
      </c>
      <c r="U12" s="172">
        <v>2685</v>
      </c>
      <c r="V12" s="170">
        <v>61</v>
      </c>
      <c r="W12" s="171">
        <v>145</v>
      </c>
      <c r="X12" s="171">
        <v>118</v>
      </c>
      <c r="Y12" s="171">
        <v>265</v>
      </c>
      <c r="Z12" s="172">
        <v>4022</v>
      </c>
      <c r="AA12" s="170">
        <v>68</v>
      </c>
      <c r="AB12" s="171">
        <v>101</v>
      </c>
      <c r="AC12" s="171">
        <v>48</v>
      </c>
      <c r="AD12" s="171">
        <v>149</v>
      </c>
      <c r="AE12" s="172">
        <v>1510</v>
      </c>
      <c r="AF12" s="170">
        <v>64</v>
      </c>
      <c r="AG12" s="171">
        <v>68</v>
      </c>
      <c r="AH12" s="171">
        <v>24</v>
      </c>
      <c r="AI12" s="171">
        <v>92</v>
      </c>
      <c r="AJ12" s="172">
        <v>997</v>
      </c>
      <c r="AK12" s="170">
        <v>63</v>
      </c>
      <c r="AL12" s="171">
        <v>252</v>
      </c>
      <c r="AM12" s="171">
        <v>343</v>
      </c>
      <c r="AN12" s="171">
        <v>595</v>
      </c>
      <c r="AO12" s="172">
        <v>3949</v>
      </c>
      <c r="AP12" s="173">
        <v>64</v>
      </c>
      <c r="AQ12" s="171">
        <v>695</v>
      </c>
      <c r="AR12" s="171">
        <v>1416</v>
      </c>
      <c r="AS12" s="171">
        <v>2119</v>
      </c>
      <c r="AT12" s="174">
        <v>15218</v>
      </c>
      <c r="AU12" s="170">
        <v>70</v>
      </c>
      <c r="AV12" s="171">
        <v>492</v>
      </c>
      <c r="AW12" s="171">
        <v>60</v>
      </c>
      <c r="AX12" s="171">
        <v>552</v>
      </c>
      <c r="AY12" s="172">
        <v>2451</v>
      </c>
      <c r="AZ12" s="170">
        <v>62</v>
      </c>
      <c r="BA12" s="171">
        <v>696</v>
      </c>
      <c r="BB12" s="171">
        <v>399</v>
      </c>
      <c r="BC12" s="171">
        <v>1097</v>
      </c>
      <c r="BD12" s="172">
        <v>10510</v>
      </c>
      <c r="BE12" s="170">
        <v>63</v>
      </c>
      <c r="BF12" s="171">
        <v>2150</v>
      </c>
      <c r="BG12" s="171">
        <v>1808</v>
      </c>
      <c r="BH12" s="171">
        <v>3968</v>
      </c>
      <c r="BI12" s="172">
        <v>12590</v>
      </c>
      <c r="BJ12" s="170">
        <v>62</v>
      </c>
      <c r="BK12" s="171">
        <v>1857</v>
      </c>
      <c r="BL12" s="171">
        <v>902</v>
      </c>
      <c r="BM12" s="171">
        <v>2770</v>
      </c>
      <c r="BN12" s="172">
        <v>18645</v>
      </c>
      <c r="BO12" s="170">
        <v>68</v>
      </c>
      <c r="BP12" s="171">
        <v>61</v>
      </c>
      <c r="BQ12" s="171">
        <v>3</v>
      </c>
      <c r="BR12" s="171">
        <v>64</v>
      </c>
      <c r="BS12" s="172">
        <v>352</v>
      </c>
      <c r="BT12" s="170">
        <v>69</v>
      </c>
      <c r="BU12" s="171">
        <v>30</v>
      </c>
      <c r="BV12" s="171">
        <v>6</v>
      </c>
      <c r="BW12" s="171">
        <v>36</v>
      </c>
      <c r="BX12" s="172">
        <v>387</v>
      </c>
      <c r="BY12" s="170">
        <v>65</v>
      </c>
      <c r="BZ12" s="171">
        <v>68</v>
      </c>
      <c r="CA12" s="171">
        <v>49</v>
      </c>
      <c r="CB12" s="171">
        <v>117</v>
      </c>
      <c r="CC12" s="172">
        <v>1385</v>
      </c>
      <c r="CD12" s="170">
        <v>67</v>
      </c>
      <c r="CE12" s="171">
        <v>73</v>
      </c>
      <c r="CF12" s="171">
        <v>22</v>
      </c>
      <c r="CG12" s="171">
        <v>95</v>
      </c>
      <c r="CH12" s="172">
        <v>640</v>
      </c>
      <c r="CI12" s="170">
        <v>64</v>
      </c>
      <c r="CJ12" s="171">
        <v>55</v>
      </c>
      <c r="CK12" s="171">
        <v>78</v>
      </c>
      <c r="CL12" s="171">
        <v>133</v>
      </c>
      <c r="CM12" s="172">
        <v>592</v>
      </c>
      <c r="CN12" s="170">
        <v>75</v>
      </c>
      <c r="CO12" s="171">
        <v>1</v>
      </c>
      <c r="CP12" s="171">
        <v>1</v>
      </c>
      <c r="CQ12" s="171">
        <v>2</v>
      </c>
      <c r="CR12" s="172">
        <v>23</v>
      </c>
      <c r="CS12" s="170">
        <v>66</v>
      </c>
      <c r="CT12" s="171">
        <v>7</v>
      </c>
      <c r="CU12" s="171">
        <v>4</v>
      </c>
      <c r="CV12" s="171">
        <v>11</v>
      </c>
      <c r="CW12" s="172">
        <v>150</v>
      </c>
      <c r="CX12" s="170">
        <v>75</v>
      </c>
      <c r="CY12" s="171">
        <v>6</v>
      </c>
      <c r="CZ12" s="171">
        <v>10</v>
      </c>
      <c r="DA12" s="171">
        <v>16</v>
      </c>
      <c r="DB12" s="172">
        <v>83</v>
      </c>
      <c r="DC12" s="170">
        <v>63</v>
      </c>
      <c r="DD12" s="171">
        <v>2</v>
      </c>
      <c r="DE12" s="171">
        <v>3</v>
      </c>
      <c r="DF12" s="171">
        <v>5</v>
      </c>
      <c r="DG12" s="172">
        <v>18</v>
      </c>
      <c r="DH12" s="170">
        <v>85</v>
      </c>
      <c r="DI12" s="171">
        <v>3</v>
      </c>
      <c r="DJ12" s="171">
        <v>1</v>
      </c>
      <c r="DK12" s="171">
        <v>4</v>
      </c>
      <c r="DL12" s="172">
        <v>15</v>
      </c>
    </row>
    <row r="13" spans="2:116">
      <c r="B13" s="170">
        <v>62</v>
      </c>
      <c r="C13" s="171">
        <v>876</v>
      </c>
      <c r="D13" s="171">
        <v>2321</v>
      </c>
      <c r="E13" s="171">
        <v>3203</v>
      </c>
      <c r="F13" s="172">
        <v>16970</v>
      </c>
      <c r="G13" s="170">
        <v>64</v>
      </c>
      <c r="H13" s="171">
        <v>102</v>
      </c>
      <c r="I13" s="171">
        <v>253</v>
      </c>
      <c r="J13" s="171">
        <v>356</v>
      </c>
      <c r="K13" s="172">
        <v>3860</v>
      </c>
      <c r="L13" s="170">
        <v>64</v>
      </c>
      <c r="M13" s="171">
        <v>189</v>
      </c>
      <c r="N13" s="171">
        <v>259</v>
      </c>
      <c r="O13" s="171">
        <v>449</v>
      </c>
      <c r="P13" s="172">
        <v>5016</v>
      </c>
      <c r="Q13" s="170">
        <v>66</v>
      </c>
      <c r="R13" s="171">
        <v>131</v>
      </c>
      <c r="S13" s="171">
        <v>154</v>
      </c>
      <c r="T13" s="171">
        <v>286</v>
      </c>
      <c r="U13" s="172">
        <v>2971</v>
      </c>
      <c r="V13" s="170">
        <v>60</v>
      </c>
      <c r="W13" s="171">
        <v>376</v>
      </c>
      <c r="X13" s="171">
        <v>376</v>
      </c>
      <c r="Y13" s="171">
        <v>753</v>
      </c>
      <c r="Z13" s="172">
        <v>4775</v>
      </c>
      <c r="AA13" s="170">
        <v>67</v>
      </c>
      <c r="AB13" s="171">
        <v>82</v>
      </c>
      <c r="AC13" s="171">
        <v>55</v>
      </c>
      <c r="AD13" s="171">
        <v>137</v>
      </c>
      <c r="AE13" s="172">
        <v>1647</v>
      </c>
      <c r="AF13" s="170">
        <v>63</v>
      </c>
      <c r="AG13" s="171">
        <v>89</v>
      </c>
      <c r="AH13" s="171">
        <v>43</v>
      </c>
      <c r="AI13" s="171">
        <v>132</v>
      </c>
      <c r="AJ13" s="172">
        <v>1129</v>
      </c>
      <c r="AK13" s="170">
        <v>62</v>
      </c>
      <c r="AL13" s="171">
        <v>160</v>
      </c>
      <c r="AM13" s="171">
        <v>243</v>
      </c>
      <c r="AN13" s="171">
        <v>405</v>
      </c>
      <c r="AO13" s="172">
        <v>4354</v>
      </c>
      <c r="AP13" s="173">
        <v>63</v>
      </c>
      <c r="AQ13" s="171">
        <v>1173</v>
      </c>
      <c r="AR13" s="171">
        <v>2415</v>
      </c>
      <c r="AS13" s="171">
        <v>3592</v>
      </c>
      <c r="AT13" s="174">
        <v>18810</v>
      </c>
      <c r="AU13" s="170">
        <v>69</v>
      </c>
      <c r="AV13" s="171">
        <v>305</v>
      </c>
      <c r="AW13" s="171">
        <v>48</v>
      </c>
      <c r="AX13" s="171">
        <v>354</v>
      </c>
      <c r="AY13" s="172">
        <v>2805</v>
      </c>
      <c r="AZ13" s="170">
        <v>61</v>
      </c>
      <c r="BA13" s="171">
        <v>877</v>
      </c>
      <c r="BB13" s="171">
        <v>549</v>
      </c>
      <c r="BC13" s="171">
        <v>1429</v>
      </c>
      <c r="BD13" s="172">
        <v>11939</v>
      </c>
      <c r="BE13" s="170">
        <v>62</v>
      </c>
      <c r="BF13" s="171">
        <v>2693</v>
      </c>
      <c r="BG13" s="171">
        <v>2360</v>
      </c>
      <c r="BH13" s="171">
        <v>5064</v>
      </c>
      <c r="BI13" s="172">
        <v>17654</v>
      </c>
      <c r="BJ13" s="170">
        <v>61</v>
      </c>
      <c r="BK13" s="171">
        <v>902</v>
      </c>
      <c r="BL13" s="171">
        <v>578</v>
      </c>
      <c r="BM13" s="171">
        <v>1485</v>
      </c>
      <c r="BN13" s="172">
        <v>20130</v>
      </c>
      <c r="BO13" s="170">
        <v>67</v>
      </c>
      <c r="BP13" s="171">
        <v>61</v>
      </c>
      <c r="BQ13" s="171">
        <v>6</v>
      </c>
      <c r="BR13" s="171">
        <v>67</v>
      </c>
      <c r="BS13" s="172">
        <v>419</v>
      </c>
      <c r="BT13" s="170">
        <v>68</v>
      </c>
      <c r="BU13" s="171">
        <v>39</v>
      </c>
      <c r="BV13" s="171">
        <v>6</v>
      </c>
      <c r="BW13" s="171">
        <v>45</v>
      </c>
      <c r="BX13" s="172">
        <v>432</v>
      </c>
      <c r="BY13" s="170">
        <v>64</v>
      </c>
      <c r="BZ13" s="171">
        <v>71</v>
      </c>
      <c r="CA13" s="171">
        <v>51</v>
      </c>
      <c r="CB13" s="171">
        <v>122</v>
      </c>
      <c r="CC13" s="172">
        <v>1507</v>
      </c>
      <c r="CD13" s="170">
        <v>66</v>
      </c>
      <c r="CE13" s="171">
        <v>65</v>
      </c>
      <c r="CF13" s="171">
        <v>10</v>
      </c>
      <c r="CG13" s="171">
        <v>75</v>
      </c>
      <c r="CH13" s="172">
        <v>715</v>
      </c>
      <c r="CI13" s="170">
        <v>63</v>
      </c>
      <c r="CJ13" s="171">
        <v>118</v>
      </c>
      <c r="CK13" s="171">
        <v>172</v>
      </c>
      <c r="CL13" s="171">
        <v>290</v>
      </c>
      <c r="CM13" s="172">
        <v>882</v>
      </c>
      <c r="CN13" s="170">
        <v>74</v>
      </c>
      <c r="CO13" s="171">
        <v>2</v>
      </c>
      <c r="CP13" s="171">
        <v>5</v>
      </c>
      <c r="CQ13" s="171">
        <v>7</v>
      </c>
      <c r="CR13" s="172">
        <v>30</v>
      </c>
      <c r="CS13" s="170">
        <v>65</v>
      </c>
      <c r="CT13" s="171">
        <v>29</v>
      </c>
      <c r="CU13" s="171">
        <v>8</v>
      </c>
      <c r="CV13" s="171">
        <v>37</v>
      </c>
      <c r="CW13" s="172">
        <v>187</v>
      </c>
      <c r="CX13" s="170">
        <v>74</v>
      </c>
      <c r="CY13" s="171">
        <v>9</v>
      </c>
      <c r="CZ13" s="171">
        <v>6</v>
      </c>
      <c r="DA13" s="171">
        <v>15</v>
      </c>
      <c r="DB13" s="172">
        <v>98</v>
      </c>
      <c r="DC13" s="170">
        <v>61</v>
      </c>
      <c r="DD13" s="171">
        <v>1</v>
      </c>
      <c r="DE13" s="171">
        <v>2</v>
      </c>
      <c r="DF13" s="171">
        <v>3</v>
      </c>
      <c r="DG13" s="172">
        <v>21</v>
      </c>
      <c r="DH13" s="170">
        <v>83</v>
      </c>
      <c r="DI13" s="171">
        <v>0</v>
      </c>
      <c r="DJ13" s="171">
        <v>4</v>
      </c>
      <c r="DK13" s="171">
        <v>4</v>
      </c>
      <c r="DL13" s="172">
        <v>19</v>
      </c>
    </row>
    <row r="14" spans="2:116">
      <c r="B14" s="170">
        <v>61</v>
      </c>
      <c r="C14" s="171">
        <v>582</v>
      </c>
      <c r="D14" s="171">
        <v>1448</v>
      </c>
      <c r="E14" s="171">
        <v>2036</v>
      </c>
      <c r="F14" s="172">
        <v>19006</v>
      </c>
      <c r="G14" s="170">
        <v>63</v>
      </c>
      <c r="H14" s="171">
        <v>100</v>
      </c>
      <c r="I14" s="171">
        <v>288</v>
      </c>
      <c r="J14" s="171">
        <v>390</v>
      </c>
      <c r="K14" s="172">
        <v>4250</v>
      </c>
      <c r="L14" s="170">
        <v>63</v>
      </c>
      <c r="M14" s="171">
        <v>493</v>
      </c>
      <c r="N14" s="171">
        <v>603</v>
      </c>
      <c r="O14" s="171">
        <v>1097</v>
      </c>
      <c r="P14" s="172">
        <v>6113</v>
      </c>
      <c r="Q14" s="170">
        <v>65</v>
      </c>
      <c r="R14" s="171">
        <v>241</v>
      </c>
      <c r="S14" s="171">
        <v>208</v>
      </c>
      <c r="T14" s="171">
        <v>449</v>
      </c>
      <c r="U14" s="172">
        <v>3420</v>
      </c>
      <c r="V14" s="170">
        <v>59</v>
      </c>
      <c r="W14" s="171">
        <v>209</v>
      </c>
      <c r="X14" s="171">
        <v>188</v>
      </c>
      <c r="Y14" s="171">
        <v>397</v>
      </c>
      <c r="Z14" s="172">
        <v>5172</v>
      </c>
      <c r="AA14" s="170">
        <v>66</v>
      </c>
      <c r="AB14" s="171">
        <v>189</v>
      </c>
      <c r="AC14" s="171">
        <v>107</v>
      </c>
      <c r="AD14" s="171">
        <v>297</v>
      </c>
      <c r="AE14" s="172">
        <v>1944</v>
      </c>
      <c r="AF14" s="170">
        <v>62</v>
      </c>
      <c r="AG14" s="171">
        <v>60</v>
      </c>
      <c r="AH14" s="171">
        <v>37</v>
      </c>
      <c r="AI14" s="171">
        <v>97</v>
      </c>
      <c r="AJ14" s="172">
        <v>1226</v>
      </c>
      <c r="AK14" s="170">
        <v>61</v>
      </c>
      <c r="AL14" s="171">
        <v>194</v>
      </c>
      <c r="AM14" s="171">
        <v>296</v>
      </c>
      <c r="AN14" s="171">
        <v>491</v>
      </c>
      <c r="AO14" s="172">
        <v>4845</v>
      </c>
      <c r="AP14" s="173">
        <v>62</v>
      </c>
      <c r="AQ14" s="171">
        <v>567</v>
      </c>
      <c r="AR14" s="171">
        <v>1260</v>
      </c>
      <c r="AS14" s="171">
        <v>1831</v>
      </c>
      <c r="AT14" s="174">
        <v>20641</v>
      </c>
      <c r="AU14" s="170">
        <v>68</v>
      </c>
      <c r="AV14" s="171">
        <v>469</v>
      </c>
      <c r="AW14" s="171">
        <v>69</v>
      </c>
      <c r="AX14" s="171">
        <v>540</v>
      </c>
      <c r="AY14" s="172">
        <v>3345</v>
      </c>
      <c r="AZ14" s="170">
        <v>60</v>
      </c>
      <c r="BA14" s="171">
        <v>1435</v>
      </c>
      <c r="BB14" s="171">
        <v>913</v>
      </c>
      <c r="BC14" s="171">
        <v>2354</v>
      </c>
      <c r="BD14" s="172">
        <v>14293</v>
      </c>
      <c r="BE14" s="170">
        <v>61</v>
      </c>
      <c r="BF14" s="171">
        <v>2356</v>
      </c>
      <c r="BG14" s="171">
        <v>2223</v>
      </c>
      <c r="BH14" s="171">
        <v>4591</v>
      </c>
      <c r="BI14" s="172">
        <v>22245</v>
      </c>
      <c r="BJ14" s="170">
        <v>60</v>
      </c>
      <c r="BK14" s="171">
        <v>1872</v>
      </c>
      <c r="BL14" s="171">
        <v>985</v>
      </c>
      <c r="BM14" s="171">
        <v>2866</v>
      </c>
      <c r="BN14" s="172">
        <v>22996</v>
      </c>
      <c r="BO14" s="170">
        <v>66</v>
      </c>
      <c r="BP14" s="171">
        <v>103</v>
      </c>
      <c r="BQ14" s="171">
        <v>8</v>
      </c>
      <c r="BR14" s="171">
        <v>112</v>
      </c>
      <c r="BS14" s="172">
        <v>531</v>
      </c>
      <c r="BT14" s="170">
        <v>67</v>
      </c>
      <c r="BU14" s="171">
        <v>51</v>
      </c>
      <c r="BV14" s="171">
        <v>7</v>
      </c>
      <c r="BW14" s="171">
        <v>58</v>
      </c>
      <c r="BX14" s="172">
        <v>490</v>
      </c>
      <c r="BY14" s="170">
        <v>63</v>
      </c>
      <c r="BZ14" s="171">
        <v>97</v>
      </c>
      <c r="CA14" s="171">
        <v>78</v>
      </c>
      <c r="CB14" s="171">
        <v>175</v>
      </c>
      <c r="CC14" s="172">
        <v>1682</v>
      </c>
      <c r="CD14" s="170">
        <v>65</v>
      </c>
      <c r="CE14" s="171">
        <v>42</v>
      </c>
      <c r="CF14" s="171">
        <v>14</v>
      </c>
      <c r="CG14" s="171">
        <v>56</v>
      </c>
      <c r="CH14" s="172">
        <v>771</v>
      </c>
      <c r="CI14" s="170">
        <v>62</v>
      </c>
      <c r="CJ14" s="171">
        <v>46</v>
      </c>
      <c r="CK14" s="171">
        <v>70</v>
      </c>
      <c r="CL14" s="171">
        <v>116</v>
      </c>
      <c r="CM14" s="172">
        <v>998</v>
      </c>
      <c r="CN14" s="170">
        <v>73</v>
      </c>
      <c r="CO14" s="171">
        <v>1</v>
      </c>
      <c r="CP14" s="171">
        <v>1</v>
      </c>
      <c r="CQ14" s="171">
        <v>2</v>
      </c>
      <c r="CR14" s="172">
        <v>32</v>
      </c>
      <c r="CS14" s="170">
        <v>64</v>
      </c>
      <c r="CT14" s="171">
        <v>18</v>
      </c>
      <c r="CU14" s="171">
        <v>5</v>
      </c>
      <c r="CV14" s="171">
        <v>23</v>
      </c>
      <c r="CW14" s="172">
        <v>210</v>
      </c>
      <c r="CX14" s="170">
        <v>73</v>
      </c>
      <c r="CY14" s="171">
        <v>3</v>
      </c>
      <c r="CZ14" s="171">
        <v>8</v>
      </c>
      <c r="DA14" s="171">
        <v>11</v>
      </c>
      <c r="DB14" s="172">
        <v>109</v>
      </c>
      <c r="DC14" s="170">
        <v>59</v>
      </c>
      <c r="DD14" s="171">
        <v>1</v>
      </c>
      <c r="DE14" s="171">
        <v>3</v>
      </c>
      <c r="DF14" s="171">
        <v>4</v>
      </c>
      <c r="DG14" s="172">
        <v>25</v>
      </c>
      <c r="DH14" s="170">
        <v>82</v>
      </c>
      <c r="DI14" s="171">
        <v>1</v>
      </c>
      <c r="DJ14" s="171">
        <v>1</v>
      </c>
      <c r="DK14" s="171">
        <v>2</v>
      </c>
      <c r="DL14" s="172">
        <v>21</v>
      </c>
    </row>
    <row r="15" spans="2:116">
      <c r="B15" s="170">
        <v>60</v>
      </c>
      <c r="C15" s="171">
        <v>1786</v>
      </c>
      <c r="D15" s="171">
        <v>4328</v>
      </c>
      <c r="E15" s="171">
        <v>6125</v>
      </c>
      <c r="F15" s="172">
        <v>25131</v>
      </c>
      <c r="G15" s="170">
        <v>62</v>
      </c>
      <c r="H15" s="171">
        <v>142</v>
      </c>
      <c r="I15" s="171">
        <v>329</v>
      </c>
      <c r="J15" s="171">
        <v>473</v>
      </c>
      <c r="K15" s="172">
        <v>4723</v>
      </c>
      <c r="L15" s="170">
        <v>62</v>
      </c>
      <c r="M15" s="171">
        <v>221</v>
      </c>
      <c r="N15" s="171">
        <v>296</v>
      </c>
      <c r="O15" s="171">
        <v>518</v>
      </c>
      <c r="P15" s="172">
        <v>6631</v>
      </c>
      <c r="Q15" s="170">
        <v>64</v>
      </c>
      <c r="R15" s="171">
        <v>162</v>
      </c>
      <c r="S15" s="171">
        <v>138</v>
      </c>
      <c r="T15" s="171">
        <v>303</v>
      </c>
      <c r="U15" s="172">
        <v>3723</v>
      </c>
      <c r="V15" s="170">
        <v>58</v>
      </c>
      <c r="W15" s="171">
        <v>227</v>
      </c>
      <c r="X15" s="171">
        <v>209</v>
      </c>
      <c r="Y15" s="171">
        <v>436</v>
      </c>
      <c r="Z15" s="172">
        <v>5608</v>
      </c>
      <c r="AA15" s="170">
        <v>65</v>
      </c>
      <c r="AB15" s="171">
        <v>95</v>
      </c>
      <c r="AC15" s="171">
        <v>59</v>
      </c>
      <c r="AD15" s="171">
        <v>154</v>
      </c>
      <c r="AE15" s="172">
        <v>2098</v>
      </c>
      <c r="AF15" s="170">
        <v>61</v>
      </c>
      <c r="AG15" s="171">
        <v>51</v>
      </c>
      <c r="AH15" s="171">
        <v>23</v>
      </c>
      <c r="AI15" s="171">
        <v>74</v>
      </c>
      <c r="AJ15" s="172">
        <v>1300</v>
      </c>
      <c r="AK15" s="170">
        <v>60</v>
      </c>
      <c r="AL15" s="171">
        <v>193</v>
      </c>
      <c r="AM15" s="171">
        <v>318</v>
      </c>
      <c r="AN15" s="171">
        <v>515</v>
      </c>
      <c r="AO15" s="172">
        <v>5360</v>
      </c>
      <c r="AP15" s="173">
        <v>61</v>
      </c>
      <c r="AQ15" s="171">
        <v>636</v>
      </c>
      <c r="AR15" s="171">
        <v>1238</v>
      </c>
      <c r="AS15" s="171">
        <v>1879</v>
      </c>
      <c r="AT15" s="174">
        <v>22520</v>
      </c>
      <c r="AU15" s="170">
        <v>67</v>
      </c>
      <c r="AV15" s="171">
        <v>534</v>
      </c>
      <c r="AW15" s="171">
        <v>85</v>
      </c>
      <c r="AX15" s="171">
        <v>620</v>
      </c>
      <c r="AY15" s="172">
        <v>3965</v>
      </c>
      <c r="AZ15" s="170">
        <v>59</v>
      </c>
      <c r="BA15" s="171">
        <v>1661</v>
      </c>
      <c r="BB15" s="171">
        <v>1145</v>
      </c>
      <c r="BC15" s="171">
        <v>2809</v>
      </c>
      <c r="BD15" s="172">
        <v>17102</v>
      </c>
      <c r="BE15" s="170">
        <v>60</v>
      </c>
      <c r="BF15" s="171">
        <v>1080</v>
      </c>
      <c r="BG15" s="171">
        <v>1008</v>
      </c>
      <c r="BH15" s="171">
        <v>2094</v>
      </c>
      <c r="BI15" s="172">
        <v>24339</v>
      </c>
      <c r="BJ15" s="170">
        <v>59</v>
      </c>
      <c r="BK15" s="171">
        <v>2734</v>
      </c>
      <c r="BL15" s="171">
        <v>1488</v>
      </c>
      <c r="BM15" s="171">
        <v>4229</v>
      </c>
      <c r="BN15" s="172">
        <v>27225</v>
      </c>
      <c r="BO15" s="170">
        <v>65</v>
      </c>
      <c r="BP15" s="171">
        <v>67</v>
      </c>
      <c r="BQ15" s="171">
        <v>6</v>
      </c>
      <c r="BR15" s="171">
        <v>73</v>
      </c>
      <c r="BS15" s="172">
        <v>604</v>
      </c>
      <c r="BT15" s="170">
        <v>66</v>
      </c>
      <c r="BU15" s="171">
        <v>40</v>
      </c>
      <c r="BV15" s="171">
        <v>10</v>
      </c>
      <c r="BW15" s="171">
        <v>50</v>
      </c>
      <c r="BX15" s="172">
        <v>540</v>
      </c>
      <c r="BY15" s="170">
        <v>62</v>
      </c>
      <c r="BZ15" s="171">
        <v>38</v>
      </c>
      <c r="CA15" s="171">
        <v>50</v>
      </c>
      <c r="CB15" s="171">
        <v>88</v>
      </c>
      <c r="CC15" s="172">
        <v>1770</v>
      </c>
      <c r="CD15" s="170">
        <v>64</v>
      </c>
      <c r="CE15" s="171">
        <v>65</v>
      </c>
      <c r="CF15" s="171">
        <v>17</v>
      </c>
      <c r="CG15" s="171">
        <v>82</v>
      </c>
      <c r="CH15" s="172">
        <v>853</v>
      </c>
      <c r="CI15" s="170">
        <v>61</v>
      </c>
      <c r="CJ15" s="171">
        <v>60</v>
      </c>
      <c r="CK15" s="171">
        <v>112</v>
      </c>
      <c r="CL15" s="171">
        <v>172</v>
      </c>
      <c r="CM15" s="172">
        <v>1170</v>
      </c>
      <c r="CN15" s="170">
        <v>72</v>
      </c>
      <c r="CO15" s="171">
        <v>4</v>
      </c>
      <c r="CP15" s="171">
        <v>6</v>
      </c>
      <c r="CQ15" s="171">
        <v>10</v>
      </c>
      <c r="CR15" s="172">
        <v>42</v>
      </c>
      <c r="CS15" s="170">
        <v>63</v>
      </c>
      <c r="CT15" s="171">
        <v>8</v>
      </c>
      <c r="CU15" s="171">
        <v>4</v>
      </c>
      <c r="CV15" s="171">
        <v>12</v>
      </c>
      <c r="CW15" s="172">
        <v>222</v>
      </c>
      <c r="CX15" s="170">
        <v>72</v>
      </c>
      <c r="CY15" s="171">
        <v>12</v>
      </c>
      <c r="CZ15" s="171">
        <v>10</v>
      </c>
      <c r="DA15" s="171">
        <v>22</v>
      </c>
      <c r="DB15" s="172">
        <v>131</v>
      </c>
      <c r="DC15" s="170">
        <v>57</v>
      </c>
      <c r="DD15" s="171">
        <v>5</v>
      </c>
      <c r="DE15" s="171">
        <v>3</v>
      </c>
      <c r="DF15" s="171">
        <v>8</v>
      </c>
      <c r="DG15" s="172">
        <v>33</v>
      </c>
      <c r="DH15" s="170">
        <v>80</v>
      </c>
      <c r="DI15" s="171">
        <v>1</v>
      </c>
      <c r="DJ15" s="171">
        <v>4</v>
      </c>
      <c r="DK15" s="171">
        <v>5</v>
      </c>
      <c r="DL15" s="172">
        <v>26</v>
      </c>
    </row>
    <row r="16" spans="2:116">
      <c r="B16" s="170">
        <v>59</v>
      </c>
      <c r="C16" s="171">
        <v>727</v>
      </c>
      <c r="D16" s="171">
        <v>1714</v>
      </c>
      <c r="E16" s="171">
        <v>2445</v>
      </c>
      <c r="F16" s="172">
        <v>27576</v>
      </c>
      <c r="G16" s="170">
        <v>61</v>
      </c>
      <c r="H16" s="171">
        <v>249</v>
      </c>
      <c r="I16" s="171">
        <v>654</v>
      </c>
      <c r="J16" s="171">
        <v>906</v>
      </c>
      <c r="K16" s="172">
        <v>5629</v>
      </c>
      <c r="L16" s="170">
        <v>61</v>
      </c>
      <c r="M16" s="171">
        <v>278</v>
      </c>
      <c r="N16" s="171">
        <v>358</v>
      </c>
      <c r="O16" s="171">
        <v>639</v>
      </c>
      <c r="P16" s="172">
        <v>7270</v>
      </c>
      <c r="Q16" s="170">
        <v>63</v>
      </c>
      <c r="R16" s="171">
        <v>211</v>
      </c>
      <c r="S16" s="171">
        <v>220</v>
      </c>
      <c r="T16" s="171">
        <v>433</v>
      </c>
      <c r="U16" s="172">
        <v>4156</v>
      </c>
      <c r="V16" s="170">
        <v>57</v>
      </c>
      <c r="W16" s="171">
        <v>364</v>
      </c>
      <c r="X16" s="171">
        <v>403</v>
      </c>
      <c r="Y16" s="171">
        <v>767</v>
      </c>
      <c r="Z16" s="172">
        <v>6375</v>
      </c>
      <c r="AA16" s="170">
        <v>64</v>
      </c>
      <c r="AB16" s="171">
        <v>76</v>
      </c>
      <c r="AC16" s="171">
        <v>68</v>
      </c>
      <c r="AD16" s="171">
        <v>145</v>
      </c>
      <c r="AE16" s="172">
        <v>2243</v>
      </c>
      <c r="AF16" s="170">
        <v>60</v>
      </c>
      <c r="AG16" s="171">
        <v>59</v>
      </c>
      <c r="AH16" s="171">
        <v>27</v>
      </c>
      <c r="AI16" s="171">
        <v>87</v>
      </c>
      <c r="AJ16" s="172">
        <v>1387</v>
      </c>
      <c r="AK16" s="170">
        <v>59</v>
      </c>
      <c r="AL16" s="171">
        <v>342</v>
      </c>
      <c r="AM16" s="171">
        <v>623</v>
      </c>
      <c r="AN16" s="171">
        <v>966</v>
      </c>
      <c r="AO16" s="172">
        <v>6326</v>
      </c>
      <c r="AP16" s="173">
        <v>60</v>
      </c>
      <c r="AQ16" s="171">
        <v>726</v>
      </c>
      <c r="AR16" s="171">
        <v>1555</v>
      </c>
      <c r="AS16" s="171">
        <v>2287</v>
      </c>
      <c r="AT16" s="174">
        <v>24807</v>
      </c>
      <c r="AU16" s="170">
        <v>66</v>
      </c>
      <c r="AV16" s="171">
        <v>415</v>
      </c>
      <c r="AW16" s="171">
        <v>61</v>
      </c>
      <c r="AX16" s="171">
        <v>476</v>
      </c>
      <c r="AY16" s="172">
        <v>4441</v>
      </c>
      <c r="AZ16" s="170">
        <v>58</v>
      </c>
      <c r="BA16" s="171">
        <v>1083</v>
      </c>
      <c r="BB16" s="171">
        <v>768</v>
      </c>
      <c r="BC16" s="171">
        <v>1855</v>
      </c>
      <c r="BD16" s="172">
        <v>18957</v>
      </c>
      <c r="BE16" s="170">
        <v>59</v>
      </c>
      <c r="BF16" s="171">
        <v>2016</v>
      </c>
      <c r="BG16" s="171">
        <v>1962</v>
      </c>
      <c r="BH16" s="171">
        <v>3988</v>
      </c>
      <c r="BI16" s="172">
        <v>28327</v>
      </c>
      <c r="BJ16" s="170">
        <v>58</v>
      </c>
      <c r="BK16" s="171">
        <v>1717</v>
      </c>
      <c r="BL16" s="171">
        <v>969</v>
      </c>
      <c r="BM16" s="171">
        <v>2692</v>
      </c>
      <c r="BN16" s="172">
        <v>29917</v>
      </c>
      <c r="BO16" s="170">
        <v>64</v>
      </c>
      <c r="BP16" s="171">
        <v>61</v>
      </c>
      <c r="BQ16" s="171">
        <v>6</v>
      </c>
      <c r="BR16" s="171">
        <v>67</v>
      </c>
      <c r="BS16" s="172">
        <v>671</v>
      </c>
      <c r="BT16" s="170">
        <v>65</v>
      </c>
      <c r="BU16" s="171">
        <v>104</v>
      </c>
      <c r="BV16" s="171">
        <v>15</v>
      </c>
      <c r="BW16" s="171">
        <v>119</v>
      </c>
      <c r="BX16" s="172">
        <v>659</v>
      </c>
      <c r="BY16" s="170">
        <v>61</v>
      </c>
      <c r="BZ16" s="171">
        <v>42</v>
      </c>
      <c r="CA16" s="171">
        <v>34</v>
      </c>
      <c r="CB16" s="171">
        <v>76</v>
      </c>
      <c r="CC16" s="172">
        <v>1846</v>
      </c>
      <c r="CD16" s="170">
        <v>63</v>
      </c>
      <c r="CE16" s="171">
        <v>87</v>
      </c>
      <c r="CF16" s="171">
        <v>27</v>
      </c>
      <c r="CG16" s="171">
        <v>114</v>
      </c>
      <c r="CH16" s="172">
        <v>967</v>
      </c>
      <c r="CI16" s="170">
        <v>60</v>
      </c>
      <c r="CJ16" s="171">
        <v>87</v>
      </c>
      <c r="CK16" s="171">
        <v>127</v>
      </c>
      <c r="CL16" s="171">
        <v>215</v>
      </c>
      <c r="CM16" s="172">
        <v>1385</v>
      </c>
      <c r="CN16" s="170">
        <v>71</v>
      </c>
      <c r="CO16" s="171">
        <v>2</v>
      </c>
      <c r="CP16" s="171">
        <v>5</v>
      </c>
      <c r="CQ16" s="171">
        <v>7</v>
      </c>
      <c r="CR16" s="172">
        <v>49</v>
      </c>
      <c r="CS16" s="170">
        <v>62</v>
      </c>
      <c r="CT16" s="171">
        <v>9</v>
      </c>
      <c r="CU16" s="171">
        <v>8</v>
      </c>
      <c r="CV16" s="171">
        <v>17</v>
      </c>
      <c r="CW16" s="172">
        <v>239</v>
      </c>
      <c r="CX16" s="170">
        <v>71</v>
      </c>
      <c r="CY16" s="171">
        <v>6</v>
      </c>
      <c r="CZ16" s="171">
        <v>8</v>
      </c>
      <c r="DA16" s="171">
        <v>14</v>
      </c>
      <c r="DB16" s="172">
        <v>145</v>
      </c>
      <c r="DC16" s="170">
        <v>55</v>
      </c>
      <c r="DD16" s="171">
        <v>3</v>
      </c>
      <c r="DE16" s="171">
        <v>1</v>
      </c>
      <c r="DF16" s="171">
        <v>4</v>
      </c>
      <c r="DG16" s="172">
        <v>37</v>
      </c>
      <c r="DH16" s="170">
        <v>79</v>
      </c>
      <c r="DI16" s="171">
        <v>0</v>
      </c>
      <c r="DJ16" s="171">
        <v>3</v>
      </c>
      <c r="DK16" s="171">
        <v>3</v>
      </c>
      <c r="DL16" s="172">
        <v>29</v>
      </c>
    </row>
    <row r="17" spans="2:116">
      <c r="B17" s="170">
        <v>58</v>
      </c>
      <c r="C17" s="171">
        <v>1097</v>
      </c>
      <c r="D17" s="171">
        <v>2600</v>
      </c>
      <c r="E17" s="171">
        <v>3708</v>
      </c>
      <c r="F17" s="172">
        <v>31284</v>
      </c>
      <c r="G17" s="170">
        <v>60</v>
      </c>
      <c r="H17" s="171">
        <v>122</v>
      </c>
      <c r="I17" s="171">
        <v>332</v>
      </c>
      <c r="J17" s="171">
        <v>455</v>
      </c>
      <c r="K17" s="172">
        <v>6084</v>
      </c>
      <c r="L17" s="170">
        <v>60</v>
      </c>
      <c r="M17" s="171">
        <v>236</v>
      </c>
      <c r="N17" s="171">
        <v>346</v>
      </c>
      <c r="O17" s="171">
        <v>585</v>
      </c>
      <c r="P17" s="172">
        <v>7855</v>
      </c>
      <c r="Q17" s="170">
        <v>62</v>
      </c>
      <c r="R17" s="171">
        <v>382</v>
      </c>
      <c r="S17" s="171">
        <v>434</v>
      </c>
      <c r="T17" s="171">
        <v>819</v>
      </c>
      <c r="U17" s="172">
        <v>4975</v>
      </c>
      <c r="V17" s="170">
        <v>56</v>
      </c>
      <c r="W17" s="171">
        <v>170</v>
      </c>
      <c r="X17" s="171">
        <v>215</v>
      </c>
      <c r="Y17" s="171">
        <v>387</v>
      </c>
      <c r="Z17" s="172">
        <v>6762</v>
      </c>
      <c r="AA17" s="170">
        <v>63</v>
      </c>
      <c r="AB17" s="171">
        <v>88</v>
      </c>
      <c r="AC17" s="171">
        <v>61</v>
      </c>
      <c r="AD17" s="171">
        <v>150</v>
      </c>
      <c r="AE17" s="172">
        <v>2393</v>
      </c>
      <c r="AF17" s="170">
        <v>59</v>
      </c>
      <c r="AG17" s="171">
        <v>109</v>
      </c>
      <c r="AH17" s="171">
        <v>51</v>
      </c>
      <c r="AI17" s="171">
        <v>163</v>
      </c>
      <c r="AJ17" s="172">
        <v>1550</v>
      </c>
      <c r="AK17" s="170">
        <v>58</v>
      </c>
      <c r="AL17" s="171">
        <v>153</v>
      </c>
      <c r="AM17" s="171">
        <v>332</v>
      </c>
      <c r="AN17" s="171">
        <v>486</v>
      </c>
      <c r="AO17" s="172">
        <v>6812</v>
      </c>
      <c r="AP17" s="173">
        <v>59</v>
      </c>
      <c r="AQ17" s="171">
        <v>1255</v>
      </c>
      <c r="AR17" s="171">
        <v>2917</v>
      </c>
      <c r="AS17" s="171">
        <v>4181</v>
      </c>
      <c r="AT17" s="174">
        <v>28988</v>
      </c>
      <c r="AU17" s="170">
        <v>65</v>
      </c>
      <c r="AV17" s="171">
        <v>729</v>
      </c>
      <c r="AW17" s="171">
        <v>92</v>
      </c>
      <c r="AX17" s="171">
        <v>826</v>
      </c>
      <c r="AY17" s="172">
        <v>5267</v>
      </c>
      <c r="AZ17" s="170">
        <v>57</v>
      </c>
      <c r="BA17" s="171">
        <v>671</v>
      </c>
      <c r="BB17" s="171">
        <v>491</v>
      </c>
      <c r="BC17" s="171">
        <v>1165</v>
      </c>
      <c r="BD17" s="172">
        <v>20122</v>
      </c>
      <c r="BE17" s="170">
        <v>58</v>
      </c>
      <c r="BF17" s="171">
        <v>1659</v>
      </c>
      <c r="BG17" s="171">
        <v>1722</v>
      </c>
      <c r="BH17" s="171">
        <v>3391</v>
      </c>
      <c r="BI17" s="172">
        <v>31718</v>
      </c>
      <c r="BJ17" s="170">
        <v>57</v>
      </c>
      <c r="BK17" s="171">
        <v>1375</v>
      </c>
      <c r="BL17" s="171">
        <v>827</v>
      </c>
      <c r="BM17" s="171">
        <v>2208</v>
      </c>
      <c r="BN17" s="172">
        <v>32125</v>
      </c>
      <c r="BO17" s="170">
        <v>63</v>
      </c>
      <c r="BP17" s="171">
        <v>70</v>
      </c>
      <c r="BQ17" s="171">
        <v>6</v>
      </c>
      <c r="BR17" s="171">
        <v>76</v>
      </c>
      <c r="BS17" s="172">
        <v>747</v>
      </c>
      <c r="BT17" s="170">
        <v>64</v>
      </c>
      <c r="BU17" s="171">
        <v>44</v>
      </c>
      <c r="BV17" s="171">
        <v>11</v>
      </c>
      <c r="BW17" s="171">
        <v>56</v>
      </c>
      <c r="BX17" s="172">
        <v>715</v>
      </c>
      <c r="BY17" s="170">
        <v>60</v>
      </c>
      <c r="BZ17" s="171">
        <v>92</v>
      </c>
      <c r="CA17" s="171">
        <v>79</v>
      </c>
      <c r="CB17" s="171">
        <v>171</v>
      </c>
      <c r="CC17" s="172">
        <v>2017</v>
      </c>
      <c r="CD17" s="170">
        <v>62</v>
      </c>
      <c r="CE17" s="171">
        <v>46</v>
      </c>
      <c r="CF17" s="171">
        <v>14</v>
      </c>
      <c r="CG17" s="171">
        <v>60</v>
      </c>
      <c r="CH17" s="172">
        <v>1027</v>
      </c>
      <c r="CI17" s="170">
        <v>59</v>
      </c>
      <c r="CJ17" s="171">
        <v>132</v>
      </c>
      <c r="CK17" s="171">
        <v>269</v>
      </c>
      <c r="CL17" s="171">
        <v>402</v>
      </c>
      <c r="CM17" s="172">
        <v>1787</v>
      </c>
      <c r="CN17" s="170">
        <v>69</v>
      </c>
      <c r="CO17" s="171">
        <v>5</v>
      </c>
      <c r="CP17" s="171">
        <v>3</v>
      </c>
      <c r="CQ17" s="171">
        <v>8</v>
      </c>
      <c r="CR17" s="172">
        <v>57</v>
      </c>
      <c r="CS17" s="170">
        <v>61</v>
      </c>
      <c r="CT17" s="171">
        <v>37</v>
      </c>
      <c r="CU17" s="171">
        <v>5</v>
      </c>
      <c r="CV17" s="171">
        <v>42</v>
      </c>
      <c r="CW17" s="172">
        <v>281</v>
      </c>
      <c r="CX17" s="170">
        <v>70</v>
      </c>
      <c r="CY17" s="171">
        <v>1</v>
      </c>
      <c r="CZ17" s="171">
        <v>8</v>
      </c>
      <c r="DA17" s="171">
        <v>9</v>
      </c>
      <c r="DB17" s="172">
        <v>154</v>
      </c>
      <c r="DC17" s="170">
        <v>53</v>
      </c>
      <c r="DD17" s="171">
        <v>8</v>
      </c>
      <c r="DE17" s="171">
        <v>17</v>
      </c>
      <c r="DF17" s="171">
        <v>25</v>
      </c>
      <c r="DG17" s="172">
        <v>62</v>
      </c>
      <c r="DH17" s="170">
        <v>78</v>
      </c>
      <c r="DI17" s="171">
        <v>0</v>
      </c>
      <c r="DJ17" s="171">
        <v>4</v>
      </c>
      <c r="DK17" s="171">
        <v>4</v>
      </c>
      <c r="DL17" s="172">
        <v>33</v>
      </c>
    </row>
    <row r="18" spans="2:116">
      <c r="B18" s="170">
        <v>57</v>
      </c>
      <c r="C18" s="171">
        <v>1060</v>
      </c>
      <c r="D18" s="171">
        <v>2378</v>
      </c>
      <c r="E18" s="171">
        <v>3444</v>
      </c>
      <c r="F18" s="172">
        <v>34728</v>
      </c>
      <c r="G18" s="170">
        <v>59</v>
      </c>
      <c r="H18" s="171">
        <v>114</v>
      </c>
      <c r="I18" s="171">
        <v>314</v>
      </c>
      <c r="J18" s="171">
        <v>428</v>
      </c>
      <c r="K18" s="172">
        <v>6512</v>
      </c>
      <c r="L18" s="170">
        <v>59</v>
      </c>
      <c r="M18" s="171">
        <v>534</v>
      </c>
      <c r="N18" s="171">
        <v>835</v>
      </c>
      <c r="O18" s="171">
        <v>1373</v>
      </c>
      <c r="P18" s="172">
        <v>9228</v>
      </c>
      <c r="Q18" s="170">
        <v>61</v>
      </c>
      <c r="R18" s="171">
        <v>231</v>
      </c>
      <c r="S18" s="171">
        <v>260</v>
      </c>
      <c r="T18" s="171">
        <v>493</v>
      </c>
      <c r="U18" s="172">
        <v>5468</v>
      </c>
      <c r="V18" s="170">
        <v>55</v>
      </c>
      <c r="W18" s="171">
        <v>204</v>
      </c>
      <c r="X18" s="171">
        <v>191</v>
      </c>
      <c r="Y18" s="171">
        <v>395</v>
      </c>
      <c r="Z18" s="172">
        <v>7157</v>
      </c>
      <c r="AA18" s="170">
        <v>62</v>
      </c>
      <c r="AB18" s="171">
        <v>81</v>
      </c>
      <c r="AC18" s="171">
        <v>44</v>
      </c>
      <c r="AD18" s="171">
        <v>125</v>
      </c>
      <c r="AE18" s="172">
        <v>2518</v>
      </c>
      <c r="AF18" s="170">
        <v>58</v>
      </c>
      <c r="AG18" s="171">
        <v>56</v>
      </c>
      <c r="AH18" s="171">
        <v>32</v>
      </c>
      <c r="AI18" s="171">
        <v>89</v>
      </c>
      <c r="AJ18" s="172">
        <v>1639</v>
      </c>
      <c r="AK18" s="170">
        <v>57</v>
      </c>
      <c r="AL18" s="171">
        <v>196</v>
      </c>
      <c r="AM18" s="171">
        <v>354</v>
      </c>
      <c r="AN18" s="171">
        <v>552</v>
      </c>
      <c r="AO18" s="172">
        <v>7364</v>
      </c>
      <c r="AP18" s="173">
        <v>58</v>
      </c>
      <c r="AQ18" s="171">
        <v>663</v>
      </c>
      <c r="AR18" s="171">
        <v>1471</v>
      </c>
      <c r="AS18" s="171">
        <v>2142</v>
      </c>
      <c r="AT18" s="174">
        <v>31130</v>
      </c>
      <c r="AU18" s="170">
        <v>64</v>
      </c>
      <c r="AV18" s="171">
        <v>604</v>
      </c>
      <c r="AW18" s="171">
        <v>96</v>
      </c>
      <c r="AX18" s="171">
        <v>700</v>
      </c>
      <c r="AY18" s="172">
        <v>5967</v>
      </c>
      <c r="AZ18" s="170">
        <v>56</v>
      </c>
      <c r="BA18" s="171">
        <v>1038</v>
      </c>
      <c r="BB18" s="171">
        <v>738</v>
      </c>
      <c r="BC18" s="171">
        <v>1777</v>
      </c>
      <c r="BD18" s="172">
        <v>21899</v>
      </c>
      <c r="BE18" s="170">
        <v>57</v>
      </c>
      <c r="BF18" s="171">
        <v>1261</v>
      </c>
      <c r="BG18" s="171">
        <v>1316</v>
      </c>
      <c r="BH18" s="171">
        <v>2582</v>
      </c>
      <c r="BI18" s="172">
        <v>34300</v>
      </c>
      <c r="BJ18" s="170">
        <v>56</v>
      </c>
      <c r="BK18" s="171">
        <v>1534</v>
      </c>
      <c r="BL18" s="171">
        <v>939</v>
      </c>
      <c r="BM18" s="171">
        <v>2481</v>
      </c>
      <c r="BN18" s="172">
        <v>34606</v>
      </c>
      <c r="BO18" s="170">
        <v>62</v>
      </c>
      <c r="BP18" s="171">
        <v>59</v>
      </c>
      <c r="BQ18" s="171">
        <v>6</v>
      </c>
      <c r="BR18" s="171">
        <v>65</v>
      </c>
      <c r="BS18" s="172">
        <v>812</v>
      </c>
      <c r="BT18" s="170">
        <v>63</v>
      </c>
      <c r="BU18" s="171">
        <v>46</v>
      </c>
      <c r="BV18" s="171">
        <v>15</v>
      </c>
      <c r="BW18" s="171">
        <v>61</v>
      </c>
      <c r="BX18" s="172">
        <v>776</v>
      </c>
      <c r="BY18" s="170">
        <v>59</v>
      </c>
      <c r="BZ18" s="171">
        <v>56</v>
      </c>
      <c r="CA18" s="171">
        <v>47</v>
      </c>
      <c r="CB18" s="171">
        <v>103</v>
      </c>
      <c r="CC18" s="172">
        <v>2120</v>
      </c>
      <c r="CD18" s="170">
        <v>61</v>
      </c>
      <c r="CE18" s="171">
        <v>38</v>
      </c>
      <c r="CF18" s="171">
        <v>19</v>
      </c>
      <c r="CG18" s="171">
        <v>57</v>
      </c>
      <c r="CH18" s="172">
        <v>1084</v>
      </c>
      <c r="CI18" s="170">
        <v>58</v>
      </c>
      <c r="CJ18" s="171">
        <v>60</v>
      </c>
      <c r="CK18" s="171">
        <v>124</v>
      </c>
      <c r="CL18" s="171">
        <v>185</v>
      </c>
      <c r="CM18" s="172">
        <v>1972</v>
      </c>
      <c r="CN18" s="170">
        <v>68</v>
      </c>
      <c r="CO18" s="171">
        <v>4</v>
      </c>
      <c r="CP18" s="171">
        <v>7</v>
      </c>
      <c r="CQ18" s="171">
        <v>11</v>
      </c>
      <c r="CR18" s="172">
        <v>68</v>
      </c>
      <c r="CS18" s="170">
        <v>60</v>
      </c>
      <c r="CT18" s="171">
        <v>15</v>
      </c>
      <c r="CU18" s="171">
        <v>6</v>
      </c>
      <c r="CV18" s="171">
        <v>21</v>
      </c>
      <c r="CW18" s="172">
        <v>302</v>
      </c>
      <c r="CX18" s="170">
        <v>69</v>
      </c>
      <c r="CY18" s="171">
        <v>8</v>
      </c>
      <c r="CZ18" s="171">
        <v>19</v>
      </c>
      <c r="DA18" s="171">
        <v>27</v>
      </c>
      <c r="DB18" s="172">
        <v>181</v>
      </c>
      <c r="DC18" s="170">
        <v>51</v>
      </c>
      <c r="DD18" s="171">
        <v>8</v>
      </c>
      <c r="DE18" s="171">
        <v>9</v>
      </c>
      <c r="DF18" s="171">
        <v>17</v>
      </c>
      <c r="DG18" s="172">
        <v>79</v>
      </c>
      <c r="DH18" s="170">
        <v>76</v>
      </c>
      <c r="DI18" s="171">
        <v>1</v>
      </c>
      <c r="DJ18" s="171">
        <v>4</v>
      </c>
      <c r="DK18" s="171">
        <v>5</v>
      </c>
      <c r="DL18" s="172">
        <v>38</v>
      </c>
    </row>
    <row r="19" spans="2:116">
      <c r="B19" s="170">
        <v>56</v>
      </c>
      <c r="C19" s="171">
        <v>922</v>
      </c>
      <c r="D19" s="171">
        <v>2285</v>
      </c>
      <c r="E19" s="171">
        <v>3215</v>
      </c>
      <c r="F19" s="172">
        <v>37943</v>
      </c>
      <c r="G19" s="170">
        <v>58</v>
      </c>
      <c r="H19" s="171">
        <v>114</v>
      </c>
      <c r="I19" s="171">
        <v>360</v>
      </c>
      <c r="J19" s="171">
        <v>477</v>
      </c>
      <c r="K19" s="172">
        <v>6989</v>
      </c>
      <c r="L19" s="170">
        <v>58</v>
      </c>
      <c r="M19" s="171">
        <v>263</v>
      </c>
      <c r="N19" s="171">
        <v>366</v>
      </c>
      <c r="O19" s="171">
        <v>630</v>
      </c>
      <c r="P19" s="172">
        <v>9858</v>
      </c>
      <c r="Q19" s="170">
        <v>60</v>
      </c>
      <c r="R19" s="171">
        <v>197</v>
      </c>
      <c r="S19" s="171">
        <v>231</v>
      </c>
      <c r="T19" s="171">
        <v>429</v>
      </c>
      <c r="U19" s="172">
        <v>5897</v>
      </c>
      <c r="V19" s="170">
        <v>54</v>
      </c>
      <c r="W19" s="171">
        <v>395</v>
      </c>
      <c r="X19" s="171">
        <v>442</v>
      </c>
      <c r="Y19" s="171">
        <v>839</v>
      </c>
      <c r="Z19" s="172">
        <v>7996</v>
      </c>
      <c r="AA19" s="170">
        <v>61</v>
      </c>
      <c r="AB19" s="171">
        <v>101</v>
      </c>
      <c r="AC19" s="171">
        <v>82</v>
      </c>
      <c r="AD19" s="171">
        <v>183</v>
      </c>
      <c r="AE19" s="172">
        <v>2701</v>
      </c>
      <c r="AF19" s="170">
        <v>57</v>
      </c>
      <c r="AG19" s="171">
        <v>61</v>
      </c>
      <c r="AH19" s="171">
        <v>37</v>
      </c>
      <c r="AI19" s="171">
        <v>98</v>
      </c>
      <c r="AJ19" s="172">
        <v>1737</v>
      </c>
      <c r="AK19" s="170">
        <v>56</v>
      </c>
      <c r="AL19" s="171">
        <v>231</v>
      </c>
      <c r="AM19" s="171">
        <v>391</v>
      </c>
      <c r="AN19" s="171">
        <v>625</v>
      </c>
      <c r="AO19" s="172">
        <v>7989</v>
      </c>
      <c r="AP19" s="173">
        <v>57</v>
      </c>
      <c r="AQ19" s="171">
        <v>718</v>
      </c>
      <c r="AR19" s="171">
        <v>1477</v>
      </c>
      <c r="AS19" s="171">
        <v>2197</v>
      </c>
      <c r="AT19" s="174">
        <v>33327</v>
      </c>
      <c r="AU19" s="170">
        <v>63</v>
      </c>
      <c r="AV19" s="171">
        <v>672</v>
      </c>
      <c r="AW19" s="171">
        <v>120</v>
      </c>
      <c r="AX19" s="171">
        <v>792</v>
      </c>
      <c r="AY19" s="172">
        <v>6759</v>
      </c>
      <c r="AZ19" s="170">
        <v>55</v>
      </c>
      <c r="BA19" s="171">
        <v>805</v>
      </c>
      <c r="BB19" s="171">
        <v>620</v>
      </c>
      <c r="BC19" s="171">
        <v>1429</v>
      </c>
      <c r="BD19" s="172">
        <v>23328</v>
      </c>
      <c r="BE19" s="170">
        <v>56</v>
      </c>
      <c r="BF19" s="171">
        <v>1882</v>
      </c>
      <c r="BG19" s="171">
        <v>2087</v>
      </c>
      <c r="BH19" s="171">
        <v>3975</v>
      </c>
      <c r="BI19" s="172">
        <v>38275</v>
      </c>
      <c r="BJ19" s="170">
        <v>55</v>
      </c>
      <c r="BK19" s="171">
        <v>1437</v>
      </c>
      <c r="BL19" s="171">
        <v>910</v>
      </c>
      <c r="BM19" s="171">
        <v>2353</v>
      </c>
      <c r="BN19" s="172">
        <v>36959</v>
      </c>
      <c r="BO19" s="170">
        <v>61</v>
      </c>
      <c r="BP19" s="171">
        <v>59</v>
      </c>
      <c r="BQ19" s="171">
        <v>3</v>
      </c>
      <c r="BR19" s="171">
        <v>62</v>
      </c>
      <c r="BS19" s="172">
        <v>874</v>
      </c>
      <c r="BT19" s="170">
        <v>62</v>
      </c>
      <c r="BU19" s="171">
        <v>37</v>
      </c>
      <c r="BV19" s="171">
        <v>11</v>
      </c>
      <c r="BW19" s="171">
        <v>48</v>
      </c>
      <c r="BX19" s="172">
        <v>824</v>
      </c>
      <c r="BY19" s="170">
        <v>58</v>
      </c>
      <c r="BZ19" s="171">
        <v>57</v>
      </c>
      <c r="CA19" s="171">
        <v>45</v>
      </c>
      <c r="CB19" s="171">
        <v>102</v>
      </c>
      <c r="CC19" s="172">
        <v>2222</v>
      </c>
      <c r="CD19" s="170">
        <v>60</v>
      </c>
      <c r="CE19" s="171">
        <v>42</v>
      </c>
      <c r="CF19" s="171">
        <v>11</v>
      </c>
      <c r="CG19" s="171">
        <v>53</v>
      </c>
      <c r="CH19" s="172">
        <v>1137</v>
      </c>
      <c r="CI19" s="170">
        <v>57</v>
      </c>
      <c r="CJ19" s="171">
        <v>62</v>
      </c>
      <c r="CK19" s="171">
        <v>123</v>
      </c>
      <c r="CL19" s="171">
        <v>185</v>
      </c>
      <c r="CM19" s="172">
        <v>2157</v>
      </c>
      <c r="CN19" s="170">
        <v>67</v>
      </c>
      <c r="CO19" s="171">
        <v>2</v>
      </c>
      <c r="CP19" s="171">
        <v>8</v>
      </c>
      <c r="CQ19" s="171">
        <v>10</v>
      </c>
      <c r="CR19" s="172">
        <v>78</v>
      </c>
      <c r="CS19" s="170">
        <v>59</v>
      </c>
      <c r="CT19" s="171">
        <v>18</v>
      </c>
      <c r="CU19" s="171">
        <v>2</v>
      </c>
      <c r="CV19" s="171">
        <v>20</v>
      </c>
      <c r="CW19" s="172">
        <v>322</v>
      </c>
      <c r="CX19" s="170">
        <v>68</v>
      </c>
      <c r="CY19" s="171">
        <v>11</v>
      </c>
      <c r="CZ19" s="171">
        <v>14</v>
      </c>
      <c r="DA19" s="171">
        <v>25</v>
      </c>
      <c r="DB19" s="172">
        <v>206</v>
      </c>
      <c r="DC19" s="170">
        <v>50</v>
      </c>
      <c r="DD19" s="171">
        <v>6</v>
      </c>
      <c r="DE19" s="171">
        <v>7</v>
      </c>
      <c r="DF19" s="171">
        <v>13</v>
      </c>
      <c r="DG19" s="172">
        <v>92</v>
      </c>
      <c r="DH19" s="170">
        <v>75</v>
      </c>
      <c r="DI19" s="171">
        <v>0</v>
      </c>
      <c r="DJ19" s="171">
        <v>1</v>
      </c>
      <c r="DK19" s="171">
        <v>1</v>
      </c>
      <c r="DL19" s="172">
        <v>39</v>
      </c>
    </row>
    <row r="20" spans="2:116">
      <c r="B20" s="170">
        <v>55</v>
      </c>
      <c r="C20" s="171">
        <v>1387</v>
      </c>
      <c r="D20" s="171">
        <v>2995</v>
      </c>
      <c r="E20" s="171">
        <v>4388</v>
      </c>
      <c r="F20" s="172">
        <v>42331</v>
      </c>
      <c r="G20" s="170">
        <v>57</v>
      </c>
      <c r="H20" s="171">
        <v>234</v>
      </c>
      <c r="I20" s="171">
        <v>661</v>
      </c>
      <c r="J20" s="171">
        <v>897</v>
      </c>
      <c r="K20" s="172">
        <v>7886</v>
      </c>
      <c r="L20" s="170">
        <v>57</v>
      </c>
      <c r="M20" s="171">
        <v>326</v>
      </c>
      <c r="N20" s="171">
        <v>517</v>
      </c>
      <c r="O20" s="171">
        <v>849</v>
      </c>
      <c r="P20" s="172">
        <v>10707</v>
      </c>
      <c r="Q20" s="170">
        <v>59</v>
      </c>
      <c r="R20" s="171">
        <v>200</v>
      </c>
      <c r="S20" s="171">
        <v>266</v>
      </c>
      <c r="T20" s="171">
        <v>467</v>
      </c>
      <c r="U20" s="172">
        <v>6364</v>
      </c>
      <c r="V20" s="170">
        <v>53</v>
      </c>
      <c r="W20" s="171">
        <v>251</v>
      </c>
      <c r="X20" s="171">
        <v>232</v>
      </c>
      <c r="Y20" s="171">
        <v>484</v>
      </c>
      <c r="Z20" s="172">
        <v>8480</v>
      </c>
      <c r="AA20" s="170">
        <v>60</v>
      </c>
      <c r="AB20" s="171">
        <v>215</v>
      </c>
      <c r="AC20" s="171">
        <v>145</v>
      </c>
      <c r="AD20" s="171">
        <v>360</v>
      </c>
      <c r="AE20" s="172">
        <v>3061</v>
      </c>
      <c r="AF20" s="170">
        <v>56</v>
      </c>
      <c r="AG20" s="171">
        <v>137</v>
      </c>
      <c r="AH20" s="171">
        <v>78</v>
      </c>
      <c r="AI20" s="171">
        <v>215</v>
      </c>
      <c r="AJ20" s="172">
        <v>1952</v>
      </c>
      <c r="AK20" s="170">
        <v>55</v>
      </c>
      <c r="AL20" s="171">
        <v>431</v>
      </c>
      <c r="AM20" s="171">
        <v>783</v>
      </c>
      <c r="AN20" s="171">
        <v>1218</v>
      </c>
      <c r="AO20" s="172">
        <v>9207</v>
      </c>
      <c r="AP20" s="173">
        <v>56</v>
      </c>
      <c r="AQ20" s="171">
        <v>762</v>
      </c>
      <c r="AR20" s="171">
        <v>1670</v>
      </c>
      <c r="AS20" s="171">
        <v>2437</v>
      </c>
      <c r="AT20" s="174">
        <v>35764</v>
      </c>
      <c r="AU20" s="170">
        <v>62</v>
      </c>
      <c r="AV20" s="171">
        <v>902</v>
      </c>
      <c r="AW20" s="171">
        <v>145</v>
      </c>
      <c r="AX20" s="171">
        <v>1051</v>
      </c>
      <c r="AY20" s="172">
        <v>7810</v>
      </c>
      <c r="AZ20" s="170">
        <v>54</v>
      </c>
      <c r="BA20" s="171">
        <v>1646</v>
      </c>
      <c r="BB20" s="171">
        <v>1339</v>
      </c>
      <c r="BC20" s="171">
        <v>2991</v>
      </c>
      <c r="BD20" s="172">
        <v>26319</v>
      </c>
      <c r="BE20" s="170">
        <v>55</v>
      </c>
      <c r="BF20" s="171">
        <v>1165</v>
      </c>
      <c r="BG20" s="171">
        <v>1364</v>
      </c>
      <c r="BH20" s="171">
        <v>2536</v>
      </c>
      <c r="BI20" s="172">
        <v>40811</v>
      </c>
      <c r="BJ20" s="170">
        <v>54</v>
      </c>
      <c r="BK20" s="171">
        <v>2971</v>
      </c>
      <c r="BL20" s="171">
        <v>1957</v>
      </c>
      <c r="BM20" s="171">
        <v>4946</v>
      </c>
      <c r="BN20" s="172">
        <v>41905</v>
      </c>
      <c r="BO20" s="170">
        <v>60</v>
      </c>
      <c r="BP20" s="171">
        <v>113</v>
      </c>
      <c r="BQ20" s="171">
        <v>13</v>
      </c>
      <c r="BR20" s="171">
        <v>126</v>
      </c>
      <c r="BS20" s="172">
        <v>1000</v>
      </c>
      <c r="BT20" s="170">
        <v>61</v>
      </c>
      <c r="BU20" s="171">
        <v>56</v>
      </c>
      <c r="BV20" s="171">
        <v>15</v>
      </c>
      <c r="BW20" s="171">
        <v>71</v>
      </c>
      <c r="BX20" s="172">
        <v>895</v>
      </c>
      <c r="BY20" s="170">
        <v>57</v>
      </c>
      <c r="BZ20" s="171">
        <v>100</v>
      </c>
      <c r="CA20" s="171">
        <v>78</v>
      </c>
      <c r="CB20" s="171">
        <v>178</v>
      </c>
      <c r="CC20" s="172">
        <v>2400</v>
      </c>
      <c r="CD20" s="170">
        <v>59</v>
      </c>
      <c r="CE20" s="171">
        <v>80</v>
      </c>
      <c r="CF20" s="171">
        <v>28</v>
      </c>
      <c r="CG20" s="171">
        <v>108</v>
      </c>
      <c r="CH20" s="172">
        <v>1245</v>
      </c>
      <c r="CI20" s="170">
        <v>56</v>
      </c>
      <c r="CJ20" s="171">
        <v>60</v>
      </c>
      <c r="CK20" s="171">
        <v>145</v>
      </c>
      <c r="CL20" s="171">
        <v>206</v>
      </c>
      <c r="CM20" s="172">
        <v>2363</v>
      </c>
      <c r="CN20" s="170">
        <v>66</v>
      </c>
      <c r="CO20" s="171">
        <v>5</v>
      </c>
      <c r="CP20" s="171">
        <v>7</v>
      </c>
      <c r="CQ20" s="171">
        <v>12</v>
      </c>
      <c r="CR20" s="172">
        <v>90</v>
      </c>
      <c r="CS20" s="170">
        <v>58</v>
      </c>
      <c r="CT20" s="171">
        <v>32</v>
      </c>
      <c r="CU20" s="171">
        <v>15</v>
      </c>
      <c r="CV20" s="171">
        <v>47</v>
      </c>
      <c r="CW20" s="172">
        <v>369</v>
      </c>
      <c r="CX20" s="170">
        <v>67</v>
      </c>
      <c r="CY20" s="171">
        <v>7</v>
      </c>
      <c r="CZ20" s="171">
        <v>12</v>
      </c>
      <c r="DA20" s="171">
        <v>19</v>
      </c>
      <c r="DB20" s="172">
        <v>225</v>
      </c>
      <c r="DC20" s="170">
        <v>48</v>
      </c>
      <c r="DD20" s="171">
        <v>6</v>
      </c>
      <c r="DE20" s="171">
        <v>6</v>
      </c>
      <c r="DF20" s="171">
        <v>12</v>
      </c>
      <c r="DG20" s="172">
        <v>104</v>
      </c>
      <c r="DH20" s="170">
        <v>73</v>
      </c>
      <c r="DI20" s="171">
        <v>1</v>
      </c>
      <c r="DJ20" s="171">
        <v>6</v>
      </c>
      <c r="DK20" s="171">
        <v>8</v>
      </c>
      <c r="DL20" s="172">
        <v>47</v>
      </c>
    </row>
    <row r="21" spans="2:116">
      <c r="B21" s="170">
        <v>54</v>
      </c>
      <c r="C21" s="171">
        <v>1054</v>
      </c>
      <c r="D21" s="171">
        <v>2371</v>
      </c>
      <c r="E21" s="171">
        <v>3438</v>
      </c>
      <c r="F21" s="172">
        <v>45769</v>
      </c>
      <c r="G21" s="170">
        <v>56</v>
      </c>
      <c r="H21" s="171">
        <v>119</v>
      </c>
      <c r="I21" s="171">
        <v>382</v>
      </c>
      <c r="J21" s="171">
        <v>501</v>
      </c>
      <c r="K21" s="172">
        <v>8387</v>
      </c>
      <c r="L21" s="170">
        <v>56</v>
      </c>
      <c r="M21" s="171">
        <v>311</v>
      </c>
      <c r="N21" s="171">
        <v>472</v>
      </c>
      <c r="O21" s="171">
        <v>790</v>
      </c>
      <c r="P21" s="172">
        <v>11497</v>
      </c>
      <c r="Q21" s="170">
        <v>58</v>
      </c>
      <c r="R21" s="171">
        <v>282</v>
      </c>
      <c r="S21" s="171">
        <v>297</v>
      </c>
      <c r="T21" s="171">
        <v>580</v>
      </c>
      <c r="U21" s="172">
        <v>6944</v>
      </c>
      <c r="V21" s="170">
        <v>52</v>
      </c>
      <c r="W21" s="171">
        <v>194</v>
      </c>
      <c r="X21" s="171">
        <v>246</v>
      </c>
      <c r="Y21" s="171">
        <v>440</v>
      </c>
      <c r="Z21" s="172">
        <v>8920</v>
      </c>
      <c r="AA21" s="170">
        <v>59</v>
      </c>
      <c r="AB21" s="171">
        <v>97</v>
      </c>
      <c r="AC21" s="171">
        <v>62</v>
      </c>
      <c r="AD21" s="171">
        <v>160</v>
      </c>
      <c r="AE21" s="172">
        <v>3221</v>
      </c>
      <c r="AF21" s="170">
        <v>55</v>
      </c>
      <c r="AG21" s="171">
        <v>95</v>
      </c>
      <c r="AH21" s="171">
        <v>37</v>
      </c>
      <c r="AI21" s="171">
        <v>133</v>
      </c>
      <c r="AJ21" s="172">
        <v>2085</v>
      </c>
      <c r="AK21" s="170">
        <v>54</v>
      </c>
      <c r="AL21" s="171">
        <v>187</v>
      </c>
      <c r="AM21" s="171">
        <v>361</v>
      </c>
      <c r="AN21" s="171">
        <v>550</v>
      </c>
      <c r="AO21" s="172">
        <v>9757</v>
      </c>
      <c r="AP21" s="173">
        <v>55</v>
      </c>
      <c r="AQ21" s="171">
        <v>1385</v>
      </c>
      <c r="AR21" s="171">
        <v>3141</v>
      </c>
      <c r="AS21" s="171">
        <v>4539</v>
      </c>
      <c r="AT21" s="174">
        <v>40303</v>
      </c>
      <c r="AU21" s="170">
        <v>61</v>
      </c>
      <c r="AV21" s="171">
        <v>656</v>
      </c>
      <c r="AW21" s="171">
        <v>142</v>
      </c>
      <c r="AX21" s="171">
        <v>798</v>
      </c>
      <c r="AY21" s="172">
        <v>8608</v>
      </c>
      <c r="AZ21" s="170">
        <v>53</v>
      </c>
      <c r="BA21" s="171">
        <v>665</v>
      </c>
      <c r="BB21" s="171">
        <v>571</v>
      </c>
      <c r="BC21" s="171">
        <v>1238</v>
      </c>
      <c r="BD21" s="172">
        <v>27557</v>
      </c>
      <c r="BE21" s="170">
        <v>54</v>
      </c>
      <c r="BF21" s="171">
        <v>2833</v>
      </c>
      <c r="BG21" s="171">
        <v>3449</v>
      </c>
      <c r="BH21" s="171">
        <v>6299</v>
      </c>
      <c r="BI21" s="172">
        <v>47110</v>
      </c>
      <c r="BJ21" s="170">
        <v>53</v>
      </c>
      <c r="BK21" s="171">
        <v>1467</v>
      </c>
      <c r="BL21" s="171">
        <v>1077</v>
      </c>
      <c r="BM21" s="171">
        <v>2551</v>
      </c>
      <c r="BN21" s="172">
        <v>44456</v>
      </c>
      <c r="BO21" s="170">
        <v>59</v>
      </c>
      <c r="BP21" s="171">
        <v>57</v>
      </c>
      <c r="BQ21" s="171">
        <v>11</v>
      </c>
      <c r="BR21" s="171">
        <v>69</v>
      </c>
      <c r="BS21" s="172">
        <v>1069</v>
      </c>
      <c r="BT21" s="170">
        <v>60</v>
      </c>
      <c r="BU21" s="171">
        <v>43</v>
      </c>
      <c r="BV21" s="171">
        <v>16</v>
      </c>
      <c r="BW21" s="171">
        <v>59</v>
      </c>
      <c r="BX21" s="172">
        <v>954</v>
      </c>
      <c r="BY21" s="170">
        <v>56</v>
      </c>
      <c r="BZ21" s="171">
        <v>49</v>
      </c>
      <c r="CA21" s="171">
        <v>41</v>
      </c>
      <c r="CB21" s="171">
        <v>90</v>
      </c>
      <c r="CC21" s="172">
        <v>2490</v>
      </c>
      <c r="CD21" s="170">
        <v>58</v>
      </c>
      <c r="CE21" s="171">
        <v>42</v>
      </c>
      <c r="CF21" s="171">
        <v>13</v>
      </c>
      <c r="CG21" s="171">
        <v>55</v>
      </c>
      <c r="CH21" s="172">
        <v>1300</v>
      </c>
      <c r="CI21" s="170">
        <v>55</v>
      </c>
      <c r="CJ21" s="171">
        <v>117</v>
      </c>
      <c r="CK21" s="171">
        <v>240</v>
      </c>
      <c r="CL21" s="171">
        <v>358</v>
      </c>
      <c r="CM21" s="172">
        <v>2721</v>
      </c>
      <c r="CN21" s="170">
        <v>65</v>
      </c>
      <c r="CO21" s="171">
        <v>2</v>
      </c>
      <c r="CP21" s="171">
        <v>7</v>
      </c>
      <c r="CQ21" s="171">
        <v>9</v>
      </c>
      <c r="CR21" s="172">
        <v>99</v>
      </c>
      <c r="CS21" s="170">
        <v>57</v>
      </c>
      <c r="CT21" s="171">
        <v>27</v>
      </c>
      <c r="CU21" s="171">
        <v>10</v>
      </c>
      <c r="CV21" s="171">
        <v>37</v>
      </c>
      <c r="CW21" s="172">
        <v>406</v>
      </c>
      <c r="CX21" s="170">
        <v>66</v>
      </c>
      <c r="CY21" s="171">
        <v>18</v>
      </c>
      <c r="CZ21" s="171">
        <v>25</v>
      </c>
      <c r="DA21" s="171">
        <v>43</v>
      </c>
      <c r="DB21" s="172">
        <v>268</v>
      </c>
      <c r="DC21" s="170">
        <v>46</v>
      </c>
      <c r="DD21" s="171">
        <v>3</v>
      </c>
      <c r="DE21" s="171">
        <v>3</v>
      </c>
      <c r="DF21" s="171">
        <v>6</v>
      </c>
      <c r="DG21" s="172">
        <v>110</v>
      </c>
      <c r="DH21" s="170">
        <v>72</v>
      </c>
      <c r="DI21" s="171">
        <v>3</v>
      </c>
      <c r="DJ21" s="171">
        <v>7</v>
      </c>
      <c r="DK21" s="171">
        <v>10</v>
      </c>
      <c r="DL21" s="172">
        <v>57</v>
      </c>
    </row>
    <row r="22" spans="2:116">
      <c r="B22" s="170">
        <v>53</v>
      </c>
      <c r="C22" s="171">
        <v>2363</v>
      </c>
      <c r="D22" s="171">
        <v>5694</v>
      </c>
      <c r="E22" s="171">
        <v>8073</v>
      </c>
      <c r="F22" s="172">
        <v>53842</v>
      </c>
      <c r="G22" s="170">
        <v>55</v>
      </c>
      <c r="H22" s="171">
        <v>137</v>
      </c>
      <c r="I22" s="171">
        <v>356</v>
      </c>
      <c r="J22" s="171">
        <v>493</v>
      </c>
      <c r="K22" s="172">
        <v>8880</v>
      </c>
      <c r="L22" s="170">
        <v>55</v>
      </c>
      <c r="M22" s="171">
        <v>350</v>
      </c>
      <c r="N22" s="171">
        <v>501</v>
      </c>
      <c r="O22" s="171">
        <v>854</v>
      </c>
      <c r="P22" s="172">
        <v>12351</v>
      </c>
      <c r="Q22" s="170">
        <v>57</v>
      </c>
      <c r="R22" s="171">
        <v>262</v>
      </c>
      <c r="S22" s="171">
        <v>306</v>
      </c>
      <c r="T22" s="171">
        <v>569</v>
      </c>
      <c r="U22" s="172">
        <v>7513</v>
      </c>
      <c r="V22" s="170">
        <v>51</v>
      </c>
      <c r="W22" s="171">
        <v>390</v>
      </c>
      <c r="X22" s="171">
        <v>518</v>
      </c>
      <c r="Y22" s="171">
        <v>912</v>
      </c>
      <c r="Z22" s="172">
        <v>9832</v>
      </c>
      <c r="AA22" s="170">
        <v>58</v>
      </c>
      <c r="AB22" s="171">
        <v>121</v>
      </c>
      <c r="AC22" s="171">
        <v>88</v>
      </c>
      <c r="AD22" s="171">
        <v>209</v>
      </c>
      <c r="AE22" s="172">
        <v>3430</v>
      </c>
      <c r="AF22" s="170">
        <v>54</v>
      </c>
      <c r="AG22" s="171">
        <v>79</v>
      </c>
      <c r="AH22" s="171">
        <v>48</v>
      </c>
      <c r="AI22" s="171">
        <v>127</v>
      </c>
      <c r="AJ22" s="172">
        <v>2212</v>
      </c>
      <c r="AK22" s="170">
        <v>53</v>
      </c>
      <c r="AL22" s="171">
        <v>219</v>
      </c>
      <c r="AM22" s="171">
        <v>398</v>
      </c>
      <c r="AN22" s="171">
        <v>617</v>
      </c>
      <c r="AO22" s="172">
        <v>10374</v>
      </c>
      <c r="AP22" s="173">
        <v>54</v>
      </c>
      <c r="AQ22" s="171">
        <v>733</v>
      </c>
      <c r="AR22" s="171">
        <v>1674</v>
      </c>
      <c r="AS22" s="171">
        <v>2411</v>
      </c>
      <c r="AT22" s="174">
        <v>42714</v>
      </c>
      <c r="AU22" s="170">
        <v>60</v>
      </c>
      <c r="AV22" s="171">
        <v>1042</v>
      </c>
      <c r="AW22" s="171">
        <v>220</v>
      </c>
      <c r="AX22" s="171">
        <v>1267</v>
      </c>
      <c r="AY22" s="172">
        <v>9875</v>
      </c>
      <c r="AZ22" s="170">
        <v>52</v>
      </c>
      <c r="BA22" s="171">
        <v>879</v>
      </c>
      <c r="BB22" s="171">
        <v>694</v>
      </c>
      <c r="BC22" s="171">
        <v>1575</v>
      </c>
      <c r="BD22" s="172">
        <v>29132</v>
      </c>
      <c r="BE22" s="170">
        <v>53</v>
      </c>
      <c r="BF22" s="171">
        <v>1118</v>
      </c>
      <c r="BG22" s="171">
        <v>1334</v>
      </c>
      <c r="BH22" s="171">
        <v>2456</v>
      </c>
      <c r="BI22" s="172">
        <v>49566</v>
      </c>
      <c r="BJ22" s="170">
        <v>52</v>
      </c>
      <c r="BK22" s="171">
        <v>1541</v>
      </c>
      <c r="BL22" s="171">
        <v>1112</v>
      </c>
      <c r="BM22" s="171">
        <v>2663</v>
      </c>
      <c r="BN22" s="172">
        <v>47119</v>
      </c>
      <c r="BO22" s="170">
        <v>58</v>
      </c>
      <c r="BP22" s="171">
        <v>52</v>
      </c>
      <c r="BQ22" s="171">
        <v>3</v>
      </c>
      <c r="BR22" s="171">
        <v>55</v>
      </c>
      <c r="BS22" s="172">
        <v>1124</v>
      </c>
      <c r="BT22" s="170">
        <v>59</v>
      </c>
      <c r="BU22" s="171">
        <v>54</v>
      </c>
      <c r="BV22" s="171">
        <v>17</v>
      </c>
      <c r="BW22" s="171">
        <v>71</v>
      </c>
      <c r="BX22" s="172">
        <v>1025</v>
      </c>
      <c r="BY22" s="170">
        <v>55</v>
      </c>
      <c r="BZ22" s="171">
        <v>72</v>
      </c>
      <c r="CA22" s="171">
        <v>55</v>
      </c>
      <c r="CB22" s="171">
        <v>127</v>
      </c>
      <c r="CC22" s="172">
        <v>2617</v>
      </c>
      <c r="CD22" s="170">
        <v>57</v>
      </c>
      <c r="CE22" s="171">
        <v>40</v>
      </c>
      <c r="CF22" s="171">
        <v>13</v>
      </c>
      <c r="CG22" s="171">
        <v>53</v>
      </c>
      <c r="CH22" s="172">
        <v>1353</v>
      </c>
      <c r="CI22" s="170">
        <v>54</v>
      </c>
      <c r="CJ22" s="171">
        <v>52</v>
      </c>
      <c r="CK22" s="171">
        <v>111</v>
      </c>
      <c r="CL22" s="171">
        <v>163</v>
      </c>
      <c r="CM22" s="172">
        <v>2884</v>
      </c>
      <c r="CN22" s="170">
        <v>64</v>
      </c>
      <c r="CO22" s="171">
        <v>7</v>
      </c>
      <c r="CP22" s="171">
        <v>6</v>
      </c>
      <c r="CQ22" s="171">
        <v>13</v>
      </c>
      <c r="CR22" s="172">
        <v>112</v>
      </c>
      <c r="CS22" s="170">
        <v>56</v>
      </c>
      <c r="CT22" s="171">
        <v>18</v>
      </c>
      <c r="CU22" s="171">
        <v>5</v>
      </c>
      <c r="CV22" s="171">
        <v>23</v>
      </c>
      <c r="CW22" s="172">
        <v>429</v>
      </c>
      <c r="CX22" s="170">
        <v>65</v>
      </c>
      <c r="CY22" s="171">
        <v>9</v>
      </c>
      <c r="CZ22" s="171">
        <v>20</v>
      </c>
      <c r="DA22" s="171">
        <v>29</v>
      </c>
      <c r="DB22" s="172">
        <v>297</v>
      </c>
      <c r="DC22" s="170">
        <v>44</v>
      </c>
      <c r="DD22" s="171">
        <v>7</v>
      </c>
      <c r="DE22" s="171">
        <v>9</v>
      </c>
      <c r="DF22" s="171">
        <v>16</v>
      </c>
      <c r="DG22" s="172">
        <v>126</v>
      </c>
      <c r="DH22" s="170">
        <v>70</v>
      </c>
      <c r="DI22" s="171">
        <v>1</v>
      </c>
      <c r="DJ22" s="171">
        <v>9</v>
      </c>
      <c r="DK22" s="171">
        <v>10</v>
      </c>
      <c r="DL22" s="172">
        <v>67</v>
      </c>
    </row>
    <row r="23" spans="2:116">
      <c r="B23" s="170">
        <v>52</v>
      </c>
      <c r="C23" s="171">
        <v>1067</v>
      </c>
      <c r="D23" s="171">
        <v>2610</v>
      </c>
      <c r="E23" s="171">
        <v>3685</v>
      </c>
      <c r="F23" s="172">
        <v>57527</v>
      </c>
      <c r="G23" s="170">
        <v>54</v>
      </c>
      <c r="H23" s="171">
        <v>141</v>
      </c>
      <c r="I23" s="171">
        <v>380</v>
      </c>
      <c r="J23" s="171">
        <v>522</v>
      </c>
      <c r="K23" s="172">
        <v>9402</v>
      </c>
      <c r="L23" s="170">
        <v>54</v>
      </c>
      <c r="M23" s="171">
        <v>690</v>
      </c>
      <c r="N23" s="171">
        <v>1036</v>
      </c>
      <c r="O23" s="171">
        <v>1733</v>
      </c>
      <c r="P23" s="172">
        <v>14084</v>
      </c>
      <c r="Q23" s="170">
        <v>56</v>
      </c>
      <c r="R23" s="171">
        <v>304</v>
      </c>
      <c r="S23" s="171">
        <v>346</v>
      </c>
      <c r="T23" s="171">
        <v>654</v>
      </c>
      <c r="U23" s="172">
        <v>8167</v>
      </c>
      <c r="V23" s="170">
        <v>50</v>
      </c>
      <c r="W23" s="171">
        <v>205</v>
      </c>
      <c r="X23" s="171">
        <v>235</v>
      </c>
      <c r="Y23" s="171">
        <v>440</v>
      </c>
      <c r="Z23" s="172">
        <v>10272</v>
      </c>
      <c r="AA23" s="170">
        <v>57</v>
      </c>
      <c r="AB23" s="171">
        <v>114</v>
      </c>
      <c r="AC23" s="171">
        <v>88</v>
      </c>
      <c r="AD23" s="171">
        <v>203</v>
      </c>
      <c r="AE23" s="172">
        <v>3633</v>
      </c>
      <c r="AF23" s="170">
        <v>53</v>
      </c>
      <c r="AG23" s="171">
        <v>73</v>
      </c>
      <c r="AH23" s="171">
        <v>42</v>
      </c>
      <c r="AI23" s="171">
        <v>116</v>
      </c>
      <c r="AJ23" s="172">
        <v>2328</v>
      </c>
      <c r="AK23" s="170">
        <v>52</v>
      </c>
      <c r="AL23" s="171">
        <v>231</v>
      </c>
      <c r="AM23" s="171">
        <v>426</v>
      </c>
      <c r="AN23" s="171">
        <v>659</v>
      </c>
      <c r="AO23" s="172">
        <v>11033</v>
      </c>
      <c r="AP23" s="173">
        <v>53</v>
      </c>
      <c r="AQ23" s="171">
        <v>771</v>
      </c>
      <c r="AR23" s="171">
        <v>1601</v>
      </c>
      <c r="AS23" s="171">
        <v>2375</v>
      </c>
      <c r="AT23" s="174">
        <v>45089</v>
      </c>
      <c r="AU23" s="170">
        <v>59</v>
      </c>
      <c r="AV23" s="171">
        <v>913</v>
      </c>
      <c r="AW23" s="171">
        <v>161</v>
      </c>
      <c r="AX23" s="171">
        <v>1077</v>
      </c>
      <c r="AY23" s="172">
        <v>10952</v>
      </c>
      <c r="AZ23" s="170">
        <v>51</v>
      </c>
      <c r="BA23" s="171">
        <v>786</v>
      </c>
      <c r="BB23" s="171">
        <v>636</v>
      </c>
      <c r="BC23" s="171">
        <v>1427</v>
      </c>
      <c r="BD23" s="172">
        <v>30559</v>
      </c>
      <c r="BE23" s="170">
        <v>52</v>
      </c>
      <c r="BF23" s="171">
        <v>1456</v>
      </c>
      <c r="BG23" s="171">
        <v>1864</v>
      </c>
      <c r="BH23" s="171">
        <v>3324</v>
      </c>
      <c r="BI23" s="172">
        <v>52890</v>
      </c>
      <c r="BJ23" s="170">
        <v>51</v>
      </c>
      <c r="BK23" s="171">
        <v>1499</v>
      </c>
      <c r="BL23" s="171">
        <v>1064</v>
      </c>
      <c r="BM23" s="171">
        <v>2567</v>
      </c>
      <c r="BN23" s="172">
        <v>49686</v>
      </c>
      <c r="BO23" s="170">
        <v>57</v>
      </c>
      <c r="BP23" s="171">
        <v>55</v>
      </c>
      <c r="BQ23" s="171">
        <v>10</v>
      </c>
      <c r="BR23" s="171">
        <v>65</v>
      </c>
      <c r="BS23" s="172">
        <v>1189</v>
      </c>
      <c r="BT23" s="170">
        <v>58</v>
      </c>
      <c r="BU23" s="171">
        <v>124</v>
      </c>
      <c r="BV23" s="171">
        <v>38</v>
      </c>
      <c r="BW23" s="171">
        <v>163</v>
      </c>
      <c r="BX23" s="172">
        <v>1188</v>
      </c>
      <c r="BY23" s="170">
        <v>54</v>
      </c>
      <c r="BZ23" s="171">
        <v>104</v>
      </c>
      <c r="CA23" s="171">
        <v>117</v>
      </c>
      <c r="CB23" s="171">
        <v>221</v>
      </c>
      <c r="CC23" s="172">
        <v>2838</v>
      </c>
      <c r="CD23" s="170">
        <v>56</v>
      </c>
      <c r="CE23" s="171">
        <v>37</v>
      </c>
      <c r="CF23" s="171">
        <v>19</v>
      </c>
      <c r="CG23" s="171">
        <v>56</v>
      </c>
      <c r="CH23" s="172">
        <v>1409</v>
      </c>
      <c r="CI23" s="170">
        <v>53</v>
      </c>
      <c r="CJ23" s="171">
        <v>50</v>
      </c>
      <c r="CK23" s="171">
        <v>94</v>
      </c>
      <c r="CL23" s="171">
        <v>146</v>
      </c>
      <c r="CM23" s="172">
        <v>3030</v>
      </c>
      <c r="CN23" s="170">
        <v>62</v>
      </c>
      <c r="CO23" s="171">
        <v>5</v>
      </c>
      <c r="CP23" s="171">
        <v>11</v>
      </c>
      <c r="CQ23" s="171">
        <v>16</v>
      </c>
      <c r="CR23" s="172">
        <v>128</v>
      </c>
      <c r="CS23" s="170">
        <v>55</v>
      </c>
      <c r="CT23" s="171">
        <v>11</v>
      </c>
      <c r="CU23" s="171">
        <v>4</v>
      </c>
      <c r="CV23" s="171">
        <v>15</v>
      </c>
      <c r="CW23" s="172">
        <v>444</v>
      </c>
      <c r="CX23" s="170">
        <v>64</v>
      </c>
      <c r="CY23" s="171">
        <v>15</v>
      </c>
      <c r="CZ23" s="171">
        <v>24</v>
      </c>
      <c r="DA23" s="171">
        <v>39</v>
      </c>
      <c r="DB23" s="172">
        <v>336</v>
      </c>
      <c r="DC23" s="170">
        <v>42</v>
      </c>
      <c r="DD23" s="171">
        <v>4</v>
      </c>
      <c r="DE23" s="171">
        <v>3</v>
      </c>
      <c r="DF23" s="171">
        <v>7</v>
      </c>
      <c r="DG23" s="172">
        <v>133</v>
      </c>
      <c r="DH23" s="170">
        <v>69</v>
      </c>
      <c r="DI23" s="171">
        <v>2</v>
      </c>
      <c r="DJ23" s="171">
        <v>7</v>
      </c>
      <c r="DK23" s="171">
        <v>9</v>
      </c>
      <c r="DL23" s="172">
        <v>76</v>
      </c>
    </row>
    <row r="24" spans="2:116">
      <c r="B24" s="170">
        <v>51</v>
      </c>
      <c r="C24" s="171">
        <v>1281</v>
      </c>
      <c r="D24" s="171">
        <v>3083</v>
      </c>
      <c r="E24" s="171">
        <v>4371</v>
      </c>
      <c r="F24" s="172">
        <v>61898</v>
      </c>
      <c r="G24" s="170">
        <v>53</v>
      </c>
      <c r="H24" s="171">
        <v>155</v>
      </c>
      <c r="I24" s="171">
        <v>343</v>
      </c>
      <c r="J24" s="171">
        <v>501</v>
      </c>
      <c r="K24" s="172">
        <v>9903</v>
      </c>
      <c r="L24" s="170">
        <v>53</v>
      </c>
      <c r="M24" s="171">
        <v>430</v>
      </c>
      <c r="N24" s="171">
        <v>615</v>
      </c>
      <c r="O24" s="171">
        <v>1048</v>
      </c>
      <c r="P24" s="172">
        <v>15132</v>
      </c>
      <c r="Q24" s="170">
        <v>55</v>
      </c>
      <c r="R24" s="171">
        <v>300</v>
      </c>
      <c r="S24" s="171">
        <v>337</v>
      </c>
      <c r="T24" s="171">
        <v>640</v>
      </c>
      <c r="U24" s="172">
        <v>8807</v>
      </c>
      <c r="V24" s="170">
        <v>49</v>
      </c>
      <c r="W24" s="171">
        <v>219</v>
      </c>
      <c r="X24" s="171">
        <v>260</v>
      </c>
      <c r="Y24" s="171">
        <v>479</v>
      </c>
      <c r="Z24" s="172">
        <v>10751</v>
      </c>
      <c r="AA24" s="170">
        <v>56</v>
      </c>
      <c r="AB24" s="171">
        <v>110</v>
      </c>
      <c r="AC24" s="171">
        <v>84</v>
      </c>
      <c r="AD24" s="171">
        <v>194</v>
      </c>
      <c r="AE24" s="172">
        <v>3827</v>
      </c>
      <c r="AF24" s="170">
        <v>52</v>
      </c>
      <c r="AG24" s="171">
        <v>181</v>
      </c>
      <c r="AH24" s="171">
        <v>88</v>
      </c>
      <c r="AI24" s="171">
        <v>269</v>
      </c>
      <c r="AJ24" s="172">
        <v>2597</v>
      </c>
      <c r="AK24" s="170">
        <v>51</v>
      </c>
      <c r="AL24" s="171">
        <v>215</v>
      </c>
      <c r="AM24" s="171">
        <v>386</v>
      </c>
      <c r="AN24" s="171">
        <v>604</v>
      </c>
      <c r="AO24" s="172">
        <v>11637</v>
      </c>
      <c r="AP24" s="173">
        <v>52</v>
      </c>
      <c r="AQ24" s="171">
        <v>777</v>
      </c>
      <c r="AR24" s="171">
        <v>1788</v>
      </c>
      <c r="AS24" s="171">
        <v>2570</v>
      </c>
      <c r="AT24" s="174">
        <v>47659</v>
      </c>
      <c r="AU24" s="170">
        <v>58</v>
      </c>
      <c r="AV24" s="171">
        <v>950</v>
      </c>
      <c r="AW24" s="171">
        <v>224</v>
      </c>
      <c r="AX24" s="171">
        <v>1177</v>
      </c>
      <c r="AY24" s="172">
        <v>12129</v>
      </c>
      <c r="AZ24" s="170">
        <v>50</v>
      </c>
      <c r="BA24" s="171">
        <v>753</v>
      </c>
      <c r="BB24" s="171">
        <v>662</v>
      </c>
      <c r="BC24" s="171">
        <v>1418</v>
      </c>
      <c r="BD24" s="172">
        <v>31977</v>
      </c>
      <c r="BE24" s="170">
        <v>51</v>
      </c>
      <c r="BF24" s="171">
        <v>1181</v>
      </c>
      <c r="BG24" s="171">
        <v>1517</v>
      </c>
      <c r="BH24" s="171">
        <v>2703</v>
      </c>
      <c r="BI24" s="172">
        <v>55593</v>
      </c>
      <c r="BJ24" s="170">
        <v>50</v>
      </c>
      <c r="BK24" s="171">
        <v>3179</v>
      </c>
      <c r="BL24" s="171">
        <v>2263</v>
      </c>
      <c r="BM24" s="171">
        <v>5451</v>
      </c>
      <c r="BN24" s="172">
        <v>55137</v>
      </c>
      <c r="BO24" s="170">
        <v>56</v>
      </c>
      <c r="BP24" s="171">
        <v>43</v>
      </c>
      <c r="BQ24" s="171">
        <v>11</v>
      </c>
      <c r="BR24" s="171">
        <v>54</v>
      </c>
      <c r="BS24" s="172">
        <v>1243</v>
      </c>
      <c r="BT24" s="170">
        <v>57</v>
      </c>
      <c r="BU24" s="171">
        <v>65</v>
      </c>
      <c r="BV24" s="171">
        <v>26</v>
      </c>
      <c r="BW24" s="171">
        <v>91</v>
      </c>
      <c r="BX24" s="172">
        <v>1279</v>
      </c>
      <c r="BY24" s="170">
        <v>53</v>
      </c>
      <c r="BZ24" s="171">
        <v>79</v>
      </c>
      <c r="CA24" s="171">
        <v>70</v>
      </c>
      <c r="CB24" s="171">
        <v>149</v>
      </c>
      <c r="CC24" s="172">
        <v>2987</v>
      </c>
      <c r="CD24" s="170">
        <v>55</v>
      </c>
      <c r="CE24" s="171">
        <v>82</v>
      </c>
      <c r="CF24" s="171">
        <v>39</v>
      </c>
      <c r="CG24" s="171">
        <v>121</v>
      </c>
      <c r="CH24" s="172">
        <v>1530</v>
      </c>
      <c r="CI24" s="170">
        <v>52</v>
      </c>
      <c r="CJ24" s="171">
        <v>44</v>
      </c>
      <c r="CK24" s="171">
        <v>104</v>
      </c>
      <c r="CL24" s="171">
        <v>149</v>
      </c>
      <c r="CM24" s="172">
        <v>3179</v>
      </c>
      <c r="CN24" s="170">
        <v>61</v>
      </c>
      <c r="CO24" s="171">
        <v>5</v>
      </c>
      <c r="CP24" s="171">
        <v>9</v>
      </c>
      <c r="CQ24" s="171">
        <v>14</v>
      </c>
      <c r="CR24" s="172">
        <v>142</v>
      </c>
      <c r="CS24" s="170">
        <v>54</v>
      </c>
      <c r="CT24" s="171">
        <v>42</v>
      </c>
      <c r="CU24" s="171">
        <v>6</v>
      </c>
      <c r="CV24" s="171">
        <v>48</v>
      </c>
      <c r="CW24" s="172">
        <v>492</v>
      </c>
      <c r="CX24" s="170">
        <v>63</v>
      </c>
      <c r="CY24" s="171">
        <v>11</v>
      </c>
      <c r="CZ24" s="171">
        <v>24</v>
      </c>
      <c r="DA24" s="171">
        <v>35</v>
      </c>
      <c r="DB24" s="172">
        <v>371</v>
      </c>
      <c r="DC24" s="170">
        <v>40</v>
      </c>
      <c r="DD24" s="171">
        <v>3</v>
      </c>
      <c r="DE24" s="171">
        <v>4</v>
      </c>
      <c r="DF24" s="171">
        <v>7</v>
      </c>
      <c r="DG24" s="172">
        <v>140</v>
      </c>
      <c r="DH24" s="170">
        <v>68</v>
      </c>
      <c r="DI24" s="171">
        <v>5</v>
      </c>
      <c r="DJ24" s="171">
        <v>10</v>
      </c>
      <c r="DK24" s="171">
        <v>15</v>
      </c>
      <c r="DL24" s="172">
        <v>91</v>
      </c>
    </row>
    <row r="25" spans="2:116">
      <c r="B25" s="170">
        <v>50</v>
      </c>
      <c r="C25" s="171">
        <v>992</v>
      </c>
      <c r="D25" s="171">
        <v>2471</v>
      </c>
      <c r="E25" s="171">
        <v>3471</v>
      </c>
      <c r="F25" s="172">
        <v>65369</v>
      </c>
      <c r="G25" s="170">
        <v>52</v>
      </c>
      <c r="H25" s="171">
        <v>287</v>
      </c>
      <c r="I25" s="171">
        <v>817</v>
      </c>
      <c r="J25" s="171">
        <v>1105</v>
      </c>
      <c r="K25" s="172">
        <v>11008</v>
      </c>
      <c r="L25" s="170">
        <v>52</v>
      </c>
      <c r="M25" s="171">
        <v>375</v>
      </c>
      <c r="N25" s="171">
        <v>594</v>
      </c>
      <c r="O25" s="171">
        <v>970</v>
      </c>
      <c r="P25" s="172">
        <v>16102</v>
      </c>
      <c r="Q25" s="170">
        <v>54</v>
      </c>
      <c r="R25" s="171">
        <v>356</v>
      </c>
      <c r="S25" s="171">
        <v>386</v>
      </c>
      <c r="T25" s="171">
        <v>745</v>
      </c>
      <c r="U25" s="172">
        <v>9552</v>
      </c>
      <c r="V25" s="170">
        <v>48</v>
      </c>
      <c r="W25" s="171">
        <v>461</v>
      </c>
      <c r="X25" s="171">
        <v>519</v>
      </c>
      <c r="Y25" s="171">
        <v>982</v>
      </c>
      <c r="Z25" s="172">
        <v>11733</v>
      </c>
      <c r="AA25" s="170">
        <v>55</v>
      </c>
      <c r="AB25" s="171">
        <v>251</v>
      </c>
      <c r="AC25" s="171">
        <v>212</v>
      </c>
      <c r="AD25" s="171">
        <v>465</v>
      </c>
      <c r="AE25" s="172">
        <v>4292</v>
      </c>
      <c r="AF25" s="170">
        <v>51</v>
      </c>
      <c r="AG25" s="171">
        <v>87</v>
      </c>
      <c r="AH25" s="171">
        <v>60</v>
      </c>
      <c r="AI25" s="171">
        <v>148</v>
      </c>
      <c r="AJ25" s="172">
        <v>2745</v>
      </c>
      <c r="AK25" s="170">
        <v>50</v>
      </c>
      <c r="AL25" s="171">
        <v>452</v>
      </c>
      <c r="AM25" s="171">
        <v>806</v>
      </c>
      <c r="AN25" s="171">
        <v>1260</v>
      </c>
      <c r="AO25" s="172">
        <v>12897</v>
      </c>
      <c r="AP25" s="173">
        <v>51</v>
      </c>
      <c r="AQ25" s="171">
        <v>1674</v>
      </c>
      <c r="AR25" s="171">
        <v>3404</v>
      </c>
      <c r="AS25" s="171">
        <v>5098</v>
      </c>
      <c r="AT25" s="174">
        <v>52757</v>
      </c>
      <c r="AU25" s="170">
        <v>57</v>
      </c>
      <c r="AV25" s="171">
        <v>1104</v>
      </c>
      <c r="AW25" s="171">
        <v>296</v>
      </c>
      <c r="AX25" s="171">
        <v>1402</v>
      </c>
      <c r="AY25" s="172">
        <v>13531</v>
      </c>
      <c r="AZ25" s="170">
        <v>49</v>
      </c>
      <c r="BA25" s="171">
        <v>1575</v>
      </c>
      <c r="BB25" s="171">
        <v>1335</v>
      </c>
      <c r="BC25" s="171">
        <v>2916</v>
      </c>
      <c r="BD25" s="172">
        <v>34893</v>
      </c>
      <c r="BE25" s="170">
        <v>50</v>
      </c>
      <c r="BF25" s="171">
        <v>1271</v>
      </c>
      <c r="BG25" s="171">
        <v>1575</v>
      </c>
      <c r="BH25" s="171">
        <v>2859</v>
      </c>
      <c r="BI25" s="172">
        <v>58452</v>
      </c>
      <c r="BJ25" s="170">
        <v>49</v>
      </c>
      <c r="BK25" s="171">
        <v>1518</v>
      </c>
      <c r="BL25" s="171">
        <v>1159</v>
      </c>
      <c r="BM25" s="171">
        <v>2681</v>
      </c>
      <c r="BN25" s="172">
        <v>57818</v>
      </c>
      <c r="BO25" s="170">
        <v>55</v>
      </c>
      <c r="BP25" s="171">
        <v>62</v>
      </c>
      <c r="BQ25" s="171">
        <v>9</v>
      </c>
      <c r="BR25" s="171">
        <v>71</v>
      </c>
      <c r="BS25" s="172">
        <v>1314</v>
      </c>
      <c r="BT25" s="170">
        <v>56</v>
      </c>
      <c r="BU25" s="171">
        <v>48</v>
      </c>
      <c r="BV25" s="171">
        <v>22</v>
      </c>
      <c r="BW25" s="171">
        <v>70</v>
      </c>
      <c r="BX25" s="172">
        <v>1349</v>
      </c>
      <c r="BY25" s="170">
        <v>52</v>
      </c>
      <c r="BZ25" s="171">
        <v>66</v>
      </c>
      <c r="CA25" s="171">
        <v>64</v>
      </c>
      <c r="CB25" s="171">
        <v>130</v>
      </c>
      <c r="CC25" s="172">
        <v>3117</v>
      </c>
      <c r="CD25" s="170">
        <v>54</v>
      </c>
      <c r="CE25" s="171">
        <v>56</v>
      </c>
      <c r="CF25" s="171">
        <v>20</v>
      </c>
      <c r="CG25" s="171">
        <v>76</v>
      </c>
      <c r="CH25" s="172">
        <v>1606</v>
      </c>
      <c r="CI25" s="170">
        <v>51</v>
      </c>
      <c r="CJ25" s="171">
        <v>71</v>
      </c>
      <c r="CK25" s="171">
        <v>182</v>
      </c>
      <c r="CL25" s="171">
        <v>253</v>
      </c>
      <c r="CM25" s="172">
        <v>3432</v>
      </c>
      <c r="CN25" s="170">
        <v>60</v>
      </c>
      <c r="CO25" s="171">
        <v>3</v>
      </c>
      <c r="CP25" s="171">
        <v>4</v>
      </c>
      <c r="CQ25" s="171">
        <v>7</v>
      </c>
      <c r="CR25" s="172">
        <v>149</v>
      </c>
      <c r="CS25" s="170">
        <v>53</v>
      </c>
      <c r="CT25" s="171">
        <v>24</v>
      </c>
      <c r="CU25" s="171">
        <v>9</v>
      </c>
      <c r="CV25" s="171">
        <v>33</v>
      </c>
      <c r="CW25" s="172">
        <v>525</v>
      </c>
      <c r="CX25" s="170">
        <v>62</v>
      </c>
      <c r="CY25" s="171">
        <v>7</v>
      </c>
      <c r="CZ25" s="171">
        <v>26</v>
      </c>
      <c r="DA25" s="171">
        <v>33</v>
      </c>
      <c r="DB25" s="172">
        <v>404</v>
      </c>
      <c r="DC25" s="170">
        <v>38</v>
      </c>
      <c r="DD25" s="171">
        <v>1</v>
      </c>
      <c r="DE25" s="171">
        <v>3</v>
      </c>
      <c r="DF25" s="171">
        <v>4</v>
      </c>
      <c r="DG25" s="172">
        <v>144</v>
      </c>
      <c r="DH25" s="170">
        <v>66</v>
      </c>
      <c r="DI25" s="171">
        <v>4</v>
      </c>
      <c r="DJ25" s="171">
        <v>8</v>
      </c>
      <c r="DK25" s="171">
        <v>12</v>
      </c>
      <c r="DL25" s="172">
        <v>103</v>
      </c>
    </row>
    <row r="26" spans="2:116">
      <c r="B26" s="170">
        <v>49</v>
      </c>
      <c r="C26" s="171">
        <v>1160</v>
      </c>
      <c r="D26" s="171">
        <v>2690</v>
      </c>
      <c r="E26" s="171">
        <v>3859</v>
      </c>
      <c r="F26" s="172">
        <v>69228</v>
      </c>
      <c r="G26" s="170">
        <v>51</v>
      </c>
      <c r="H26" s="171">
        <v>160</v>
      </c>
      <c r="I26" s="171">
        <v>407</v>
      </c>
      <c r="J26" s="171">
        <v>569</v>
      </c>
      <c r="K26" s="172">
        <v>11577</v>
      </c>
      <c r="L26" s="170">
        <v>51</v>
      </c>
      <c r="M26" s="171">
        <v>393</v>
      </c>
      <c r="N26" s="171">
        <v>602</v>
      </c>
      <c r="O26" s="171">
        <v>996</v>
      </c>
      <c r="P26" s="172">
        <v>17098</v>
      </c>
      <c r="Q26" s="170">
        <v>53</v>
      </c>
      <c r="R26" s="171">
        <v>365</v>
      </c>
      <c r="S26" s="171">
        <v>415</v>
      </c>
      <c r="T26" s="171">
        <v>783</v>
      </c>
      <c r="U26" s="172">
        <v>10335</v>
      </c>
      <c r="V26" s="170">
        <v>47</v>
      </c>
      <c r="W26" s="171">
        <v>213</v>
      </c>
      <c r="X26" s="171">
        <v>311</v>
      </c>
      <c r="Y26" s="171">
        <v>528</v>
      </c>
      <c r="Z26" s="172">
        <v>12261</v>
      </c>
      <c r="AA26" s="170">
        <v>54</v>
      </c>
      <c r="AB26" s="171">
        <v>141</v>
      </c>
      <c r="AC26" s="171">
        <v>106</v>
      </c>
      <c r="AD26" s="171">
        <v>247</v>
      </c>
      <c r="AE26" s="172">
        <v>4539</v>
      </c>
      <c r="AF26" s="170">
        <v>50</v>
      </c>
      <c r="AG26" s="171">
        <v>109</v>
      </c>
      <c r="AH26" s="171">
        <v>44</v>
      </c>
      <c r="AI26" s="171">
        <v>153</v>
      </c>
      <c r="AJ26" s="172">
        <v>2898</v>
      </c>
      <c r="AK26" s="170">
        <v>49</v>
      </c>
      <c r="AL26" s="171">
        <v>192</v>
      </c>
      <c r="AM26" s="171">
        <v>382</v>
      </c>
      <c r="AN26" s="171">
        <v>576</v>
      </c>
      <c r="AO26" s="172">
        <v>13473</v>
      </c>
      <c r="AP26" s="173">
        <v>50</v>
      </c>
      <c r="AQ26" s="171">
        <v>788</v>
      </c>
      <c r="AR26" s="171">
        <v>1769</v>
      </c>
      <c r="AS26" s="171">
        <v>2568</v>
      </c>
      <c r="AT26" s="174">
        <v>55325</v>
      </c>
      <c r="AU26" s="170">
        <v>56</v>
      </c>
      <c r="AV26" s="171">
        <v>918</v>
      </c>
      <c r="AW26" s="171">
        <v>219</v>
      </c>
      <c r="AX26" s="171">
        <v>1139</v>
      </c>
      <c r="AY26" s="172">
        <v>14670</v>
      </c>
      <c r="AZ26" s="170">
        <v>48</v>
      </c>
      <c r="BA26" s="171">
        <v>884</v>
      </c>
      <c r="BB26" s="171">
        <v>767</v>
      </c>
      <c r="BC26" s="171">
        <v>1652</v>
      </c>
      <c r="BD26" s="172">
        <v>36545</v>
      </c>
      <c r="BE26" s="170">
        <v>49</v>
      </c>
      <c r="BF26" s="171">
        <v>1343</v>
      </c>
      <c r="BG26" s="171">
        <v>1739</v>
      </c>
      <c r="BH26" s="171">
        <v>3090</v>
      </c>
      <c r="BI26" s="172">
        <v>61542</v>
      </c>
      <c r="BJ26" s="170">
        <v>48</v>
      </c>
      <c r="BK26" s="171">
        <v>1612</v>
      </c>
      <c r="BL26" s="171">
        <v>1252</v>
      </c>
      <c r="BM26" s="171">
        <v>2867</v>
      </c>
      <c r="BN26" s="172">
        <v>60685</v>
      </c>
      <c r="BO26" s="170">
        <v>54</v>
      </c>
      <c r="BP26" s="171">
        <v>130</v>
      </c>
      <c r="BQ26" s="171">
        <v>22</v>
      </c>
      <c r="BR26" s="171">
        <v>154</v>
      </c>
      <c r="BS26" s="172">
        <v>1468</v>
      </c>
      <c r="BT26" s="170">
        <v>55</v>
      </c>
      <c r="BU26" s="171">
        <v>73</v>
      </c>
      <c r="BV26" s="171">
        <v>22</v>
      </c>
      <c r="BW26" s="171">
        <v>95</v>
      </c>
      <c r="BX26" s="172">
        <v>1444</v>
      </c>
      <c r="BY26" s="170">
        <v>51</v>
      </c>
      <c r="BZ26" s="171">
        <v>159</v>
      </c>
      <c r="CA26" s="171">
        <v>172</v>
      </c>
      <c r="CB26" s="171">
        <v>332</v>
      </c>
      <c r="CC26" s="172">
        <v>3449</v>
      </c>
      <c r="CD26" s="170">
        <v>53</v>
      </c>
      <c r="CE26" s="171">
        <v>44</v>
      </c>
      <c r="CF26" s="171">
        <v>16</v>
      </c>
      <c r="CG26" s="171">
        <v>60</v>
      </c>
      <c r="CH26" s="172">
        <v>1666</v>
      </c>
      <c r="CI26" s="170">
        <v>50</v>
      </c>
      <c r="CJ26" s="171">
        <v>35</v>
      </c>
      <c r="CK26" s="171">
        <v>73</v>
      </c>
      <c r="CL26" s="171">
        <v>108</v>
      </c>
      <c r="CM26" s="172">
        <v>3540</v>
      </c>
      <c r="CN26" s="170">
        <v>59</v>
      </c>
      <c r="CO26" s="171">
        <v>9</v>
      </c>
      <c r="CP26" s="171">
        <v>3</v>
      </c>
      <c r="CQ26" s="171">
        <v>12</v>
      </c>
      <c r="CR26" s="172">
        <v>161</v>
      </c>
      <c r="CS26" s="170">
        <v>52</v>
      </c>
      <c r="CT26" s="171">
        <v>22</v>
      </c>
      <c r="CU26" s="171">
        <v>4</v>
      </c>
      <c r="CV26" s="171">
        <v>27</v>
      </c>
      <c r="CW26" s="172">
        <v>552</v>
      </c>
      <c r="CX26" s="170">
        <v>61</v>
      </c>
      <c r="CY26" s="171">
        <v>20</v>
      </c>
      <c r="CZ26" s="171">
        <v>44</v>
      </c>
      <c r="DA26" s="171">
        <v>64</v>
      </c>
      <c r="DB26" s="172">
        <v>468</v>
      </c>
      <c r="DC26" s="170">
        <v>36</v>
      </c>
      <c r="DD26" s="171">
        <v>4</v>
      </c>
      <c r="DE26" s="171">
        <v>3</v>
      </c>
      <c r="DF26" s="171">
        <v>7</v>
      </c>
      <c r="DG26" s="172">
        <v>151</v>
      </c>
      <c r="DH26" s="170">
        <v>65</v>
      </c>
      <c r="DI26" s="171">
        <v>8</v>
      </c>
      <c r="DJ26" s="171">
        <v>14</v>
      </c>
      <c r="DK26" s="171">
        <v>23</v>
      </c>
      <c r="DL26" s="172">
        <v>126</v>
      </c>
    </row>
    <row r="27" spans="2:116">
      <c r="B27" s="170">
        <v>48</v>
      </c>
      <c r="C27" s="171">
        <v>1064</v>
      </c>
      <c r="D27" s="171">
        <v>2593</v>
      </c>
      <c r="E27" s="171">
        <v>3669</v>
      </c>
      <c r="F27" s="172">
        <v>72897</v>
      </c>
      <c r="G27" s="170">
        <v>50</v>
      </c>
      <c r="H27" s="171">
        <v>187</v>
      </c>
      <c r="I27" s="171">
        <v>461</v>
      </c>
      <c r="J27" s="171">
        <v>651</v>
      </c>
      <c r="K27" s="172">
        <v>12228</v>
      </c>
      <c r="L27" s="170">
        <v>50</v>
      </c>
      <c r="M27" s="171">
        <v>827</v>
      </c>
      <c r="N27" s="171">
        <v>1254</v>
      </c>
      <c r="O27" s="171">
        <v>2089</v>
      </c>
      <c r="P27" s="172">
        <v>19187</v>
      </c>
      <c r="Q27" s="170">
        <v>52</v>
      </c>
      <c r="R27" s="171">
        <v>828</v>
      </c>
      <c r="S27" s="171">
        <v>914</v>
      </c>
      <c r="T27" s="171">
        <v>1749</v>
      </c>
      <c r="U27" s="172">
        <v>12084</v>
      </c>
      <c r="V27" s="170">
        <v>46</v>
      </c>
      <c r="W27" s="171">
        <v>201</v>
      </c>
      <c r="X27" s="171">
        <v>261</v>
      </c>
      <c r="Y27" s="171">
        <v>463</v>
      </c>
      <c r="Z27" s="172">
        <v>12724</v>
      </c>
      <c r="AA27" s="170">
        <v>53</v>
      </c>
      <c r="AB27" s="171">
        <v>180</v>
      </c>
      <c r="AC27" s="171">
        <v>133</v>
      </c>
      <c r="AD27" s="171">
        <v>314</v>
      </c>
      <c r="AE27" s="172">
        <v>4853</v>
      </c>
      <c r="AF27" s="170">
        <v>49</v>
      </c>
      <c r="AG27" s="171">
        <v>210</v>
      </c>
      <c r="AH27" s="171">
        <v>86</v>
      </c>
      <c r="AI27" s="171">
        <v>296</v>
      </c>
      <c r="AJ27" s="172">
        <v>3194</v>
      </c>
      <c r="AK27" s="170">
        <v>48</v>
      </c>
      <c r="AL27" s="171">
        <v>247</v>
      </c>
      <c r="AM27" s="171">
        <v>432</v>
      </c>
      <c r="AN27" s="171">
        <v>683</v>
      </c>
      <c r="AO27" s="172">
        <v>14156</v>
      </c>
      <c r="AP27" s="173">
        <v>49</v>
      </c>
      <c r="AQ27" s="171">
        <v>828</v>
      </c>
      <c r="AR27" s="171">
        <v>1889</v>
      </c>
      <c r="AS27" s="171">
        <v>2723</v>
      </c>
      <c r="AT27" s="174">
        <v>58048</v>
      </c>
      <c r="AU27" s="170">
        <v>55</v>
      </c>
      <c r="AV27" s="171">
        <v>1227</v>
      </c>
      <c r="AW27" s="171">
        <v>316</v>
      </c>
      <c r="AX27" s="171">
        <v>1546</v>
      </c>
      <c r="AY27" s="172">
        <v>16216</v>
      </c>
      <c r="AZ27" s="170">
        <v>47</v>
      </c>
      <c r="BA27" s="171">
        <v>824</v>
      </c>
      <c r="BB27" s="171">
        <v>720</v>
      </c>
      <c r="BC27" s="171">
        <v>1545</v>
      </c>
      <c r="BD27" s="172">
        <v>38090</v>
      </c>
      <c r="BE27" s="170">
        <v>48</v>
      </c>
      <c r="BF27" s="171">
        <v>1148</v>
      </c>
      <c r="BG27" s="171">
        <v>1413</v>
      </c>
      <c r="BH27" s="171">
        <v>2563</v>
      </c>
      <c r="BI27" s="172">
        <v>64105</v>
      </c>
      <c r="BJ27" s="170">
        <v>47</v>
      </c>
      <c r="BK27" s="171">
        <v>1579</v>
      </c>
      <c r="BL27" s="171">
        <v>1168</v>
      </c>
      <c r="BM27" s="171">
        <v>2753</v>
      </c>
      <c r="BN27" s="172">
        <v>63438</v>
      </c>
      <c r="BO27" s="170">
        <v>53</v>
      </c>
      <c r="BP27" s="171">
        <v>87</v>
      </c>
      <c r="BQ27" s="171">
        <v>14</v>
      </c>
      <c r="BR27" s="171">
        <v>101</v>
      </c>
      <c r="BS27" s="172">
        <v>1569</v>
      </c>
      <c r="BT27" s="170">
        <v>54</v>
      </c>
      <c r="BU27" s="171">
        <v>74</v>
      </c>
      <c r="BV27" s="171">
        <v>32</v>
      </c>
      <c r="BW27" s="171">
        <v>107</v>
      </c>
      <c r="BX27" s="172">
        <v>1551</v>
      </c>
      <c r="BY27" s="170">
        <v>50</v>
      </c>
      <c r="BZ27" s="171">
        <v>95</v>
      </c>
      <c r="CA27" s="171">
        <v>102</v>
      </c>
      <c r="CB27" s="171">
        <v>198</v>
      </c>
      <c r="CC27" s="172">
        <v>3647</v>
      </c>
      <c r="CD27" s="170">
        <v>52</v>
      </c>
      <c r="CE27" s="171">
        <v>46</v>
      </c>
      <c r="CF27" s="171">
        <v>29</v>
      </c>
      <c r="CG27" s="171">
        <v>76</v>
      </c>
      <c r="CH27" s="172">
        <v>1742</v>
      </c>
      <c r="CI27" s="170">
        <v>49</v>
      </c>
      <c r="CJ27" s="171">
        <v>31</v>
      </c>
      <c r="CK27" s="171">
        <v>57</v>
      </c>
      <c r="CL27" s="171">
        <v>91</v>
      </c>
      <c r="CM27" s="172">
        <v>3631</v>
      </c>
      <c r="CN27" s="170">
        <v>58</v>
      </c>
      <c r="CO27" s="171">
        <v>4</v>
      </c>
      <c r="CP27" s="171">
        <v>5</v>
      </c>
      <c r="CQ27" s="171">
        <v>9</v>
      </c>
      <c r="CR27" s="172">
        <v>170</v>
      </c>
      <c r="CS27" s="170">
        <v>51</v>
      </c>
      <c r="CT27" s="171">
        <v>47</v>
      </c>
      <c r="CU27" s="171">
        <v>12</v>
      </c>
      <c r="CV27" s="171">
        <v>59</v>
      </c>
      <c r="CW27" s="172">
        <v>611</v>
      </c>
      <c r="CX27" s="170">
        <v>60</v>
      </c>
      <c r="CY27" s="171">
        <v>18</v>
      </c>
      <c r="CZ27" s="171">
        <v>42</v>
      </c>
      <c r="DA27" s="171">
        <v>60</v>
      </c>
      <c r="DB27" s="172">
        <v>528</v>
      </c>
      <c r="DC27" s="170">
        <v>34</v>
      </c>
      <c r="DD27" s="171">
        <v>3</v>
      </c>
      <c r="DE27" s="171">
        <v>3</v>
      </c>
      <c r="DF27" s="171">
        <v>6</v>
      </c>
      <c r="DG27" s="172">
        <v>157</v>
      </c>
      <c r="DH27" s="170">
        <v>63</v>
      </c>
      <c r="DI27" s="171">
        <v>9</v>
      </c>
      <c r="DJ27" s="171">
        <v>21</v>
      </c>
      <c r="DK27" s="171">
        <v>30</v>
      </c>
      <c r="DL27" s="172">
        <v>156</v>
      </c>
    </row>
    <row r="28" spans="2:116">
      <c r="B28" s="170">
        <v>47</v>
      </c>
      <c r="C28" s="171">
        <v>1049</v>
      </c>
      <c r="D28" s="171">
        <v>2267</v>
      </c>
      <c r="E28" s="171">
        <v>3323</v>
      </c>
      <c r="F28" s="172">
        <v>76220</v>
      </c>
      <c r="G28" s="170">
        <v>49</v>
      </c>
      <c r="H28" s="171">
        <v>205</v>
      </c>
      <c r="I28" s="171">
        <v>434</v>
      </c>
      <c r="J28" s="171">
        <v>639</v>
      </c>
      <c r="K28" s="172">
        <v>12867</v>
      </c>
      <c r="L28" s="170">
        <v>49</v>
      </c>
      <c r="M28" s="171">
        <v>477</v>
      </c>
      <c r="N28" s="171">
        <v>699</v>
      </c>
      <c r="O28" s="171">
        <v>1184</v>
      </c>
      <c r="P28" s="172">
        <v>20371</v>
      </c>
      <c r="Q28" s="170">
        <v>51</v>
      </c>
      <c r="R28" s="171">
        <v>432</v>
      </c>
      <c r="S28" s="171">
        <v>478</v>
      </c>
      <c r="T28" s="171">
        <v>913</v>
      </c>
      <c r="U28" s="172">
        <v>12997</v>
      </c>
      <c r="V28" s="170">
        <v>45</v>
      </c>
      <c r="W28" s="171">
        <v>223</v>
      </c>
      <c r="X28" s="171">
        <v>290</v>
      </c>
      <c r="Y28" s="171">
        <v>513</v>
      </c>
      <c r="Z28" s="172">
        <v>13237</v>
      </c>
      <c r="AA28" s="170">
        <v>52</v>
      </c>
      <c r="AB28" s="171">
        <v>169</v>
      </c>
      <c r="AC28" s="171">
        <v>159</v>
      </c>
      <c r="AD28" s="171">
        <v>328</v>
      </c>
      <c r="AE28" s="172">
        <v>5181</v>
      </c>
      <c r="AF28" s="170">
        <v>48</v>
      </c>
      <c r="AG28" s="171">
        <v>107</v>
      </c>
      <c r="AH28" s="171">
        <v>64</v>
      </c>
      <c r="AI28" s="171">
        <v>172</v>
      </c>
      <c r="AJ28" s="172">
        <v>3366</v>
      </c>
      <c r="AK28" s="170">
        <v>47</v>
      </c>
      <c r="AL28" s="171">
        <v>215</v>
      </c>
      <c r="AM28" s="171">
        <v>371</v>
      </c>
      <c r="AN28" s="171">
        <v>589</v>
      </c>
      <c r="AO28" s="172">
        <v>14745</v>
      </c>
      <c r="AP28" s="173">
        <v>48</v>
      </c>
      <c r="AQ28" s="171">
        <v>911</v>
      </c>
      <c r="AR28" s="171">
        <v>1990</v>
      </c>
      <c r="AS28" s="171">
        <v>2908</v>
      </c>
      <c r="AT28" s="174">
        <v>60956</v>
      </c>
      <c r="AU28" s="170">
        <v>54</v>
      </c>
      <c r="AV28" s="171">
        <v>1178</v>
      </c>
      <c r="AW28" s="171">
        <v>306</v>
      </c>
      <c r="AX28" s="171">
        <v>1486</v>
      </c>
      <c r="AY28" s="172">
        <v>17702</v>
      </c>
      <c r="AZ28" s="170">
        <v>46</v>
      </c>
      <c r="BA28" s="171">
        <v>819</v>
      </c>
      <c r="BB28" s="171">
        <v>769</v>
      </c>
      <c r="BC28" s="171">
        <v>1595</v>
      </c>
      <c r="BD28" s="172">
        <v>39685</v>
      </c>
      <c r="BE28" s="170">
        <v>47</v>
      </c>
      <c r="BF28" s="171">
        <v>1332</v>
      </c>
      <c r="BG28" s="171">
        <v>1795</v>
      </c>
      <c r="BH28" s="171">
        <v>3134</v>
      </c>
      <c r="BI28" s="172">
        <v>67239</v>
      </c>
      <c r="BJ28" s="170">
        <v>46</v>
      </c>
      <c r="BK28" s="171">
        <v>1646</v>
      </c>
      <c r="BL28" s="171">
        <v>1203</v>
      </c>
      <c r="BM28" s="171">
        <v>2853</v>
      </c>
      <c r="BN28" s="172">
        <v>66291</v>
      </c>
      <c r="BO28" s="170">
        <v>52</v>
      </c>
      <c r="BP28" s="171">
        <v>95</v>
      </c>
      <c r="BQ28" s="171">
        <v>18</v>
      </c>
      <c r="BR28" s="171">
        <v>114</v>
      </c>
      <c r="BS28" s="172">
        <v>1683</v>
      </c>
      <c r="BT28" s="170">
        <v>53</v>
      </c>
      <c r="BU28" s="171">
        <v>68</v>
      </c>
      <c r="BV28" s="171">
        <v>27</v>
      </c>
      <c r="BW28" s="171">
        <v>95</v>
      </c>
      <c r="BX28" s="172">
        <v>1646</v>
      </c>
      <c r="BY28" s="170">
        <v>49</v>
      </c>
      <c r="BZ28" s="171">
        <v>106</v>
      </c>
      <c r="CA28" s="171">
        <v>112</v>
      </c>
      <c r="CB28" s="171">
        <v>219</v>
      </c>
      <c r="CC28" s="172">
        <v>3866</v>
      </c>
      <c r="CD28" s="170">
        <v>51</v>
      </c>
      <c r="CE28" s="171">
        <v>132</v>
      </c>
      <c r="CF28" s="171">
        <v>60</v>
      </c>
      <c r="CG28" s="171">
        <v>192</v>
      </c>
      <c r="CH28" s="172">
        <v>1934</v>
      </c>
      <c r="CI28" s="170">
        <v>48</v>
      </c>
      <c r="CJ28" s="171">
        <v>42</v>
      </c>
      <c r="CK28" s="171">
        <v>76</v>
      </c>
      <c r="CL28" s="171">
        <v>118</v>
      </c>
      <c r="CM28" s="172">
        <v>3749</v>
      </c>
      <c r="CN28" s="170">
        <v>56</v>
      </c>
      <c r="CO28" s="171">
        <v>3</v>
      </c>
      <c r="CP28" s="171">
        <v>9</v>
      </c>
      <c r="CQ28" s="171">
        <v>12</v>
      </c>
      <c r="CR28" s="172">
        <v>182</v>
      </c>
      <c r="CS28" s="170">
        <v>50</v>
      </c>
      <c r="CT28" s="171">
        <v>17</v>
      </c>
      <c r="CU28" s="171">
        <v>9</v>
      </c>
      <c r="CV28" s="171">
        <v>27</v>
      </c>
      <c r="CW28" s="172">
        <v>638</v>
      </c>
      <c r="CX28" s="170">
        <v>59</v>
      </c>
      <c r="CY28" s="171">
        <v>12</v>
      </c>
      <c r="CZ28" s="171">
        <v>34</v>
      </c>
      <c r="DA28" s="171">
        <v>46</v>
      </c>
      <c r="DB28" s="172">
        <v>574</v>
      </c>
      <c r="DC28" s="170">
        <v>32</v>
      </c>
      <c r="DD28" s="171">
        <v>3</v>
      </c>
      <c r="DE28" s="171">
        <v>1</v>
      </c>
      <c r="DF28" s="171">
        <v>4</v>
      </c>
      <c r="DG28" s="172">
        <v>161</v>
      </c>
      <c r="DH28" s="170">
        <v>62</v>
      </c>
      <c r="DI28" s="171">
        <v>4</v>
      </c>
      <c r="DJ28" s="171">
        <v>31</v>
      </c>
      <c r="DK28" s="171">
        <v>35</v>
      </c>
      <c r="DL28" s="172">
        <v>191</v>
      </c>
    </row>
    <row r="29" spans="2:116">
      <c r="B29" s="170">
        <v>46</v>
      </c>
      <c r="C29" s="171">
        <v>1932</v>
      </c>
      <c r="D29" s="171">
        <v>4371</v>
      </c>
      <c r="E29" s="171">
        <v>6321</v>
      </c>
      <c r="F29" s="172">
        <v>82541</v>
      </c>
      <c r="G29" s="170">
        <v>48</v>
      </c>
      <c r="H29" s="171">
        <v>231</v>
      </c>
      <c r="I29" s="171">
        <v>547</v>
      </c>
      <c r="J29" s="171">
        <v>779</v>
      </c>
      <c r="K29" s="172">
        <v>13646</v>
      </c>
      <c r="L29" s="170">
        <v>48</v>
      </c>
      <c r="M29" s="171">
        <v>493</v>
      </c>
      <c r="N29" s="171">
        <v>637</v>
      </c>
      <c r="O29" s="171">
        <v>1135</v>
      </c>
      <c r="P29" s="172">
        <v>21506</v>
      </c>
      <c r="Q29" s="170">
        <v>50</v>
      </c>
      <c r="R29" s="171">
        <v>451</v>
      </c>
      <c r="S29" s="171">
        <v>549</v>
      </c>
      <c r="T29" s="171">
        <v>1001</v>
      </c>
      <c r="U29" s="172">
        <v>13998</v>
      </c>
      <c r="V29" s="170">
        <v>44</v>
      </c>
      <c r="W29" s="171">
        <v>474</v>
      </c>
      <c r="X29" s="171">
        <v>606</v>
      </c>
      <c r="Y29" s="171">
        <v>1083</v>
      </c>
      <c r="Z29" s="172">
        <v>14320</v>
      </c>
      <c r="AA29" s="170">
        <v>51</v>
      </c>
      <c r="AB29" s="171">
        <v>197</v>
      </c>
      <c r="AC29" s="171">
        <v>174</v>
      </c>
      <c r="AD29" s="171">
        <v>372</v>
      </c>
      <c r="AE29" s="172">
        <v>5553</v>
      </c>
      <c r="AF29" s="170">
        <v>47</v>
      </c>
      <c r="AG29" s="171">
        <v>109</v>
      </c>
      <c r="AH29" s="171">
        <v>64</v>
      </c>
      <c r="AI29" s="171">
        <v>174</v>
      </c>
      <c r="AJ29" s="172">
        <v>3540</v>
      </c>
      <c r="AK29" s="170">
        <v>46</v>
      </c>
      <c r="AL29" s="171">
        <v>462</v>
      </c>
      <c r="AM29" s="171">
        <v>841</v>
      </c>
      <c r="AN29" s="171">
        <v>1309</v>
      </c>
      <c r="AO29" s="172">
        <v>16054</v>
      </c>
      <c r="AP29" s="173">
        <v>47</v>
      </c>
      <c r="AQ29" s="171">
        <v>2009</v>
      </c>
      <c r="AR29" s="171">
        <v>4077</v>
      </c>
      <c r="AS29" s="171">
        <v>6104</v>
      </c>
      <c r="AT29" s="174">
        <v>67060</v>
      </c>
      <c r="AU29" s="170">
        <v>53</v>
      </c>
      <c r="AV29" s="171">
        <v>1162</v>
      </c>
      <c r="AW29" s="171">
        <v>322</v>
      </c>
      <c r="AX29" s="171">
        <v>1490</v>
      </c>
      <c r="AY29" s="172">
        <v>19192</v>
      </c>
      <c r="AZ29" s="170">
        <v>45</v>
      </c>
      <c r="BA29" s="171">
        <v>943</v>
      </c>
      <c r="BB29" s="171">
        <v>839</v>
      </c>
      <c r="BC29" s="171">
        <v>1785</v>
      </c>
      <c r="BD29" s="172">
        <v>41470</v>
      </c>
      <c r="BE29" s="170">
        <v>46</v>
      </c>
      <c r="BF29" s="171">
        <v>2617</v>
      </c>
      <c r="BG29" s="171">
        <v>3294</v>
      </c>
      <c r="BH29" s="171">
        <v>5924</v>
      </c>
      <c r="BI29" s="172">
        <v>73163</v>
      </c>
      <c r="BJ29" s="170">
        <v>45</v>
      </c>
      <c r="BK29" s="171">
        <v>3166</v>
      </c>
      <c r="BL29" s="171">
        <v>2338</v>
      </c>
      <c r="BM29" s="171">
        <v>5526</v>
      </c>
      <c r="BN29" s="172">
        <v>71817</v>
      </c>
      <c r="BO29" s="170">
        <v>51</v>
      </c>
      <c r="BP29" s="171">
        <v>69</v>
      </c>
      <c r="BQ29" s="171">
        <v>8</v>
      </c>
      <c r="BR29" s="171">
        <v>77</v>
      </c>
      <c r="BS29" s="172">
        <v>1760</v>
      </c>
      <c r="BT29" s="170">
        <v>52</v>
      </c>
      <c r="BU29" s="171">
        <v>90</v>
      </c>
      <c r="BV29" s="171">
        <v>50</v>
      </c>
      <c r="BW29" s="171">
        <v>141</v>
      </c>
      <c r="BX29" s="172">
        <v>1787</v>
      </c>
      <c r="BY29" s="170">
        <v>48</v>
      </c>
      <c r="BZ29" s="171">
        <v>270</v>
      </c>
      <c r="CA29" s="171">
        <v>241</v>
      </c>
      <c r="CB29" s="171">
        <v>513</v>
      </c>
      <c r="CC29" s="172">
        <v>4379</v>
      </c>
      <c r="CD29" s="170">
        <v>50</v>
      </c>
      <c r="CE29" s="171">
        <v>78</v>
      </c>
      <c r="CF29" s="171">
        <v>44</v>
      </c>
      <c r="CG29" s="171">
        <v>122</v>
      </c>
      <c r="CH29" s="172">
        <v>2056</v>
      </c>
      <c r="CI29" s="170">
        <v>47</v>
      </c>
      <c r="CJ29" s="171">
        <v>73</v>
      </c>
      <c r="CK29" s="171">
        <v>115</v>
      </c>
      <c r="CL29" s="171">
        <v>189</v>
      </c>
      <c r="CM29" s="172">
        <v>3938</v>
      </c>
      <c r="CN29" s="170">
        <v>55</v>
      </c>
      <c r="CO29" s="171">
        <v>2</v>
      </c>
      <c r="CP29" s="171">
        <v>9</v>
      </c>
      <c r="CQ29" s="171">
        <v>11</v>
      </c>
      <c r="CR29" s="172">
        <v>193</v>
      </c>
      <c r="CS29" s="170">
        <v>49</v>
      </c>
      <c r="CT29" s="171">
        <v>16</v>
      </c>
      <c r="CU29" s="171">
        <v>3</v>
      </c>
      <c r="CV29" s="171">
        <v>19</v>
      </c>
      <c r="CW29" s="172">
        <v>657</v>
      </c>
      <c r="CX29" s="170">
        <v>58</v>
      </c>
      <c r="CY29" s="171">
        <v>13</v>
      </c>
      <c r="CZ29" s="171">
        <v>57</v>
      </c>
      <c r="DA29" s="171">
        <v>72</v>
      </c>
      <c r="DB29" s="172">
        <v>646</v>
      </c>
      <c r="DC29" s="170">
        <v>31</v>
      </c>
      <c r="DD29" s="171">
        <v>0</v>
      </c>
      <c r="DE29" s="171">
        <v>1</v>
      </c>
      <c r="DF29" s="171">
        <v>1</v>
      </c>
      <c r="DG29" s="172">
        <v>162</v>
      </c>
      <c r="DH29" s="170">
        <v>60</v>
      </c>
      <c r="DI29" s="171">
        <v>7</v>
      </c>
      <c r="DJ29" s="171">
        <v>32</v>
      </c>
      <c r="DK29" s="171">
        <v>39</v>
      </c>
      <c r="DL29" s="172">
        <v>230</v>
      </c>
    </row>
    <row r="30" spans="2:116">
      <c r="B30" s="170">
        <v>45</v>
      </c>
      <c r="C30" s="171">
        <v>935</v>
      </c>
      <c r="D30" s="171">
        <v>2047</v>
      </c>
      <c r="E30" s="171">
        <v>2990</v>
      </c>
      <c r="F30" s="172">
        <v>85531</v>
      </c>
      <c r="G30" s="170">
        <v>47</v>
      </c>
      <c r="H30" s="171">
        <v>515</v>
      </c>
      <c r="I30" s="171">
        <v>1027</v>
      </c>
      <c r="J30" s="171">
        <v>1548</v>
      </c>
      <c r="K30" s="172">
        <v>15194</v>
      </c>
      <c r="L30" s="170">
        <v>47</v>
      </c>
      <c r="M30" s="171">
        <v>447</v>
      </c>
      <c r="N30" s="171">
        <v>665</v>
      </c>
      <c r="O30" s="171">
        <v>1114</v>
      </c>
      <c r="P30" s="172">
        <v>22620</v>
      </c>
      <c r="Q30" s="170">
        <v>49</v>
      </c>
      <c r="R30" s="171">
        <v>521</v>
      </c>
      <c r="S30" s="171">
        <v>605</v>
      </c>
      <c r="T30" s="171">
        <v>1130</v>
      </c>
      <c r="U30" s="172">
        <v>15128</v>
      </c>
      <c r="V30" s="170">
        <v>43</v>
      </c>
      <c r="W30" s="171">
        <v>234</v>
      </c>
      <c r="X30" s="171">
        <v>303</v>
      </c>
      <c r="Y30" s="171">
        <v>539</v>
      </c>
      <c r="Z30" s="172">
        <v>14859</v>
      </c>
      <c r="AA30" s="170">
        <v>50</v>
      </c>
      <c r="AB30" s="171">
        <v>454</v>
      </c>
      <c r="AC30" s="171">
        <v>438</v>
      </c>
      <c r="AD30" s="171">
        <v>895</v>
      </c>
      <c r="AE30" s="172">
        <v>6448</v>
      </c>
      <c r="AF30" s="170">
        <v>46</v>
      </c>
      <c r="AG30" s="171">
        <v>142</v>
      </c>
      <c r="AH30" s="171">
        <v>56</v>
      </c>
      <c r="AI30" s="171">
        <v>198</v>
      </c>
      <c r="AJ30" s="172">
        <v>3738</v>
      </c>
      <c r="AK30" s="170">
        <v>45</v>
      </c>
      <c r="AL30" s="171">
        <v>226</v>
      </c>
      <c r="AM30" s="171">
        <v>338</v>
      </c>
      <c r="AN30" s="171">
        <v>565</v>
      </c>
      <c r="AO30" s="172">
        <v>16619</v>
      </c>
      <c r="AP30" s="173">
        <v>46</v>
      </c>
      <c r="AQ30" s="171">
        <v>1044</v>
      </c>
      <c r="AR30" s="171">
        <v>2045</v>
      </c>
      <c r="AS30" s="171">
        <v>3097</v>
      </c>
      <c r="AT30" s="174">
        <v>70157</v>
      </c>
      <c r="AU30" s="170">
        <v>52</v>
      </c>
      <c r="AV30" s="171">
        <v>2614</v>
      </c>
      <c r="AW30" s="171">
        <v>718</v>
      </c>
      <c r="AX30" s="171">
        <v>3347</v>
      </c>
      <c r="AY30" s="172">
        <v>22539</v>
      </c>
      <c r="AZ30" s="170">
        <v>44</v>
      </c>
      <c r="BA30" s="171">
        <v>1765</v>
      </c>
      <c r="BB30" s="171">
        <v>1637</v>
      </c>
      <c r="BC30" s="171">
        <v>3406</v>
      </c>
      <c r="BD30" s="172">
        <v>44876</v>
      </c>
      <c r="BE30" s="170">
        <v>45</v>
      </c>
      <c r="BF30" s="171">
        <v>1420</v>
      </c>
      <c r="BG30" s="171">
        <v>1832</v>
      </c>
      <c r="BH30" s="171">
        <v>3259</v>
      </c>
      <c r="BI30" s="172">
        <v>76422</v>
      </c>
      <c r="BJ30" s="170">
        <v>44</v>
      </c>
      <c r="BK30" s="171">
        <v>1624</v>
      </c>
      <c r="BL30" s="171">
        <v>1207</v>
      </c>
      <c r="BM30" s="171">
        <v>2834</v>
      </c>
      <c r="BN30" s="172">
        <v>74651</v>
      </c>
      <c r="BO30" s="170">
        <v>50</v>
      </c>
      <c r="BP30" s="171">
        <v>108</v>
      </c>
      <c r="BQ30" s="171">
        <v>22</v>
      </c>
      <c r="BR30" s="171">
        <v>130</v>
      </c>
      <c r="BS30" s="172">
        <v>1890</v>
      </c>
      <c r="BT30" s="170">
        <v>51</v>
      </c>
      <c r="BU30" s="171">
        <v>90</v>
      </c>
      <c r="BV30" s="171">
        <v>35</v>
      </c>
      <c r="BW30" s="171">
        <v>126</v>
      </c>
      <c r="BX30" s="172">
        <v>1913</v>
      </c>
      <c r="BY30" s="170">
        <v>47</v>
      </c>
      <c r="BZ30" s="171">
        <v>153</v>
      </c>
      <c r="CA30" s="171">
        <v>146</v>
      </c>
      <c r="CB30" s="171">
        <v>300</v>
      </c>
      <c r="CC30" s="172">
        <v>4679</v>
      </c>
      <c r="CD30" s="170">
        <v>49</v>
      </c>
      <c r="CE30" s="171">
        <v>105</v>
      </c>
      <c r="CF30" s="171">
        <v>26</v>
      </c>
      <c r="CG30" s="171">
        <v>131</v>
      </c>
      <c r="CH30" s="172">
        <v>2187</v>
      </c>
      <c r="CI30" s="170">
        <v>46</v>
      </c>
      <c r="CJ30" s="171">
        <v>26</v>
      </c>
      <c r="CK30" s="171">
        <v>35</v>
      </c>
      <c r="CL30" s="171">
        <v>62</v>
      </c>
      <c r="CM30" s="172">
        <v>4000</v>
      </c>
      <c r="CN30" s="170">
        <v>54</v>
      </c>
      <c r="CO30" s="171">
        <v>12</v>
      </c>
      <c r="CP30" s="171">
        <v>12</v>
      </c>
      <c r="CQ30" s="171">
        <v>25</v>
      </c>
      <c r="CR30" s="172">
        <v>218</v>
      </c>
      <c r="CS30" s="170">
        <v>48</v>
      </c>
      <c r="CT30" s="171">
        <v>10</v>
      </c>
      <c r="CU30" s="171">
        <v>9</v>
      </c>
      <c r="CV30" s="171">
        <v>21</v>
      </c>
      <c r="CW30" s="172">
        <v>678</v>
      </c>
      <c r="CX30" s="170">
        <v>57</v>
      </c>
      <c r="CY30" s="171">
        <v>13</v>
      </c>
      <c r="CZ30" s="171">
        <v>49</v>
      </c>
      <c r="DA30" s="171">
        <v>62</v>
      </c>
      <c r="DB30" s="172">
        <v>708</v>
      </c>
      <c r="DC30" s="170"/>
      <c r="DD30" s="171"/>
      <c r="DE30" s="171"/>
      <c r="DF30" s="171"/>
      <c r="DG30" s="172"/>
      <c r="DH30" s="170">
        <v>59</v>
      </c>
      <c r="DI30" s="171">
        <v>8</v>
      </c>
      <c r="DJ30" s="171">
        <v>34</v>
      </c>
      <c r="DK30" s="171">
        <v>42</v>
      </c>
      <c r="DL30" s="172">
        <v>272</v>
      </c>
    </row>
    <row r="31" spans="2:116">
      <c r="B31" s="170">
        <v>44</v>
      </c>
      <c r="C31" s="171">
        <v>759</v>
      </c>
      <c r="D31" s="171">
        <v>1820</v>
      </c>
      <c r="E31" s="171">
        <v>2590</v>
      </c>
      <c r="F31" s="172">
        <v>88121</v>
      </c>
      <c r="G31" s="170">
        <v>46</v>
      </c>
      <c r="H31" s="171">
        <v>282</v>
      </c>
      <c r="I31" s="171">
        <v>513</v>
      </c>
      <c r="J31" s="171">
        <v>799</v>
      </c>
      <c r="K31" s="172">
        <v>15993</v>
      </c>
      <c r="L31" s="170">
        <v>46</v>
      </c>
      <c r="M31" s="171">
        <v>515</v>
      </c>
      <c r="N31" s="171">
        <v>687</v>
      </c>
      <c r="O31" s="171">
        <v>1203</v>
      </c>
      <c r="P31" s="172">
        <v>23823</v>
      </c>
      <c r="Q31" s="170">
        <v>48</v>
      </c>
      <c r="R31" s="171">
        <v>466</v>
      </c>
      <c r="S31" s="171">
        <v>610</v>
      </c>
      <c r="T31" s="171">
        <v>1077</v>
      </c>
      <c r="U31" s="172">
        <v>16205</v>
      </c>
      <c r="V31" s="170">
        <v>42</v>
      </c>
      <c r="W31" s="171">
        <v>264</v>
      </c>
      <c r="X31" s="171">
        <v>273</v>
      </c>
      <c r="Y31" s="171">
        <v>539</v>
      </c>
      <c r="Z31" s="172">
        <v>15398</v>
      </c>
      <c r="AA31" s="170">
        <v>49</v>
      </c>
      <c r="AB31" s="171">
        <v>287</v>
      </c>
      <c r="AC31" s="171">
        <v>285</v>
      </c>
      <c r="AD31" s="171">
        <v>575</v>
      </c>
      <c r="AE31" s="172">
        <v>7023</v>
      </c>
      <c r="AF31" s="170">
        <v>45</v>
      </c>
      <c r="AG31" s="171">
        <v>277</v>
      </c>
      <c r="AH31" s="171">
        <v>149</v>
      </c>
      <c r="AI31" s="171">
        <v>427</v>
      </c>
      <c r="AJ31" s="172">
        <v>4165</v>
      </c>
      <c r="AK31" s="170">
        <v>44</v>
      </c>
      <c r="AL31" s="171">
        <v>275</v>
      </c>
      <c r="AM31" s="171">
        <v>392</v>
      </c>
      <c r="AN31" s="171">
        <v>669</v>
      </c>
      <c r="AO31" s="172">
        <v>17288</v>
      </c>
      <c r="AP31" s="173">
        <v>45</v>
      </c>
      <c r="AQ31" s="171">
        <v>1249</v>
      </c>
      <c r="AR31" s="171">
        <v>2283</v>
      </c>
      <c r="AS31" s="171">
        <v>3548</v>
      </c>
      <c r="AT31" s="174">
        <v>73705</v>
      </c>
      <c r="AU31" s="170">
        <v>51</v>
      </c>
      <c r="AV31" s="171">
        <v>1421</v>
      </c>
      <c r="AW31" s="171">
        <v>449</v>
      </c>
      <c r="AX31" s="171">
        <v>1876</v>
      </c>
      <c r="AY31" s="172">
        <v>24415</v>
      </c>
      <c r="AZ31" s="170">
        <v>43</v>
      </c>
      <c r="BA31" s="171">
        <v>868</v>
      </c>
      <c r="BB31" s="171">
        <v>813</v>
      </c>
      <c r="BC31" s="171">
        <v>1689</v>
      </c>
      <c r="BD31" s="172">
        <v>46565</v>
      </c>
      <c r="BE31" s="170">
        <v>44</v>
      </c>
      <c r="BF31" s="171">
        <v>1364</v>
      </c>
      <c r="BG31" s="171">
        <v>1537</v>
      </c>
      <c r="BH31" s="171">
        <v>2910</v>
      </c>
      <c r="BI31" s="172">
        <v>79332</v>
      </c>
      <c r="BJ31" s="170">
        <v>43</v>
      </c>
      <c r="BK31" s="171">
        <v>1580</v>
      </c>
      <c r="BL31" s="171">
        <v>1221</v>
      </c>
      <c r="BM31" s="171">
        <v>2806</v>
      </c>
      <c r="BN31" s="172">
        <v>77457</v>
      </c>
      <c r="BO31" s="170">
        <v>49</v>
      </c>
      <c r="BP31" s="171">
        <v>233</v>
      </c>
      <c r="BQ31" s="171">
        <v>29</v>
      </c>
      <c r="BR31" s="171">
        <v>267</v>
      </c>
      <c r="BS31" s="172">
        <v>2157</v>
      </c>
      <c r="BT31" s="170">
        <v>50</v>
      </c>
      <c r="BU31" s="171">
        <v>205</v>
      </c>
      <c r="BV31" s="171">
        <v>89</v>
      </c>
      <c r="BW31" s="171">
        <v>294</v>
      </c>
      <c r="BX31" s="172">
        <v>2207</v>
      </c>
      <c r="BY31" s="170">
        <v>46</v>
      </c>
      <c r="BZ31" s="171">
        <v>185</v>
      </c>
      <c r="CA31" s="171">
        <v>151</v>
      </c>
      <c r="CB31" s="171">
        <v>338</v>
      </c>
      <c r="CC31" s="172">
        <v>5017</v>
      </c>
      <c r="CD31" s="170">
        <v>48</v>
      </c>
      <c r="CE31" s="171">
        <v>87</v>
      </c>
      <c r="CF31" s="171">
        <v>50</v>
      </c>
      <c r="CG31" s="171">
        <v>137</v>
      </c>
      <c r="CH31" s="172">
        <v>2324</v>
      </c>
      <c r="CI31" s="170">
        <v>45</v>
      </c>
      <c r="CJ31" s="171">
        <v>52</v>
      </c>
      <c r="CK31" s="171">
        <v>53</v>
      </c>
      <c r="CL31" s="171">
        <v>105</v>
      </c>
      <c r="CM31" s="172">
        <v>4105</v>
      </c>
      <c r="CN31" s="170">
        <v>53</v>
      </c>
      <c r="CO31" s="171">
        <v>13</v>
      </c>
      <c r="CP31" s="171">
        <v>10</v>
      </c>
      <c r="CQ31" s="171">
        <v>23</v>
      </c>
      <c r="CR31" s="172">
        <v>241</v>
      </c>
      <c r="CS31" s="170">
        <v>47</v>
      </c>
      <c r="CT31" s="171">
        <v>63</v>
      </c>
      <c r="CU31" s="171">
        <v>21</v>
      </c>
      <c r="CV31" s="171">
        <v>84</v>
      </c>
      <c r="CW31" s="172">
        <v>762</v>
      </c>
      <c r="CX31" s="170">
        <v>56</v>
      </c>
      <c r="CY31" s="171">
        <v>17</v>
      </c>
      <c r="CZ31" s="171">
        <v>60</v>
      </c>
      <c r="DA31" s="171">
        <v>77</v>
      </c>
      <c r="DB31" s="172">
        <v>785</v>
      </c>
      <c r="DC31" s="170"/>
      <c r="DD31" s="171"/>
      <c r="DE31" s="171"/>
      <c r="DF31" s="171"/>
      <c r="DG31" s="172"/>
      <c r="DH31" s="170">
        <v>57</v>
      </c>
      <c r="DI31" s="171">
        <v>15</v>
      </c>
      <c r="DJ31" s="171">
        <v>34</v>
      </c>
      <c r="DK31" s="171">
        <v>49</v>
      </c>
      <c r="DL31" s="172">
        <v>321</v>
      </c>
    </row>
    <row r="32" spans="2:116">
      <c r="B32" s="170">
        <v>43</v>
      </c>
      <c r="C32" s="171">
        <v>782</v>
      </c>
      <c r="D32" s="171">
        <v>1504</v>
      </c>
      <c r="E32" s="171">
        <v>2295</v>
      </c>
      <c r="F32" s="172">
        <v>90416</v>
      </c>
      <c r="G32" s="170">
        <v>45</v>
      </c>
      <c r="H32" s="171">
        <v>324</v>
      </c>
      <c r="I32" s="171">
        <v>496</v>
      </c>
      <c r="J32" s="171">
        <v>822</v>
      </c>
      <c r="K32" s="172">
        <v>16815</v>
      </c>
      <c r="L32" s="170">
        <v>45</v>
      </c>
      <c r="M32" s="171">
        <v>1029</v>
      </c>
      <c r="N32" s="171">
        <v>1321</v>
      </c>
      <c r="O32" s="171">
        <v>2358</v>
      </c>
      <c r="P32" s="172">
        <v>26181</v>
      </c>
      <c r="Q32" s="170">
        <v>47</v>
      </c>
      <c r="R32" s="171">
        <v>530</v>
      </c>
      <c r="S32" s="171">
        <v>645</v>
      </c>
      <c r="T32" s="171">
        <v>1179</v>
      </c>
      <c r="U32" s="172">
        <v>17384</v>
      </c>
      <c r="V32" s="170">
        <v>41</v>
      </c>
      <c r="W32" s="171">
        <v>532</v>
      </c>
      <c r="X32" s="171">
        <v>556</v>
      </c>
      <c r="Y32" s="171">
        <v>1090</v>
      </c>
      <c r="Z32" s="172">
        <v>16488</v>
      </c>
      <c r="AA32" s="170">
        <v>48</v>
      </c>
      <c r="AB32" s="171">
        <v>253</v>
      </c>
      <c r="AC32" s="171">
        <v>257</v>
      </c>
      <c r="AD32" s="171">
        <v>513</v>
      </c>
      <c r="AE32" s="172">
        <v>7536</v>
      </c>
      <c r="AF32" s="170">
        <v>44</v>
      </c>
      <c r="AG32" s="171">
        <v>203</v>
      </c>
      <c r="AH32" s="171">
        <v>83</v>
      </c>
      <c r="AI32" s="171">
        <v>288</v>
      </c>
      <c r="AJ32" s="172">
        <v>4453</v>
      </c>
      <c r="AK32" s="170">
        <v>43</v>
      </c>
      <c r="AL32" s="171">
        <v>266</v>
      </c>
      <c r="AM32" s="171">
        <v>336</v>
      </c>
      <c r="AN32" s="171">
        <v>605</v>
      </c>
      <c r="AO32" s="172">
        <v>17893</v>
      </c>
      <c r="AP32" s="173">
        <v>44</v>
      </c>
      <c r="AQ32" s="171">
        <v>1249</v>
      </c>
      <c r="AR32" s="171">
        <v>2221</v>
      </c>
      <c r="AS32" s="171">
        <v>3476</v>
      </c>
      <c r="AT32" s="174">
        <v>77181</v>
      </c>
      <c r="AU32" s="170">
        <v>50</v>
      </c>
      <c r="AV32" s="171">
        <v>1482</v>
      </c>
      <c r="AW32" s="171">
        <v>417</v>
      </c>
      <c r="AX32" s="171">
        <v>1906</v>
      </c>
      <c r="AY32" s="172">
        <v>26321</v>
      </c>
      <c r="AZ32" s="170">
        <v>42</v>
      </c>
      <c r="BA32" s="171">
        <v>923</v>
      </c>
      <c r="BB32" s="171">
        <v>793</v>
      </c>
      <c r="BC32" s="171">
        <v>1725</v>
      </c>
      <c r="BD32" s="172">
        <v>48290</v>
      </c>
      <c r="BE32" s="170">
        <v>43</v>
      </c>
      <c r="BF32" s="171">
        <v>1407</v>
      </c>
      <c r="BG32" s="171">
        <v>1743</v>
      </c>
      <c r="BH32" s="171">
        <v>3156</v>
      </c>
      <c r="BI32" s="172">
        <v>82488</v>
      </c>
      <c r="BJ32" s="170">
        <v>42</v>
      </c>
      <c r="BK32" s="171">
        <v>1657</v>
      </c>
      <c r="BL32" s="171">
        <v>1204</v>
      </c>
      <c r="BM32" s="171">
        <v>2870</v>
      </c>
      <c r="BN32" s="172">
        <v>80327</v>
      </c>
      <c r="BO32" s="170">
        <v>48</v>
      </c>
      <c r="BP32" s="171">
        <v>145</v>
      </c>
      <c r="BQ32" s="171">
        <v>26</v>
      </c>
      <c r="BR32" s="171">
        <v>173</v>
      </c>
      <c r="BS32" s="172">
        <v>2330</v>
      </c>
      <c r="BT32" s="170">
        <v>49</v>
      </c>
      <c r="BU32" s="171">
        <v>86</v>
      </c>
      <c r="BV32" s="171">
        <v>53</v>
      </c>
      <c r="BW32" s="171">
        <v>140</v>
      </c>
      <c r="BX32" s="172">
        <v>2347</v>
      </c>
      <c r="BY32" s="170">
        <v>45</v>
      </c>
      <c r="BZ32" s="171">
        <v>477</v>
      </c>
      <c r="CA32" s="171">
        <v>418</v>
      </c>
      <c r="CB32" s="171">
        <v>902</v>
      </c>
      <c r="CC32" s="172">
        <v>5919</v>
      </c>
      <c r="CD32" s="170">
        <v>47</v>
      </c>
      <c r="CE32" s="171">
        <v>232</v>
      </c>
      <c r="CF32" s="171">
        <v>101</v>
      </c>
      <c r="CG32" s="171">
        <v>334</v>
      </c>
      <c r="CH32" s="172">
        <v>2658</v>
      </c>
      <c r="CI32" s="170">
        <v>44</v>
      </c>
      <c r="CJ32" s="171">
        <v>42</v>
      </c>
      <c r="CK32" s="171">
        <v>47</v>
      </c>
      <c r="CL32" s="171">
        <v>91</v>
      </c>
      <c r="CM32" s="172">
        <v>4196</v>
      </c>
      <c r="CN32" s="170">
        <v>52</v>
      </c>
      <c r="CO32" s="171">
        <v>16</v>
      </c>
      <c r="CP32" s="171">
        <v>12</v>
      </c>
      <c r="CQ32" s="171">
        <v>28</v>
      </c>
      <c r="CR32" s="172">
        <v>269</v>
      </c>
      <c r="CS32" s="170">
        <v>46</v>
      </c>
      <c r="CT32" s="171">
        <v>62</v>
      </c>
      <c r="CU32" s="171">
        <v>20</v>
      </c>
      <c r="CV32" s="171">
        <v>82</v>
      </c>
      <c r="CW32" s="172">
        <v>844</v>
      </c>
      <c r="CX32" s="170">
        <v>55</v>
      </c>
      <c r="CY32" s="171">
        <v>15</v>
      </c>
      <c r="CZ32" s="171">
        <v>52</v>
      </c>
      <c r="DA32" s="171">
        <v>67</v>
      </c>
      <c r="DB32" s="172">
        <v>852</v>
      </c>
      <c r="DC32" s="170"/>
      <c r="DD32" s="171"/>
      <c r="DE32" s="171"/>
      <c r="DF32" s="171"/>
      <c r="DG32" s="172"/>
      <c r="DH32" s="170">
        <v>56</v>
      </c>
      <c r="DI32" s="171">
        <v>13</v>
      </c>
      <c r="DJ32" s="171">
        <v>55</v>
      </c>
      <c r="DK32" s="171">
        <v>69</v>
      </c>
      <c r="DL32" s="172">
        <v>390</v>
      </c>
    </row>
    <row r="33" spans="2:116">
      <c r="B33" s="170">
        <v>42</v>
      </c>
      <c r="C33" s="171">
        <v>842</v>
      </c>
      <c r="D33" s="171">
        <v>1632</v>
      </c>
      <c r="E33" s="171">
        <v>2482</v>
      </c>
      <c r="F33" s="172">
        <v>92898</v>
      </c>
      <c r="G33" s="170">
        <v>44</v>
      </c>
      <c r="H33" s="171">
        <v>407</v>
      </c>
      <c r="I33" s="171">
        <v>622</v>
      </c>
      <c r="J33" s="171">
        <v>1034</v>
      </c>
      <c r="K33" s="172">
        <v>17849</v>
      </c>
      <c r="L33" s="170">
        <v>44</v>
      </c>
      <c r="M33" s="171">
        <v>626</v>
      </c>
      <c r="N33" s="171">
        <v>732</v>
      </c>
      <c r="O33" s="171">
        <v>1360</v>
      </c>
      <c r="P33" s="172">
        <v>27541</v>
      </c>
      <c r="Q33" s="170">
        <v>46</v>
      </c>
      <c r="R33" s="171">
        <v>528</v>
      </c>
      <c r="S33" s="171">
        <v>551</v>
      </c>
      <c r="T33" s="171">
        <v>1083</v>
      </c>
      <c r="U33" s="172">
        <v>18467</v>
      </c>
      <c r="V33" s="170">
        <v>40</v>
      </c>
      <c r="W33" s="171">
        <v>1100</v>
      </c>
      <c r="X33" s="171">
        <v>606</v>
      </c>
      <c r="Y33" s="171">
        <v>1711</v>
      </c>
      <c r="Z33" s="172">
        <v>18199</v>
      </c>
      <c r="AA33" s="170">
        <v>47</v>
      </c>
      <c r="AB33" s="171">
        <v>329</v>
      </c>
      <c r="AC33" s="171">
        <v>346</v>
      </c>
      <c r="AD33" s="171">
        <v>677</v>
      </c>
      <c r="AE33" s="172">
        <v>8213</v>
      </c>
      <c r="AF33" s="170">
        <v>43</v>
      </c>
      <c r="AG33" s="171">
        <v>141</v>
      </c>
      <c r="AH33" s="171">
        <v>65</v>
      </c>
      <c r="AI33" s="171">
        <v>207</v>
      </c>
      <c r="AJ33" s="172">
        <v>4660</v>
      </c>
      <c r="AK33" s="170">
        <v>42</v>
      </c>
      <c r="AL33" s="171">
        <v>323</v>
      </c>
      <c r="AM33" s="171">
        <v>413</v>
      </c>
      <c r="AN33" s="171">
        <v>736</v>
      </c>
      <c r="AO33" s="172">
        <v>18629</v>
      </c>
      <c r="AP33" s="173">
        <v>43</v>
      </c>
      <c r="AQ33" s="171">
        <v>2647</v>
      </c>
      <c r="AR33" s="171">
        <v>4641</v>
      </c>
      <c r="AS33" s="171">
        <v>7310</v>
      </c>
      <c r="AT33" s="174">
        <v>84491</v>
      </c>
      <c r="AU33" s="170">
        <v>49</v>
      </c>
      <c r="AV33" s="171">
        <v>1395</v>
      </c>
      <c r="AW33" s="171">
        <v>394</v>
      </c>
      <c r="AX33" s="171">
        <v>1795</v>
      </c>
      <c r="AY33" s="172">
        <v>28116</v>
      </c>
      <c r="AZ33" s="170">
        <v>41</v>
      </c>
      <c r="BA33" s="171">
        <v>1073</v>
      </c>
      <c r="BB33" s="171">
        <v>902</v>
      </c>
      <c r="BC33" s="171">
        <v>1982</v>
      </c>
      <c r="BD33" s="172">
        <v>50272</v>
      </c>
      <c r="BE33" s="170">
        <v>42</v>
      </c>
      <c r="BF33" s="171">
        <v>1389</v>
      </c>
      <c r="BG33" s="171">
        <v>1479</v>
      </c>
      <c r="BH33" s="171">
        <v>2874</v>
      </c>
      <c r="BI33" s="172">
        <v>85362</v>
      </c>
      <c r="BJ33" s="170">
        <v>41</v>
      </c>
      <c r="BK33" s="171">
        <v>3264</v>
      </c>
      <c r="BL33" s="171">
        <v>2222</v>
      </c>
      <c r="BM33" s="171">
        <v>5502</v>
      </c>
      <c r="BN33" s="172">
        <v>85829</v>
      </c>
      <c r="BO33" s="170">
        <v>47</v>
      </c>
      <c r="BP33" s="171">
        <v>124</v>
      </c>
      <c r="BQ33" s="171">
        <v>22</v>
      </c>
      <c r="BR33" s="171">
        <v>146</v>
      </c>
      <c r="BS33" s="172">
        <v>2476</v>
      </c>
      <c r="BT33" s="170">
        <v>48</v>
      </c>
      <c r="BU33" s="171">
        <v>166</v>
      </c>
      <c r="BV33" s="171">
        <v>67</v>
      </c>
      <c r="BW33" s="171">
        <v>234</v>
      </c>
      <c r="BX33" s="172">
        <v>2581</v>
      </c>
      <c r="BY33" s="170">
        <v>44</v>
      </c>
      <c r="BZ33" s="171">
        <v>251</v>
      </c>
      <c r="CA33" s="171">
        <v>160</v>
      </c>
      <c r="CB33" s="171">
        <v>413</v>
      </c>
      <c r="CC33" s="172">
        <v>6332</v>
      </c>
      <c r="CD33" s="170">
        <v>46</v>
      </c>
      <c r="CE33" s="171">
        <v>161</v>
      </c>
      <c r="CF33" s="171">
        <v>57</v>
      </c>
      <c r="CG33" s="171">
        <v>219</v>
      </c>
      <c r="CH33" s="172">
        <v>2877</v>
      </c>
      <c r="CI33" s="170">
        <v>43</v>
      </c>
      <c r="CJ33" s="171">
        <v>108</v>
      </c>
      <c r="CK33" s="171">
        <v>141</v>
      </c>
      <c r="CL33" s="171">
        <v>249</v>
      </c>
      <c r="CM33" s="172">
        <v>4445</v>
      </c>
      <c r="CN33" s="170">
        <v>51</v>
      </c>
      <c r="CO33" s="171">
        <v>20</v>
      </c>
      <c r="CP33" s="171">
        <v>12</v>
      </c>
      <c r="CQ33" s="171">
        <v>32</v>
      </c>
      <c r="CR33" s="172">
        <v>301</v>
      </c>
      <c r="CS33" s="170">
        <v>45</v>
      </c>
      <c r="CT33" s="171">
        <v>36</v>
      </c>
      <c r="CU33" s="171">
        <v>9</v>
      </c>
      <c r="CV33" s="171">
        <v>46</v>
      </c>
      <c r="CW33" s="172">
        <v>890</v>
      </c>
      <c r="CX33" s="170">
        <v>54</v>
      </c>
      <c r="CY33" s="171">
        <v>22</v>
      </c>
      <c r="CZ33" s="171">
        <v>57</v>
      </c>
      <c r="DA33" s="171">
        <v>79</v>
      </c>
      <c r="DB33" s="172">
        <v>931</v>
      </c>
      <c r="DC33" s="170"/>
      <c r="DD33" s="171"/>
      <c r="DE33" s="171"/>
      <c r="DF33" s="171"/>
      <c r="DG33" s="172"/>
      <c r="DH33" s="170">
        <v>55</v>
      </c>
      <c r="DI33" s="171">
        <v>15</v>
      </c>
      <c r="DJ33" s="171">
        <v>51</v>
      </c>
      <c r="DK33" s="171">
        <v>68</v>
      </c>
      <c r="DL33" s="172">
        <v>458</v>
      </c>
    </row>
    <row r="34" spans="2:116">
      <c r="B34" s="170">
        <v>41</v>
      </c>
      <c r="C34" s="171">
        <v>708</v>
      </c>
      <c r="D34" s="171">
        <v>1270</v>
      </c>
      <c r="E34" s="171">
        <v>1985</v>
      </c>
      <c r="F34" s="172">
        <v>94883</v>
      </c>
      <c r="G34" s="170">
        <v>43</v>
      </c>
      <c r="H34" s="171">
        <v>1810</v>
      </c>
      <c r="I34" s="171">
        <v>1503</v>
      </c>
      <c r="J34" s="171">
        <v>3331</v>
      </c>
      <c r="K34" s="172">
        <v>21180</v>
      </c>
      <c r="L34" s="170">
        <v>43</v>
      </c>
      <c r="M34" s="171">
        <v>471</v>
      </c>
      <c r="N34" s="171">
        <v>572</v>
      </c>
      <c r="O34" s="171">
        <v>1045</v>
      </c>
      <c r="P34" s="172">
        <v>28586</v>
      </c>
      <c r="Q34" s="170">
        <v>45</v>
      </c>
      <c r="R34" s="171">
        <v>560</v>
      </c>
      <c r="S34" s="171">
        <v>580</v>
      </c>
      <c r="T34" s="171">
        <v>1141</v>
      </c>
      <c r="U34" s="172">
        <v>19608</v>
      </c>
      <c r="V34" s="170">
        <v>39</v>
      </c>
      <c r="W34" s="171">
        <v>216</v>
      </c>
      <c r="X34" s="171">
        <v>237</v>
      </c>
      <c r="Y34" s="171">
        <v>454</v>
      </c>
      <c r="Z34" s="172">
        <v>18653</v>
      </c>
      <c r="AA34" s="170">
        <v>46</v>
      </c>
      <c r="AB34" s="171">
        <v>324</v>
      </c>
      <c r="AC34" s="171">
        <v>345</v>
      </c>
      <c r="AD34" s="171">
        <v>675</v>
      </c>
      <c r="AE34" s="172">
        <v>8888</v>
      </c>
      <c r="AF34" s="170">
        <v>42</v>
      </c>
      <c r="AG34" s="171">
        <v>808</v>
      </c>
      <c r="AH34" s="171">
        <v>298</v>
      </c>
      <c r="AI34" s="171">
        <v>1117</v>
      </c>
      <c r="AJ34" s="172">
        <v>5777</v>
      </c>
      <c r="AK34" s="170">
        <v>41</v>
      </c>
      <c r="AL34" s="171">
        <v>1401</v>
      </c>
      <c r="AM34" s="171">
        <v>1039</v>
      </c>
      <c r="AN34" s="171">
        <v>2467</v>
      </c>
      <c r="AO34" s="172">
        <v>21096</v>
      </c>
      <c r="AP34" s="173">
        <v>42</v>
      </c>
      <c r="AQ34" s="171">
        <v>1464</v>
      </c>
      <c r="AR34" s="171">
        <v>2209</v>
      </c>
      <c r="AS34" s="171">
        <v>3683</v>
      </c>
      <c r="AT34" s="174">
        <v>88174</v>
      </c>
      <c r="AU34" s="170">
        <v>48</v>
      </c>
      <c r="AV34" s="171">
        <v>1746</v>
      </c>
      <c r="AW34" s="171">
        <v>492</v>
      </c>
      <c r="AX34" s="171">
        <v>2245</v>
      </c>
      <c r="AY34" s="172">
        <v>30361</v>
      </c>
      <c r="AZ34" s="170">
        <v>40</v>
      </c>
      <c r="BA34" s="171">
        <v>890</v>
      </c>
      <c r="BB34" s="171">
        <v>723</v>
      </c>
      <c r="BC34" s="171">
        <v>1618</v>
      </c>
      <c r="BD34" s="172">
        <v>51890</v>
      </c>
      <c r="BE34" s="170">
        <v>41</v>
      </c>
      <c r="BF34" s="171">
        <v>1374</v>
      </c>
      <c r="BG34" s="171">
        <v>1549</v>
      </c>
      <c r="BH34" s="171">
        <v>2934</v>
      </c>
      <c r="BI34" s="172">
        <v>88296</v>
      </c>
      <c r="BJ34" s="170">
        <v>40</v>
      </c>
      <c r="BK34" s="171">
        <v>1541</v>
      </c>
      <c r="BL34" s="171">
        <v>1009</v>
      </c>
      <c r="BM34" s="171">
        <v>2554</v>
      </c>
      <c r="BN34" s="172">
        <v>88383</v>
      </c>
      <c r="BO34" s="170">
        <v>46</v>
      </c>
      <c r="BP34" s="171">
        <v>145</v>
      </c>
      <c r="BQ34" s="171">
        <v>18</v>
      </c>
      <c r="BR34" s="171">
        <v>164</v>
      </c>
      <c r="BS34" s="172">
        <v>2640</v>
      </c>
      <c r="BT34" s="170">
        <v>47</v>
      </c>
      <c r="BU34" s="171">
        <v>134</v>
      </c>
      <c r="BV34" s="171">
        <v>43</v>
      </c>
      <c r="BW34" s="171">
        <v>177</v>
      </c>
      <c r="BX34" s="172">
        <v>2758</v>
      </c>
      <c r="BY34" s="170">
        <v>43</v>
      </c>
      <c r="BZ34" s="171">
        <v>422</v>
      </c>
      <c r="CA34" s="171">
        <v>210</v>
      </c>
      <c r="CB34" s="171">
        <v>634</v>
      </c>
      <c r="CC34" s="172">
        <v>6966</v>
      </c>
      <c r="CD34" s="170">
        <v>45</v>
      </c>
      <c r="CE34" s="171">
        <v>198</v>
      </c>
      <c r="CF34" s="171">
        <v>77</v>
      </c>
      <c r="CG34" s="171">
        <v>276</v>
      </c>
      <c r="CH34" s="172">
        <v>3153</v>
      </c>
      <c r="CI34" s="170">
        <v>42</v>
      </c>
      <c r="CJ34" s="171">
        <v>58</v>
      </c>
      <c r="CK34" s="171">
        <v>63</v>
      </c>
      <c r="CL34" s="171">
        <v>121</v>
      </c>
      <c r="CM34" s="172">
        <v>4566</v>
      </c>
      <c r="CN34" s="170">
        <v>49</v>
      </c>
      <c r="CO34" s="171">
        <v>15</v>
      </c>
      <c r="CP34" s="171">
        <v>12</v>
      </c>
      <c r="CQ34" s="171">
        <v>27</v>
      </c>
      <c r="CR34" s="172">
        <v>328</v>
      </c>
      <c r="CS34" s="170">
        <v>44</v>
      </c>
      <c r="CT34" s="171">
        <v>61</v>
      </c>
      <c r="CU34" s="171">
        <v>15</v>
      </c>
      <c r="CV34" s="171">
        <v>77</v>
      </c>
      <c r="CW34" s="172">
        <v>967</v>
      </c>
      <c r="CX34" s="170">
        <v>53</v>
      </c>
      <c r="CY34" s="171">
        <v>19</v>
      </c>
      <c r="CZ34" s="171">
        <v>56</v>
      </c>
      <c r="DA34" s="171">
        <v>76</v>
      </c>
      <c r="DB34" s="172">
        <v>1007</v>
      </c>
      <c r="DC34" s="170"/>
      <c r="DD34" s="171"/>
      <c r="DE34" s="171"/>
      <c r="DF34" s="171"/>
      <c r="DG34" s="172"/>
      <c r="DH34" s="170">
        <v>53</v>
      </c>
      <c r="DI34" s="171">
        <v>20</v>
      </c>
      <c r="DJ34" s="171">
        <v>64</v>
      </c>
      <c r="DK34" s="171">
        <v>84</v>
      </c>
      <c r="DL34" s="172">
        <v>542</v>
      </c>
    </row>
    <row r="35" spans="2:116">
      <c r="B35" s="170">
        <v>40</v>
      </c>
      <c r="C35" s="171">
        <v>1605</v>
      </c>
      <c r="D35" s="171">
        <v>2632</v>
      </c>
      <c r="E35" s="171">
        <v>4250</v>
      </c>
      <c r="F35" s="172">
        <v>99133</v>
      </c>
      <c r="G35" s="170">
        <v>42</v>
      </c>
      <c r="H35" s="171">
        <v>459</v>
      </c>
      <c r="I35" s="171">
        <v>575</v>
      </c>
      <c r="J35" s="171">
        <v>1038</v>
      </c>
      <c r="K35" s="172">
        <v>22218</v>
      </c>
      <c r="L35" s="170">
        <v>42</v>
      </c>
      <c r="M35" s="171">
        <v>684</v>
      </c>
      <c r="N35" s="171">
        <v>706</v>
      </c>
      <c r="O35" s="171">
        <v>1393</v>
      </c>
      <c r="P35" s="172">
        <v>29979</v>
      </c>
      <c r="Q35" s="170">
        <v>44</v>
      </c>
      <c r="R35" s="171">
        <v>515</v>
      </c>
      <c r="S35" s="171">
        <v>604</v>
      </c>
      <c r="T35" s="171">
        <v>1119</v>
      </c>
      <c r="U35" s="172">
        <v>20727</v>
      </c>
      <c r="V35" s="170">
        <v>38</v>
      </c>
      <c r="W35" s="171">
        <v>496</v>
      </c>
      <c r="X35" s="171">
        <v>470</v>
      </c>
      <c r="Y35" s="171">
        <v>971</v>
      </c>
      <c r="Z35" s="172">
        <v>19624</v>
      </c>
      <c r="AA35" s="170">
        <v>45</v>
      </c>
      <c r="AB35" s="171">
        <v>324</v>
      </c>
      <c r="AC35" s="171">
        <v>310</v>
      </c>
      <c r="AD35" s="171">
        <v>634</v>
      </c>
      <c r="AE35" s="172">
        <v>9522</v>
      </c>
      <c r="AF35" s="170">
        <v>41</v>
      </c>
      <c r="AG35" s="171">
        <v>122</v>
      </c>
      <c r="AH35" s="171">
        <v>50</v>
      </c>
      <c r="AI35" s="171">
        <v>173</v>
      </c>
      <c r="AJ35" s="172">
        <v>5950</v>
      </c>
      <c r="AK35" s="170">
        <v>40</v>
      </c>
      <c r="AL35" s="171">
        <v>308</v>
      </c>
      <c r="AM35" s="171">
        <v>349</v>
      </c>
      <c r="AN35" s="171">
        <v>661</v>
      </c>
      <c r="AO35" s="172">
        <v>21757</v>
      </c>
      <c r="AP35" s="173">
        <v>41</v>
      </c>
      <c r="AQ35" s="171">
        <v>4083</v>
      </c>
      <c r="AR35" s="171">
        <v>4080</v>
      </c>
      <c r="AS35" s="171">
        <v>8193</v>
      </c>
      <c r="AT35" s="174">
        <v>96367</v>
      </c>
      <c r="AU35" s="170">
        <v>47</v>
      </c>
      <c r="AV35" s="171">
        <v>1433</v>
      </c>
      <c r="AW35" s="171">
        <v>458</v>
      </c>
      <c r="AX35" s="171">
        <v>1895</v>
      </c>
      <c r="AY35" s="172">
        <v>32256</v>
      </c>
      <c r="AZ35" s="170">
        <v>39</v>
      </c>
      <c r="BA35" s="171">
        <v>1988</v>
      </c>
      <c r="BB35" s="171">
        <v>1664</v>
      </c>
      <c r="BC35" s="171">
        <v>3663</v>
      </c>
      <c r="BD35" s="172">
        <v>55553</v>
      </c>
      <c r="BE35" s="170">
        <v>40</v>
      </c>
      <c r="BF35" s="171">
        <v>1468</v>
      </c>
      <c r="BG35" s="171">
        <v>1470</v>
      </c>
      <c r="BH35" s="171">
        <v>2949</v>
      </c>
      <c r="BI35" s="172">
        <v>91245</v>
      </c>
      <c r="BJ35" s="170">
        <v>39</v>
      </c>
      <c r="BK35" s="171">
        <v>2940</v>
      </c>
      <c r="BL35" s="171">
        <v>1252</v>
      </c>
      <c r="BM35" s="171">
        <v>4210</v>
      </c>
      <c r="BN35" s="172">
        <v>92593</v>
      </c>
      <c r="BO35" s="170">
        <v>45</v>
      </c>
      <c r="BP35" s="171">
        <v>142</v>
      </c>
      <c r="BQ35" s="171">
        <v>22</v>
      </c>
      <c r="BR35" s="171">
        <v>165</v>
      </c>
      <c r="BS35" s="172">
        <v>2805</v>
      </c>
      <c r="BT35" s="170">
        <v>46</v>
      </c>
      <c r="BU35" s="171">
        <v>154</v>
      </c>
      <c r="BV35" s="171">
        <v>53</v>
      </c>
      <c r="BW35" s="171">
        <v>207</v>
      </c>
      <c r="BX35" s="172">
        <v>2965</v>
      </c>
      <c r="BY35" s="170">
        <v>42</v>
      </c>
      <c r="BZ35" s="171">
        <v>506</v>
      </c>
      <c r="CA35" s="171">
        <v>336</v>
      </c>
      <c r="CB35" s="171">
        <v>848</v>
      </c>
      <c r="CC35" s="172">
        <v>7814</v>
      </c>
      <c r="CD35" s="170">
        <v>44</v>
      </c>
      <c r="CE35" s="171">
        <v>183</v>
      </c>
      <c r="CF35" s="171">
        <v>78</v>
      </c>
      <c r="CG35" s="171">
        <v>262</v>
      </c>
      <c r="CH35" s="172">
        <v>3415</v>
      </c>
      <c r="CI35" s="175">
        <v>41</v>
      </c>
      <c r="CJ35" s="176">
        <v>153</v>
      </c>
      <c r="CK35" s="176">
        <v>165</v>
      </c>
      <c r="CL35" s="176">
        <v>321</v>
      </c>
      <c r="CM35" s="177">
        <v>4887</v>
      </c>
      <c r="CN35" s="175">
        <v>48</v>
      </c>
      <c r="CO35" s="176">
        <v>25</v>
      </c>
      <c r="CP35" s="176">
        <v>26</v>
      </c>
      <c r="CQ35" s="176">
        <v>52</v>
      </c>
      <c r="CR35" s="177">
        <v>380</v>
      </c>
      <c r="CS35" s="175">
        <v>43</v>
      </c>
      <c r="CT35" s="176">
        <v>62</v>
      </c>
      <c r="CU35" s="176">
        <v>14</v>
      </c>
      <c r="CV35" s="176">
        <v>76</v>
      </c>
      <c r="CW35" s="177">
        <v>1043</v>
      </c>
      <c r="CX35" s="175">
        <v>52</v>
      </c>
      <c r="CY35" s="176">
        <v>21</v>
      </c>
      <c r="CZ35" s="176">
        <v>75</v>
      </c>
      <c r="DA35" s="176">
        <v>96</v>
      </c>
      <c r="DB35" s="177">
        <v>1103</v>
      </c>
      <c r="DC35" s="175"/>
      <c r="DD35" s="176"/>
      <c r="DE35" s="176"/>
      <c r="DF35" s="176"/>
      <c r="DG35" s="177"/>
      <c r="DH35" s="175">
        <v>52</v>
      </c>
      <c r="DI35" s="176">
        <v>18</v>
      </c>
      <c r="DJ35" s="176">
        <v>59</v>
      </c>
      <c r="DK35" s="176">
        <v>78</v>
      </c>
      <c r="DL35" s="177">
        <v>620</v>
      </c>
    </row>
    <row r="36" spans="2:116">
      <c r="B36" s="170">
        <v>39</v>
      </c>
      <c r="C36" s="171">
        <v>1916</v>
      </c>
      <c r="D36" s="171">
        <v>1977</v>
      </c>
      <c r="E36" s="171">
        <v>3919</v>
      </c>
      <c r="F36" s="172">
        <v>103052</v>
      </c>
      <c r="G36" s="170">
        <v>41</v>
      </c>
      <c r="H36" s="171">
        <v>360</v>
      </c>
      <c r="I36" s="171">
        <v>426</v>
      </c>
      <c r="J36" s="171">
        <v>789</v>
      </c>
      <c r="K36" s="172">
        <v>23007</v>
      </c>
      <c r="L36" s="170">
        <v>41</v>
      </c>
      <c r="M36" s="171">
        <v>1101</v>
      </c>
      <c r="N36" s="171">
        <v>1060</v>
      </c>
      <c r="O36" s="171">
        <v>2170</v>
      </c>
      <c r="P36" s="172">
        <v>32149</v>
      </c>
      <c r="Q36" s="170">
        <v>43</v>
      </c>
      <c r="R36" s="171">
        <v>604</v>
      </c>
      <c r="S36" s="171">
        <v>634</v>
      </c>
      <c r="T36" s="171">
        <v>1244</v>
      </c>
      <c r="U36" s="172">
        <v>21971</v>
      </c>
      <c r="V36" s="170">
        <v>37</v>
      </c>
      <c r="W36" s="171">
        <v>136</v>
      </c>
      <c r="X36" s="171">
        <v>169</v>
      </c>
      <c r="Y36" s="171">
        <v>306</v>
      </c>
      <c r="Z36" s="172">
        <v>19930</v>
      </c>
      <c r="AA36" s="170">
        <v>44</v>
      </c>
      <c r="AB36" s="171">
        <v>1040</v>
      </c>
      <c r="AC36" s="171">
        <v>848</v>
      </c>
      <c r="AD36" s="171">
        <v>1895</v>
      </c>
      <c r="AE36" s="172">
        <v>11417</v>
      </c>
      <c r="AF36" s="170">
        <v>40</v>
      </c>
      <c r="AG36" s="171">
        <v>159</v>
      </c>
      <c r="AH36" s="171">
        <v>81</v>
      </c>
      <c r="AI36" s="171">
        <v>240</v>
      </c>
      <c r="AJ36" s="172">
        <v>6190</v>
      </c>
      <c r="AK36" s="170">
        <v>39</v>
      </c>
      <c r="AL36" s="171">
        <v>378</v>
      </c>
      <c r="AM36" s="171">
        <v>349</v>
      </c>
      <c r="AN36" s="171">
        <v>729</v>
      </c>
      <c r="AO36" s="172">
        <v>22486</v>
      </c>
      <c r="AP36" s="173">
        <v>40</v>
      </c>
      <c r="AQ36" s="171">
        <v>4631</v>
      </c>
      <c r="AR36" s="171">
        <v>5908</v>
      </c>
      <c r="AS36" s="171">
        <v>10581</v>
      </c>
      <c r="AT36" s="174">
        <v>106948</v>
      </c>
      <c r="AU36" s="170">
        <v>46</v>
      </c>
      <c r="AV36" s="171">
        <v>1685</v>
      </c>
      <c r="AW36" s="171">
        <v>520</v>
      </c>
      <c r="AX36" s="171">
        <v>2214</v>
      </c>
      <c r="AY36" s="172">
        <v>34470</v>
      </c>
      <c r="AZ36" s="170">
        <v>38</v>
      </c>
      <c r="BA36" s="171">
        <v>1687</v>
      </c>
      <c r="BB36" s="171">
        <v>894</v>
      </c>
      <c r="BC36" s="171">
        <v>2589</v>
      </c>
      <c r="BD36" s="172">
        <v>58142</v>
      </c>
      <c r="BE36" s="170">
        <v>39</v>
      </c>
      <c r="BF36" s="171">
        <v>1294</v>
      </c>
      <c r="BG36" s="171">
        <v>1240</v>
      </c>
      <c r="BH36" s="171">
        <v>2537</v>
      </c>
      <c r="BI36" s="172">
        <v>93782</v>
      </c>
      <c r="BJ36" s="170">
        <v>38</v>
      </c>
      <c r="BK36" s="171">
        <v>1554</v>
      </c>
      <c r="BL36" s="171">
        <v>927</v>
      </c>
      <c r="BM36" s="171">
        <v>2488</v>
      </c>
      <c r="BN36" s="172">
        <v>95081</v>
      </c>
      <c r="BO36" s="170">
        <v>44</v>
      </c>
      <c r="BP36" s="171">
        <v>165</v>
      </c>
      <c r="BQ36" s="171">
        <v>45</v>
      </c>
      <c r="BR36" s="171">
        <v>211</v>
      </c>
      <c r="BS36" s="172">
        <v>3016</v>
      </c>
      <c r="BT36" s="170">
        <v>45</v>
      </c>
      <c r="BU36" s="171">
        <v>213</v>
      </c>
      <c r="BV36" s="171">
        <v>70</v>
      </c>
      <c r="BW36" s="171">
        <v>284</v>
      </c>
      <c r="BX36" s="172">
        <v>3249</v>
      </c>
      <c r="BY36" s="170">
        <v>41</v>
      </c>
      <c r="BZ36" s="171">
        <v>609</v>
      </c>
      <c r="CA36" s="171">
        <v>232</v>
      </c>
      <c r="CB36" s="171">
        <v>844</v>
      </c>
      <c r="CC36" s="172">
        <v>8658</v>
      </c>
      <c r="CD36" s="170">
        <v>43</v>
      </c>
      <c r="CE36" s="171">
        <v>867</v>
      </c>
      <c r="CF36" s="171">
        <v>232</v>
      </c>
      <c r="CG36" s="171">
        <v>1115</v>
      </c>
      <c r="CH36" s="172">
        <v>4530</v>
      </c>
      <c r="CI36" s="175">
        <v>40</v>
      </c>
      <c r="CJ36" s="176">
        <v>68</v>
      </c>
      <c r="CK36" s="176">
        <v>69</v>
      </c>
      <c r="CL36" s="176">
        <v>140</v>
      </c>
      <c r="CM36" s="177">
        <v>5027</v>
      </c>
      <c r="CN36" s="175">
        <v>47</v>
      </c>
      <c r="CO36" s="176">
        <v>15</v>
      </c>
      <c r="CP36" s="176">
        <v>10</v>
      </c>
      <c r="CQ36" s="176">
        <v>25</v>
      </c>
      <c r="CR36" s="177">
        <v>405</v>
      </c>
      <c r="CS36" s="175">
        <v>42</v>
      </c>
      <c r="CT36" s="176">
        <v>40</v>
      </c>
      <c r="CU36" s="176">
        <v>8</v>
      </c>
      <c r="CV36" s="176">
        <v>48</v>
      </c>
      <c r="CW36" s="177">
        <v>1091</v>
      </c>
      <c r="CX36" s="175">
        <v>51</v>
      </c>
      <c r="CY36" s="176">
        <v>22</v>
      </c>
      <c r="CZ36" s="176">
        <v>83</v>
      </c>
      <c r="DA36" s="176">
        <v>105</v>
      </c>
      <c r="DB36" s="177">
        <v>1208</v>
      </c>
      <c r="DC36" s="175"/>
      <c r="DD36" s="176"/>
      <c r="DE36" s="176"/>
      <c r="DF36" s="176"/>
      <c r="DG36" s="177"/>
      <c r="DH36" s="175">
        <v>50</v>
      </c>
      <c r="DI36" s="176">
        <v>30</v>
      </c>
      <c r="DJ36" s="176">
        <v>99</v>
      </c>
      <c r="DK36" s="176">
        <v>129</v>
      </c>
      <c r="DL36" s="177">
        <v>749</v>
      </c>
    </row>
    <row r="37" spans="2:116">
      <c r="B37" s="170">
        <v>38</v>
      </c>
      <c r="C37" s="171">
        <v>1301</v>
      </c>
      <c r="D37" s="171">
        <v>1346</v>
      </c>
      <c r="E37" s="171">
        <v>2666</v>
      </c>
      <c r="F37" s="172">
        <v>105718</v>
      </c>
      <c r="G37" s="170">
        <v>40</v>
      </c>
      <c r="H37" s="171">
        <v>379</v>
      </c>
      <c r="I37" s="171">
        <v>480</v>
      </c>
      <c r="J37" s="171">
        <v>863</v>
      </c>
      <c r="K37" s="172">
        <v>23870</v>
      </c>
      <c r="L37" s="170">
        <v>40</v>
      </c>
      <c r="M37" s="171">
        <v>2755</v>
      </c>
      <c r="N37" s="171">
        <v>1506</v>
      </c>
      <c r="O37" s="171">
        <v>4283</v>
      </c>
      <c r="P37" s="172">
        <v>36432</v>
      </c>
      <c r="Q37" s="170">
        <v>42</v>
      </c>
      <c r="R37" s="171">
        <v>533</v>
      </c>
      <c r="S37" s="171">
        <v>604</v>
      </c>
      <c r="T37" s="171">
        <v>1140</v>
      </c>
      <c r="U37" s="172">
        <v>23111</v>
      </c>
      <c r="V37" s="170">
        <v>36</v>
      </c>
      <c r="W37" s="171">
        <v>176</v>
      </c>
      <c r="X37" s="171">
        <v>145</v>
      </c>
      <c r="Y37" s="171">
        <v>324</v>
      </c>
      <c r="Z37" s="172">
        <v>20254</v>
      </c>
      <c r="AA37" s="170">
        <v>43</v>
      </c>
      <c r="AB37" s="171">
        <v>423</v>
      </c>
      <c r="AC37" s="171">
        <v>388</v>
      </c>
      <c r="AD37" s="171">
        <v>813</v>
      </c>
      <c r="AE37" s="172">
        <v>12230</v>
      </c>
      <c r="AF37" s="170">
        <v>39</v>
      </c>
      <c r="AG37" s="171">
        <v>275</v>
      </c>
      <c r="AH37" s="171">
        <v>124</v>
      </c>
      <c r="AI37" s="171">
        <v>404</v>
      </c>
      <c r="AJ37" s="172">
        <v>6594</v>
      </c>
      <c r="AK37" s="170">
        <v>38</v>
      </c>
      <c r="AL37" s="171">
        <v>263</v>
      </c>
      <c r="AM37" s="171">
        <v>284</v>
      </c>
      <c r="AN37" s="171">
        <v>549</v>
      </c>
      <c r="AO37" s="172">
        <v>23035</v>
      </c>
      <c r="AP37" s="173">
        <v>39</v>
      </c>
      <c r="AQ37" s="171">
        <v>1203</v>
      </c>
      <c r="AR37" s="171">
        <v>1824</v>
      </c>
      <c r="AS37" s="171">
        <v>3039</v>
      </c>
      <c r="AT37" s="174">
        <v>109987</v>
      </c>
      <c r="AU37" s="170">
        <v>45</v>
      </c>
      <c r="AV37" s="171">
        <v>1569</v>
      </c>
      <c r="AW37" s="171">
        <v>433</v>
      </c>
      <c r="AX37" s="171">
        <v>2010</v>
      </c>
      <c r="AY37" s="172">
        <v>36480</v>
      </c>
      <c r="AZ37" s="170">
        <v>37</v>
      </c>
      <c r="BA37" s="171">
        <v>751</v>
      </c>
      <c r="BB37" s="171">
        <v>646</v>
      </c>
      <c r="BC37" s="171">
        <v>1401</v>
      </c>
      <c r="BD37" s="172">
        <v>59543</v>
      </c>
      <c r="BE37" s="170">
        <v>38</v>
      </c>
      <c r="BF37" s="171">
        <v>3214</v>
      </c>
      <c r="BG37" s="171">
        <v>2765</v>
      </c>
      <c r="BH37" s="171">
        <v>5996</v>
      </c>
      <c r="BI37" s="172">
        <v>99778</v>
      </c>
      <c r="BJ37" s="170">
        <v>37</v>
      </c>
      <c r="BK37" s="171">
        <v>1274</v>
      </c>
      <c r="BL37" s="171">
        <v>679</v>
      </c>
      <c r="BM37" s="171">
        <v>1956</v>
      </c>
      <c r="BN37" s="172">
        <v>97037</v>
      </c>
      <c r="BO37" s="170">
        <v>43</v>
      </c>
      <c r="BP37" s="171">
        <v>367</v>
      </c>
      <c r="BQ37" s="171">
        <v>60</v>
      </c>
      <c r="BR37" s="171">
        <v>427</v>
      </c>
      <c r="BS37" s="172">
        <v>3443</v>
      </c>
      <c r="BT37" s="170">
        <v>44</v>
      </c>
      <c r="BU37" s="171">
        <v>124</v>
      </c>
      <c r="BV37" s="171">
        <v>67</v>
      </c>
      <c r="BW37" s="171">
        <v>193</v>
      </c>
      <c r="BX37" s="172">
        <v>3442</v>
      </c>
      <c r="BY37" s="170">
        <v>40</v>
      </c>
      <c r="BZ37" s="171">
        <v>174</v>
      </c>
      <c r="CA37" s="171">
        <v>115</v>
      </c>
      <c r="CB37" s="171">
        <v>289</v>
      </c>
      <c r="CC37" s="172">
        <v>8947</v>
      </c>
      <c r="CD37" s="170">
        <v>42</v>
      </c>
      <c r="CE37" s="171">
        <v>204</v>
      </c>
      <c r="CF37" s="171">
        <v>55</v>
      </c>
      <c r="CG37" s="171">
        <v>260</v>
      </c>
      <c r="CH37" s="172">
        <v>4790</v>
      </c>
      <c r="CI37" s="175">
        <v>39</v>
      </c>
      <c r="CJ37" s="176">
        <v>282</v>
      </c>
      <c r="CK37" s="176">
        <v>282</v>
      </c>
      <c r="CL37" s="176">
        <v>565</v>
      </c>
      <c r="CM37" s="177">
        <v>5592</v>
      </c>
      <c r="CN37" s="175">
        <v>46</v>
      </c>
      <c r="CO37" s="176">
        <v>120</v>
      </c>
      <c r="CP37" s="176">
        <v>54</v>
      </c>
      <c r="CQ37" s="176">
        <v>175</v>
      </c>
      <c r="CR37" s="177">
        <v>580</v>
      </c>
      <c r="CS37" s="175">
        <v>41</v>
      </c>
      <c r="CT37" s="176">
        <v>51</v>
      </c>
      <c r="CU37" s="176">
        <v>9</v>
      </c>
      <c r="CV37" s="176">
        <v>60</v>
      </c>
      <c r="CW37" s="177">
        <v>1151</v>
      </c>
      <c r="CX37" s="175">
        <v>50</v>
      </c>
      <c r="CY37" s="176">
        <v>26</v>
      </c>
      <c r="CZ37" s="176">
        <v>66</v>
      </c>
      <c r="DA37" s="176">
        <v>92</v>
      </c>
      <c r="DB37" s="177">
        <v>1300</v>
      </c>
      <c r="DC37" s="175"/>
      <c r="DD37" s="176"/>
      <c r="DE37" s="176"/>
      <c r="DF37" s="176"/>
      <c r="DG37" s="177"/>
      <c r="DH37" s="175">
        <v>49</v>
      </c>
      <c r="DI37" s="176">
        <v>27</v>
      </c>
      <c r="DJ37" s="176">
        <v>70</v>
      </c>
      <c r="DK37" s="176">
        <v>97</v>
      </c>
      <c r="DL37" s="177">
        <v>846</v>
      </c>
    </row>
    <row r="38" spans="2:116">
      <c r="B38" s="170">
        <v>37</v>
      </c>
      <c r="C38" s="171">
        <v>838</v>
      </c>
      <c r="D38" s="171">
        <v>892</v>
      </c>
      <c r="E38" s="171">
        <v>1735</v>
      </c>
      <c r="F38" s="172">
        <v>107453</v>
      </c>
      <c r="G38" s="170">
        <v>39</v>
      </c>
      <c r="H38" s="171">
        <v>431</v>
      </c>
      <c r="I38" s="171">
        <v>385</v>
      </c>
      <c r="J38" s="171">
        <v>820</v>
      </c>
      <c r="K38" s="172">
        <v>24690</v>
      </c>
      <c r="L38" s="170">
        <v>39</v>
      </c>
      <c r="M38" s="171">
        <v>421</v>
      </c>
      <c r="N38" s="171">
        <v>357</v>
      </c>
      <c r="O38" s="171">
        <v>780</v>
      </c>
      <c r="P38" s="172">
        <v>37212</v>
      </c>
      <c r="Q38" s="170">
        <v>41</v>
      </c>
      <c r="R38" s="171">
        <v>1263</v>
      </c>
      <c r="S38" s="171">
        <v>1169</v>
      </c>
      <c r="T38" s="171">
        <v>2440</v>
      </c>
      <c r="U38" s="172">
        <v>25551</v>
      </c>
      <c r="V38" s="170">
        <v>35</v>
      </c>
      <c r="W38" s="171">
        <v>345</v>
      </c>
      <c r="X38" s="171">
        <v>252</v>
      </c>
      <c r="Y38" s="171">
        <v>602</v>
      </c>
      <c r="Z38" s="172">
        <v>20856</v>
      </c>
      <c r="AA38" s="170">
        <v>42</v>
      </c>
      <c r="AB38" s="171">
        <v>963</v>
      </c>
      <c r="AC38" s="171">
        <v>570</v>
      </c>
      <c r="AD38" s="171">
        <v>1541</v>
      </c>
      <c r="AE38" s="172">
        <v>13771</v>
      </c>
      <c r="AF38" s="170">
        <v>38</v>
      </c>
      <c r="AG38" s="171">
        <v>59</v>
      </c>
      <c r="AH38" s="171">
        <v>24</v>
      </c>
      <c r="AI38" s="171">
        <v>84</v>
      </c>
      <c r="AJ38" s="172">
        <v>6678</v>
      </c>
      <c r="AK38" s="170">
        <v>37</v>
      </c>
      <c r="AL38" s="171">
        <v>916</v>
      </c>
      <c r="AM38" s="171">
        <v>856</v>
      </c>
      <c r="AN38" s="171">
        <v>1783</v>
      </c>
      <c r="AO38" s="172">
        <v>24818</v>
      </c>
      <c r="AP38" s="173">
        <v>38</v>
      </c>
      <c r="AQ38" s="171">
        <v>1352</v>
      </c>
      <c r="AR38" s="171">
        <v>1747</v>
      </c>
      <c r="AS38" s="171">
        <v>3109</v>
      </c>
      <c r="AT38" s="174">
        <v>113096</v>
      </c>
      <c r="AU38" s="170">
        <v>44</v>
      </c>
      <c r="AV38" s="171">
        <v>1643</v>
      </c>
      <c r="AW38" s="171">
        <v>440</v>
      </c>
      <c r="AX38" s="171">
        <v>2091</v>
      </c>
      <c r="AY38" s="172">
        <v>38571</v>
      </c>
      <c r="AZ38" s="170">
        <v>36</v>
      </c>
      <c r="BA38" s="171">
        <v>1154</v>
      </c>
      <c r="BB38" s="171">
        <v>633</v>
      </c>
      <c r="BC38" s="171">
        <v>1794</v>
      </c>
      <c r="BD38" s="172">
        <v>61337</v>
      </c>
      <c r="BE38" s="170">
        <v>37</v>
      </c>
      <c r="BF38" s="171">
        <v>1315</v>
      </c>
      <c r="BG38" s="171">
        <v>1149</v>
      </c>
      <c r="BH38" s="171">
        <v>2474</v>
      </c>
      <c r="BI38" s="172">
        <v>102252</v>
      </c>
      <c r="BJ38" s="170">
        <v>36</v>
      </c>
      <c r="BK38" s="171">
        <v>3554</v>
      </c>
      <c r="BL38" s="171">
        <v>1725</v>
      </c>
      <c r="BM38" s="171">
        <v>5296</v>
      </c>
      <c r="BN38" s="172">
        <v>102333</v>
      </c>
      <c r="BO38" s="170">
        <v>42</v>
      </c>
      <c r="BP38" s="171">
        <v>386</v>
      </c>
      <c r="BQ38" s="171">
        <v>47</v>
      </c>
      <c r="BR38" s="171">
        <v>437</v>
      </c>
      <c r="BS38" s="172">
        <v>3880</v>
      </c>
      <c r="BT38" s="170">
        <v>43</v>
      </c>
      <c r="BU38" s="171">
        <v>529</v>
      </c>
      <c r="BV38" s="171">
        <v>125</v>
      </c>
      <c r="BW38" s="171">
        <v>657</v>
      </c>
      <c r="BX38" s="172">
        <v>4099</v>
      </c>
      <c r="BY38" s="170">
        <v>39</v>
      </c>
      <c r="BZ38" s="171">
        <v>219</v>
      </c>
      <c r="CA38" s="171">
        <v>133</v>
      </c>
      <c r="CB38" s="171">
        <v>353</v>
      </c>
      <c r="CC38" s="172">
        <v>9300</v>
      </c>
      <c r="CD38" s="170">
        <v>41</v>
      </c>
      <c r="CE38" s="171">
        <v>146</v>
      </c>
      <c r="CF38" s="171">
        <v>53</v>
      </c>
      <c r="CG38" s="171">
        <v>200</v>
      </c>
      <c r="CH38" s="172">
        <v>4990</v>
      </c>
      <c r="CI38" s="175">
        <v>38</v>
      </c>
      <c r="CJ38" s="176">
        <v>381</v>
      </c>
      <c r="CK38" s="176">
        <v>219</v>
      </c>
      <c r="CL38" s="176">
        <v>604</v>
      </c>
      <c r="CM38" s="177">
        <v>6196</v>
      </c>
      <c r="CN38" s="175">
        <v>45</v>
      </c>
      <c r="CO38" s="176">
        <v>49</v>
      </c>
      <c r="CP38" s="176">
        <v>30</v>
      </c>
      <c r="CQ38" s="176">
        <v>79</v>
      </c>
      <c r="CR38" s="177">
        <v>659</v>
      </c>
      <c r="CS38" s="175">
        <v>40</v>
      </c>
      <c r="CT38" s="176">
        <v>203</v>
      </c>
      <c r="CU38" s="176">
        <v>23</v>
      </c>
      <c r="CV38" s="176">
        <v>233</v>
      </c>
      <c r="CW38" s="177">
        <v>1384</v>
      </c>
      <c r="CX38" s="175">
        <v>48</v>
      </c>
      <c r="CY38" s="176">
        <v>32</v>
      </c>
      <c r="CZ38" s="176">
        <v>79</v>
      </c>
      <c r="DA38" s="176">
        <v>111</v>
      </c>
      <c r="DB38" s="177">
        <v>1411</v>
      </c>
      <c r="DC38" s="175"/>
      <c r="DD38" s="176"/>
      <c r="DE38" s="176"/>
      <c r="DF38" s="176"/>
      <c r="DG38" s="177"/>
      <c r="DH38" s="175">
        <v>47</v>
      </c>
      <c r="DI38" s="176">
        <v>36</v>
      </c>
      <c r="DJ38" s="176">
        <v>86</v>
      </c>
      <c r="DK38" s="176">
        <v>123</v>
      </c>
      <c r="DL38" s="177">
        <v>969</v>
      </c>
    </row>
    <row r="39" spans="2:116">
      <c r="B39" s="170">
        <v>36</v>
      </c>
      <c r="C39" s="171">
        <v>1168</v>
      </c>
      <c r="D39" s="171">
        <v>1157</v>
      </c>
      <c r="E39" s="171">
        <v>2336</v>
      </c>
      <c r="F39" s="172">
        <v>109789</v>
      </c>
      <c r="G39" s="170">
        <v>38</v>
      </c>
      <c r="H39" s="171">
        <v>1253</v>
      </c>
      <c r="I39" s="171">
        <v>1067</v>
      </c>
      <c r="J39" s="171">
        <v>2330</v>
      </c>
      <c r="K39" s="172">
        <v>27020</v>
      </c>
      <c r="L39" s="170">
        <v>38</v>
      </c>
      <c r="M39" s="171">
        <v>594</v>
      </c>
      <c r="N39" s="171">
        <v>507</v>
      </c>
      <c r="O39" s="171">
        <v>1104</v>
      </c>
      <c r="P39" s="172">
        <v>38316</v>
      </c>
      <c r="Q39" s="170">
        <v>40</v>
      </c>
      <c r="R39" s="171">
        <v>418</v>
      </c>
      <c r="S39" s="171">
        <v>409</v>
      </c>
      <c r="T39" s="171">
        <v>829</v>
      </c>
      <c r="U39" s="172">
        <v>26380</v>
      </c>
      <c r="V39" s="170">
        <v>34</v>
      </c>
      <c r="W39" s="171">
        <v>103</v>
      </c>
      <c r="X39" s="171">
        <v>100</v>
      </c>
      <c r="Y39" s="171">
        <v>204</v>
      </c>
      <c r="Z39" s="172">
        <v>21060</v>
      </c>
      <c r="AA39" s="170">
        <v>41</v>
      </c>
      <c r="AB39" s="171">
        <v>252</v>
      </c>
      <c r="AC39" s="171">
        <v>218</v>
      </c>
      <c r="AD39" s="171">
        <v>473</v>
      </c>
      <c r="AE39" s="172">
        <v>14244</v>
      </c>
      <c r="AF39" s="170">
        <v>37</v>
      </c>
      <c r="AG39" s="171">
        <v>87</v>
      </c>
      <c r="AH39" s="171">
        <v>39</v>
      </c>
      <c r="AI39" s="171">
        <v>126</v>
      </c>
      <c r="AJ39" s="172">
        <v>6804</v>
      </c>
      <c r="AK39" s="170">
        <v>36</v>
      </c>
      <c r="AL39" s="171">
        <v>193</v>
      </c>
      <c r="AM39" s="171">
        <v>192</v>
      </c>
      <c r="AN39" s="171">
        <v>386</v>
      </c>
      <c r="AO39" s="172">
        <v>25204</v>
      </c>
      <c r="AP39" s="173">
        <v>37</v>
      </c>
      <c r="AQ39" s="171">
        <v>1094</v>
      </c>
      <c r="AR39" s="171">
        <v>1450</v>
      </c>
      <c r="AS39" s="171">
        <v>2551</v>
      </c>
      <c r="AT39" s="174">
        <v>115647</v>
      </c>
      <c r="AU39" s="170">
        <v>43</v>
      </c>
      <c r="AV39" s="171">
        <v>1710</v>
      </c>
      <c r="AW39" s="171">
        <v>481</v>
      </c>
      <c r="AX39" s="171">
        <v>2196</v>
      </c>
      <c r="AY39" s="172">
        <v>40767</v>
      </c>
      <c r="AZ39" s="170">
        <v>35</v>
      </c>
      <c r="BA39" s="171">
        <v>614</v>
      </c>
      <c r="BB39" s="171">
        <v>463</v>
      </c>
      <c r="BC39" s="171">
        <v>1078</v>
      </c>
      <c r="BD39" s="172">
        <v>62415</v>
      </c>
      <c r="BE39" s="170">
        <v>36</v>
      </c>
      <c r="BF39" s="171">
        <v>1130</v>
      </c>
      <c r="BG39" s="171">
        <v>921</v>
      </c>
      <c r="BH39" s="171">
        <v>2057</v>
      </c>
      <c r="BI39" s="172">
        <v>104309</v>
      </c>
      <c r="BJ39" s="170">
        <v>35</v>
      </c>
      <c r="BK39" s="171">
        <v>849</v>
      </c>
      <c r="BL39" s="171">
        <v>468</v>
      </c>
      <c r="BM39" s="171">
        <v>1325</v>
      </c>
      <c r="BN39" s="172">
        <v>103658</v>
      </c>
      <c r="BO39" s="170">
        <v>41</v>
      </c>
      <c r="BP39" s="171">
        <v>156</v>
      </c>
      <c r="BQ39" s="171">
        <v>26</v>
      </c>
      <c r="BR39" s="171">
        <v>184</v>
      </c>
      <c r="BS39" s="172">
        <v>4064</v>
      </c>
      <c r="BT39" s="170">
        <v>42</v>
      </c>
      <c r="BU39" s="171">
        <v>149</v>
      </c>
      <c r="BV39" s="171">
        <v>56</v>
      </c>
      <c r="BW39" s="171">
        <v>206</v>
      </c>
      <c r="BX39" s="172">
        <v>4305</v>
      </c>
      <c r="BY39" s="170">
        <v>38</v>
      </c>
      <c r="BZ39" s="171">
        <v>65</v>
      </c>
      <c r="CA39" s="171">
        <v>37</v>
      </c>
      <c r="CB39" s="171">
        <v>102</v>
      </c>
      <c r="CC39" s="172">
        <v>9402</v>
      </c>
      <c r="CD39" s="170">
        <v>40</v>
      </c>
      <c r="CE39" s="171">
        <v>115</v>
      </c>
      <c r="CF39" s="171">
        <v>39</v>
      </c>
      <c r="CG39" s="171">
        <v>156</v>
      </c>
      <c r="CH39" s="172">
        <v>5146</v>
      </c>
      <c r="CI39" s="175">
        <v>37</v>
      </c>
      <c r="CJ39" s="176">
        <v>77</v>
      </c>
      <c r="CK39" s="176">
        <v>89</v>
      </c>
      <c r="CL39" s="176">
        <v>168</v>
      </c>
      <c r="CM39" s="177">
        <v>6364</v>
      </c>
      <c r="CN39" s="175">
        <v>44</v>
      </c>
      <c r="CO39" s="176">
        <v>12</v>
      </c>
      <c r="CP39" s="176">
        <v>10</v>
      </c>
      <c r="CQ39" s="176">
        <v>22</v>
      </c>
      <c r="CR39" s="177">
        <v>681</v>
      </c>
      <c r="CS39" s="175">
        <v>39</v>
      </c>
      <c r="CT39" s="176">
        <v>16</v>
      </c>
      <c r="CU39" s="176">
        <v>7</v>
      </c>
      <c r="CV39" s="176">
        <v>23</v>
      </c>
      <c r="CW39" s="177">
        <v>1407</v>
      </c>
      <c r="CX39" s="175">
        <v>47</v>
      </c>
      <c r="CY39" s="176">
        <v>33</v>
      </c>
      <c r="CZ39" s="176">
        <v>86</v>
      </c>
      <c r="DA39" s="176">
        <v>119</v>
      </c>
      <c r="DB39" s="177">
        <v>1530</v>
      </c>
      <c r="DC39" s="175"/>
      <c r="DD39" s="176"/>
      <c r="DE39" s="176"/>
      <c r="DF39" s="176"/>
      <c r="DG39" s="177"/>
      <c r="DH39" s="175">
        <v>46</v>
      </c>
      <c r="DI39" s="176">
        <v>26</v>
      </c>
      <c r="DJ39" s="176">
        <v>68</v>
      </c>
      <c r="DK39" s="176">
        <v>94</v>
      </c>
      <c r="DL39" s="177">
        <v>1063</v>
      </c>
    </row>
    <row r="40" spans="2:116">
      <c r="B40" s="170">
        <v>35</v>
      </c>
      <c r="C40" s="171">
        <v>862</v>
      </c>
      <c r="D40" s="171">
        <v>855</v>
      </c>
      <c r="E40" s="171">
        <v>1727</v>
      </c>
      <c r="F40" s="172">
        <v>111516</v>
      </c>
      <c r="G40" s="170">
        <v>37</v>
      </c>
      <c r="H40" s="171">
        <v>137</v>
      </c>
      <c r="I40" s="171">
        <v>131</v>
      </c>
      <c r="J40" s="171">
        <v>270</v>
      </c>
      <c r="K40" s="172">
        <v>27290</v>
      </c>
      <c r="L40" s="170">
        <v>37</v>
      </c>
      <c r="M40" s="171">
        <v>478</v>
      </c>
      <c r="N40" s="171">
        <v>369</v>
      </c>
      <c r="O40" s="171">
        <v>850</v>
      </c>
      <c r="P40" s="172">
        <v>39166</v>
      </c>
      <c r="Q40" s="170">
        <v>39</v>
      </c>
      <c r="R40" s="171">
        <v>346</v>
      </c>
      <c r="S40" s="171">
        <v>329</v>
      </c>
      <c r="T40" s="171">
        <v>679</v>
      </c>
      <c r="U40" s="172">
        <v>27059</v>
      </c>
      <c r="V40" s="170">
        <v>33</v>
      </c>
      <c r="W40" s="171">
        <v>43</v>
      </c>
      <c r="X40" s="171">
        <v>33</v>
      </c>
      <c r="Y40" s="171">
        <v>76</v>
      </c>
      <c r="Z40" s="172">
        <v>21136</v>
      </c>
      <c r="AA40" s="170">
        <v>40</v>
      </c>
      <c r="AB40" s="171">
        <v>309</v>
      </c>
      <c r="AC40" s="171">
        <v>247</v>
      </c>
      <c r="AD40" s="171">
        <v>559</v>
      </c>
      <c r="AE40" s="172">
        <v>14803</v>
      </c>
      <c r="AF40" s="170">
        <v>36</v>
      </c>
      <c r="AG40" s="171">
        <v>18</v>
      </c>
      <c r="AH40" s="171">
        <v>12</v>
      </c>
      <c r="AI40" s="171">
        <v>30</v>
      </c>
      <c r="AJ40" s="172">
        <v>6834</v>
      </c>
      <c r="AK40" s="170">
        <v>35</v>
      </c>
      <c r="AL40" s="171">
        <v>94</v>
      </c>
      <c r="AM40" s="171">
        <v>104</v>
      </c>
      <c r="AN40" s="171">
        <v>198</v>
      </c>
      <c r="AO40" s="172">
        <v>25402</v>
      </c>
      <c r="AP40" s="173">
        <v>36</v>
      </c>
      <c r="AQ40" s="171">
        <v>1182</v>
      </c>
      <c r="AR40" s="171">
        <v>1609</v>
      </c>
      <c r="AS40" s="171">
        <v>2798</v>
      </c>
      <c r="AT40" s="174">
        <v>118445</v>
      </c>
      <c r="AU40" s="170">
        <v>42</v>
      </c>
      <c r="AV40" s="171">
        <v>1350</v>
      </c>
      <c r="AW40" s="171">
        <v>371</v>
      </c>
      <c r="AX40" s="171">
        <v>1724</v>
      </c>
      <c r="AY40" s="172">
        <v>42491</v>
      </c>
      <c r="AZ40" s="170">
        <v>34</v>
      </c>
      <c r="BA40" s="171">
        <v>461</v>
      </c>
      <c r="BB40" s="171">
        <v>304</v>
      </c>
      <c r="BC40" s="171">
        <v>769</v>
      </c>
      <c r="BD40" s="172">
        <v>63184</v>
      </c>
      <c r="BE40" s="170">
        <v>35</v>
      </c>
      <c r="BF40" s="171">
        <v>831</v>
      </c>
      <c r="BG40" s="171">
        <v>685</v>
      </c>
      <c r="BH40" s="171">
        <v>1521</v>
      </c>
      <c r="BI40" s="172">
        <v>105830</v>
      </c>
      <c r="BJ40" s="170">
        <v>34</v>
      </c>
      <c r="BK40" s="171">
        <v>1087</v>
      </c>
      <c r="BL40" s="171">
        <v>454</v>
      </c>
      <c r="BM40" s="171">
        <v>1549</v>
      </c>
      <c r="BN40" s="172">
        <v>105207</v>
      </c>
      <c r="BO40" s="170">
        <v>40</v>
      </c>
      <c r="BP40" s="171">
        <v>105</v>
      </c>
      <c r="BQ40" s="171">
        <v>15</v>
      </c>
      <c r="BR40" s="171">
        <v>120</v>
      </c>
      <c r="BS40" s="172">
        <v>4184</v>
      </c>
      <c r="BT40" s="170">
        <v>41</v>
      </c>
      <c r="BU40" s="171">
        <v>116</v>
      </c>
      <c r="BV40" s="171">
        <v>46</v>
      </c>
      <c r="BW40" s="171">
        <v>162</v>
      </c>
      <c r="BX40" s="172">
        <v>4467</v>
      </c>
      <c r="BY40" s="170">
        <v>37</v>
      </c>
      <c r="BZ40" s="171">
        <v>41</v>
      </c>
      <c r="CA40" s="171">
        <v>20</v>
      </c>
      <c r="CB40" s="171">
        <v>61</v>
      </c>
      <c r="CC40" s="172">
        <v>9463</v>
      </c>
      <c r="CD40" s="170">
        <v>39</v>
      </c>
      <c r="CE40" s="171">
        <v>64</v>
      </c>
      <c r="CF40" s="171">
        <v>26</v>
      </c>
      <c r="CG40" s="171">
        <v>90</v>
      </c>
      <c r="CH40" s="172">
        <v>5236</v>
      </c>
      <c r="CI40" s="175">
        <v>36</v>
      </c>
      <c r="CJ40" s="176">
        <v>40</v>
      </c>
      <c r="CK40" s="176">
        <v>26</v>
      </c>
      <c r="CL40" s="176">
        <v>66</v>
      </c>
      <c r="CM40" s="177">
        <v>6430</v>
      </c>
      <c r="CN40" s="175">
        <v>42</v>
      </c>
      <c r="CO40" s="176">
        <v>21</v>
      </c>
      <c r="CP40" s="176">
        <v>9</v>
      </c>
      <c r="CQ40" s="176">
        <v>30</v>
      </c>
      <c r="CR40" s="177">
        <v>711</v>
      </c>
      <c r="CS40" s="175">
        <v>38</v>
      </c>
      <c r="CT40" s="176">
        <v>19</v>
      </c>
      <c r="CU40" s="176">
        <v>7</v>
      </c>
      <c r="CV40" s="176">
        <v>26</v>
      </c>
      <c r="CW40" s="177">
        <v>1433</v>
      </c>
      <c r="CX40" s="175">
        <v>46</v>
      </c>
      <c r="CY40" s="176">
        <v>23</v>
      </c>
      <c r="CZ40" s="176">
        <v>96</v>
      </c>
      <c r="DA40" s="176">
        <v>119</v>
      </c>
      <c r="DB40" s="177">
        <v>1649</v>
      </c>
      <c r="DC40" s="175"/>
      <c r="DD40" s="176"/>
      <c r="DE40" s="176"/>
      <c r="DF40" s="176"/>
      <c r="DG40" s="177"/>
      <c r="DH40" s="175">
        <v>44</v>
      </c>
      <c r="DI40" s="176">
        <v>61</v>
      </c>
      <c r="DJ40" s="176">
        <v>102</v>
      </c>
      <c r="DK40" s="176">
        <v>163</v>
      </c>
      <c r="DL40" s="177">
        <v>1226</v>
      </c>
    </row>
    <row r="41" spans="2:116">
      <c r="B41" s="170">
        <v>34</v>
      </c>
      <c r="C41" s="171">
        <v>1028</v>
      </c>
      <c r="D41" s="171">
        <v>921</v>
      </c>
      <c r="E41" s="171">
        <v>1957</v>
      </c>
      <c r="F41" s="172">
        <v>113473</v>
      </c>
      <c r="G41" s="170">
        <v>36</v>
      </c>
      <c r="H41" s="171">
        <v>176</v>
      </c>
      <c r="I41" s="171">
        <v>166</v>
      </c>
      <c r="J41" s="171">
        <v>343</v>
      </c>
      <c r="K41" s="172">
        <v>27633</v>
      </c>
      <c r="L41" s="170">
        <v>36</v>
      </c>
      <c r="M41" s="171">
        <v>564</v>
      </c>
      <c r="N41" s="171">
        <v>452</v>
      </c>
      <c r="O41" s="171">
        <v>1023</v>
      </c>
      <c r="P41" s="172">
        <v>40189</v>
      </c>
      <c r="Q41" s="170">
        <v>38</v>
      </c>
      <c r="R41" s="171">
        <v>1003</v>
      </c>
      <c r="S41" s="171">
        <v>462</v>
      </c>
      <c r="T41" s="171">
        <v>1474</v>
      </c>
      <c r="U41" s="172">
        <v>28533</v>
      </c>
      <c r="V41" s="170">
        <v>32</v>
      </c>
      <c r="W41" s="171">
        <v>87</v>
      </c>
      <c r="X41" s="171">
        <v>64</v>
      </c>
      <c r="Y41" s="171">
        <v>155</v>
      </c>
      <c r="Z41" s="172">
        <v>21291</v>
      </c>
      <c r="AA41" s="170">
        <v>39</v>
      </c>
      <c r="AB41" s="171">
        <v>384</v>
      </c>
      <c r="AC41" s="171">
        <v>307</v>
      </c>
      <c r="AD41" s="171">
        <v>691</v>
      </c>
      <c r="AE41" s="172">
        <v>15494</v>
      </c>
      <c r="AF41" s="170">
        <v>35</v>
      </c>
      <c r="AG41" s="171">
        <v>41</v>
      </c>
      <c r="AH41" s="171">
        <v>26</v>
      </c>
      <c r="AI41" s="171">
        <v>68</v>
      </c>
      <c r="AJ41" s="172">
        <v>6902</v>
      </c>
      <c r="AK41" s="170">
        <v>34</v>
      </c>
      <c r="AL41" s="171">
        <v>141</v>
      </c>
      <c r="AM41" s="171">
        <v>124</v>
      </c>
      <c r="AN41" s="171">
        <v>266</v>
      </c>
      <c r="AO41" s="172">
        <v>25668</v>
      </c>
      <c r="AP41" s="173">
        <v>35</v>
      </c>
      <c r="AQ41" s="171">
        <v>344</v>
      </c>
      <c r="AR41" s="171">
        <v>474</v>
      </c>
      <c r="AS41" s="171">
        <v>823</v>
      </c>
      <c r="AT41" s="174">
        <v>119268</v>
      </c>
      <c r="AU41" s="170">
        <v>41</v>
      </c>
      <c r="AV41" s="171">
        <v>1784</v>
      </c>
      <c r="AW41" s="171">
        <v>473</v>
      </c>
      <c r="AX41" s="171">
        <v>2270</v>
      </c>
      <c r="AY41" s="172">
        <v>44761</v>
      </c>
      <c r="AZ41" s="170">
        <v>33</v>
      </c>
      <c r="BA41" s="171">
        <v>617</v>
      </c>
      <c r="BB41" s="171">
        <v>415</v>
      </c>
      <c r="BC41" s="171">
        <v>1036</v>
      </c>
      <c r="BD41" s="172">
        <v>64220</v>
      </c>
      <c r="BE41" s="170">
        <v>34</v>
      </c>
      <c r="BF41" s="171">
        <v>2103</v>
      </c>
      <c r="BG41" s="171">
        <v>1072</v>
      </c>
      <c r="BH41" s="171">
        <v>3181</v>
      </c>
      <c r="BI41" s="172">
        <v>109011</v>
      </c>
      <c r="BJ41" s="170">
        <v>33</v>
      </c>
      <c r="BK41" s="171">
        <v>495</v>
      </c>
      <c r="BL41" s="171">
        <v>203</v>
      </c>
      <c r="BM41" s="171">
        <v>701</v>
      </c>
      <c r="BN41" s="172">
        <v>105908</v>
      </c>
      <c r="BO41" s="170">
        <v>39</v>
      </c>
      <c r="BP41" s="171">
        <v>181</v>
      </c>
      <c r="BQ41" s="171">
        <v>42</v>
      </c>
      <c r="BR41" s="171">
        <v>223</v>
      </c>
      <c r="BS41" s="172">
        <v>4407</v>
      </c>
      <c r="BT41" s="170">
        <v>40</v>
      </c>
      <c r="BU41" s="171">
        <v>206</v>
      </c>
      <c r="BV41" s="171">
        <v>79</v>
      </c>
      <c r="BW41" s="171">
        <v>286</v>
      </c>
      <c r="BX41" s="172">
        <v>4753</v>
      </c>
      <c r="BY41" s="170">
        <v>36</v>
      </c>
      <c r="BZ41" s="171">
        <v>46</v>
      </c>
      <c r="CA41" s="171">
        <v>24</v>
      </c>
      <c r="CB41" s="171">
        <v>70</v>
      </c>
      <c r="CC41" s="172">
        <v>9533</v>
      </c>
      <c r="CD41" s="170">
        <v>38</v>
      </c>
      <c r="CE41" s="171">
        <v>124</v>
      </c>
      <c r="CF41" s="171">
        <v>50</v>
      </c>
      <c r="CG41" s="171">
        <v>174</v>
      </c>
      <c r="CH41" s="172">
        <v>5410</v>
      </c>
      <c r="CI41" s="175">
        <v>35</v>
      </c>
      <c r="CJ41" s="176">
        <v>113</v>
      </c>
      <c r="CK41" s="176">
        <v>92</v>
      </c>
      <c r="CL41" s="176">
        <v>205</v>
      </c>
      <c r="CM41" s="177">
        <v>6635</v>
      </c>
      <c r="CN41" s="175">
        <v>41</v>
      </c>
      <c r="CO41" s="176">
        <v>19</v>
      </c>
      <c r="CP41" s="176">
        <v>11</v>
      </c>
      <c r="CQ41" s="176">
        <v>31</v>
      </c>
      <c r="CR41" s="177">
        <v>742</v>
      </c>
      <c r="CS41" s="175">
        <v>37</v>
      </c>
      <c r="CT41" s="176">
        <v>21</v>
      </c>
      <c r="CU41" s="176">
        <v>6</v>
      </c>
      <c r="CV41" s="176">
        <v>27</v>
      </c>
      <c r="CW41" s="177">
        <v>1460</v>
      </c>
      <c r="CX41" s="175">
        <v>45</v>
      </c>
      <c r="CY41" s="176">
        <v>36</v>
      </c>
      <c r="CZ41" s="176">
        <v>91</v>
      </c>
      <c r="DA41" s="176">
        <v>129</v>
      </c>
      <c r="DB41" s="177">
        <v>1778</v>
      </c>
      <c r="DC41" s="175"/>
      <c r="DD41" s="176"/>
      <c r="DE41" s="176"/>
      <c r="DF41" s="176"/>
      <c r="DG41" s="177"/>
      <c r="DH41" s="175">
        <v>43</v>
      </c>
      <c r="DI41" s="176">
        <v>17</v>
      </c>
      <c r="DJ41" s="176">
        <v>60</v>
      </c>
      <c r="DK41" s="176">
        <v>77</v>
      </c>
      <c r="DL41" s="177">
        <v>1303</v>
      </c>
    </row>
    <row r="42" spans="2:116">
      <c r="B42" s="170">
        <v>33</v>
      </c>
      <c r="C42" s="171">
        <v>4076</v>
      </c>
      <c r="D42" s="171">
        <v>2586</v>
      </c>
      <c r="E42" s="171">
        <v>6708</v>
      </c>
      <c r="F42" s="172">
        <v>120181</v>
      </c>
      <c r="G42" s="170">
        <v>35</v>
      </c>
      <c r="H42" s="171">
        <v>74</v>
      </c>
      <c r="I42" s="171">
        <v>73</v>
      </c>
      <c r="J42" s="171">
        <v>148</v>
      </c>
      <c r="K42" s="172">
        <v>27781</v>
      </c>
      <c r="L42" s="170">
        <v>35</v>
      </c>
      <c r="M42" s="171">
        <v>128</v>
      </c>
      <c r="N42" s="171">
        <v>83</v>
      </c>
      <c r="O42" s="171">
        <v>213</v>
      </c>
      <c r="P42" s="172">
        <v>40402</v>
      </c>
      <c r="Q42" s="170">
        <v>37</v>
      </c>
      <c r="R42" s="171">
        <v>356</v>
      </c>
      <c r="S42" s="171">
        <v>245</v>
      </c>
      <c r="T42" s="171">
        <v>605</v>
      </c>
      <c r="U42" s="172">
        <v>29138</v>
      </c>
      <c r="V42" s="170">
        <v>30</v>
      </c>
      <c r="W42" s="171">
        <v>15</v>
      </c>
      <c r="X42" s="171">
        <v>7</v>
      </c>
      <c r="Y42" s="171">
        <v>22</v>
      </c>
      <c r="Z42" s="172">
        <v>21313</v>
      </c>
      <c r="AA42" s="170">
        <v>38</v>
      </c>
      <c r="AB42" s="171">
        <v>183</v>
      </c>
      <c r="AC42" s="171">
        <v>128</v>
      </c>
      <c r="AD42" s="171">
        <v>311</v>
      </c>
      <c r="AE42" s="172">
        <v>15805</v>
      </c>
      <c r="AF42" s="170">
        <v>33</v>
      </c>
      <c r="AG42" s="171">
        <v>11</v>
      </c>
      <c r="AH42" s="171">
        <v>6</v>
      </c>
      <c r="AI42" s="171">
        <v>17</v>
      </c>
      <c r="AJ42" s="172">
        <v>6919</v>
      </c>
      <c r="AK42" s="170">
        <v>33</v>
      </c>
      <c r="AL42" s="171">
        <v>66</v>
      </c>
      <c r="AM42" s="171">
        <v>42</v>
      </c>
      <c r="AN42" s="171">
        <v>109</v>
      </c>
      <c r="AO42" s="172">
        <v>25777</v>
      </c>
      <c r="AP42" s="173">
        <v>34</v>
      </c>
      <c r="AQ42" s="171">
        <v>203</v>
      </c>
      <c r="AR42" s="171">
        <v>235</v>
      </c>
      <c r="AS42" s="171">
        <v>441</v>
      </c>
      <c r="AT42" s="174">
        <v>119709</v>
      </c>
      <c r="AU42" s="170">
        <v>40</v>
      </c>
      <c r="AV42" s="171">
        <v>1445</v>
      </c>
      <c r="AW42" s="171">
        <v>350</v>
      </c>
      <c r="AX42" s="171">
        <v>1800</v>
      </c>
      <c r="AY42" s="172">
        <v>46561</v>
      </c>
      <c r="AZ42" s="170">
        <v>32</v>
      </c>
      <c r="BA42" s="171">
        <v>169</v>
      </c>
      <c r="BB42" s="171">
        <v>95</v>
      </c>
      <c r="BC42" s="171">
        <v>267</v>
      </c>
      <c r="BD42" s="172">
        <v>64487</v>
      </c>
      <c r="BE42" s="170">
        <v>33</v>
      </c>
      <c r="BF42" s="171">
        <v>692</v>
      </c>
      <c r="BG42" s="171">
        <v>469</v>
      </c>
      <c r="BH42" s="171">
        <v>1163</v>
      </c>
      <c r="BI42" s="172">
        <v>110174</v>
      </c>
      <c r="BJ42" s="170">
        <v>32</v>
      </c>
      <c r="BK42" s="171">
        <v>854</v>
      </c>
      <c r="BL42" s="171">
        <v>403</v>
      </c>
      <c r="BM42" s="171">
        <v>1260</v>
      </c>
      <c r="BN42" s="172">
        <v>107168</v>
      </c>
      <c r="BO42" s="170">
        <v>38</v>
      </c>
      <c r="BP42" s="171">
        <v>67</v>
      </c>
      <c r="BQ42" s="171">
        <v>9</v>
      </c>
      <c r="BR42" s="171">
        <v>76</v>
      </c>
      <c r="BS42" s="172">
        <v>4483</v>
      </c>
      <c r="BT42" s="170">
        <v>39</v>
      </c>
      <c r="BU42" s="171">
        <v>127</v>
      </c>
      <c r="BV42" s="171">
        <v>51</v>
      </c>
      <c r="BW42" s="171">
        <v>180</v>
      </c>
      <c r="BX42" s="172">
        <v>4933</v>
      </c>
      <c r="BY42" s="170">
        <v>35</v>
      </c>
      <c r="BZ42" s="171">
        <v>17</v>
      </c>
      <c r="CA42" s="171">
        <v>9</v>
      </c>
      <c r="CB42" s="171">
        <v>26</v>
      </c>
      <c r="CC42" s="172">
        <v>9559</v>
      </c>
      <c r="CD42" s="170">
        <v>37</v>
      </c>
      <c r="CE42" s="171">
        <v>25</v>
      </c>
      <c r="CF42" s="171">
        <v>7</v>
      </c>
      <c r="CG42" s="171">
        <v>32</v>
      </c>
      <c r="CH42" s="172">
        <v>5442</v>
      </c>
      <c r="CI42" s="175">
        <v>34</v>
      </c>
      <c r="CJ42" s="176">
        <v>16</v>
      </c>
      <c r="CK42" s="176">
        <v>28</v>
      </c>
      <c r="CL42" s="176">
        <v>44</v>
      </c>
      <c r="CM42" s="177">
        <v>6679</v>
      </c>
      <c r="CN42" s="175">
        <v>40</v>
      </c>
      <c r="CO42" s="176">
        <v>4</v>
      </c>
      <c r="CP42" s="176">
        <v>10</v>
      </c>
      <c r="CQ42" s="176">
        <v>14</v>
      </c>
      <c r="CR42" s="177">
        <v>756</v>
      </c>
      <c r="CS42" s="175">
        <v>36</v>
      </c>
      <c r="CT42" s="176">
        <v>8</v>
      </c>
      <c r="CU42" s="176">
        <v>0</v>
      </c>
      <c r="CV42" s="176">
        <v>8</v>
      </c>
      <c r="CW42" s="177">
        <v>1468</v>
      </c>
      <c r="CX42" s="175">
        <v>44</v>
      </c>
      <c r="CY42" s="176">
        <v>51</v>
      </c>
      <c r="CZ42" s="176">
        <v>136</v>
      </c>
      <c r="DA42" s="176">
        <v>188</v>
      </c>
      <c r="DB42" s="177">
        <v>1966</v>
      </c>
      <c r="DC42" s="175"/>
      <c r="DD42" s="176"/>
      <c r="DE42" s="176"/>
      <c r="DF42" s="176"/>
      <c r="DG42" s="177"/>
      <c r="DH42" s="175">
        <v>42</v>
      </c>
      <c r="DI42" s="176">
        <v>11</v>
      </c>
      <c r="DJ42" s="176">
        <v>31</v>
      </c>
      <c r="DK42" s="176">
        <v>42</v>
      </c>
      <c r="DL42" s="177">
        <v>1345</v>
      </c>
    </row>
    <row r="43" spans="2:116">
      <c r="B43" s="170">
        <v>32</v>
      </c>
      <c r="C43" s="171">
        <v>543</v>
      </c>
      <c r="D43" s="171">
        <v>388</v>
      </c>
      <c r="E43" s="171">
        <v>936</v>
      </c>
      <c r="F43" s="172">
        <v>121117</v>
      </c>
      <c r="G43" s="170">
        <v>34</v>
      </c>
      <c r="H43" s="171">
        <v>119</v>
      </c>
      <c r="I43" s="171">
        <v>115</v>
      </c>
      <c r="J43" s="171">
        <v>234</v>
      </c>
      <c r="K43" s="172">
        <v>28015</v>
      </c>
      <c r="L43" s="170">
        <v>34</v>
      </c>
      <c r="M43" s="171">
        <v>126</v>
      </c>
      <c r="N43" s="171">
        <v>64</v>
      </c>
      <c r="O43" s="171">
        <v>191</v>
      </c>
      <c r="P43" s="172">
        <v>40593</v>
      </c>
      <c r="Q43" s="170">
        <v>36</v>
      </c>
      <c r="R43" s="171">
        <v>189</v>
      </c>
      <c r="S43" s="171">
        <v>165</v>
      </c>
      <c r="T43" s="171">
        <v>358</v>
      </c>
      <c r="U43" s="172">
        <v>29496</v>
      </c>
      <c r="V43" s="170"/>
      <c r="W43" s="171"/>
      <c r="X43" s="171"/>
      <c r="Y43" s="171"/>
      <c r="Z43" s="172"/>
      <c r="AA43" s="170">
        <v>37</v>
      </c>
      <c r="AB43" s="171">
        <v>53</v>
      </c>
      <c r="AC43" s="171">
        <v>39</v>
      </c>
      <c r="AD43" s="171">
        <v>92</v>
      </c>
      <c r="AE43" s="172">
        <v>15897</v>
      </c>
      <c r="AF43" s="170"/>
      <c r="AG43" s="171"/>
      <c r="AH43" s="171"/>
      <c r="AI43" s="171"/>
      <c r="AJ43" s="172"/>
      <c r="AK43" s="170">
        <v>32</v>
      </c>
      <c r="AL43" s="171">
        <v>74</v>
      </c>
      <c r="AM43" s="171">
        <v>82</v>
      </c>
      <c r="AN43" s="171">
        <v>157</v>
      </c>
      <c r="AO43" s="172">
        <v>25934</v>
      </c>
      <c r="AP43" s="173">
        <v>33</v>
      </c>
      <c r="AQ43" s="171">
        <v>322</v>
      </c>
      <c r="AR43" s="171">
        <v>347</v>
      </c>
      <c r="AS43" s="171">
        <v>672</v>
      </c>
      <c r="AT43" s="174">
        <v>120381</v>
      </c>
      <c r="AU43" s="170">
        <v>39</v>
      </c>
      <c r="AV43" s="171">
        <v>2543</v>
      </c>
      <c r="AW43" s="171">
        <v>434</v>
      </c>
      <c r="AX43" s="171">
        <v>2987</v>
      </c>
      <c r="AY43" s="172">
        <v>49548</v>
      </c>
      <c r="AZ43" s="170">
        <v>31</v>
      </c>
      <c r="BA43" s="171">
        <v>147</v>
      </c>
      <c r="BB43" s="171">
        <v>91</v>
      </c>
      <c r="BC43" s="171">
        <v>238</v>
      </c>
      <c r="BD43" s="172">
        <v>64725</v>
      </c>
      <c r="BE43" s="170">
        <v>32</v>
      </c>
      <c r="BF43" s="171">
        <v>617</v>
      </c>
      <c r="BG43" s="171">
        <v>414</v>
      </c>
      <c r="BH43" s="171">
        <v>1037</v>
      </c>
      <c r="BI43" s="172">
        <v>111211</v>
      </c>
      <c r="BJ43" s="170">
        <v>31</v>
      </c>
      <c r="BK43" s="171">
        <v>202</v>
      </c>
      <c r="BL43" s="171">
        <v>81</v>
      </c>
      <c r="BM43" s="171">
        <v>286</v>
      </c>
      <c r="BN43" s="172">
        <v>107454</v>
      </c>
      <c r="BO43" s="170">
        <v>37</v>
      </c>
      <c r="BP43" s="171">
        <v>122</v>
      </c>
      <c r="BQ43" s="171">
        <v>14</v>
      </c>
      <c r="BR43" s="171">
        <v>137</v>
      </c>
      <c r="BS43" s="172">
        <v>4620</v>
      </c>
      <c r="BT43" s="170">
        <v>38</v>
      </c>
      <c r="BU43" s="171">
        <v>43</v>
      </c>
      <c r="BV43" s="171">
        <v>24</v>
      </c>
      <c r="BW43" s="171">
        <v>68</v>
      </c>
      <c r="BX43" s="172">
        <v>5001</v>
      </c>
      <c r="BY43" s="170"/>
      <c r="BZ43" s="171"/>
      <c r="CA43" s="171"/>
      <c r="CB43" s="171"/>
      <c r="CC43" s="172"/>
      <c r="CD43" s="170">
        <v>36</v>
      </c>
      <c r="CE43" s="171">
        <v>36</v>
      </c>
      <c r="CF43" s="171">
        <v>10</v>
      </c>
      <c r="CG43" s="171">
        <v>47</v>
      </c>
      <c r="CH43" s="172">
        <v>5489</v>
      </c>
      <c r="CI43" s="175">
        <v>33</v>
      </c>
      <c r="CJ43" s="176">
        <v>17</v>
      </c>
      <c r="CK43" s="176">
        <v>10</v>
      </c>
      <c r="CL43" s="176">
        <v>27</v>
      </c>
      <c r="CM43" s="177">
        <v>6706</v>
      </c>
      <c r="CN43" s="175">
        <v>39</v>
      </c>
      <c r="CO43" s="176">
        <v>46</v>
      </c>
      <c r="CP43" s="176">
        <v>14</v>
      </c>
      <c r="CQ43" s="176">
        <v>60</v>
      </c>
      <c r="CR43" s="177">
        <v>816</v>
      </c>
      <c r="CS43" s="175">
        <v>34</v>
      </c>
      <c r="CT43" s="176">
        <v>3</v>
      </c>
      <c r="CU43" s="176">
        <v>0</v>
      </c>
      <c r="CV43" s="176">
        <v>3</v>
      </c>
      <c r="CW43" s="177">
        <v>1471</v>
      </c>
      <c r="CX43" s="175">
        <v>43</v>
      </c>
      <c r="CY43" s="176">
        <v>23</v>
      </c>
      <c r="CZ43" s="176">
        <v>88</v>
      </c>
      <c r="DA43" s="176">
        <v>112</v>
      </c>
      <c r="DB43" s="177">
        <v>2078</v>
      </c>
      <c r="DC43" s="175"/>
      <c r="DD43" s="176"/>
      <c r="DE43" s="176"/>
      <c r="DF43" s="176"/>
      <c r="DG43" s="177"/>
      <c r="DH43" s="175">
        <v>40</v>
      </c>
      <c r="DI43" s="176">
        <v>15</v>
      </c>
      <c r="DJ43" s="176">
        <v>33</v>
      </c>
      <c r="DK43" s="176">
        <v>48</v>
      </c>
      <c r="DL43" s="177">
        <v>1393</v>
      </c>
    </row>
    <row r="44" spans="2:116">
      <c r="B44" s="170">
        <v>31</v>
      </c>
      <c r="C44" s="171">
        <v>197</v>
      </c>
      <c r="D44" s="171">
        <v>179</v>
      </c>
      <c r="E44" s="171">
        <v>379</v>
      </c>
      <c r="F44" s="172">
        <v>121496</v>
      </c>
      <c r="G44" s="170">
        <v>32</v>
      </c>
      <c r="H44" s="171">
        <v>25</v>
      </c>
      <c r="I44" s="171">
        <v>19</v>
      </c>
      <c r="J44" s="171">
        <v>44</v>
      </c>
      <c r="K44" s="172">
        <v>28059</v>
      </c>
      <c r="L44" s="170">
        <v>33</v>
      </c>
      <c r="M44" s="171">
        <v>114</v>
      </c>
      <c r="N44" s="171">
        <v>80</v>
      </c>
      <c r="O44" s="171">
        <v>197</v>
      </c>
      <c r="P44" s="172">
        <v>40790</v>
      </c>
      <c r="Q44" s="170">
        <v>35</v>
      </c>
      <c r="R44" s="171">
        <v>212</v>
      </c>
      <c r="S44" s="171">
        <v>137</v>
      </c>
      <c r="T44" s="171">
        <v>350</v>
      </c>
      <c r="U44" s="172">
        <v>29846</v>
      </c>
      <c r="V44" s="170"/>
      <c r="W44" s="171"/>
      <c r="X44" s="171"/>
      <c r="Y44" s="171"/>
      <c r="Z44" s="172"/>
      <c r="AA44" s="170">
        <v>36</v>
      </c>
      <c r="AB44" s="171">
        <v>60</v>
      </c>
      <c r="AC44" s="171">
        <v>35</v>
      </c>
      <c r="AD44" s="171">
        <v>95</v>
      </c>
      <c r="AE44" s="172">
        <v>15992</v>
      </c>
      <c r="AF44" s="170"/>
      <c r="AG44" s="171"/>
      <c r="AH44" s="171"/>
      <c r="AI44" s="171"/>
      <c r="AJ44" s="172"/>
      <c r="AK44" s="170">
        <v>30</v>
      </c>
      <c r="AL44" s="171">
        <v>20</v>
      </c>
      <c r="AM44" s="171">
        <v>13</v>
      </c>
      <c r="AN44" s="171">
        <v>33</v>
      </c>
      <c r="AO44" s="172">
        <v>25967</v>
      </c>
      <c r="AP44" s="173">
        <v>32</v>
      </c>
      <c r="AQ44" s="171">
        <v>101</v>
      </c>
      <c r="AR44" s="171">
        <v>95</v>
      </c>
      <c r="AS44" s="171">
        <v>200</v>
      </c>
      <c r="AT44" s="174">
        <v>120581</v>
      </c>
      <c r="AU44" s="170">
        <v>38</v>
      </c>
      <c r="AV44" s="171">
        <v>1109</v>
      </c>
      <c r="AW44" s="171">
        <v>292</v>
      </c>
      <c r="AX44" s="171">
        <v>1406</v>
      </c>
      <c r="AY44" s="172">
        <v>50954</v>
      </c>
      <c r="AZ44" s="170">
        <v>30</v>
      </c>
      <c r="BA44" s="171">
        <v>46</v>
      </c>
      <c r="BB44" s="171">
        <v>14</v>
      </c>
      <c r="BC44" s="171">
        <v>60</v>
      </c>
      <c r="BD44" s="172">
        <v>64785</v>
      </c>
      <c r="BE44" s="170">
        <v>31</v>
      </c>
      <c r="BF44" s="171">
        <v>325</v>
      </c>
      <c r="BG44" s="171">
        <v>253</v>
      </c>
      <c r="BH44" s="171">
        <v>581</v>
      </c>
      <c r="BI44" s="172">
        <v>111792</v>
      </c>
      <c r="BJ44" s="170">
        <v>30</v>
      </c>
      <c r="BK44" s="171">
        <v>208</v>
      </c>
      <c r="BL44" s="171">
        <v>93</v>
      </c>
      <c r="BM44" s="171">
        <v>302</v>
      </c>
      <c r="BN44" s="172">
        <v>107756</v>
      </c>
      <c r="BO44" s="170">
        <v>36</v>
      </c>
      <c r="BP44" s="171">
        <v>29</v>
      </c>
      <c r="BQ44" s="171">
        <v>7</v>
      </c>
      <c r="BR44" s="171">
        <v>36</v>
      </c>
      <c r="BS44" s="172">
        <v>4656</v>
      </c>
      <c r="BT44" s="170">
        <v>37</v>
      </c>
      <c r="BU44" s="171">
        <v>73</v>
      </c>
      <c r="BV44" s="171">
        <v>36</v>
      </c>
      <c r="BW44" s="171">
        <v>110</v>
      </c>
      <c r="BX44" s="172">
        <v>5111</v>
      </c>
      <c r="BY44" s="170"/>
      <c r="BZ44" s="171"/>
      <c r="CA44" s="171"/>
      <c r="CB44" s="171"/>
      <c r="CC44" s="172"/>
      <c r="CD44" s="170">
        <v>34</v>
      </c>
      <c r="CE44" s="171">
        <v>8</v>
      </c>
      <c r="CF44" s="171">
        <v>2</v>
      </c>
      <c r="CG44" s="171">
        <v>10</v>
      </c>
      <c r="CH44" s="172">
        <v>5499</v>
      </c>
      <c r="CI44" s="175">
        <v>32</v>
      </c>
      <c r="CJ44" s="176">
        <v>5</v>
      </c>
      <c r="CK44" s="176">
        <v>7</v>
      </c>
      <c r="CL44" s="176">
        <v>13</v>
      </c>
      <c r="CM44" s="177">
        <v>6719</v>
      </c>
      <c r="CN44" s="175">
        <v>38</v>
      </c>
      <c r="CO44" s="176">
        <v>9</v>
      </c>
      <c r="CP44" s="176">
        <v>3</v>
      </c>
      <c r="CQ44" s="176">
        <v>12</v>
      </c>
      <c r="CR44" s="177">
        <v>828</v>
      </c>
      <c r="CS44" s="175"/>
      <c r="CT44" s="176"/>
      <c r="CU44" s="176"/>
      <c r="CV44" s="176"/>
      <c r="CW44" s="177"/>
      <c r="CX44" s="175">
        <v>42</v>
      </c>
      <c r="CY44" s="176">
        <v>165</v>
      </c>
      <c r="CZ44" s="176">
        <v>250</v>
      </c>
      <c r="DA44" s="176">
        <v>416</v>
      </c>
      <c r="DB44" s="177">
        <v>2494</v>
      </c>
      <c r="DC44" s="175"/>
      <c r="DD44" s="176"/>
      <c r="DE44" s="176"/>
      <c r="DF44" s="176"/>
      <c r="DG44" s="177"/>
      <c r="DH44" s="175">
        <v>39</v>
      </c>
      <c r="DI44" s="176">
        <v>28</v>
      </c>
      <c r="DJ44" s="176">
        <v>43</v>
      </c>
      <c r="DK44" s="176">
        <v>71</v>
      </c>
      <c r="DL44" s="177">
        <v>1464</v>
      </c>
    </row>
    <row r="45" spans="2:116">
      <c r="B45" s="170">
        <v>30</v>
      </c>
      <c r="C45" s="171">
        <v>135</v>
      </c>
      <c r="D45" s="171">
        <v>113</v>
      </c>
      <c r="E45" s="171">
        <v>250</v>
      </c>
      <c r="F45" s="172">
        <v>121746</v>
      </c>
      <c r="G45" s="170"/>
      <c r="H45" s="171"/>
      <c r="I45" s="171"/>
      <c r="J45" s="171"/>
      <c r="K45" s="172"/>
      <c r="L45" s="170">
        <v>32</v>
      </c>
      <c r="M45" s="171">
        <v>48</v>
      </c>
      <c r="N45" s="171">
        <v>31</v>
      </c>
      <c r="O45" s="171">
        <v>79</v>
      </c>
      <c r="P45" s="172">
        <v>40869</v>
      </c>
      <c r="Q45" s="170">
        <v>34</v>
      </c>
      <c r="R45" s="171">
        <v>118</v>
      </c>
      <c r="S45" s="171">
        <v>93</v>
      </c>
      <c r="T45" s="171">
        <v>212</v>
      </c>
      <c r="U45" s="172">
        <v>30058</v>
      </c>
      <c r="V45" s="170"/>
      <c r="W45" s="171"/>
      <c r="X45" s="171"/>
      <c r="Y45" s="171"/>
      <c r="Z45" s="172"/>
      <c r="AA45" s="170">
        <v>35</v>
      </c>
      <c r="AB45" s="171">
        <v>47</v>
      </c>
      <c r="AC45" s="171">
        <v>35</v>
      </c>
      <c r="AD45" s="171">
        <v>83</v>
      </c>
      <c r="AE45" s="172">
        <v>16075</v>
      </c>
      <c r="AF45" s="170"/>
      <c r="AG45" s="171"/>
      <c r="AH45" s="171"/>
      <c r="AI45" s="171"/>
      <c r="AJ45" s="172"/>
      <c r="AK45" s="170"/>
      <c r="AL45" s="171"/>
      <c r="AM45" s="171"/>
      <c r="AN45" s="171"/>
      <c r="AO45" s="172"/>
      <c r="AP45" s="6"/>
      <c r="AQ45" s="1"/>
      <c r="AR45" s="1"/>
      <c r="AS45" s="7"/>
      <c r="AU45" s="170">
        <v>37</v>
      </c>
      <c r="AV45" s="171">
        <v>901</v>
      </c>
      <c r="AW45" s="171">
        <v>176</v>
      </c>
      <c r="AX45" s="171">
        <v>1082</v>
      </c>
      <c r="AY45" s="172">
        <v>52036</v>
      </c>
      <c r="AZ45" s="170">
        <v>29</v>
      </c>
      <c r="BA45" s="171">
        <v>61</v>
      </c>
      <c r="BB45" s="171">
        <v>38</v>
      </c>
      <c r="BC45" s="171">
        <v>99</v>
      </c>
      <c r="BD45" s="172">
        <v>64884</v>
      </c>
      <c r="BE45" s="170">
        <v>30</v>
      </c>
      <c r="BF45" s="171">
        <v>523</v>
      </c>
      <c r="BG45" s="171">
        <v>313</v>
      </c>
      <c r="BH45" s="171">
        <v>838</v>
      </c>
      <c r="BI45" s="172">
        <v>112630</v>
      </c>
      <c r="BJ45" s="170">
        <v>28</v>
      </c>
      <c r="BK45" s="171">
        <v>83</v>
      </c>
      <c r="BL45" s="171">
        <v>28</v>
      </c>
      <c r="BM45" s="171">
        <v>111</v>
      </c>
      <c r="BN45" s="172">
        <v>107867</v>
      </c>
      <c r="BO45" s="170">
        <v>35</v>
      </c>
      <c r="BP45" s="171">
        <v>22</v>
      </c>
      <c r="BQ45" s="171">
        <v>4</v>
      </c>
      <c r="BR45" s="171">
        <v>26</v>
      </c>
      <c r="BS45" s="172">
        <v>4682</v>
      </c>
      <c r="BT45" s="170">
        <v>36</v>
      </c>
      <c r="BU45" s="171">
        <v>54</v>
      </c>
      <c r="BV45" s="171">
        <v>33</v>
      </c>
      <c r="BW45" s="171">
        <v>88</v>
      </c>
      <c r="BX45" s="172">
        <v>5199</v>
      </c>
      <c r="BY45" s="170"/>
      <c r="BZ45" s="171"/>
      <c r="CA45" s="171"/>
      <c r="CB45" s="171"/>
      <c r="CC45" s="172"/>
      <c r="CD45" s="170"/>
      <c r="CE45" s="171"/>
      <c r="CF45" s="171"/>
      <c r="CG45" s="171"/>
      <c r="CH45" s="172"/>
      <c r="CI45" s="175"/>
      <c r="CJ45" s="176"/>
      <c r="CK45" s="176"/>
      <c r="CL45" s="176"/>
      <c r="CM45" s="177"/>
      <c r="CN45" s="175">
        <v>36</v>
      </c>
      <c r="CO45" s="176">
        <v>8</v>
      </c>
      <c r="CP45" s="176">
        <v>1</v>
      </c>
      <c r="CQ45" s="176">
        <v>9</v>
      </c>
      <c r="CR45" s="177">
        <v>837</v>
      </c>
      <c r="CS45" s="175"/>
      <c r="CT45" s="176"/>
      <c r="CU45" s="176"/>
      <c r="CV45" s="176"/>
      <c r="CW45" s="177"/>
      <c r="CX45" s="175">
        <v>41</v>
      </c>
      <c r="CY45" s="176">
        <v>21</v>
      </c>
      <c r="CZ45" s="176">
        <v>62</v>
      </c>
      <c r="DA45" s="176">
        <v>83</v>
      </c>
      <c r="DB45" s="177">
        <v>2577</v>
      </c>
      <c r="DC45" s="175"/>
      <c r="DD45" s="176"/>
      <c r="DE45" s="176"/>
      <c r="DF45" s="176"/>
      <c r="DG45" s="177"/>
      <c r="DH45" s="175">
        <v>37</v>
      </c>
      <c r="DI45" s="176">
        <v>9</v>
      </c>
      <c r="DJ45" s="176">
        <v>17</v>
      </c>
      <c r="DK45" s="176">
        <v>27</v>
      </c>
      <c r="DL45" s="177">
        <v>1491</v>
      </c>
    </row>
    <row r="46" spans="2:116">
      <c r="B46" s="175">
        <v>29</v>
      </c>
      <c r="C46" s="176">
        <v>193</v>
      </c>
      <c r="D46" s="176">
        <v>144</v>
      </c>
      <c r="E46" s="176">
        <v>337</v>
      </c>
      <c r="F46" s="178">
        <v>122083</v>
      </c>
      <c r="G46" s="179"/>
      <c r="H46" s="180"/>
      <c r="I46" s="180"/>
      <c r="J46" s="180"/>
      <c r="K46" s="181"/>
      <c r="L46" s="175"/>
      <c r="M46" s="176"/>
      <c r="N46" s="176"/>
      <c r="O46" s="176"/>
      <c r="P46" s="177"/>
      <c r="Q46" s="175">
        <v>33</v>
      </c>
      <c r="R46" s="176">
        <v>79</v>
      </c>
      <c r="S46" s="176">
        <v>60</v>
      </c>
      <c r="T46" s="176">
        <v>139</v>
      </c>
      <c r="U46" s="177">
        <v>30197</v>
      </c>
      <c r="V46" s="175"/>
      <c r="W46" s="176"/>
      <c r="X46" s="176"/>
      <c r="Y46" s="176"/>
      <c r="Z46" s="177"/>
      <c r="AA46" s="175">
        <v>33</v>
      </c>
      <c r="AB46" s="176">
        <v>11</v>
      </c>
      <c r="AC46" s="176">
        <v>14</v>
      </c>
      <c r="AD46" s="176">
        <v>25</v>
      </c>
      <c r="AE46" s="177">
        <v>16100</v>
      </c>
      <c r="AF46" s="182"/>
      <c r="AG46" s="176"/>
      <c r="AH46" s="176"/>
      <c r="AI46" s="176"/>
      <c r="AJ46" s="177"/>
      <c r="AK46" s="182"/>
      <c r="AL46" s="176"/>
      <c r="AM46" s="176"/>
      <c r="AN46" s="176"/>
      <c r="AO46" s="177"/>
      <c r="AP46" s="6"/>
      <c r="AQ46" s="1"/>
      <c r="AR46" s="1"/>
      <c r="AS46" s="7"/>
      <c r="AU46" s="170">
        <v>36</v>
      </c>
      <c r="AV46" s="171">
        <v>868</v>
      </c>
      <c r="AW46" s="171">
        <v>187</v>
      </c>
      <c r="AX46" s="171">
        <v>1056</v>
      </c>
      <c r="AY46" s="172">
        <v>53092</v>
      </c>
      <c r="AZ46" s="170">
        <v>28</v>
      </c>
      <c r="BA46" s="171">
        <v>25</v>
      </c>
      <c r="BB46" s="171">
        <v>10</v>
      </c>
      <c r="BC46" s="171">
        <v>35</v>
      </c>
      <c r="BD46" s="172">
        <v>64919</v>
      </c>
      <c r="BE46" s="170">
        <v>29</v>
      </c>
      <c r="BF46" s="171">
        <v>131</v>
      </c>
      <c r="BG46" s="171">
        <v>60</v>
      </c>
      <c r="BH46" s="171">
        <v>191</v>
      </c>
      <c r="BI46" s="172">
        <v>112821</v>
      </c>
      <c r="BJ46" s="170"/>
      <c r="BK46" s="171"/>
      <c r="BL46" s="171"/>
      <c r="BM46" s="171"/>
      <c r="BN46" s="172"/>
      <c r="BO46" s="170">
        <v>33</v>
      </c>
      <c r="BP46" s="171">
        <v>9</v>
      </c>
      <c r="BQ46" s="171">
        <v>1</v>
      </c>
      <c r="BR46" s="171">
        <v>10</v>
      </c>
      <c r="BS46" s="172">
        <v>4692</v>
      </c>
      <c r="BT46" s="170">
        <v>35</v>
      </c>
      <c r="BU46" s="171">
        <v>25</v>
      </c>
      <c r="BV46" s="171">
        <v>13</v>
      </c>
      <c r="BW46" s="171">
        <v>38</v>
      </c>
      <c r="BX46" s="172">
        <v>5237</v>
      </c>
      <c r="BY46" s="170"/>
      <c r="BZ46" s="171"/>
      <c r="CA46" s="171"/>
      <c r="CB46" s="171"/>
      <c r="CC46" s="172"/>
      <c r="CD46" s="170"/>
      <c r="CE46" s="171"/>
      <c r="CF46" s="171"/>
      <c r="CG46" s="171"/>
      <c r="CH46" s="172"/>
      <c r="CI46" s="175"/>
      <c r="CJ46" s="176"/>
      <c r="CK46" s="176"/>
      <c r="CL46" s="176"/>
      <c r="CM46" s="177"/>
      <c r="CN46" s="175">
        <v>35</v>
      </c>
      <c r="CO46" s="176">
        <v>3</v>
      </c>
      <c r="CP46" s="176">
        <v>4</v>
      </c>
      <c r="CQ46" s="176">
        <v>7</v>
      </c>
      <c r="CR46" s="177">
        <v>844</v>
      </c>
      <c r="CS46" s="175"/>
      <c r="CT46" s="176"/>
      <c r="CU46" s="176"/>
      <c r="CV46" s="176"/>
      <c r="CW46" s="177"/>
      <c r="CX46" s="175">
        <v>40</v>
      </c>
      <c r="CY46" s="176">
        <v>44</v>
      </c>
      <c r="CZ46" s="176">
        <v>81</v>
      </c>
      <c r="DA46" s="176">
        <v>125</v>
      </c>
      <c r="DB46" s="177">
        <v>2702</v>
      </c>
      <c r="DC46" s="175"/>
      <c r="DD46" s="176"/>
      <c r="DE46" s="176"/>
      <c r="DF46" s="176"/>
      <c r="DG46" s="177"/>
      <c r="DH46" s="175">
        <v>36</v>
      </c>
      <c r="DI46" s="176">
        <v>10</v>
      </c>
      <c r="DJ46" s="176">
        <v>19</v>
      </c>
      <c r="DK46" s="176">
        <v>29</v>
      </c>
      <c r="DL46" s="177">
        <v>1520</v>
      </c>
    </row>
    <row r="47" spans="2:116">
      <c r="B47" s="175">
        <v>27</v>
      </c>
      <c r="C47" s="176">
        <v>63</v>
      </c>
      <c r="D47" s="176">
        <v>59</v>
      </c>
      <c r="E47" s="176">
        <v>123</v>
      </c>
      <c r="F47" s="178">
        <v>122206</v>
      </c>
      <c r="G47" s="179"/>
      <c r="H47" s="180"/>
      <c r="I47" s="180"/>
      <c r="J47" s="180"/>
      <c r="K47" s="181"/>
      <c r="L47" s="175"/>
      <c r="M47" s="176"/>
      <c r="N47" s="176"/>
      <c r="O47" s="176"/>
      <c r="P47" s="177"/>
      <c r="Q47" s="175">
        <v>32</v>
      </c>
      <c r="R47" s="176">
        <v>45</v>
      </c>
      <c r="S47" s="176">
        <v>28</v>
      </c>
      <c r="T47" s="176">
        <v>73</v>
      </c>
      <c r="U47" s="177">
        <v>30270</v>
      </c>
      <c r="V47" s="6"/>
      <c r="W47" s="1"/>
      <c r="X47" s="1"/>
      <c r="Y47" s="7"/>
      <c r="AA47" s="6"/>
      <c r="AB47" s="1"/>
      <c r="AC47" s="1"/>
      <c r="AD47" s="7"/>
      <c r="AF47" s="6"/>
      <c r="AG47" s="1"/>
      <c r="AH47" s="1"/>
      <c r="AI47" s="7"/>
      <c r="AK47" s="6"/>
      <c r="AL47" s="1"/>
      <c r="AM47" s="1"/>
      <c r="AN47" s="7"/>
      <c r="AP47" s="6"/>
      <c r="AQ47" s="1"/>
      <c r="AR47" s="1"/>
      <c r="AS47" s="7"/>
      <c r="AU47" s="170">
        <v>35</v>
      </c>
      <c r="AV47" s="171">
        <v>393</v>
      </c>
      <c r="AW47" s="171">
        <v>86</v>
      </c>
      <c r="AX47" s="171">
        <v>482</v>
      </c>
      <c r="AY47" s="172">
        <v>53574</v>
      </c>
      <c r="AZ47" s="170"/>
      <c r="BA47" s="171"/>
      <c r="BB47" s="171"/>
      <c r="BC47" s="171"/>
      <c r="BD47" s="172"/>
      <c r="BE47" s="170">
        <v>28</v>
      </c>
      <c r="BF47" s="171">
        <v>122</v>
      </c>
      <c r="BG47" s="171">
        <v>72</v>
      </c>
      <c r="BH47" s="171">
        <v>194</v>
      </c>
      <c r="BI47" s="172">
        <v>113015</v>
      </c>
      <c r="BJ47" s="170"/>
      <c r="BK47" s="171"/>
      <c r="BL47" s="171"/>
      <c r="BM47" s="171"/>
      <c r="BN47" s="172"/>
      <c r="BO47" s="170"/>
      <c r="BP47" s="171"/>
      <c r="BQ47" s="171"/>
      <c r="BR47" s="171"/>
      <c r="BS47" s="172"/>
      <c r="BT47" s="170">
        <v>33</v>
      </c>
      <c r="BU47" s="171">
        <v>12</v>
      </c>
      <c r="BV47" s="171">
        <v>9</v>
      </c>
      <c r="BW47" s="171">
        <v>21</v>
      </c>
      <c r="BX47" s="172">
        <v>5258</v>
      </c>
      <c r="BY47" s="170"/>
      <c r="BZ47" s="171"/>
      <c r="CA47" s="171"/>
      <c r="CB47" s="171"/>
      <c r="CC47" s="172"/>
      <c r="CD47" s="170"/>
      <c r="CE47" s="171"/>
      <c r="CF47" s="171"/>
      <c r="CG47" s="171"/>
      <c r="CH47" s="172"/>
      <c r="CI47" s="175"/>
      <c r="CJ47" s="176"/>
      <c r="CK47" s="176"/>
      <c r="CL47" s="176"/>
      <c r="CM47" s="177"/>
      <c r="CN47" s="175">
        <v>33</v>
      </c>
      <c r="CO47" s="176">
        <v>3</v>
      </c>
      <c r="CP47" s="176">
        <v>3</v>
      </c>
      <c r="CQ47" s="176">
        <v>6</v>
      </c>
      <c r="CR47" s="177">
        <v>850</v>
      </c>
      <c r="CS47" s="175"/>
      <c r="CT47" s="176"/>
      <c r="CU47" s="176"/>
      <c r="CV47" s="176"/>
      <c r="CW47" s="177"/>
      <c r="CX47" s="175">
        <v>39</v>
      </c>
      <c r="CY47" s="176">
        <v>27</v>
      </c>
      <c r="CZ47" s="176">
        <v>54</v>
      </c>
      <c r="DA47" s="176">
        <v>82</v>
      </c>
      <c r="DB47" s="177">
        <v>2784</v>
      </c>
      <c r="DC47" s="175"/>
      <c r="DD47" s="176"/>
      <c r="DE47" s="176"/>
      <c r="DF47" s="176"/>
      <c r="DG47" s="177"/>
      <c r="DH47" s="175">
        <v>34</v>
      </c>
      <c r="DI47" s="176">
        <v>13</v>
      </c>
      <c r="DJ47" s="176">
        <v>34</v>
      </c>
      <c r="DK47" s="176">
        <v>47</v>
      </c>
      <c r="DL47" s="177">
        <v>1567</v>
      </c>
    </row>
    <row r="48" spans="2:116">
      <c r="B48" s="175"/>
      <c r="C48" s="176"/>
      <c r="D48" s="176"/>
      <c r="E48" s="176"/>
      <c r="F48" s="178"/>
      <c r="G48" s="179"/>
      <c r="H48" s="180"/>
      <c r="I48" s="180"/>
      <c r="J48" s="180"/>
      <c r="K48" s="181"/>
      <c r="L48" s="179"/>
      <c r="M48" s="180"/>
      <c r="N48" s="180"/>
      <c r="O48" s="180"/>
      <c r="P48" s="181"/>
      <c r="Q48" s="175">
        <v>31</v>
      </c>
      <c r="R48" s="176">
        <v>38</v>
      </c>
      <c r="S48" s="176">
        <v>24</v>
      </c>
      <c r="T48" s="176">
        <v>62</v>
      </c>
      <c r="U48" s="177">
        <v>30332</v>
      </c>
      <c r="V48" s="6"/>
      <c r="W48" s="1"/>
      <c r="X48" s="1"/>
      <c r="Y48" s="7"/>
      <c r="AA48" s="6"/>
      <c r="AB48" s="1"/>
      <c r="AC48" s="1"/>
      <c r="AD48" s="7"/>
      <c r="AF48" s="6"/>
      <c r="AG48" s="1"/>
      <c r="AH48" s="1"/>
      <c r="AI48" s="7"/>
      <c r="AK48" s="6"/>
      <c r="AL48" s="1"/>
      <c r="AM48" s="1"/>
      <c r="AN48" s="7"/>
      <c r="AP48" s="6"/>
      <c r="AQ48" s="1"/>
      <c r="AR48" s="1"/>
      <c r="AS48" s="7"/>
      <c r="AU48" s="170">
        <v>34</v>
      </c>
      <c r="AV48" s="171">
        <v>408</v>
      </c>
      <c r="AW48" s="171">
        <v>95</v>
      </c>
      <c r="AX48" s="171">
        <v>504</v>
      </c>
      <c r="AY48" s="172">
        <v>54078</v>
      </c>
      <c r="AZ48" s="170"/>
      <c r="BA48" s="171"/>
      <c r="BB48" s="171"/>
      <c r="BC48" s="171"/>
      <c r="BD48" s="172"/>
      <c r="BE48" s="170">
        <v>26</v>
      </c>
      <c r="BF48" s="171">
        <v>41</v>
      </c>
      <c r="BG48" s="171">
        <v>20</v>
      </c>
      <c r="BH48" s="171">
        <v>61</v>
      </c>
      <c r="BI48" s="172">
        <v>113076</v>
      </c>
      <c r="BJ48" s="170"/>
      <c r="BK48" s="171"/>
      <c r="BL48" s="171"/>
      <c r="BM48" s="171"/>
      <c r="BN48" s="172"/>
      <c r="BO48" s="6"/>
      <c r="BP48" s="1"/>
      <c r="BQ48" s="1"/>
      <c r="BR48" s="7"/>
      <c r="BT48" s="6"/>
      <c r="BU48" s="1"/>
      <c r="BV48" s="1"/>
      <c r="BW48" s="7"/>
      <c r="BY48" s="6"/>
      <c r="BZ48" s="1"/>
      <c r="CA48" s="1"/>
      <c r="CB48" s="7"/>
      <c r="CD48" s="6"/>
      <c r="CE48" s="1"/>
      <c r="CF48" s="1"/>
      <c r="CG48" s="7"/>
      <c r="CI48" s="175"/>
      <c r="CJ48" s="176"/>
      <c r="CK48" s="176"/>
      <c r="CL48" s="176"/>
      <c r="CM48" s="177"/>
      <c r="CN48" s="175"/>
      <c r="CO48" s="176"/>
      <c r="CP48" s="176"/>
      <c r="CQ48" s="176"/>
      <c r="CR48" s="177"/>
      <c r="CS48" s="175"/>
      <c r="CT48" s="176"/>
      <c r="CU48" s="176"/>
      <c r="CV48" s="176"/>
      <c r="CW48" s="177"/>
      <c r="CX48" s="175">
        <v>38</v>
      </c>
      <c r="CY48" s="176">
        <v>15</v>
      </c>
      <c r="CZ48" s="176">
        <v>34</v>
      </c>
      <c r="DA48" s="176">
        <v>50</v>
      </c>
      <c r="DB48" s="177">
        <v>2834</v>
      </c>
      <c r="DC48" s="175"/>
      <c r="DD48" s="176"/>
      <c r="DE48" s="176"/>
      <c r="DF48" s="176"/>
      <c r="DG48" s="177"/>
      <c r="DH48" s="175">
        <v>33</v>
      </c>
      <c r="DI48" s="176">
        <v>1</v>
      </c>
      <c r="DJ48" s="176">
        <v>10</v>
      </c>
      <c r="DK48" s="176">
        <v>11</v>
      </c>
      <c r="DL48" s="177">
        <v>1578</v>
      </c>
    </row>
    <row r="49" spans="2:116">
      <c r="B49" s="175"/>
      <c r="C49" s="176"/>
      <c r="D49" s="176"/>
      <c r="E49" s="176"/>
      <c r="F49" s="178"/>
      <c r="G49" s="179"/>
      <c r="H49" s="180"/>
      <c r="I49" s="180"/>
      <c r="J49" s="180"/>
      <c r="K49" s="181"/>
      <c r="L49" s="179"/>
      <c r="M49" s="180"/>
      <c r="N49" s="180"/>
      <c r="O49" s="180"/>
      <c r="P49" s="181"/>
      <c r="Q49" s="175">
        <v>30</v>
      </c>
      <c r="R49" s="176">
        <v>23</v>
      </c>
      <c r="S49" s="176">
        <v>15</v>
      </c>
      <c r="T49" s="176">
        <v>40</v>
      </c>
      <c r="U49" s="177">
        <v>30372</v>
      </c>
      <c r="V49" s="6"/>
      <c r="W49" s="1"/>
      <c r="X49" s="1"/>
      <c r="Y49" s="7"/>
      <c r="AA49" s="6"/>
      <c r="AB49" s="1"/>
      <c r="AC49" s="1"/>
      <c r="AD49" s="7"/>
      <c r="AF49" s="6"/>
      <c r="AG49" s="1"/>
      <c r="AH49" s="1"/>
      <c r="AI49" s="7"/>
      <c r="AK49" s="6"/>
      <c r="AL49" s="1"/>
      <c r="AM49" s="1"/>
      <c r="AN49" s="7"/>
      <c r="AP49" s="6"/>
      <c r="AQ49" s="1"/>
      <c r="AR49" s="1"/>
      <c r="AS49" s="7"/>
      <c r="AU49" s="170">
        <v>33</v>
      </c>
      <c r="AV49" s="171">
        <v>260</v>
      </c>
      <c r="AW49" s="171">
        <v>56</v>
      </c>
      <c r="AX49" s="171">
        <v>316</v>
      </c>
      <c r="AY49" s="172">
        <v>54394</v>
      </c>
      <c r="AZ49" s="170"/>
      <c r="BA49" s="171"/>
      <c r="BB49" s="171"/>
      <c r="BC49" s="171"/>
      <c r="BD49" s="172"/>
      <c r="BE49" s="170"/>
      <c r="BF49" s="171"/>
      <c r="BG49" s="171"/>
      <c r="BH49" s="171"/>
      <c r="BI49" s="172"/>
      <c r="BJ49" s="170"/>
      <c r="BK49" s="171"/>
      <c r="BL49" s="171"/>
      <c r="BM49" s="171"/>
      <c r="BN49" s="172"/>
      <c r="BO49" s="6"/>
      <c r="BP49" s="1"/>
      <c r="BQ49" s="1"/>
      <c r="BR49" s="7"/>
      <c r="BT49" s="6"/>
      <c r="BU49" s="1"/>
      <c r="BV49" s="1"/>
      <c r="BW49" s="7"/>
      <c r="BY49" s="6"/>
      <c r="BZ49" s="1"/>
      <c r="CA49" s="1"/>
      <c r="CB49" s="7"/>
      <c r="CD49" s="6"/>
      <c r="CE49" s="1"/>
      <c r="CF49" s="1"/>
      <c r="CG49" s="7"/>
      <c r="CI49" s="175"/>
      <c r="CJ49" s="176"/>
      <c r="CK49" s="176"/>
      <c r="CL49" s="176"/>
      <c r="CM49" s="177"/>
      <c r="CN49" s="175"/>
      <c r="CO49" s="176"/>
      <c r="CP49" s="176"/>
      <c r="CQ49" s="176"/>
      <c r="CR49" s="177"/>
      <c r="CS49" s="175"/>
      <c r="CT49" s="176"/>
      <c r="CU49" s="176"/>
      <c r="CV49" s="176"/>
      <c r="CW49" s="177"/>
      <c r="CX49" s="175">
        <v>37</v>
      </c>
      <c r="CY49" s="176">
        <v>15</v>
      </c>
      <c r="CZ49" s="176">
        <v>34</v>
      </c>
      <c r="DA49" s="176">
        <v>50</v>
      </c>
      <c r="DB49" s="177">
        <v>2884</v>
      </c>
      <c r="DC49" s="175"/>
      <c r="DD49" s="176"/>
      <c r="DE49" s="176"/>
      <c r="DF49" s="176"/>
      <c r="DG49" s="177"/>
      <c r="DH49" s="175">
        <v>32</v>
      </c>
      <c r="DI49" s="176">
        <v>2</v>
      </c>
      <c r="DJ49" s="176">
        <v>10</v>
      </c>
      <c r="DK49" s="176">
        <v>12</v>
      </c>
      <c r="DL49" s="177">
        <v>1590</v>
      </c>
    </row>
    <row r="50" spans="2:116">
      <c r="B50" s="6"/>
      <c r="C50" s="1"/>
      <c r="D50" s="1"/>
      <c r="E50" s="7"/>
      <c r="G50" s="6"/>
      <c r="H50" s="1"/>
      <c r="I50" s="1"/>
      <c r="J50" s="7"/>
      <c r="L50" s="6"/>
      <c r="M50" s="1"/>
      <c r="N50" s="1"/>
      <c r="O50" s="7"/>
      <c r="Q50" s="6"/>
      <c r="R50" s="1"/>
      <c r="S50" s="1"/>
      <c r="T50" s="7"/>
      <c r="V50" s="6"/>
      <c r="W50" s="1"/>
      <c r="X50" s="1"/>
      <c r="Y50" s="7"/>
      <c r="AA50" s="6"/>
      <c r="AB50" s="1"/>
      <c r="AC50" s="1"/>
      <c r="AD50" s="7"/>
      <c r="AF50" s="6"/>
      <c r="AG50" s="1"/>
      <c r="AH50" s="1"/>
      <c r="AI50" s="7"/>
      <c r="AK50" s="6"/>
      <c r="AL50" s="1"/>
      <c r="AM50" s="1"/>
      <c r="AN50" s="7"/>
      <c r="AP50" s="6"/>
      <c r="AQ50" s="1"/>
      <c r="AR50" s="1"/>
      <c r="AS50" s="7"/>
      <c r="AU50" s="170">
        <v>32</v>
      </c>
      <c r="AV50" s="171">
        <v>96</v>
      </c>
      <c r="AW50" s="171">
        <v>18</v>
      </c>
      <c r="AX50" s="171">
        <v>114</v>
      </c>
      <c r="AY50" s="172">
        <v>54508</v>
      </c>
      <c r="AZ50" s="170"/>
      <c r="BA50" s="171"/>
      <c r="BB50" s="171"/>
      <c r="BC50" s="171"/>
      <c r="BD50" s="172"/>
      <c r="BE50" s="170"/>
      <c r="BF50" s="171"/>
      <c r="BG50" s="171"/>
      <c r="BH50" s="171"/>
      <c r="BI50" s="172"/>
      <c r="BJ50" s="170"/>
      <c r="BK50" s="171"/>
      <c r="BL50" s="171"/>
      <c r="BM50" s="171"/>
      <c r="BN50" s="172"/>
      <c r="BO50" s="6"/>
      <c r="BP50" s="1"/>
      <c r="BQ50" s="1"/>
      <c r="BR50" s="7"/>
      <c r="BT50" s="6"/>
      <c r="BU50" s="1"/>
      <c r="BV50" s="1"/>
      <c r="BW50" s="7"/>
      <c r="BY50" s="6"/>
      <c r="BZ50" s="1"/>
      <c r="CA50" s="1"/>
      <c r="CB50" s="7"/>
      <c r="CD50" s="6"/>
      <c r="CE50" s="1"/>
      <c r="CF50" s="1"/>
      <c r="CG50" s="7"/>
      <c r="CI50" s="175"/>
      <c r="CJ50" s="176"/>
      <c r="CK50" s="176"/>
      <c r="CL50" s="176"/>
      <c r="CM50" s="177"/>
      <c r="CN50" s="175"/>
      <c r="CO50" s="176"/>
      <c r="CP50" s="176"/>
      <c r="CQ50" s="176"/>
      <c r="CR50" s="177"/>
      <c r="CS50" s="175"/>
      <c r="CT50" s="176"/>
      <c r="CU50" s="176"/>
      <c r="CV50" s="176"/>
      <c r="CW50" s="177"/>
      <c r="CX50" s="175">
        <v>36</v>
      </c>
      <c r="CY50" s="176">
        <v>16</v>
      </c>
      <c r="CZ50" s="176">
        <v>23</v>
      </c>
      <c r="DA50" s="176">
        <v>39</v>
      </c>
      <c r="DB50" s="177">
        <v>2923</v>
      </c>
      <c r="DC50" s="175"/>
      <c r="DD50" s="176"/>
      <c r="DE50" s="176"/>
      <c r="DF50" s="176"/>
      <c r="DG50" s="177"/>
      <c r="DH50" s="175">
        <v>29</v>
      </c>
      <c r="DI50" s="176">
        <v>3</v>
      </c>
      <c r="DJ50" s="176">
        <v>5</v>
      </c>
      <c r="DK50" s="176">
        <v>8</v>
      </c>
      <c r="DL50" s="177">
        <v>1598</v>
      </c>
    </row>
    <row r="51" spans="2:116">
      <c r="B51" s="6"/>
      <c r="C51" s="1"/>
      <c r="D51" s="1"/>
      <c r="E51" s="7"/>
      <c r="G51" s="6"/>
      <c r="H51" s="1"/>
      <c r="I51" s="1"/>
      <c r="J51" s="7"/>
      <c r="L51" s="6"/>
      <c r="M51" s="1"/>
      <c r="N51" s="1"/>
      <c r="O51" s="7"/>
      <c r="Q51" s="6"/>
      <c r="R51" s="1"/>
      <c r="S51" s="1"/>
      <c r="T51" s="7"/>
      <c r="V51" s="6"/>
      <c r="W51" s="1"/>
      <c r="X51" s="1"/>
      <c r="Y51" s="7"/>
      <c r="AA51" s="6"/>
      <c r="AB51" s="1"/>
      <c r="AC51" s="1"/>
      <c r="AD51" s="7"/>
      <c r="AF51" s="6"/>
      <c r="AG51" s="1"/>
      <c r="AH51" s="1"/>
      <c r="AI51" s="7"/>
      <c r="AK51" s="6"/>
      <c r="AL51" s="1"/>
      <c r="AM51" s="1"/>
      <c r="AN51" s="7"/>
      <c r="AP51" s="6"/>
      <c r="AQ51" s="1"/>
      <c r="AR51" s="1"/>
      <c r="AS51" s="7"/>
      <c r="AU51" s="170">
        <v>31</v>
      </c>
      <c r="AV51" s="171">
        <v>109</v>
      </c>
      <c r="AW51" s="171">
        <v>36</v>
      </c>
      <c r="AX51" s="171">
        <v>145</v>
      </c>
      <c r="AY51" s="172">
        <v>54653</v>
      </c>
      <c r="AZ51" s="170"/>
      <c r="BA51" s="171"/>
      <c r="BB51" s="171"/>
      <c r="BC51" s="171"/>
      <c r="BD51" s="172"/>
      <c r="BE51" s="170"/>
      <c r="BF51" s="171"/>
      <c r="BG51" s="171"/>
      <c r="BH51" s="171"/>
      <c r="BI51" s="172"/>
      <c r="BJ51" s="170"/>
      <c r="BK51" s="171"/>
      <c r="BL51" s="171"/>
      <c r="BM51" s="171"/>
      <c r="BN51" s="172"/>
      <c r="BO51" s="6"/>
      <c r="BP51" s="1"/>
      <c r="BQ51" s="1"/>
      <c r="BR51" s="7"/>
      <c r="BT51" s="6"/>
      <c r="BU51" s="1"/>
      <c r="BV51" s="1"/>
      <c r="BW51" s="7"/>
      <c r="BY51" s="6"/>
      <c r="BZ51" s="1"/>
      <c r="CA51" s="1"/>
      <c r="CB51" s="7"/>
      <c r="CD51" s="6"/>
      <c r="CE51" s="1"/>
      <c r="CF51" s="1"/>
      <c r="CG51" s="7"/>
      <c r="CI51" s="175"/>
      <c r="CJ51" s="176"/>
      <c r="CK51" s="176"/>
      <c r="CL51" s="176"/>
      <c r="CM51" s="177"/>
      <c r="CN51" s="175"/>
      <c r="CO51" s="176"/>
      <c r="CP51" s="176"/>
      <c r="CQ51" s="176"/>
      <c r="CR51" s="177"/>
      <c r="CS51" s="175"/>
      <c r="CT51" s="176"/>
      <c r="CU51" s="176"/>
      <c r="CV51" s="176"/>
      <c r="CW51" s="177"/>
      <c r="CX51" s="175">
        <v>35</v>
      </c>
      <c r="CY51" s="176">
        <v>7</v>
      </c>
      <c r="CZ51" s="176">
        <v>8</v>
      </c>
      <c r="DA51" s="176">
        <v>15</v>
      </c>
      <c r="DB51" s="177">
        <v>2938</v>
      </c>
      <c r="DC51" s="6"/>
      <c r="DD51" s="1"/>
      <c r="DE51" s="1"/>
      <c r="DF51" s="7"/>
      <c r="DH51" s="6"/>
      <c r="DI51" s="1"/>
      <c r="DJ51" s="1"/>
      <c r="DK51" s="7"/>
    </row>
    <row r="52" spans="2:116" ht="17.5" thickBot="1">
      <c r="B52" s="8"/>
      <c r="C52" s="9"/>
      <c r="D52" s="9"/>
      <c r="E52" s="2"/>
      <c r="G52" s="8"/>
      <c r="H52" s="9"/>
      <c r="I52" s="9"/>
      <c r="J52" s="2"/>
      <c r="L52" s="8"/>
      <c r="M52" s="9"/>
      <c r="N52" s="9"/>
      <c r="O52" s="2"/>
      <c r="Q52" s="8"/>
      <c r="R52" s="9"/>
      <c r="S52" s="9"/>
      <c r="T52" s="2"/>
      <c r="V52" s="8"/>
      <c r="W52" s="9"/>
      <c r="X52" s="9"/>
      <c r="Y52" s="2"/>
      <c r="AA52" s="8"/>
      <c r="AB52" s="9"/>
      <c r="AC52" s="9"/>
      <c r="AD52" s="2"/>
      <c r="AF52" s="8"/>
      <c r="AG52" s="9"/>
      <c r="AH52" s="9"/>
      <c r="AI52" s="2"/>
      <c r="AK52" s="8"/>
      <c r="AL52" s="9"/>
      <c r="AM52" s="9"/>
      <c r="AN52" s="2"/>
      <c r="AP52" s="8"/>
      <c r="AQ52" s="9"/>
      <c r="AR52" s="9"/>
      <c r="AS52" s="2"/>
      <c r="AU52" s="170">
        <v>29</v>
      </c>
      <c r="AV52" s="171">
        <v>40</v>
      </c>
      <c r="AW52" s="171">
        <v>4</v>
      </c>
      <c r="AX52" s="171">
        <v>44</v>
      </c>
      <c r="AY52" s="172">
        <v>54697</v>
      </c>
      <c r="AZ52" s="170"/>
      <c r="BA52" s="171"/>
      <c r="BB52" s="171"/>
      <c r="BC52" s="171"/>
      <c r="BD52" s="172"/>
      <c r="BE52" s="170"/>
      <c r="BF52" s="171"/>
      <c r="BG52" s="171"/>
      <c r="BH52" s="171"/>
      <c r="BI52" s="172"/>
      <c r="BJ52" s="170"/>
      <c r="BK52" s="171"/>
      <c r="BL52" s="171"/>
      <c r="BM52" s="171"/>
      <c r="BN52" s="172"/>
      <c r="BO52" s="8"/>
      <c r="BP52" s="9"/>
      <c r="BQ52" s="9"/>
      <c r="BR52" s="2"/>
      <c r="BT52" s="8"/>
      <c r="BU52" s="9"/>
      <c r="BV52" s="9"/>
      <c r="BW52" s="2"/>
      <c r="BY52" s="8"/>
      <c r="BZ52" s="9"/>
      <c r="CA52" s="9"/>
      <c r="CB52" s="2"/>
      <c r="CD52" s="8"/>
      <c r="CE52" s="9"/>
      <c r="CF52" s="9"/>
      <c r="CG52" s="2"/>
      <c r="CI52" s="183"/>
      <c r="CJ52" s="176"/>
      <c r="CK52" s="176"/>
      <c r="CL52" s="176"/>
      <c r="CM52" s="177"/>
      <c r="CN52" s="175"/>
      <c r="CO52" s="176"/>
      <c r="CP52" s="176"/>
      <c r="CQ52" s="176"/>
      <c r="CR52" s="177"/>
      <c r="CS52" s="175"/>
      <c r="CT52" s="176"/>
      <c r="CU52" s="176"/>
      <c r="CV52" s="176"/>
      <c r="CW52" s="177"/>
      <c r="CX52" s="175">
        <v>34</v>
      </c>
      <c r="CY52" s="176">
        <v>7</v>
      </c>
      <c r="CZ52" s="176">
        <v>21</v>
      </c>
      <c r="DA52" s="176">
        <v>28</v>
      </c>
      <c r="DB52" s="177">
        <v>2966</v>
      </c>
      <c r="DC52" s="8"/>
      <c r="DD52" s="9"/>
      <c r="DE52" s="9"/>
      <c r="DF52" s="2"/>
      <c r="DH52" s="8"/>
      <c r="DI52" s="9"/>
      <c r="DJ52" s="9"/>
      <c r="DK52" s="2"/>
    </row>
    <row r="53" spans="2:116">
      <c r="CI53" s="183"/>
      <c r="CJ53" s="176"/>
      <c r="CK53" s="176"/>
      <c r="CL53" s="176"/>
      <c r="CM53" s="177"/>
      <c r="CN53" s="175"/>
      <c r="CO53" s="176"/>
      <c r="CP53" s="176"/>
      <c r="CQ53" s="176"/>
      <c r="CR53" s="177"/>
      <c r="CS53" s="175"/>
      <c r="CT53" s="176"/>
      <c r="CU53" s="176"/>
      <c r="CV53" s="176"/>
      <c r="CW53" s="177"/>
      <c r="CX53" s="175">
        <v>32</v>
      </c>
      <c r="CY53" s="176">
        <v>3</v>
      </c>
      <c r="CZ53" s="176">
        <v>3</v>
      </c>
      <c r="DA53" s="176">
        <v>6</v>
      </c>
      <c r="DB53" s="177">
        <v>2972</v>
      </c>
    </row>
  </sheetData>
  <mergeCells count="23">
    <mergeCell ref="CN3:CR3"/>
    <mergeCell ref="CS3:CW3"/>
    <mergeCell ref="CX3:DB3"/>
    <mergeCell ref="DC3:DG3"/>
    <mergeCell ref="DH3:DL3"/>
    <mergeCell ref="BJ3:BN3"/>
    <mergeCell ref="BO3:BS3"/>
    <mergeCell ref="BT3:BX3"/>
    <mergeCell ref="BY3:CC3"/>
    <mergeCell ref="CD3:CH3"/>
    <mergeCell ref="CI3:CM3"/>
    <mergeCell ref="AF3:AJ3"/>
    <mergeCell ref="AK3:AO3"/>
    <mergeCell ref="AP3:AT3"/>
    <mergeCell ref="AU3:AY3"/>
    <mergeCell ref="AZ3:BD3"/>
    <mergeCell ref="BE3:BI3"/>
    <mergeCell ref="B3:F3"/>
    <mergeCell ref="G3:K3"/>
    <mergeCell ref="L3:P3"/>
    <mergeCell ref="Q3:U3"/>
    <mergeCell ref="V3:Z3"/>
    <mergeCell ref="AA3:AE3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BFFD9-ECD1-4F20-92E4-14F247EF20FA}">
  <sheetPr codeName="Sheet24"/>
  <dimension ref="A3:M88"/>
  <sheetViews>
    <sheetView topLeftCell="A66" workbookViewId="0">
      <selection activeCell="A3" sqref="A3:M88"/>
    </sheetView>
  </sheetViews>
  <sheetFormatPr defaultRowHeight="17"/>
  <cols>
    <col min="2" max="29" width="12.58203125" customWidth="1"/>
    <col min="30" max="30" width="18.58203125" customWidth="1"/>
    <col min="31" max="31" width="12.58203125" customWidth="1"/>
    <col min="32" max="32" width="24.58203125" customWidth="1"/>
    <col min="33" max="41" width="12.58203125" customWidth="1"/>
  </cols>
  <sheetData>
    <row r="3" spans="1:13" ht="18" customHeight="1">
      <c r="B3" s="1" t="s">
        <v>3</v>
      </c>
      <c r="E3" s="1" t="s">
        <v>4</v>
      </c>
      <c r="H3" s="1" t="s">
        <v>5</v>
      </c>
      <c r="K3" s="1" t="s">
        <v>6</v>
      </c>
    </row>
    <row r="4" spans="1:13">
      <c r="A4" s="1" t="s">
        <v>18</v>
      </c>
      <c r="B4" s="184">
        <v>66</v>
      </c>
      <c r="C4" s="185">
        <v>7651</v>
      </c>
      <c r="D4" s="186">
        <v>6.26</v>
      </c>
      <c r="E4" s="187">
        <v>69</v>
      </c>
      <c r="F4" s="185">
        <v>1583</v>
      </c>
      <c r="G4" s="186">
        <v>5.64</v>
      </c>
      <c r="H4" s="184">
        <v>69</v>
      </c>
      <c r="I4" s="185">
        <v>2284</v>
      </c>
      <c r="J4" s="188">
        <v>5.59</v>
      </c>
      <c r="K4" s="184">
        <v>70</v>
      </c>
      <c r="L4" s="185">
        <v>1690</v>
      </c>
      <c r="M4" s="189">
        <v>5.56</v>
      </c>
    </row>
    <row r="5" spans="1:13">
      <c r="A5" s="1" t="s">
        <v>19</v>
      </c>
      <c r="B5" s="190">
        <v>63</v>
      </c>
      <c r="C5" s="191">
        <v>6116</v>
      </c>
      <c r="D5" s="192">
        <v>5</v>
      </c>
      <c r="E5" s="193">
        <v>65</v>
      </c>
      <c r="F5" s="191">
        <v>1921</v>
      </c>
      <c r="G5" s="192">
        <v>6.85</v>
      </c>
      <c r="H5" s="190">
        <v>65</v>
      </c>
      <c r="I5" s="191">
        <v>2283</v>
      </c>
      <c r="J5" s="194">
        <v>5.59</v>
      </c>
      <c r="K5" s="190">
        <v>65</v>
      </c>
      <c r="L5" s="191">
        <v>1730</v>
      </c>
      <c r="M5" s="195">
        <v>5.7</v>
      </c>
    </row>
    <row r="6" spans="1:13">
      <c r="A6" s="1" t="s">
        <v>20</v>
      </c>
      <c r="B6" s="190">
        <v>58</v>
      </c>
      <c r="C6" s="191">
        <v>17517</v>
      </c>
      <c r="D6" s="192">
        <v>14.33</v>
      </c>
      <c r="E6" s="193">
        <v>59</v>
      </c>
      <c r="F6" s="191">
        <v>3008</v>
      </c>
      <c r="G6" s="192">
        <v>10.72</v>
      </c>
      <c r="H6" s="190">
        <v>58</v>
      </c>
      <c r="I6" s="191">
        <v>5291</v>
      </c>
      <c r="J6" s="194">
        <v>12.95</v>
      </c>
      <c r="K6" s="190">
        <v>57</v>
      </c>
      <c r="L6" s="191">
        <v>4093</v>
      </c>
      <c r="M6" s="195">
        <v>13.48</v>
      </c>
    </row>
    <row r="7" spans="1:13">
      <c r="A7" s="1" t="s">
        <v>21</v>
      </c>
      <c r="B7" s="190">
        <v>53</v>
      </c>
      <c r="C7" s="191">
        <v>22558</v>
      </c>
      <c r="D7" s="192">
        <v>18.46</v>
      </c>
      <c r="E7" s="193">
        <v>51</v>
      </c>
      <c r="F7" s="191">
        <v>5065</v>
      </c>
      <c r="G7" s="192">
        <v>18.05</v>
      </c>
      <c r="H7" s="190">
        <v>51</v>
      </c>
      <c r="I7" s="191">
        <v>7240</v>
      </c>
      <c r="J7" s="194">
        <v>17.72</v>
      </c>
      <c r="K7" s="190">
        <v>51</v>
      </c>
      <c r="L7" s="191">
        <v>5484</v>
      </c>
      <c r="M7" s="195">
        <v>18.059999999999999</v>
      </c>
    </row>
    <row r="8" spans="1:13">
      <c r="A8" s="1" t="s">
        <v>22</v>
      </c>
      <c r="B8" s="190">
        <v>47</v>
      </c>
      <c r="C8" s="191">
        <v>22378</v>
      </c>
      <c r="D8" s="192">
        <v>18.309999999999999</v>
      </c>
      <c r="E8" s="193">
        <v>44</v>
      </c>
      <c r="F8" s="191">
        <v>6272</v>
      </c>
      <c r="G8" s="192">
        <v>22.35</v>
      </c>
      <c r="H8" s="190">
        <v>45</v>
      </c>
      <c r="I8" s="191">
        <v>9083</v>
      </c>
      <c r="J8" s="194">
        <v>22.22</v>
      </c>
      <c r="K8" s="190">
        <v>46</v>
      </c>
      <c r="L8" s="191">
        <v>5470</v>
      </c>
      <c r="M8" s="195">
        <v>18.010000000000002</v>
      </c>
    </row>
    <row r="9" spans="1:13">
      <c r="A9" s="1" t="s">
        <v>23</v>
      </c>
      <c r="B9" s="190">
        <v>41</v>
      </c>
      <c r="C9" s="191">
        <v>18663</v>
      </c>
      <c r="D9" s="192">
        <v>15.27</v>
      </c>
      <c r="E9" s="193">
        <v>42</v>
      </c>
      <c r="F9" s="191">
        <v>4369</v>
      </c>
      <c r="G9" s="192">
        <v>15.57</v>
      </c>
      <c r="H9" s="190">
        <v>41</v>
      </c>
      <c r="I9" s="191">
        <v>5968</v>
      </c>
      <c r="J9" s="194">
        <v>14.6</v>
      </c>
      <c r="K9" s="190">
        <v>41</v>
      </c>
      <c r="L9" s="191">
        <v>7084</v>
      </c>
      <c r="M9" s="195">
        <v>23.32</v>
      </c>
    </row>
    <row r="10" spans="1:13">
      <c r="A10" s="1" t="s">
        <v>24</v>
      </c>
      <c r="B10" s="190">
        <v>36</v>
      </c>
      <c r="C10" s="191">
        <v>14906</v>
      </c>
      <c r="D10" s="192">
        <v>12.2</v>
      </c>
      <c r="E10" s="193">
        <v>38</v>
      </c>
      <c r="F10" s="191">
        <v>4802</v>
      </c>
      <c r="G10" s="192">
        <v>17.11</v>
      </c>
      <c r="H10" s="190">
        <v>40</v>
      </c>
      <c r="I10" s="191">
        <v>4283</v>
      </c>
      <c r="J10" s="194">
        <v>10.48</v>
      </c>
      <c r="K10" s="190">
        <v>39</v>
      </c>
      <c r="L10" s="191">
        <v>1508</v>
      </c>
      <c r="M10" s="195">
        <v>4.97</v>
      </c>
    </row>
    <row r="11" spans="1:13">
      <c r="A11" s="1" t="s">
        <v>25</v>
      </c>
      <c r="B11" s="190">
        <v>33</v>
      </c>
      <c r="C11" s="191">
        <v>10392</v>
      </c>
      <c r="D11" s="192">
        <v>8.5</v>
      </c>
      <c r="E11" s="193" t="s">
        <v>144</v>
      </c>
      <c r="F11" s="196" t="s">
        <v>144</v>
      </c>
      <c r="G11" s="192" t="s">
        <v>144</v>
      </c>
      <c r="H11" s="190">
        <v>36</v>
      </c>
      <c r="I11" s="191">
        <v>3757</v>
      </c>
      <c r="J11" s="194">
        <v>9.19</v>
      </c>
      <c r="K11" s="190">
        <v>36</v>
      </c>
      <c r="L11" s="191">
        <v>2437</v>
      </c>
      <c r="M11" s="195">
        <v>8.02</v>
      </c>
    </row>
    <row r="12" spans="1:13" ht="17.5" thickBot="1">
      <c r="A12" s="1" t="s">
        <v>30</v>
      </c>
      <c r="B12" s="197" t="s">
        <v>145</v>
      </c>
      <c r="C12" s="198">
        <v>2025</v>
      </c>
      <c r="D12" s="199">
        <v>1.66</v>
      </c>
      <c r="E12" s="200" t="s">
        <v>146</v>
      </c>
      <c r="F12" s="198">
        <v>1039</v>
      </c>
      <c r="G12" s="199">
        <v>3.7</v>
      </c>
      <c r="H12" s="197" t="s">
        <v>147</v>
      </c>
      <c r="I12" s="198">
        <v>680</v>
      </c>
      <c r="J12" s="201">
        <v>1.66</v>
      </c>
      <c r="K12" s="197" t="s">
        <v>147</v>
      </c>
      <c r="L12" s="198">
        <v>876</v>
      </c>
      <c r="M12" s="202">
        <v>2.88</v>
      </c>
    </row>
    <row r="13" spans="1:13">
      <c r="B13" s="203" t="s">
        <v>148</v>
      </c>
      <c r="C13" s="204"/>
      <c r="D13" s="205"/>
      <c r="E13" s="206" t="s">
        <v>149</v>
      </c>
      <c r="F13" s="204"/>
      <c r="G13" s="205"/>
      <c r="H13" s="206" t="s">
        <v>150</v>
      </c>
      <c r="I13" s="204"/>
      <c r="J13" s="207"/>
      <c r="K13" s="208" t="s">
        <v>151</v>
      </c>
      <c r="L13" s="204"/>
      <c r="M13" s="209"/>
    </row>
    <row r="14" spans="1:13">
      <c r="B14" s="210" t="s">
        <v>152</v>
      </c>
      <c r="C14" s="211" t="s">
        <v>153</v>
      </c>
      <c r="D14" s="212" t="s">
        <v>154</v>
      </c>
      <c r="E14" s="213" t="s">
        <v>152</v>
      </c>
      <c r="F14" s="211" t="s">
        <v>153</v>
      </c>
      <c r="G14" s="212" t="s">
        <v>154</v>
      </c>
      <c r="H14" s="214" t="s">
        <v>152</v>
      </c>
      <c r="I14" s="211" t="s">
        <v>153</v>
      </c>
      <c r="J14" s="215" t="s">
        <v>154</v>
      </c>
      <c r="K14" s="210" t="s">
        <v>152</v>
      </c>
      <c r="L14" s="211" t="s">
        <v>153</v>
      </c>
      <c r="M14" s="216" t="s">
        <v>154</v>
      </c>
    </row>
    <row r="15" spans="1:13" ht="17.5" thickBot="1">
      <c r="B15" s="217" t="s">
        <v>155</v>
      </c>
      <c r="C15" s="218"/>
      <c r="D15" s="219"/>
      <c r="E15" s="220" t="s">
        <v>155</v>
      </c>
      <c r="F15" s="218"/>
      <c r="G15" s="219"/>
      <c r="H15" s="221" t="s">
        <v>155</v>
      </c>
      <c r="I15" s="218"/>
      <c r="J15" s="222"/>
      <c r="K15" s="217" t="s">
        <v>155</v>
      </c>
      <c r="L15" s="218"/>
      <c r="M15" s="223"/>
    </row>
    <row r="16" spans="1:13" ht="17.5" thickTop="1">
      <c r="A16" s="1" t="s">
        <v>18</v>
      </c>
      <c r="B16" s="184">
        <v>68</v>
      </c>
      <c r="C16" s="185">
        <v>976</v>
      </c>
      <c r="D16" s="224">
        <v>4.58</v>
      </c>
      <c r="E16" s="184">
        <v>72</v>
      </c>
      <c r="F16" s="185">
        <v>743</v>
      </c>
      <c r="G16" s="186">
        <v>4.6100000000000003</v>
      </c>
      <c r="H16" s="184">
        <v>70</v>
      </c>
      <c r="I16" s="185">
        <v>445</v>
      </c>
      <c r="J16" s="188">
        <v>6.43</v>
      </c>
      <c r="K16" s="184">
        <v>68</v>
      </c>
      <c r="L16" s="185">
        <v>1202</v>
      </c>
      <c r="M16" s="189">
        <v>4.63</v>
      </c>
    </row>
    <row r="17" spans="1:13">
      <c r="A17" s="1" t="s">
        <v>19</v>
      </c>
      <c r="B17" s="190">
        <v>64</v>
      </c>
      <c r="C17" s="191">
        <v>1957</v>
      </c>
      <c r="D17" s="225">
        <v>9.18</v>
      </c>
      <c r="E17" s="190">
        <v>66</v>
      </c>
      <c r="F17" s="191">
        <v>1201</v>
      </c>
      <c r="G17" s="192">
        <v>7.46</v>
      </c>
      <c r="H17" s="190">
        <v>66</v>
      </c>
      <c r="I17" s="191">
        <v>397</v>
      </c>
      <c r="J17" s="194">
        <v>5.74</v>
      </c>
      <c r="K17" s="190">
        <v>64</v>
      </c>
      <c r="L17" s="191">
        <v>2152</v>
      </c>
      <c r="M17" s="195">
        <v>8.2899999999999991</v>
      </c>
    </row>
    <row r="18" spans="1:13">
      <c r="A18" s="1" t="s">
        <v>20</v>
      </c>
      <c r="B18" s="190">
        <v>59</v>
      </c>
      <c r="C18" s="191">
        <v>2239</v>
      </c>
      <c r="D18" s="225">
        <v>10.51</v>
      </c>
      <c r="E18" s="190">
        <v>56</v>
      </c>
      <c r="F18" s="191">
        <v>1883</v>
      </c>
      <c r="G18" s="192">
        <v>11.7</v>
      </c>
      <c r="H18" s="190">
        <v>58</v>
      </c>
      <c r="I18" s="191">
        <v>797</v>
      </c>
      <c r="J18" s="194">
        <v>11.52</v>
      </c>
      <c r="K18" s="190">
        <v>59</v>
      </c>
      <c r="L18" s="191">
        <v>2972</v>
      </c>
      <c r="M18" s="195">
        <v>11.45</v>
      </c>
    </row>
    <row r="19" spans="1:13">
      <c r="A19" s="1" t="s">
        <v>21</v>
      </c>
      <c r="B19" s="190">
        <v>52</v>
      </c>
      <c r="C19" s="191">
        <v>3748</v>
      </c>
      <c r="D19" s="225">
        <v>17.59</v>
      </c>
      <c r="E19" s="190">
        <v>50</v>
      </c>
      <c r="F19" s="191">
        <v>2621</v>
      </c>
      <c r="G19" s="192">
        <v>16.28</v>
      </c>
      <c r="H19" s="190">
        <v>50</v>
      </c>
      <c r="I19" s="191">
        <v>1259</v>
      </c>
      <c r="J19" s="194">
        <v>18.2</v>
      </c>
      <c r="K19" s="190">
        <v>52</v>
      </c>
      <c r="L19" s="191">
        <v>4707</v>
      </c>
      <c r="M19" s="195">
        <v>18.13</v>
      </c>
    </row>
    <row r="20" spans="1:13">
      <c r="A20" s="1" t="s">
        <v>22</v>
      </c>
      <c r="B20" s="190">
        <v>45</v>
      </c>
      <c r="C20" s="191">
        <v>4317</v>
      </c>
      <c r="D20" s="225">
        <v>20.260000000000002</v>
      </c>
      <c r="E20" s="190">
        <v>44</v>
      </c>
      <c r="F20" s="191">
        <v>4969</v>
      </c>
      <c r="G20" s="192">
        <v>30.86</v>
      </c>
      <c r="H20" s="190">
        <v>45</v>
      </c>
      <c r="I20" s="191">
        <v>1267</v>
      </c>
      <c r="J20" s="194">
        <v>18.309999999999999</v>
      </c>
      <c r="K20" s="190">
        <v>46</v>
      </c>
      <c r="L20" s="191">
        <v>5021</v>
      </c>
      <c r="M20" s="195">
        <v>19.34</v>
      </c>
    </row>
    <row r="21" spans="1:13">
      <c r="A21" s="1" t="s">
        <v>23</v>
      </c>
      <c r="B21" s="190">
        <v>41</v>
      </c>
      <c r="C21" s="191">
        <v>3251</v>
      </c>
      <c r="D21" s="225">
        <v>15.25</v>
      </c>
      <c r="E21" s="190">
        <v>42</v>
      </c>
      <c r="F21" s="191">
        <v>2354</v>
      </c>
      <c r="G21" s="192">
        <v>14.62</v>
      </c>
      <c r="H21" s="190">
        <v>42</v>
      </c>
      <c r="I21" s="191">
        <v>1612</v>
      </c>
      <c r="J21" s="194">
        <v>23.3</v>
      </c>
      <c r="K21" s="190">
        <v>41</v>
      </c>
      <c r="L21" s="191">
        <v>5042</v>
      </c>
      <c r="M21" s="195">
        <v>19.420000000000002</v>
      </c>
    </row>
    <row r="22" spans="1:13">
      <c r="A22" s="1" t="s">
        <v>24</v>
      </c>
      <c r="B22" s="190">
        <v>38</v>
      </c>
      <c r="C22" s="191">
        <v>3136</v>
      </c>
      <c r="D22" s="225">
        <v>14.71</v>
      </c>
      <c r="E22" s="190">
        <v>40</v>
      </c>
      <c r="F22" s="191">
        <v>1032</v>
      </c>
      <c r="G22" s="192">
        <v>6.41</v>
      </c>
      <c r="H22" s="190">
        <v>40</v>
      </c>
      <c r="I22" s="191">
        <v>413</v>
      </c>
      <c r="J22" s="194">
        <v>5.97</v>
      </c>
      <c r="K22" s="190">
        <v>37</v>
      </c>
      <c r="L22" s="191">
        <v>3722</v>
      </c>
      <c r="M22" s="195">
        <v>14.33</v>
      </c>
    </row>
    <row r="23" spans="1:13">
      <c r="A23" s="1" t="s">
        <v>25</v>
      </c>
      <c r="B23" s="190">
        <v>35</v>
      </c>
      <c r="C23" s="191">
        <v>1232</v>
      </c>
      <c r="D23" s="225">
        <v>5.78</v>
      </c>
      <c r="E23" s="190">
        <v>39</v>
      </c>
      <c r="F23" s="191">
        <v>691</v>
      </c>
      <c r="G23" s="192">
        <v>4.29</v>
      </c>
      <c r="H23" s="190">
        <v>38</v>
      </c>
      <c r="I23" s="191">
        <v>488</v>
      </c>
      <c r="J23" s="194">
        <v>7.05</v>
      </c>
      <c r="K23" s="190">
        <v>36</v>
      </c>
      <c r="L23" s="191">
        <v>386</v>
      </c>
      <c r="M23" s="195">
        <v>1.49</v>
      </c>
    </row>
    <row r="24" spans="1:13" ht="17.5" thickBot="1">
      <c r="A24" s="1" t="s">
        <v>30</v>
      </c>
      <c r="B24" s="197" t="s">
        <v>156</v>
      </c>
      <c r="C24" s="198">
        <v>457</v>
      </c>
      <c r="D24" s="226">
        <v>2.14</v>
      </c>
      <c r="E24" s="197" t="s">
        <v>157</v>
      </c>
      <c r="F24" s="227">
        <v>606</v>
      </c>
      <c r="G24" s="228">
        <v>3.76</v>
      </c>
      <c r="H24" s="229" t="s">
        <v>146</v>
      </c>
      <c r="I24" s="227">
        <v>241</v>
      </c>
      <c r="J24" s="230">
        <v>3.48</v>
      </c>
      <c r="K24" s="229" t="s">
        <v>147</v>
      </c>
      <c r="L24" s="227">
        <v>763</v>
      </c>
      <c r="M24" s="231">
        <v>2.94</v>
      </c>
    </row>
    <row r="25" spans="1:13">
      <c r="B25" s="232" t="s">
        <v>158</v>
      </c>
      <c r="C25" s="233"/>
      <c r="D25" s="234"/>
      <c r="E25" s="235"/>
      <c r="F25" s="235"/>
      <c r="G25" s="235"/>
      <c r="H25" s="235"/>
      <c r="I25" s="235"/>
      <c r="J25" s="235"/>
      <c r="K25" s="235"/>
      <c r="L25" s="235"/>
      <c r="M25" s="236"/>
    </row>
    <row r="26" spans="1:13">
      <c r="B26" s="210" t="s">
        <v>152</v>
      </c>
      <c r="C26" s="211" t="s">
        <v>153</v>
      </c>
      <c r="D26" s="215" t="s">
        <v>154</v>
      </c>
      <c r="E26" s="237"/>
      <c r="F26" s="237"/>
      <c r="G26" s="237"/>
      <c r="H26" s="237"/>
      <c r="I26" s="237"/>
      <c r="J26" s="237"/>
      <c r="K26" s="237"/>
      <c r="L26" s="237"/>
      <c r="M26" s="238"/>
    </row>
    <row r="27" spans="1:13" ht="17.5" thickBot="1">
      <c r="B27" s="217" t="s">
        <v>155</v>
      </c>
      <c r="C27" s="218"/>
      <c r="D27" s="222"/>
      <c r="E27" s="237"/>
      <c r="F27" s="237"/>
      <c r="G27" s="237"/>
      <c r="H27" s="237"/>
      <c r="I27" s="237"/>
      <c r="J27" s="237"/>
      <c r="K27" s="237"/>
      <c r="L27" s="237"/>
      <c r="M27" s="238"/>
    </row>
    <row r="28" spans="1:13" ht="17.5" thickTop="1">
      <c r="A28" s="1" t="s">
        <v>18</v>
      </c>
      <c r="B28" s="184">
        <v>69</v>
      </c>
      <c r="C28" s="185">
        <v>6125</v>
      </c>
      <c r="D28" s="188">
        <v>5.08</v>
      </c>
      <c r="E28" s="237"/>
      <c r="F28" s="237"/>
      <c r="G28" s="237"/>
      <c r="H28" s="237"/>
      <c r="I28" s="237"/>
      <c r="J28" s="237"/>
      <c r="K28" s="237"/>
      <c r="L28" s="237"/>
      <c r="M28" s="238"/>
    </row>
    <row r="29" spans="1:13">
      <c r="A29" s="1" t="s">
        <v>19</v>
      </c>
      <c r="B29" s="190">
        <v>64</v>
      </c>
      <c r="C29" s="191">
        <v>9093</v>
      </c>
      <c r="D29" s="194">
        <v>7.54</v>
      </c>
      <c r="E29" s="237"/>
      <c r="F29" s="237"/>
      <c r="G29" s="237"/>
      <c r="H29" s="237"/>
      <c r="I29" s="237"/>
      <c r="J29" s="237"/>
      <c r="K29" s="237"/>
      <c r="L29" s="237"/>
      <c r="M29" s="238"/>
    </row>
    <row r="30" spans="1:13">
      <c r="A30" s="1" t="s">
        <v>20</v>
      </c>
      <c r="B30" s="190">
        <v>59</v>
      </c>
      <c r="C30" s="191">
        <v>13770</v>
      </c>
      <c r="D30" s="194">
        <v>11.42</v>
      </c>
      <c r="E30" s="237"/>
      <c r="F30" s="237"/>
      <c r="G30" s="237"/>
      <c r="H30" s="237"/>
      <c r="I30" s="237"/>
      <c r="J30" s="237"/>
      <c r="K30" s="237"/>
      <c r="L30" s="237"/>
      <c r="M30" s="238"/>
    </row>
    <row r="31" spans="1:13">
      <c r="A31" s="1" t="s">
        <v>21</v>
      </c>
      <c r="B31" s="190">
        <v>51</v>
      </c>
      <c r="C31" s="191">
        <v>23769</v>
      </c>
      <c r="D31" s="194">
        <v>19.71</v>
      </c>
      <c r="E31" s="237"/>
      <c r="F31" s="237"/>
      <c r="G31" s="237"/>
      <c r="H31" s="237"/>
      <c r="I31" s="237"/>
      <c r="J31" s="237"/>
      <c r="K31" s="237"/>
      <c r="L31" s="237"/>
      <c r="M31" s="238"/>
    </row>
    <row r="32" spans="1:13">
      <c r="A32" s="1" t="s">
        <v>22</v>
      </c>
      <c r="B32" s="190">
        <v>45</v>
      </c>
      <c r="C32" s="191">
        <v>20948</v>
      </c>
      <c r="D32" s="194">
        <v>17.37</v>
      </c>
      <c r="E32" s="237"/>
      <c r="F32" s="237"/>
      <c r="G32" s="237"/>
      <c r="H32" s="237"/>
      <c r="I32" s="237"/>
      <c r="J32" s="237"/>
      <c r="K32" s="237"/>
      <c r="L32" s="237"/>
      <c r="M32" s="238"/>
    </row>
    <row r="33" spans="1:13">
      <c r="A33" s="1" t="s">
        <v>23</v>
      </c>
      <c r="B33" s="190">
        <v>41</v>
      </c>
      <c r="C33" s="191">
        <v>22662</v>
      </c>
      <c r="D33" s="194">
        <v>18.79</v>
      </c>
      <c r="E33" s="237"/>
      <c r="F33" s="237"/>
      <c r="G33" s="237"/>
      <c r="H33" s="237"/>
      <c r="I33" s="237"/>
      <c r="J33" s="237"/>
      <c r="K33" s="237"/>
      <c r="L33" s="237"/>
      <c r="M33" s="238"/>
    </row>
    <row r="34" spans="1:13">
      <c r="A34" s="1" t="s">
        <v>24</v>
      </c>
      <c r="B34" s="190">
        <v>39</v>
      </c>
      <c r="C34" s="191">
        <v>13620</v>
      </c>
      <c r="D34" s="194">
        <v>11.3</v>
      </c>
      <c r="E34" s="237"/>
      <c r="F34" s="237"/>
      <c r="G34" s="237"/>
      <c r="H34" s="237"/>
      <c r="I34" s="237"/>
      <c r="J34" s="237"/>
      <c r="K34" s="237"/>
      <c r="L34" s="237"/>
      <c r="M34" s="238"/>
    </row>
    <row r="35" spans="1:13">
      <c r="A35" s="1" t="s">
        <v>25</v>
      </c>
      <c r="B35" s="190">
        <v>36</v>
      </c>
      <c r="C35" s="191">
        <v>8458</v>
      </c>
      <c r="D35" s="194">
        <v>7.01</v>
      </c>
      <c r="E35" s="237"/>
      <c r="F35" s="237"/>
      <c r="G35" s="237"/>
      <c r="H35" s="237"/>
      <c r="I35" s="237"/>
      <c r="J35" s="237"/>
      <c r="K35" s="237"/>
      <c r="L35" s="237"/>
      <c r="M35" s="238"/>
    </row>
    <row r="36" spans="1:13" ht="17.5" thickBot="1">
      <c r="A36" s="1" t="s">
        <v>30</v>
      </c>
      <c r="B36" s="239" t="s">
        <v>147</v>
      </c>
      <c r="C36" s="240">
        <v>2136</v>
      </c>
      <c r="D36" s="241">
        <v>1.77</v>
      </c>
      <c r="E36" s="242"/>
      <c r="F36" s="242"/>
      <c r="G36" s="242"/>
      <c r="H36" s="242"/>
      <c r="I36" s="242"/>
      <c r="J36" s="242"/>
      <c r="K36" s="242"/>
      <c r="L36" s="242"/>
      <c r="M36" s="243"/>
    </row>
    <row r="41" spans="1:13">
      <c r="B41" s="1" t="s">
        <v>17</v>
      </c>
      <c r="E41" s="1" t="s">
        <v>11</v>
      </c>
      <c r="H41" s="1" t="s">
        <v>12</v>
      </c>
      <c r="K41" s="1" t="s">
        <v>13</v>
      </c>
    </row>
    <row r="42" spans="1:13">
      <c r="A42" s="1" t="s">
        <v>18</v>
      </c>
      <c r="B42" s="244">
        <v>70</v>
      </c>
      <c r="C42" s="185">
        <v>2451</v>
      </c>
      <c r="D42" s="186">
        <v>4.4800000000000004</v>
      </c>
      <c r="E42" s="187">
        <v>67</v>
      </c>
      <c r="F42" s="185">
        <v>2763</v>
      </c>
      <c r="G42" s="186">
        <v>4.26</v>
      </c>
      <c r="H42" s="187">
        <v>66</v>
      </c>
      <c r="I42" s="185">
        <v>4857</v>
      </c>
      <c r="J42" s="186">
        <v>4.3</v>
      </c>
      <c r="K42" s="184">
        <v>67</v>
      </c>
      <c r="L42" s="185">
        <v>6917</v>
      </c>
      <c r="M42" s="189">
        <v>6.41</v>
      </c>
    </row>
    <row r="43" spans="1:13">
      <c r="A43" s="1" t="s">
        <v>19</v>
      </c>
      <c r="B43" s="245">
        <v>63</v>
      </c>
      <c r="C43" s="191">
        <v>4308</v>
      </c>
      <c r="D43" s="192">
        <v>7.88</v>
      </c>
      <c r="E43" s="193">
        <v>63</v>
      </c>
      <c r="F43" s="191">
        <v>6650</v>
      </c>
      <c r="G43" s="192">
        <v>10.24</v>
      </c>
      <c r="H43" s="193">
        <v>63</v>
      </c>
      <c r="I43" s="191">
        <v>7733</v>
      </c>
      <c r="J43" s="192">
        <v>6.84</v>
      </c>
      <c r="K43" s="190">
        <v>64</v>
      </c>
      <c r="L43" s="191">
        <v>5638</v>
      </c>
      <c r="M43" s="195">
        <v>5.23</v>
      </c>
    </row>
    <row r="44" spans="1:13">
      <c r="A44" s="1" t="s">
        <v>20</v>
      </c>
      <c r="B44" s="245">
        <v>57</v>
      </c>
      <c r="C44" s="191">
        <v>6772</v>
      </c>
      <c r="D44" s="192">
        <v>12.38</v>
      </c>
      <c r="E44" s="193">
        <v>59</v>
      </c>
      <c r="F44" s="191">
        <v>7689</v>
      </c>
      <c r="G44" s="192">
        <v>11.84</v>
      </c>
      <c r="H44" s="193">
        <v>59</v>
      </c>
      <c r="I44" s="191">
        <v>15737</v>
      </c>
      <c r="J44" s="192">
        <v>13.92</v>
      </c>
      <c r="K44" s="190">
        <v>59</v>
      </c>
      <c r="L44" s="191">
        <v>14670</v>
      </c>
      <c r="M44" s="195">
        <v>13.6</v>
      </c>
    </row>
    <row r="45" spans="1:13">
      <c r="A45" s="1" t="s">
        <v>21</v>
      </c>
      <c r="B45" s="245">
        <v>52</v>
      </c>
      <c r="C45" s="191">
        <v>9008</v>
      </c>
      <c r="D45" s="192">
        <v>16.47</v>
      </c>
      <c r="E45" s="193">
        <v>54</v>
      </c>
      <c r="F45" s="191">
        <v>9217</v>
      </c>
      <c r="G45" s="192">
        <v>14.2</v>
      </c>
      <c r="H45" s="193">
        <v>54</v>
      </c>
      <c r="I45" s="191">
        <v>18783</v>
      </c>
      <c r="J45" s="192">
        <v>16.61</v>
      </c>
      <c r="K45" s="190">
        <v>53</v>
      </c>
      <c r="L45" s="191">
        <v>17231</v>
      </c>
      <c r="M45" s="195">
        <v>15.97</v>
      </c>
    </row>
    <row r="46" spans="1:13">
      <c r="A46" s="1" t="s">
        <v>22</v>
      </c>
      <c r="B46" s="245">
        <v>46</v>
      </c>
      <c r="C46" s="191">
        <v>11931</v>
      </c>
      <c r="D46" s="192">
        <v>21.81</v>
      </c>
      <c r="E46" s="193">
        <v>46</v>
      </c>
      <c r="F46" s="191">
        <v>13366</v>
      </c>
      <c r="G46" s="192">
        <v>20.59</v>
      </c>
      <c r="H46" s="193">
        <v>46</v>
      </c>
      <c r="I46" s="191">
        <v>26053</v>
      </c>
      <c r="J46" s="192">
        <v>23.04</v>
      </c>
      <c r="K46" s="190">
        <v>46</v>
      </c>
      <c r="L46" s="191">
        <v>21835</v>
      </c>
      <c r="M46" s="195">
        <v>20.239999999999998</v>
      </c>
    </row>
    <row r="47" spans="1:13">
      <c r="A47" s="1" t="s">
        <v>23</v>
      </c>
      <c r="B47" s="245">
        <v>42</v>
      </c>
      <c r="C47" s="191">
        <v>8021</v>
      </c>
      <c r="D47" s="192">
        <v>14.66</v>
      </c>
      <c r="E47" s="193">
        <v>41</v>
      </c>
      <c r="F47" s="191">
        <v>10587</v>
      </c>
      <c r="G47" s="192">
        <v>16.309999999999999</v>
      </c>
      <c r="H47" s="193">
        <v>41</v>
      </c>
      <c r="I47" s="191">
        <v>15133</v>
      </c>
      <c r="J47" s="192">
        <v>13.38</v>
      </c>
      <c r="K47" s="190">
        <v>41</v>
      </c>
      <c r="L47" s="191">
        <v>19538</v>
      </c>
      <c r="M47" s="195">
        <v>18.11</v>
      </c>
    </row>
    <row r="48" spans="1:13">
      <c r="A48" s="1" t="s">
        <v>24</v>
      </c>
      <c r="B48" s="245">
        <v>39</v>
      </c>
      <c r="C48" s="191">
        <v>7057</v>
      </c>
      <c r="D48" s="192">
        <v>12.9</v>
      </c>
      <c r="E48" s="193">
        <v>38</v>
      </c>
      <c r="F48" s="191">
        <v>7870</v>
      </c>
      <c r="G48" s="192">
        <v>12.12</v>
      </c>
      <c r="H48" s="193">
        <v>37</v>
      </c>
      <c r="I48" s="191">
        <v>13956</v>
      </c>
      <c r="J48" s="192">
        <v>12.34</v>
      </c>
      <c r="K48" s="190">
        <v>37</v>
      </c>
      <c r="L48" s="191">
        <v>11208</v>
      </c>
      <c r="M48" s="195">
        <v>10.39</v>
      </c>
    </row>
    <row r="49" spans="1:13">
      <c r="A49" s="1" t="s">
        <v>25</v>
      </c>
      <c r="B49" s="245">
        <v>36</v>
      </c>
      <c r="C49" s="191">
        <v>3544</v>
      </c>
      <c r="D49" s="192">
        <v>6.48</v>
      </c>
      <c r="E49" s="193">
        <v>35</v>
      </c>
      <c r="F49" s="191">
        <v>4273</v>
      </c>
      <c r="G49" s="192">
        <v>6.58</v>
      </c>
      <c r="H49" s="193">
        <v>34</v>
      </c>
      <c r="I49" s="191">
        <v>6759</v>
      </c>
      <c r="J49" s="192">
        <v>5.98</v>
      </c>
      <c r="K49" s="190">
        <v>35</v>
      </c>
      <c r="L49" s="191">
        <v>6621</v>
      </c>
      <c r="M49" s="195">
        <v>6.14</v>
      </c>
    </row>
    <row r="50" spans="1:13" ht="17.5" thickBot="1">
      <c r="A50" s="1" t="s">
        <v>30</v>
      </c>
      <c r="B50" s="246" t="s">
        <v>147</v>
      </c>
      <c r="C50" s="198">
        <v>1605</v>
      </c>
      <c r="D50" s="199">
        <v>2.93</v>
      </c>
      <c r="E50" s="200" t="s">
        <v>156</v>
      </c>
      <c r="F50" s="198">
        <v>2504</v>
      </c>
      <c r="G50" s="199">
        <v>3.86</v>
      </c>
      <c r="H50" s="200" t="s">
        <v>159</v>
      </c>
      <c r="I50" s="198">
        <v>4065</v>
      </c>
      <c r="J50" s="199">
        <v>3.59</v>
      </c>
      <c r="K50" s="197" t="s">
        <v>156</v>
      </c>
      <c r="L50" s="198">
        <v>4209</v>
      </c>
      <c r="M50" s="202">
        <v>3.9</v>
      </c>
    </row>
    <row r="51" spans="1:13">
      <c r="B51" s="247" t="s">
        <v>160</v>
      </c>
      <c r="C51" s="248"/>
      <c r="D51" s="249"/>
      <c r="E51" s="250" t="s">
        <v>161</v>
      </c>
      <c r="F51" s="248"/>
      <c r="G51" s="249"/>
      <c r="H51" s="250" t="s">
        <v>162</v>
      </c>
      <c r="I51" s="248"/>
      <c r="J51" s="249"/>
      <c r="K51" s="250" t="s">
        <v>163</v>
      </c>
      <c r="L51" s="248"/>
      <c r="M51" s="251"/>
    </row>
    <row r="52" spans="1:13">
      <c r="B52" s="252" t="s">
        <v>164</v>
      </c>
      <c r="C52" s="211" t="s">
        <v>153</v>
      </c>
      <c r="D52" s="212" t="s">
        <v>154</v>
      </c>
      <c r="E52" s="253" t="s">
        <v>164</v>
      </c>
      <c r="F52" s="211" t="s">
        <v>153</v>
      </c>
      <c r="G52" s="212" t="s">
        <v>154</v>
      </c>
      <c r="H52" s="253" t="s">
        <v>164</v>
      </c>
      <c r="I52" s="211" t="s">
        <v>153</v>
      </c>
      <c r="J52" s="212" t="s">
        <v>154</v>
      </c>
      <c r="K52" s="253" t="s">
        <v>164</v>
      </c>
      <c r="L52" s="211" t="s">
        <v>153</v>
      </c>
      <c r="M52" s="216" t="s">
        <v>154</v>
      </c>
    </row>
    <row r="53" spans="1:13" ht="17.5" thickBot="1">
      <c r="B53" s="254" t="s">
        <v>155</v>
      </c>
      <c r="C53" s="218"/>
      <c r="D53" s="219"/>
      <c r="E53" s="255" t="s">
        <v>155</v>
      </c>
      <c r="F53" s="218"/>
      <c r="G53" s="219"/>
      <c r="H53" s="255" t="s">
        <v>155</v>
      </c>
      <c r="I53" s="218"/>
      <c r="J53" s="219"/>
      <c r="K53" s="255" t="s">
        <v>155</v>
      </c>
      <c r="L53" s="218"/>
      <c r="M53" s="223"/>
    </row>
    <row r="54" spans="1:13" ht="17.5" thickTop="1">
      <c r="A54" s="1" t="s">
        <v>18</v>
      </c>
      <c r="B54" s="244">
        <v>70</v>
      </c>
      <c r="C54" s="185">
        <v>247</v>
      </c>
      <c r="D54" s="224">
        <v>5.26</v>
      </c>
      <c r="E54" s="187">
        <v>72</v>
      </c>
      <c r="F54" s="185">
        <v>242</v>
      </c>
      <c r="G54" s="224">
        <v>4.5999999999999996</v>
      </c>
      <c r="H54" s="187">
        <v>70</v>
      </c>
      <c r="I54" s="185">
        <v>577</v>
      </c>
      <c r="J54" s="186">
        <v>6.04</v>
      </c>
      <c r="K54" s="184">
        <v>71</v>
      </c>
      <c r="L54" s="185">
        <v>281</v>
      </c>
      <c r="M54" s="256">
        <v>5.1100000000000003</v>
      </c>
    </row>
    <row r="55" spans="1:13">
      <c r="A55" s="1" t="s">
        <v>19</v>
      </c>
      <c r="B55" s="245">
        <v>66</v>
      </c>
      <c r="C55" s="191">
        <v>284</v>
      </c>
      <c r="D55" s="225">
        <v>6.05</v>
      </c>
      <c r="E55" s="193">
        <v>65</v>
      </c>
      <c r="F55" s="191">
        <v>417</v>
      </c>
      <c r="G55" s="225">
        <v>7.93</v>
      </c>
      <c r="H55" s="193">
        <v>66</v>
      </c>
      <c r="I55" s="191">
        <v>691</v>
      </c>
      <c r="J55" s="192">
        <v>7.23</v>
      </c>
      <c r="K55" s="190">
        <v>67</v>
      </c>
      <c r="L55" s="191">
        <v>359</v>
      </c>
      <c r="M55" s="257">
        <v>6.53</v>
      </c>
    </row>
    <row r="56" spans="1:13">
      <c r="A56" s="1" t="s">
        <v>20</v>
      </c>
      <c r="B56" s="245">
        <v>58</v>
      </c>
      <c r="C56" s="191">
        <v>593</v>
      </c>
      <c r="D56" s="225">
        <v>12.64</v>
      </c>
      <c r="E56" s="193">
        <v>57</v>
      </c>
      <c r="F56" s="191">
        <v>620</v>
      </c>
      <c r="G56" s="225">
        <v>11.79</v>
      </c>
      <c r="H56" s="193">
        <v>58</v>
      </c>
      <c r="I56" s="191">
        <v>954</v>
      </c>
      <c r="J56" s="192">
        <v>9.98</v>
      </c>
      <c r="K56" s="190">
        <v>58</v>
      </c>
      <c r="L56" s="191">
        <v>660</v>
      </c>
      <c r="M56" s="257">
        <v>12</v>
      </c>
    </row>
    <row r="57" spans="1:13">
      <c r="A57" s="1" t="s">
        <v>21</v>
      </c>
      <c r="B57" s="245">
        <v>50</v>
      </c>
      <c r="C57" s="191">
        <v>766</v>
      </c>
      <c r="D57" s="225">
        <v>16.329999999999998</v>
      </c>
      <c r="E57" s="193">
        <v>50</v>
      </c>
      <c r="F57" s="191">
        <v>928</v>
      </c>
      <c r="G57" s="225">
        <v>17.649999999999999</v>
      </c>
      <c r="H57" s="193">
        <v>49</v>
      </c>
      <c r="I57" s="191">
        <v>1644</v>
      </c>
      <c r="J57" s="192">
        <v>17.2</v>
      </c>
      <c r="K57" s="190">
        <v>48</v>
      </c>
      <c r="L57" s="191">
        <v>1024</v>
      </c>
      <c r="M57" s="257">
        <v>18.62</v>
      </c>
    </row>
    <row r="58" spans="1:13">
      <c r="A58" s="1" t="s">
        <v>22</v>
      </c>
      <c r="B58" s="245">
        <v>44</v>
      </c>
      <c r="C58" s="191">
        <v>1126</v>
      </c>
      <c r="D58" s="225">
        <v>24</v>
      </c>
      <c r="E58" s="193">
        <v>45</v>
      </c>
      <c r="F58" s="191">
        <v>1042</v>
      </c>
      <c r="G58" s="225">
        <v>19.82</v>
      </c>
      <c r="H58" s="193">
        <v>45</v>
      </c>
      <c r="I58" s="191">
        <v>2053</v>
      </c>
      <c r="J58" s="192">
        <v>21.48</v>
      </c>
      <c r="K58" s="190">
        <v>44</v>
      </c>
      <c r="L58" s="191">
        <v>1091</v>
      </c>
      <c r="M58" s="257">
        <v>19.84</v>
      </c>
    </row>
    <row r="59" spans="1:13">
      <c r="A59" s="1" t="s">
        <v>23</v>
      </c>
      <c r="B59" s="245">
        <v>42</v>
      </c>
      <c r="C59" s="191">
        <v>864</v>
      </c>
      <c r="D59" s="225">
        <v>18.41</v>
      </c>
      <c r="E59" s="193">
        <v>43</v>
      </c>
      <c r="F59" s="191">
        <v>850</v>
      </c>
      <c r="G59" s="225">
        <v>16.170000000000002</v>
      </c>
      <c r="H59" s="193">
        <v>42</v>
      </c>
      <c r="I59" s="191">
        <v>1895</v>
      </c>
      <c r="J59" s="192">
        <v>19.82</v>
      </c>
      <c r="K59" s="190">
        <v>43</v>
      </c>
      <c r="L59" s="191">
        <v>1115</v>
      </c>
      <c r="M59" s="257">
        <v>20.28</v>
      </c>
    </row>
    <row r="60" spans="1:13">
      <c r="A60" s="1" t="s">
        <v>24</v>
      </c>
      <c r="B60" s="245">
        <v>40</v>
      </c>
      <c r="C60" s="191">
        <v>304</v>
      </c>
      <c r="D60" s="225">
        <v>6.48</v>
      </c>
      <c r="E60" s="193">
        <v>40</v>
      </c>
      <c r="F60" s="191">
        <v>654</v>
      </c>
      <c r="G60" s="225">
        <v>12.44</v>
      </c>
      <c r="H60" s="193">
        <v>41</v>
      </c>
      <c r="I60" s="191">
        <v>844</v>
      </c>
      <c r="J60" s="192">
        <v>8.83</v>
      </c>
      <c r="K60" s="190">
        <v>41</v>
      </c>
      <c r="L60" s="191">
        <v>460</v>
      </c>
      <c r="M60" s="257">
        <v>8.3699999999999992</v>
      </c>
    </row>
    <row r="61" spans="1:13">
      <c r="A61" s="1" t="s">
        <v>25</v>
      </c>
      <c r="B61" s="245">
        <v>37</v>
      </c>
      <c r="C61" s="191">
        <v>436</v>
      </c>
      <c r="D61" s="225">
        <v>9.2899999999999991</v>
      </c>
      <c r="E61" s="193">
        <v>37</v>
      </c>
      <c r="F61" s="191">
        <v>358</v>
      </c>
      <c r="G61" s="225">
        <v>6.81</v>
      </c>
      <c r="H61" s="193">
        <v>39</v>
      </c>
      <c r="I61" s="191">
        <v>642</v>
      </c>
      <c r="J61" s="192">
        <v>6.72</v>
      </c>
      <c r="K61" s="190">
        <v>38</v>
      </c>
      <c r="L61" s="191">
        <v>420</v>
      </c>
      <c r="M61" s="257">
        <v>7.64</v>
      </c>
    </row>
    <row r="62" spans="1:13" ht="17.5" thickBot="1">
      <c r="A62" s="1" t="s">
        <v>30</v>
      </c>
      <c r="B62" s="258" t="s">
        <v>165</v>
      </c>
      <c r="C62" s="240">
        <v>72</v>
      </c>
      <c r="D62" s="259">
        <v>1.53</v>
      </c>
      <c r="E62" s="260" t="s">
        <v>165</v>
      </c>
      <c r="F62" s="240">
        <v>147</v>
      </c>
      <c r="G62" s="259">
        <v>2.8</v>
      </c>
      <c r="H62" s="260" t="s">
        <v>157</v>
      </c>
      <c r="I62" s="240">
        <v>259</v>
      </c>
      <c r="J62" s="261">
        <v>2.71</v>
      </c>
      <c r="K62" s="239" t="s">
        <v>146</v>
      </c>
      <c r="L62" s="240">
        <v>89</v>
      </c>
      <c r="M62" s="262">
        <v>1.62</v>
      </c>
    </row>
    <row r="67" spans="1:13">
      <c r="B67" s="1" t="s">
        <v>38</v>
      </c>
      <c r="E67" s="1" t="s">
        <v>39</v>
      </c>
      <c r="H67" s="1" t="s">
        <v>40</v>
      </c>
      <c r="K67" s="1" t="s">
        <v>41</v>
      </c>
    </row>
    <row r="68" spans="1:13">
      <c r="A68" s="1" t="s">
        <v>18</v>
      </c>
      <c r="B68" s="263">
        <v>67</v>
      </c>
      <c r="C68" s="264">
        <v>287</v>
      </c>
      <c r="D68" s="265">
        <v>4.2699999999999996</v>
      </c>
      <c r="E68" s="266">
        <v>72</v>
      </c>
      <c r="F68" s="264">
        <v>42</v>
      </c>
      <c r="G68" s="265">
        <v>4.9400000000000004</v>
      </c>
      <c r="H68" s="266">
        <v>71</v>
      </c>
      <c r="I68" s="264">
        <v>61</v>
      </c>
      <c r="J68" s="265">
        <v>4.1500000000000004</v>
      </c>
      <c r="K68" s="266">
        <v>72</v>
      </c>
      <c r="L68" s="264">
        <v>131</v>
      </c>
      <c r="M68" s="267">
        <v>4.41</v>
      </c>
    </row>
    <row r="69" spans="1:13">
      <c r="A69" s="1" t="s">
        <v>19</v>
      </c>
      <c r="B69" s="268">
        <v>63</v>
      </c>
      <c r="C69" s="269">
        <v>595</v>
      </c>
      <c r="D69" s="270">
        <v>8.86</v>
      </c>
      <c r="E69" s="271">
        <v>65</v>
      </c>
      <c r="F69" s="269">
        <v>57</v>
      </c>
      <c r="G69" s="270">
        <v>6.71</v>
      </c>
      <c r="H69" s="271">
        <v>65</v>
      </c>
      <c r="I69" s="269">
        <v>126</v>
      </c>
      <c r="J69" s="270">
        <v>8.57</v>
      </c>
      <c r="K69" s="271">
        <v>64</v>
      </c>
      <c r="L69" s="269">
        <v>205</v>
      </c>
      <c r="M69" s="272">
        <v>6.9</v>
      </c>
    </row>
    <row r="70" spans="1:13">
      <c r="A70" s="1" t="s">
        <v>20</v>
      </c>
      <c r="B70" s="190">
        <v>59</v>
      </c>
      <c r="C70" s="191">
        <v>905</v>
      </c>
      <c r="D70" s="192">
        <v>13.47</v>
      </c>
      <c r="E70" s="193">
        <v>54</v>
      </c>
      <c r="F70" s="191">
        <v>119</v>
      </c>
      <c r="G70" s="192">
        <v>14</v>
      </c>
      <c r="H70" s="190">
        <v>58</v>
      </c>
      <c r="I70" s="191">
        <v>182</v>
      </c>
      <c r="J70" s="192">
        <v>12.37</v>
      </c>
      <c r="K70" s="190">
        <v>57</v>
      </c>
      <c r="L70" s="191">
        <v>372</v>
      </c>
      <c r="M70" s="195">
        <v>12.52</v>
      </c>
    </row>
    <row r="71" spans="1:13">
      <c r="A71" s="1" t="s">
        <v>21</v>
      </c>
      <c r="B71" s="190">
        <v>55</v>
      </c>
      <c r="C71" s="191">
        <v>934</v>
      </c>
      <c r="D71" s="192">
        <v>13.9</v>
      </c>
      <c r="E71" s="193">
        <v>48</v>
      </c>
      <c r="F71" s="191">
        <v>162</v>
      </c>
      <c r="G71" s="192">
        <v>19.059999999999999</v>
      </c>
      <c r="H71" s="190">
        <v>51</v>
      </c>
      <c r="I71" s="191">
        <v>242</v>
      </c>
      <c r="J71" s="192">
        <v>16.45</v>
      </c>
      <c r="K71" s="190">
        <v>51</v>
      </c>
      <c r="L71" s="191">
        <v>500</v>
      </c>
      <c r="M71" s="195">
        <v>16.82</v>
      </c>
    </row>
    <row r="72" spans="1:13">
      <c r="A72" s="1" t="s">
        <v>22</v>
      </c>
      <c r="B72" s="190">
        <v>45</v>
      </c>
      <c r="C72" s="191">
        <v>1384</v>
      </c>
      <c r="D72" s="192">
        <v>20.6</v>
      </c>
      <c r="E72" s="193">
        <v>46</v>
      </c>
      <c r="F72" s="191">
        <v>200</v>
      </c>
      <c r="G72" s="192">
        <v>23.53</v>
      </c>
      <c r="H72" s="190">
        <v>45</v>
      </c>
      <c r="I72" s="191">
        <v>279</v>
      </c>
      <c r="J72" s="192">
        <v>18.97</v>
      </c>
      <c r="K72" s="190">
        <v>44</v>
      </c>
      <c r="L72" s="191">
        <v>758</v>
      </c>
      <c r="M72" s="195">
        <v>25.5</v>
      </c>
    </row>
    <row r="73" spans="1:13">
      <c r="A73" s="1" t="s">
        <v>23</v>
      </c>
      <c r="B73" s="190">
        <v>39</v>
      </c>
      <c r="C73" s="191">
        <v>1487</v>
      </c>
      <c r="D73" s="192">
        <v>22.13</v>
      </c>
      <c r="E73" s="193">
        <v>45</v>
      </c>
      <c r="F73" s="191">
        <v>79</v>
      </c>
      <c r="G73" s="192">
        <v>9.2899999999999991</v>
      </c>
      <c r="H73" s="190">
        <v>41</v>
      </c>
      <c r="I73" s="191">
        <v>261</v>
      </c>
      <c r="J73" s="192">
        <v>17.739999999999998</v>
      </c>
      <c r="K73" s="190">
        <v>42</v>
      </c>
      <c r="L73" s="191">
        <v>528</v>
      </c>
      <c r="M73" s="195">
        <v>17.77</v>
      </c>
    </row>
    <row r="74" spans="1:13">
      <c r="A74" s="1" t="s">
        <v>24</v>
      </c>
      <c r="B74" s="190">
        <v>38</v>
      </c>
      <c r="C74" s="191">
        <v>604</v>
      </c>
      <c r="D74" s="192">
        <v>8.99</v>
      </c>
      <c r="E74" s="193">
        <v>39</v>
      </c>
      <c r="F74" s="191">
        <v>157</v>
      </c>
      <c r="G74" s="192">
        <v>18.47</v>
      </c>
      <c r="H74" s="190">
        <v>40</v>
      </c>
      <c r="I74" s="191">
        <v>233</v>
      </c>
      <c r="J74" s="192">
        <v>15.84</v>
      </c>
      <c r="K74" s="190">
        <v>40</v>
      </c>
      <c r="L74" s="191">
        <v>208</v>
      </c>
      <c r="M74" s="195">
        <v>7</v>
      </c>
    </row>
    <row r="75" spans="1:13">
      <c r="A75" s="1" t="s">
        <v>25</v>
      </c>
      <c r="B75" s="190">
        <v>35</v>
      </c>
      <c r="C75" s="191">
        <v>439</v>
      </c>
      <c r="D75" s="192">
        <v>6.53</v>
      </c>
      <c r="E75" s="193" t="s">
        <v>144</v>
      </c>
      <c r="F75" s="191" t="s">
        <v>144</v>
      </c>
      <c r="G75" s="192" t="s">
        <v>144</v>
      </c>
      <c r="H75" s="190">
        <v>38</v>
      </c>
      <c r="I75" s="191">
        <v>49</v>
      </c>
      <c r="J75" s="192">
        <v>3.33</v>
      </c>
      <c r="K75" s="190">
        <v>37</v>
      </c>
      <c r="L75" s="191">
        <v>182</v>
      </c>
      <c r="M75" s="195">
        <v>6.12</v>
      </c>
    </row>
    <row r="76" spans="1:13" ht="17.5" thickBot="1">
      <c r="A76" s="1" t="s">
        <v>30</v>
      </c>
      <c r="B76" s="229" t="s">
        <v>156</v>
      </c>
      <c r="C76" s="227">
        <v>84</v>
      </c>
      <c r="D76" s="228">
        <v>1.25</v>
      </c>
      <c r="E76" s="273" t="s">
        <v>157</v>
      </c>
      <c r="F76" s="227">
        <v>34</v>
      </c>
      <c r="G76" s="228">
        <v>4</v>
      </c>
      <c r="H76" s="229" t="s">
        <v>146</v>
      </c>
      <c r="I76" s="227">
        <v>38</v>
      </c>
      <c r="J76" s="228">
        <v>2.58</v>
      </c>
      <c r="K76" s="229" t="s">
        <v>165</v>
      </c>
      <c r="L76" s="227">
        <v>88</v>
      </c>
      <c r="M76" s="231">
        <v>2.96</v>
      </c>
    </row>
    <row r="77" spans="1:13">
      <c r="B77" s="274" t="s">
        <v>166</v>
      </c>
      <c r="C77" s="275"/>
      <c r="D77" s="276"/>
      <c r="E77" s="277" t="s">
        <v>167</v>
      </c>
      <c r="F77" s="275"/>
      <c r="G77" s="276"/>
      <c r="H77" s="235"/>
      <c r="I77" s="235"/>
      <c r="J77" s="235"/>
      <c r="K77" s="235"/>
      <c r="L77" s="235"/>
      <c r="M77" s="236"/>
    </row>
    <row r="78" spans="1:13">
      <c r="B78" s="213" t="s">
        <v>152</v>
      </c>
      <c r="C78" s="278" t="s">
        <v>153</v>
      </c>
      <c r="D78" s="279" t="s">
        <v>168</v>
      </c>
      <c r="E78" s="213" t="s">
        <v>152</v>
      </c>
      <c r="F78" s="278" t="s">
        <v>153</v>
      </c>
      <c r="G78" s="279" t="s">
        <v>168</v>
      </c>
      <c r="H78" s="237"/>
      <c r="I78" s="237"/>
      <c r="J78" s="237"/>
      <c r="K78" s="237"/>
      <c r="L78" s="237"/>
      <c r="M78" s="238"/>
    </row>
    <row r="79" spans="1:13" ht="17.5" thickBot="1">
      <c r="B79" s="280" t="s">
        <v>155</v>
      </c>
      <c r="C79" s="281"/>
      <c r="D79" s="282"/>
      <c r="E79" s="280" t="s">
        <v>155</v>
      </c>
      <c r="F79" s="281"/>
      <c r="G79" s="282"/>
      <c r="H79" s="237"/>
      <c r="I79" s="237"/>
      <c r="J79" s="237"/>
      <c r="K79" s="237"/>
      <c r="L79" s="237"/>
      <c r="M79" s="238"/>
    </row>
    <row r="80" spans="1:13" ht="17.5" thickTop="1">
      <c r="A80" s="1" t="s">
        <v>18</v>
      </c>
      <c r="B80" s="263">
        <v>74</v>
      </c>
      <c r="C80" s="264">
        <v>7</v>
      </c>
      <c r="D80" s="265">
        <v>4.32</v>
      </c>
      <c r="E80" s="266">
        <v>70</v>
      </c>
      <c r="F80" s="264">
        <v>67</v>
      </c>
      <c r="G80" s="265">
        <v>4.1900000000000004</v>
      </c>
      <c r="H80" s="237"/>
      <c r="I80" s="237"/>
      <c r="J80" s="237"/>
      <c r="K80" s="237"/>
      <c r="L80" s="237"/>
      <c r="M80" s="238"/>
    </row>
    <row r="81" spans="1:13">
      <c r="A81" s="1" t="s">
        <v>19</v>
      </c>
      <c r="B81" s="268">
        <v>63</v>
      </c>
      <c r="C81" s="269">
        <v>11</v>
      </c>
      <c r="D81" s="270">
        <v>6.79</v>
      </c>
      <c r="E81" s="271">
        <v>62</v>
      </c>
      <c r="F81" s="269">
        <v>124</v>
      </c>
      <c r="G81" s="270">
        <v>7.76</v>
      </c>
      <c r="H81" s="237"/>
      <c r="I81" s="237"/>
      <c r="J81" s="237"/>
      <c r="K81" s="237"/>
      <c r="L81" s="237"/>
      <c r="M81" s="238"/>
    </row>
    <row r="82" spans="1:13">
      <c r="A82" s="1" t="s">
        <v>20</v>
      </c>
      <c r="B82" s="190">
        <v>53</v>
      </c>
      <c r="C82" s="191">
        <v>44</v>
      </c>
      <c r="D82" s="283">
        <v>27.16</v>
      </c>
      <c r="E82" s="193">
        <v>56</v>
      </c>
      <c r="F82" s="191">
        <v>199</v>
      </c>
      <c r="G82" s="192">
        <v>12.45</v>
      </c>
      <c r="H82" s="237"/>
      <c r="I82" s="237"/>
      <c r="J82" s="237"/>
      <c r="K82" s="237"/>
      <c r="L82" s="237"/>
      <c r="M82" s="238"/>
    </row>
    <row r="83" spans="1:13">
      <c r="A83" s="1" t="s">
        <v>21</v>
      </c>
      <c r="B83" s="190">
        <v>51</v>
      </c>
      <c r="C83" s="191">
        <v>17</v>
      </c>
      <c r="D83" s="283">
        <v>10.49</v>
      </c>
      <c r="E83" s="193">
        <v>50</v>
      </c>
      <c r="F83" s="191">
        <v>359</v>
      </c>
      <c r="G83" s="192">
        <v>22.47</v>
      </c>
      <c r="H83" s="237"/>
      <c r="I83" s="237"/>
      <c r="J83" s="237"/>
      <c r="K83" s="237"/>
      <c r="L83" s="237"/>
      <c r="M83" s="238"/>
    </row>
    <row r="84" spans="1:13">
      <c r="A84" s="1" t="s">
        <v>22</v>
      </c>
      <c r="B84" s="190">
        <v>48</v>
      </c>
      <c r="C84" s="191">
        <v>25</v>
      </c>
      <c r="D84" s="283">
        <v>15.43</v>
      </c>
      <c r="E84" s="193">
        <v>47</v>
      </c>
      <c r="F84" s="191">
        <v>220</v>
      </c>
      <c r="G84" s="192">
        <v>13.77</v>
      </c>
      <c r="H84" s="237"/>
      <c r="I84" s="237"/>
      <c r="J84" s="237"/>
      <c r="K84" s="237"/>
      <c r="L84" s="237"/>
      <c r="M84" s="238"/>
    </row>
    <row r="85" spans="1:13">
      <c r="A85" s="1" t="s">
        <v>23</v>
      </c>
      <c r="B85" s="190">
        <v>44</v>
      </c>
      <c r="C85" s="191">
        <v>22</v>
      </c>
      <c r="D85" s="283">
        <v>13.58</v>
      </c>
      <c r="E85" s="193">
        <v>43</v>
      </c>
      <c r="F85" s="191">
        <v>334</v>
      </c>
      <c r="G85" s="192">
        <v>20.9</v>
      </c>
      <c r="H85" s="237"/>
      <c r="I85" s="237"/>
      <c r="J85" s="237"/>
      <c r="K85" s="237"/>
      <c r="L85" s="237"/>
      <c r="M85" s="238"/>
    </row>
    <row r="86" spans="1:13">
      <c r="A86" s="1" t="s">
        <v>24</v>
      </c>
      <c r="B86" s="190">
        <v>36</v>
      </c>
      <c r="C86" s="191">
        <v>25</v>
      </c>
      <c r="D86" s="283">
        <v>15.43</v>
      </c>
      <c r="E86" s="193">
        <v>39</v>
      </c>
      <c r="F86" s="191">
        <v>161</v>
      </c>
      <c r="G86" s="192">
        <v>10.08</v>
      </c>
      <c r="H86" s="237"/>
      <c r="I86" s="237"/>
      <c r="J86" s="237"/>
      <c r="K86" s="237"/>
      <c r="L86" s="237"/>
      <c r="M86" s="238"/>
    </row>
    <row r="87" spans="1:13">
      <c r="A87" s="1" t="s">
        <v>25</v>
      </c>
      <c r="B87" s="190">
        <v>34</v>
      </c>
      <c r="C87" s="191">
        <v>6</v>
      </c>
      <c r="D87" s="283">
        <v>3.7</v>
      </c>
      <c r="E87" s="193">
        <v>34</v>
      </c>
      <c r="F87" s="191">
        <v>103</v>
      </c>
      <c r="G87" s="192">
        <v>6.45</v>
      </c>
      <c r="H87" s="237"/>
      <c r="I87" s="237"/>
      <c r="J87" s="237"/>
      <c r="K87" s="237"/>
      <c r="L87" s="237"/>
      <c r="M87" s="238"/>
    </row>
    <row r="88" spans="1:13" ht="17.5" thickBot="1">
      <c r="A88" s="1" t="s">
        <v>30</v>
      </c>
      <c r="B88" s="239" t="s">
        <v>159</v>
      </c>
      <c r="C88" s="240">
        <v>5</v>
      </c>
      <c r="D88" s="284">
        <v>3.09</v>
      </c>
      <c r="E88" s="260" t="s">
        <v>159</v>
      </c>
      <c r="F88" s="240">
        <v>31</v>
      </c>
      <c r="G88" s="261">
        <v>1.94</v>
      </c>
      <c r="H88" s="242"/>
      <c r="I88" s="242"/>
      <c r="J88" s="242"/>
      <c r="K88" s="242"/>
      <c r="L88" s="242"/>
      <c r="M88" s="243"/>
    </row>
  </sheetData>
  <mergeCells count="35">
    <mergeCell ref="L52:L53"/>
    <mergeCell ref="M52:M53"/>
    <mergeCell ref="B77:D77"/>
    <mergeCell ref="E77:G77"/>
    <mergeCell ref="H77:M88"/>
    <mergeCell ref="C78:C79"/>
    <mergeCell ref="D78:D79"/>
    <mergeCell ref="F78:F79"/>
    <mergeCell ref="G78:G79"/>
    <mergeCell ref="C52:C53"/>
    <mergeCell ref="D52:D53"/>
    <mergeCell ref="F52:F53"/>
    <mergeCell ref="G52:G53"/>
    <mergeCell ref="I52:I53"/>
    <mergeCell ref="J52:J53"/>
    <mergeCell ref="L14:L15"/>
    <mergeCell ref="M14:M15"/>
    <mergeCell ref="B25:D25"/>
    <mergeCell ref="E25:M36"/>
    <mergeCell ref="C26:C27"/>
    <mergeCell ref="D26:D27"/>
    <mergeCell ref="B13:D13"/>
    <mergeCell ref="E13:G13"/>
    <mergeCell ref="H13:J13"/>
    <mergeCell ref="K13:M13"/>
    <mergeCell ref="C14:C15"/>
    <mergeCell ref="D14:D15"/>
    <mergeCell ref="F14:F15"/>
    <mergeCell ref="G14:G15"/>
    <mergeCell ref="I14:I15"/>
    <mergeCell ref="J14:J15"/>
    <mergeCell ref="B51:D51"/>
    <mergeCell ref="E51:G51"/>
    <mergeCell ref="H51:J51"/>
    <mergeCell ref="K51:M51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58F2E-2945-4475-AB2E-3ED4D0C21331}">
  <sheetPr codeName="Sheet8"/>
  <dimension ref="A1:P105"/>
  <sheetViews>
    <sheetView zoomScaleNormal="100" workbookViewId="0">
      <selection activeCell="B2" sqref="B2:K58"/>
    </sheetView>
  </sheetViews>
  <sheetFormatPr defaultRowHeight="17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6">
      <c r="A1" s="5" t="s">
        <v>44</v>
      </c>
      <c r="C1" s="5"/>
      <c r="D1" s="5"/>
      <c r="E1" s="5"/>
      <c r="F1" s="5"/>
      <c r="G1" s="5"/>
      <c r="H1" s="5"/>
      <c r="I1" s="5"/>
      <c r="J1" s="5"/>
      <c r="K1" s="5"/>
    </row>
    <row r="2" spans="1:16" s="5" customFormat="1" ht="6" customHeight="1" thickBot="1">
      <c r="B2" s="15"/>
      <c r="C2" s="23"/>
      <c r="D2" s="23"/>
      <c r="E2" s="23"/>
      <c r="F2" s="23"/>
      <c r="G2" s="23"/>
      <c r="H2" s="23"/>
      <c r="I2" s="23"/>
      <c r="J2" s="23"/>
      <c r="K2" s="16"/>
    </row>
    <row r="3" spans="1:16" ht="25" customHeight="1" thickBot="1">
      <c r="A3" s="5"/>
      <c r="B3" s="17"/>
      <c r="C3" s="34" t="s">
        <v>47</v>
      </c>
      <c r="D3" s="105" t="s">
        <v>115</v>
      </c>
      <c r="E3" s="106"/>
      <c r="F3" s="107"/>
      <c r="G3" s="34" t="s">
        <v>48</v>
      </c>
      <c r="H3" s="101">
        <f>'통계 및 응시자 수 입력 기능'!D4</f>
        <v>26.05</v>
      </c>
      <c r="I3" s="103" t="s">
        <v>49</v>
      </c>
      <c r="J3" s="104">
        <f>'통계 및 응시자 수 입력 기능'!C4</f>
        <v>122206</v>
      </c>
      <c r="K3" s="18"/>
    </row>
    <row r="4" spans="1:16" ht="25" customHeight="1" thickBot="1">
      <c r="A4" s="5"/>
      <c r="B4" s="17"/>
      <c r="C4" s="35" t="s">
        <v>50</v>
      </c>
      <c r="D4" s="108" t="s">
        <v>51</v>
      </c>
      <c r="E4" s="109"/>
      <c r="F4" s="110"/>
      <c r="G4" s="36" t="s">
        <v>52</v>
      </c>
      <c r="H4" s="102">
        <f>'통계 및 응시자 수 입력 기능'!E4</f>
        <v>11.5</v>
      </c>
      <c r="I4" s="100"/>
      <c r="J4" s="100"/>
      <c r="K4" s="18"/>
    </row>
    <row r="5" spans="1:16" ht="25" customHeight="1" thickBot="1">
      <c r="A5" s="5"/>
      <c r="B5" s="17"/>
      <c r="C5" s="12"/>
      <c r="D5" s="12"/>
      <c r="E5" s="12"/>
      <c r="F5" s="12"/>
      <c r="G5" s="12"/>
      <c r="H5" s="19"/>
      <c r="I5" s="19"/>
      <c r="J5" s="19"/>
      <c r="K5" s="18"/>
    </row>
    <row r="6" spans="1:16" ht="25" customHeight="1" thickBot="1">
      <c r="A6" s="5"/>
      <c r="B6" s="17"/>
      <c r="C6" s="38" t="s">
        <v>73</v>
      </c>
      <c r="D6" s="39" t="s">
        <v>74</v>
      </c>
      <c r="E6" s="39" t="s">
        <v>75</v>
      </c>
      <c r="F6" s="39" t="s">
        <v>76</v>
      </c>
      <c r="G6" s="39" t="s">
        <v>77</v>
      </c>
      <c r="H6" s="40" t="s">
        <v>78</v>
      </c>
      <c r="I6" s="40" t="s">
        <v>79</v>
      </c>
      <c r="J6" s="41" t="s">
        <v>80</v>
      </c>
      <c r="K6" s="18"/>
      <c r="L6" s="3"/>
      <c r="M6" s="4"/>
    </row>
    <row r="7" spans="1:16" ht="25" customHeight="1">
      <c r="A7" s="5"/>
      <c r="B7" s="17"/>
      <c r="C7" s="42">
        <v>50</v>
      </c>
      <c r="D7" s="43">
        <f>ROUND(10*(C7-$H$3)/$H$4+50,0)</f>
        <v>71</v>
      </c>
      <c r="E7" s="43">
        <f t="shared" ref="E7:E11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44">
        <f>ROUND(100*(1-(0+I7)/2/$J$3),0)</f>
        <v>100</v>
      </c>
      <c r="G7" s="45">
        <f>_xlfn.IFNA(VLOOKUP(D7,'인원 입력 기능'!$B$5:$E$55,4,FALSE),0)</f>
        <v>972</v>
      </c>
      <c r="H7" s="46">
        <f>G7/J3</f>
        <v>7.953782956646973E-3</v>
      </c>
      <c r="I7" s="47">
        <f>G7</f>
        <v>972</v>
      </c>
      <c r="J7" s="48">
        <f>I7/J3</f>
        <v>7.953782956646973E-3</v>
      </c>
      <c r="K7" s="18"/>
      <c r="M7" s="1"/>
      <c r="O7" s="1">
        <v>1</v>
      </c>
      <c r="P7" s="1">
        <f>'표준점수 등급컷 입력기능'!B4</f>
        <v>66</v>
      </c>
    </row>
    <row r="8" spans="1:16" ht="25" customHeight="1">
      <c r="A8" s="5"/>
      <c r="B8" s="17"/>
      <c r="C8" s="49">
        <v>49</v>
      </c>
      <c r="D8" s="111" t="s">
        <v>31</v>
      </c>
      <c r="E8" s="112"/>
      <c r="F8" s="112"/>
      <c r="G8" s="112"/>
      <c r="H8" s="112"/>
      <c r="I8" s="112"/>
      <c r="J8" s="113"/>
      <c r="K8" s="18"/>
      <c r="M8" s="1"/>
      <c r="O8" s="1">
        <v>2</v>
      </c>
      <c r="P8" s="1">
        <f>'표준점수 등급컷 입력기능'!B5</f>
        <v>63</v>
      </c>
    </row>
    <row r="9" spans="1:16" ht="25" customHeight="1">
      <c r="A9" s="5"/>
      <c r="B9" s="17"/>
      <c r="C9" s="42">
        <v>48</v>
      </c>
      <c r="D9" s="43">
        <f>ROUND(10*(C9-$H$3)/$H$4+50,0)</f>
        <v>69</v>
      </c>
      <c r="E9" s="43">
        <f t="shared" si="0"/>
        <v>1</v>
      </c>
      <c r="F9" s="44">
        <f>IF(I8=0,ROUND(100*(1-(I7+I9)/2/$J$3),0),ROUND(100*(1-(I8+I9)/2/$J$3),0))</f>
        <v>99</v>
      </c>
      <c r="G9" s="45">
        <f>_xlfn.IFNA(VLOOKUP(D9,'인원 입력 기능'!$B$5:$E$55,4,FALSE),0)</f>
        <v>1553</v>
      </c>
      <c r="H9" s="46">
        <f>G9/$J$3</f>
        <v>1.2708050341227108E-2</v>
      </c>
      <c r="I9" s="50">
        <f>SUM($G$7:G9)</f>
        <v>2525</v>
      </c>
      <c r="J9" s="48">
        <f>I9/$J$3</f>
        <v>2.0661833297874081E-2</v>
      </c>
      <c r="K9" s="18"/>
      <c r="M9" s="1"/>
      <c r="O9" s="1">
        <v>3</v>
      </c>
      <c r="P9" s="1">
        <f>'표준점수 등급컷 입력기능'!B6</f>
        <v>58</v>
      </c>
    </row>
    <row r="10" spans="1:16" ht="25" customHeight="1">
      <c r="A10" s="5"/>
      <c r="B10" s="17"/>
      <c r="C10" s="49">
        <v>47</v>
      </c>
      <c r="D10" s="43">
        <f t="shared" ref="D10:D55" si="1">ROUND(10*(C10-$H$3)/$H$4+50,0)</f>
        <v>68</v>
      </c>
      <c r="E10" s="43">
        <f t="shared" si="0"/>
        <v>1</v>
      </c>
      <c r="F10" s="44">
        <f>IF(I9=0,ROUND(100*(1-(I8+I10)/2/$J$3),0),ROUND(100*(1-(I9+I10)/2/$J$3),0))</f>
        <v>98</v>
      </c>
      <c r="G10" s="45">
        <f>IF(D10=D9,"",_xlfn.IFNA(VLOOKUP(D10,'인원 입력 기능'!$B$5:$E$55,4,FALSE),0))</f>
        <v>946</v>
      </c>
      <c r="H10" s="46">
        <f t="shared" ref="H10:H55" si="2">G10/$J$3</f>
        <v>7.7410274454609426E-3</v>
      </c>
      <c r="I10" s="50">
        <f>SUM($G$7:G10)</f>
        <v>3471</v>
      </c>
      <c r="J10" s="48">
        <f t="shared" ref="J10:J55" si="3">I10/$J$3</f>
        <v>2.8402860743335024E-2</v>
      </c>
      <c r="K10" s="18"/>
      <c r="M10" s="1"/>
      <c r="O10" s="1">
        <v>4</v>
      </c>
      <c r="P10" s="1">
        <f>'표준점수 등급컷 입력기능'!B7</f>
        <v>53</v>
      </c>
    </row>
    <row r="11" spans="1:16" ht="25" customHeight="1">
      <c r="A11" s="5"/>
      <c r="B11" s="17"/>
      <c r="C11" s="42">
        <v>46</v>
      </c>
      <c r="D11" s="43">
        <f t="shared" si="1"/>
        <v>67</v>
      </c>
      <c r="E11" s="43">
        <f t="shared" si="0"/>
        <v>1</v>
      </c>
      <c r="F11" s="44">
        <f t="shared" ref="F11:F55" si="4">IF(I10=0,ROUND(100*(1-(I9+I11)/2/$J$3),0),ROUND(100*(1-(I10+I11)/2/$J$3),0))</f>
        <v>97</v>
      </c>
      <c r="G11" s="45">
        <f>IF(D11=D10,"",_xlfn.IFNA(VLOOKUP(D11,'인원 입력 기능'!$B$5:$E$55,4,FALSE),0))</f>
        <v>952</v>
      </c>
      <c r="H11" s="46">
        <f t="shared" si="2"/>
        <v>7.7901248711192573E-3</v>
      </c>
      <c r="I11" s="50">
        <f>SUM($G$7:G11)</f>
        <v>4423</v>
      </c>
      <c r="J11" s="48">
        <f t="shared" si="3"/>
        <v>3.6192985614454283E-2</v>
      </c>
      <c r="K11" s="18"/>
      <c r="M11" s="1"/>
      <c r="O11" s="1">
        <v>5</v>
      </c>
      <c r="P11" s="1">
        <f>'표준점수 등급컷 입력기능'!B8</f>
        <v>47</v>
      </c>
    </row>
    <row r="12" spans="1:16" ht="25" customHeight="1">
      <c r="A12" s="5"/>
      <c r="B12" s="17"/>
      <c r="C12" s="49">
        <v>45</v>
      </c>
      <c r="D12" s="286">
        <f t="shared" ref="D12:D51" si="5">ROUND(10*(C12-$H$3)/$H$4+50,0)</f>
        <v>66</v>
      </c>
      <c r="E12" s="286">
        <f t="shared" ref="E12:E51" si="6">IF(ROUND(D12,0)&gt;=$P$7,1,IF(ROUND(D12,0)&gt;=$P$8,2,IF(ROUND(D12,0)&gt;=$P$9,3,IF(ROUND(D12,0)&gt;=$P$10,4,IF(ROUND(D12,0)&gt;=$P$11,5,IF(ROUND(D12,0)&gt;=$P$12,6,IF(ROUND(D12,0)&gt;=$P$13,7,IF(ROUND(D12,0)&gt;=$P$14,8,9))))))))</f>
        <v>1</v>
      </c>
      <c r="F12" s="288">
        <f t="shared" ref="F12:F51" si="7">IF(I11=0,ROUND(100*(1-(I10+I12)/2/$J$3),0),ROUND(100*(1-(I11+I12)/2/$J$3),0))</f>
        <v>95</v>
      </c>
      <c r="G12" s="290">
        <f>IF(D12=D11,"",_xlfn.IFNA(VLOOKUP(D12,'인원 입력 기능'!$B$5:$E$55,4,FALSE),0))</f>
        <v>3228</v>
      </c>
      <c r="H12" s="291">
        <f t="shared" si="2"/>
        <v>2.641441500417328E-2</v>
      </c>
      <c r="I12" s="293">
        <f>SUM($G$7:G12)</f>
        <v>7651</v>
      </c>
      <c r="J12" s="295">
        <f t="shared" si="3"/>
        <v>6.2607400618627559E-2</v>
      </c>
      <c r="K12" s="18"/>
      <c r="M12" s="1"/>
      <c r="O12" s="1">
        <v>6</v>
      </c>
      <c r="P12" s="1">
        <f>'표준점수 등급컷 입력기능'!B9</f>
        <v>41</v>
      </c>
    </row>
    <row r="13" spans="1:16" ht="25" customHeight="1">
      <c r="A13" s="5"/>
      <c r="B13" s="17"/>
      <c r="C13" s="42">
        <v>44</v>
      </c>
      <c r="D13" s="285"/>
      <c r="E13" s="285"/>
      <c r="F13" s="287"/>
      <c r="G13" s="289"/>
      <c r="H13" s="292"/>
      <c r="I13" s="294"/>
      <c r="J13" s="296"/>
      <c r="K13" s="18"/>
      <c r="M13" s="1"/>
      <c r="O13" s="1">
        <v>7</v>
      </c>
      <c r="P13" s="1">
        <f>'표준점수 등급컷 입력기능'!B10</f>
        <v>36</v>
      </c>
    </row>
    <row r="14" spans="1:16" ht="25" customHeight="1">
      <c r="A14" s="5"/>
      <c r="B14" s="17"/>
      <c r="C14" s="49">
        <v>43</v>
      </c>
      <c r="D14" s="43">
        <f t="shared" si="5"/>
        <v>65</v>
      </c>
      <c r="E14" s="43">
        <f t="shared" si="6"/>
        <v>2</v>
      </c>
      <c r="F14" s="44">
        <f t="shared" si="7"/>
        <v>93</v>
      </c>
      <c r="G14" s="45">
        <f>IF(D14=D13,"",_xlfn.IFNA(VLOOKUP(D14,'인원 입력 기능'!$B$5:$E$55,4,FALSE),0))</f>
        <v>2261</v>
      </c>
      <c r="H14" s="46">
        <f t="shared" si="2"/>
        <v>1.8501546568908237E-2</v>
      </c>
      <c r="I14" s="50">
        <f>SUM($G$7:G14)</f>
        <v>9912</v>
      </c>
      <c r="J14" s="48">
        <f t="shared" si="3"/>
        <v>8.1108947187535807E-2</v>
      </c>
      <c r="K14" s="18"/>
      <c r="M14" s="1"/>
      <c r="O14" s="1">
        <v>8</v>
      </c>
      <c r="P14" s="1">
        <f>'표준점수 등급컷 입력기능'!B11</f>
        <v>33</v>
      </c>
    </row>
    <row r="15" spans="1:16" ht="25" customHeight="1">
      <c r="A15" s="5"/>
      <c r="B15" s="17"/>
      <c r="C15" s="42">
        <v>42</v>
      </c>
      <c r="D15" s="43">
        <f t="shared" si="5"/>
        <v>64</v>
      </c>
      <c r="E15" s="43">
        <f t="shared" si="6"/>
        <v>2</v>
      </c>
      <c r="F15" s="44">
        <f t="shared" si="7"/>
        <v>91</v>
      </c>
      <c r="G15" s="45">
        <f>IF(D15=D14,"",_xlfn.IFNA(VLOOKUP(D15,'인원 입력 기능'!$B$5:$E$55,4,FALSE),0))</f>
        <v>2324</v>
      </c>
      <c r="H15" s="46">
        <f t="shared" si="2"/>
        <v>1.9017069538320542E-2</v>
      </c>
      <c r="I15" s="50">
        <f>SUM($G$7:G15)</f>
        <v>12236</v>
      </c>
      <c r="J15" s="48">
        <f t="shared" si="3"/>
        <v>0.10012601672585635</v>
      </c>
      <c r="K15" s="18"/>
      <c r="M15" s="1"/>
      <c r="O15" s="1">
        <v>9</v>
      </c>
      <c r="P15" s="1"/>
    </row>
    <row r="16" spans="1:16" ht="25" customHeight="1">
      <c r="A16" s="5"/>
      <c r="B16" s="17"/>
      <c r="C16" s="49">
        <v>41</v>
      </c>
      <c r="D16" s="43">
        <f t="shared" si="5"/>
        <v>63</v>
      </c>
      <c r="E16" s="43">
        <f t="shared" si="6"/>
        <v>2</v>
      </c>
      <c r="F16" s="44">
        <f t="shared" si="7"/>
        <v>89</v>
      </c>
      <c r="G16" s="45">
        <f>IF(D16=D15,"",_xlfn.IFNA(VLOOKUP(D16,'인원 입력 기능'!$B$5:$E$55,4,FALSE),0))</f>
        <v>1531</v>
      </c>
      <c r="H16" s="46">
        <f t="shared" si="2"/>
        <v>1.2528026447146621E-2</v>
      </c>
      <c r="I16" s="50">
        <f>SUM($G$7:G16)</f>
        <v>13767</v>
      </c>
      <c r="J16" s="48">
        <f t="shared" si="3"/>
        <v>0.11265404317300297</v>
      </c>
      <c r="K16" s="18"/>
      <c r="M16" s="1"/>
    </row>
    <row r="17" spans="1:16" ht="25" customHeight="1">
      <c r="A17" s="5"/>
      <c r="B17" s="17"/>
      <c r="C17" s="42">
        <v>40</v>
      </c>
      <c r="D17" s="43">
        <f t="shared" si="5"/>
        <v>62</v>
      </c>
      <c r="E17" s="43">
        <f t="shared" si="6"/>
        <v>3</v>
      </c>
      <c r="F17" s="44">
        <f t="shared" si="7"/>
        <v>87</v>
      </c>
      <c r="G17" s="45">
        <f>IF(D17=D16,"",_xlfn.IFNA(VLOOKUP(D17,'인원 입력 기능'!$B$5:$E$55,4,FALSE),0))</f>
        <v>3203</v>
      </c>
      <c r="H17" s="46">
        <f t="shared" si="2"/>
        <v>2.6209842397263636E-2</v>
      </c>
      <c r="I17" s="50">
        <f>SUM($G$7:G17)</f>
        <v>16970</v>
      </c>
      <c r="J17" s="48">
        <f t="shared" si="3"/>
        <v>0.1388638855702666</v>
      </c>
      <c r="K17" s="18"/>
      <c r="M17" s="1"/>
      <c r="P17" s="1">
        <f>H3*H4*J3*P7*IFERROR(IF(J57=1, 1, 0), 0)</f>
        <v>2416250921.6999998</v>
      </c>
    </row>
    <row r="18" spans="1:16" ht="25" customHeight="1">
      <c r="A18" s="5"/>
      <c r="B18" s="17"/>
      <c r="C18" s="49">
        <v>39</v>
      </c>
      <c r="D18" s="43">
        <f t="shared" si="5"/>
        <v>61</v>
      </c>
      <c r="E18" s="43">
        <f t="shared" si="6"/>
        <v>3</v>
      </c>
      <c r="F18" s="44">
        <f t="shared" si="7"/>
        <v>85</v>
      </c>
      <c r="G18" s="45">
        <f>IF(D18=D17,"",_xlfn.IFNA(VLOOKUP(D18,'인원 입력 기능'!$B$5:$E$55,4,FALSE),0))</f>
        <v>2036</v>
      </c>
      <c r="H18" s="46">
        <f t="shared" si="2"/>
        <v>1.6660393106721436E-2</v>
      </c>
      <c r="I18" s="50">
        <f>SUM($G$7:G18)</f>
        <v>19006</v>
      </c>
      <c r="J18" s="48">
        <f t="shared" si="3"/>
        <v>0.15552427867698804</v>
      </c>
      <c r="K18" s="18"/>
      <c r="M18" s="1"/>
    </row>
    <row r="19" spans="1:16" ht="25" customHeight="1">
      <c r="A19" s="5"/>
      <c r="B19" s="17"/>
      <c r="C19" s="42">
        <v>38</v>
      </c>
      <c r="D19" s="286">
        <f t="shared" si="5"/>
        <v>60</v>
      </c>
      <c r="E19" s="286">
        <f t="shared" si="6"/>
        <v>3</v>
      </c>
      <c r="F19" s="288">
        <f t="shared" si="7"/>
        <v>82</v>
      </c>
      <c r="G19" s="290">
        <f>IF(D19=D18,"",_xlfn.IFNA(VLOOKUP(D19,'인원 입력 기능'!$B$5:$E$55,4,FALSE),0))</f>
        <v>6125</v>
      </c>
      <c r="H19" s="291">
        <f t="shared" si="2"/>
        <v>5.012028869286287E-2</v>
      </c>
      <c r="I19" s="293">
        <f>SUM($G$7:G19)</f>
        <v>25131</v>
      </c>
      <c r="J19" s="295">
        <f t="shared" si="3"/>
        <v>0.2056445673698509</v>
      </c>
      <c r="K19" s="18"/>
      <c r="M19" s="1"/>
    </row>
    <row r="20" spans="1:16" ht="25" customHeight="1">
      <c r="A20" s="5"/>
      <c r="B20" s="17"/>
      <c r="C20" s="49">
        <v>37</v>
      </c>
      <c r="D20" s="285"/>
      <c r="E20" s="285"/>
      <c r="F20" s="287"/>
      <c r="G20" s="289"/>
      <c r="H20" s="292"/>
      <c r="I20" s="294"/>
      <c r="J20" s="296"/>
      <c r="K20" s="18"/>
      <c r="M20" s="1"/>
    </row>
    <row r="21" spans="1:16" ht="25" customHeight="1">
      <c r="A21" s="5"/>
      <c r="B21" s="17"/>
      <c r="C21" s="51">
        <v>36</v>
      </c>
      <c r="D21" s="43">
        <f t="shared" si="5"/>
        <v>59</v>
      </c>
      <c r="E21" s="43">
        <f t="shared" si="6"/>
        <v>3</v>
      </c>
      <c r="F21" s="44">
        <f t="shared" si="7"/>
        <v>78</v>
      </c>
      <c r="G21" s="45">
        <f>IF(D21=D20,"",_xlfn.IFNA(VLOOKUP(D21,'인원 입력 기능'!$B$5:$E$55,4,FALSE),0))</f>
        <v>2445</v>
      </c>
      <c r="H21" s="46">
        <f t="shared" si="2"/>
        <v>2.0007200955763218E-2</v>
      </c>
      <c r="I21" s="50">
        <f>SUM($G$7:G21)</f>
        <v>27576</v>
      </c>
      <c r="J21" s="48">
        <f t="shared" si="3"/>
        <v>0.22565176832561412</v>
      </c>
      <c r="K21" s="18"/>
      <c r="M21" s="1"/>
    </row>
    <row r="22" spans="1:16" ht="25" customHeight="1">
      <c r="A22" s="5"/>
      <c r="B22" s="17"/>
      <c r="C22" s="52">
        <v>35</v>
      </c>
      <c r="D22" s="43">
        <f t="shared" si="5"/>
        <v>58</v>
      </c>
      <c r="E22" s="43">
        <f t="shared" si="6"/>
        <v>3</v>
      </c>
      <c r="F22" s="44">
        <f t="shared" si="7"/>
        <v>76</v>
      </c>
      <c r="G22" s="45">
        <f>IF(D22=D21,"",_xlfn.IFNA(VLOOKUP(D22,'인원 입력 기능'!$B$5:$E$55,4,FALSE),0))</f>
        <v>3708</v>
      </c>
      <c r="H22" s="46">
        <f t="shared" si="2"/>
        <v>3.0342209056838453E-2</v>
      </c>
      <c r="I22" s="50">
        <f>SUM($G$7:G22)</f>
        <v>31284</v>
      </c>
      <c r="J22" s="48">
        <f t="shared" si="3"/>
        <v>0.25599397738245255</v>
      </c>
      <c r="K22" s="18"/>
      <c r="M22" s="1"/>
    </row>
    <row r="23" spans="1:16" ht="25" customHeight="1">
      <c r="A23" s="5"/>
      <c r="B23" s="17"/>
      <c r="C23" s="51">
        <v>34</v>
      </c>
      <c r="D23" s="43">
        <f t="shared" si="5"/>
        <v>57</v>
      </c>
      <c r="E23" s="43">
        <f t="shared" si="6"/>
        <v>4</v>
      </c>
      <c r="F23" s="44">
        <f t="shared" si="7"/>
        <v>73</v>
      </c>
      <c r="G23" s="45">
        <f>IF(D23=D22,"",_xlfn.IFNA(VLOOKUP(D23,'인원 입력 기능'!$B$5:$E$55,4,FALSE),0))</f>
        <v>3444</v>
      </c>
      <c r="H23" s="46">
        <f t="shared" si="2"/>
        <v>2.8181922327872609E-2</v>
      </c>
      <c r="I23" s="50">
        <f>SUM($G$7:G23)</f>
        <v>34728</v>
      </c>
      <c r="J23" s="48">
        <f t="shared" si="3"/>
        <v>0.2841758997103252</v>
      </c>
      <c r="K23" s="18"/>
      <c r="M23" s="1"/>
    </row>
    <row r="24" spans="1:16" ht="25" customHeight="1">
      <c r="A24" s="5"/>
      <c r="B24" s="17"/>
      <c r="C24" s="52">
        <v>33</v>
      </c>
      <c r="D24" s="43">
        <f t="shared" si="5"/>
        <v>56</v>
      </c>
      <c r="E24" s="43">
        <f t="shared" si="6"/>
        <v>4</v>
      </c>
      <c r="F24" s="44">
        <f t="shared" si="7"/>
        <v>70</v>
      </c>
      <c r="G24" s="45">
        <f>IF(D24=D23,"",_xlfn.IFNA(VLOOKUP(D24,'인원 입력 기능'!$B$5:$E$55,4,FALSE),0))</f>
        <v>3215</v>
      </c>
      <c r="H24" s="46">
        <f t="shared" si="2"/>
        <v>2.6308037248580267E-2</v>
      </c>
      <c r="I24" s="50">
        <f>SUM($G$7:G24)</f>
        <v>37943</v>
      </c>
      <c r="J24" s="48">
        <f t="shared" si="3"/>
        <v>0.31048393695890547</v>
      </c>
      <c r="K24" s="18"/>
      <c r="M24" s="1"/>
    </row>
    <row r="25" spans="1:16" ht="25" customHeight="1">
      <c r="A25" s="5"/>
      <c r="B25" s="17"/>
      <c r="C25" s="51">
        <v>32</v>
      </c>
      <c r="D25" s="43">
        <f t="shared" si="5"/>
        <v>55</v>
      </c>
      <c r="E25" s="43">
        <f t="shared" si="6"/>
        <v>4</v>
      </c>
      <c r="F25" s="44">
        <f t="shared" si="7"/>
        <v>67</v>
      </c>
      <c r="G25" s="45">
        <f>IF(D25=D24,"",_xlfn.IFNA(VLOOKUP(D25,'인원 입력 기능'!$B$5:$E$55,4,FALSE),0))</f>
        <v>4388</v>
      </c>
      <c r="H25" s="46">
        <f t="shared" si="2"/>
        <v>3.5906583964780782E-2</v>
      </c>
      <c r="I25" s="50">
        <f>SUM($G$7:G25)</f>
        <v>42331</v>
      </c>
      <c r="J25" s="48">
        <f t="shared" si="3"/>
        <v>0.34639052092368622</v>
      </c>
      <c r="K25" s="18"/>
      <c r="M25" s="1"/>
    </row>
    <row r="26" spans="1:16" ht="25" customHeight="1">
      <c r="A26" s="5"/>
      <c r="B26" s="17"/>
      <c r="C26" s="52">
        <v>31</v>
      </c>
      <c r="D26" s="43">
        <f t="shared" si="5"/>
        <v>54</v>
      </c>
      <c r="E26" s="43">
        <f t="shared" si="6"/>
        <v>4</v>
      </c>
      <c r="F26" s="44">
        <f t="shared" si="7"/>
        <v>64</v>
      </c>
      <c r="G26" s="45">
        <f>IF(D26=D25,"",_xlfn.IFNA(VLOOKUP(D26,'인원 입력 기능'!$B$5:$E$55,4,FALSE),0))</f>
        <v>3438</v>
      </c>
      <c r="H26" s="46">
        <f t="shared" si="2"/>
        <v>2.8132824902214294E-2</v>
      </c>
      <c r="I26" s="50">
        <f>SUM($G$7:G26)</f>
        <v>45769</v>
      </c>
      <c r="J26" s="48">
        <f t="shared" si="3"/>
        <v>0.37452334582590052</v>
      </c>
      <c r="K26" s="18"/>
      <c r="M26" s="1"/>
    </row>
    <row r="27" spans="1:16" ht="25" customHeight="1">
      <c r="A27" s="5"/>
      <c r="B27" s="17"/>
      <c r="C27" s="51">
        <v>30</v>
      </c>
      <c r="D27" s="286">
        <f t="shared" si="5"/>
        <v>53</v>
      </c>
      <c r="E27" s="286">
        <f t="shared" si="6"/>
        <v>4</v>
      </c>
      <c r="F27" s="288">
        <f t="shared" si="7"/>
        <v>59</v>
      </c>
      <c r="G27" s="290">
        <f>IF(D27=D26,"",_xlfn.IFNA(VLOOKUP(D27,'인원 입력 기능'!$B$5:$E$55,4,FALSE),0))</f>
        <v>8073</v>
      </c>
      <c r="H27" s="291">
        <f t="shared" si="2"/>
        <v>6.6060586223262358E-2</v>
      </c>
      <c r="I27" s="293">
        <f>SUM($G$7:G27)</f>
        <v>53842</v>
      </c>
      <c r="J27" s="295">
        <f t="shared" si="3"/>
        <v>0.44058393204916291</v>
      </c>
      <c r="K27" s="18"/>
      <c r="M27" s="1"/>
    </row>
    <row r="28" spans="1:16" ht="25" customHeight="1">
      <c r="A28" s="5"/>
      <c r="B28" s="17"/>
      <c r="C28" s="52">
        <v>29</v>
      </c>
      <c r="D28" s="285"/>
      <c r="E28" s="285"/>
      <c r="F28" s="287"/>
      <c r="G28" s="289"/>
      <c r="H28" s="292"/>
      <c r="I28" s="294"/>
      <c r="J28" s="296"/>
      <c r="K28" s="18"/>
      <c r="M28" s="1"/>
    </row>
    <row r="29" spans="1:16" ht="25" customHeight="1">
      <c r="A29" s="5"/>
      <c r="B29" s="17"/>
      <c r="C29" s="51">
        <v>28</v>
      </c>
      <c r="D29" s="43">
        <f t="shared" si="5"/>
        <v>52</v>
      </c>
      <c r="E29" s="43">
        <f t="shared" si="6"/>
        <v>5</v>
      </c>
      <c r="F29" s="44">
        <f t="shared" si="7"/>
        <v>54</v>
      </c>
      <c r="G29" s="45">
        <f>IF(D29=D28,"",_xlfn.IFNA(VLOOKUP(D29,'인원 입력 기능'!$B$5:$E$55,4,FALSE),0))</f>
        <v>3685</v>
      </c>
      <c r="H29" s="46">
        <f t="shared" si="2"/>
        <v>3.0154002258481579E-2</v>
      </c>
      <c r="I29" s="50">
        <f>SUM($G$7:G29)</f>
        <v>57527</v>
      </c>
      <c r="J29" s="48">
        <f t="shared" si="3"/>
        <v>0.47073793430764449</v>
      </c>
      <c r="K29" s="18"/>
      <c r="M29" s="1"/>
    </row>
    <row r="30" spans="1:16" ht="25" customHeight="1">
      <c r="A30" s="5"/>
      <c r="B30" s="17"/>
      <c r="C30" s="52">
        <v>27</v>
      </c>
      <c r="D30" s="43">
        <f t="shared" si="5"/>
        <v>51</v>
      </c>
      <c r="E30" s="43">
        <f t="shared" si="6"/>
        <v>5</v>
      </c>
      <c r="F30" s="44">
        <f t="shared" si="7"/>
        <v>51</v>
      </c>
      <c r="G30" s="45">
        <f>IF(D30=D29,"",_xlfn.IFNA(VLOOKUP(D30,'인원 입력 기능'!$B$5:$E$55,4,FALSE),0))</f>
        <v>4371</v>
      </c>
      <c r="H30" s="46">
        <f t="shared" si="2"/>
        <v>3.5767474592082224E-2</v>
      </c>
      <c r="I30" s="50">
        <f>SUM($G$7:G30)</f>
        <v>61898</v>
      </c>
      <c r="J30" s="48">
        <f t="shared" si="3"/>
        <v>0.50650540889972673</v>
      </c>
      <c r="K30" s="18"/>
      <c r="M30" s="1"/>
    </row>
    <row r="31" spans="1:16" ht="25" customHeight="1">
      <c r="A31" s="5"/>
      <c r="B31" s="17"/>
      <c r="C31" s="51">
        <v>26</v>
      </c>
      <c r="D31" s="43">
        <f t="shared" si="5"/>
        <v>50</v>
      </c>
      <c r="E31" s="43">
        <f t="shared" si="6"/>
        <v>5</v>
      </c>
      <c r="F31" s="44">
        <f t="shared" si="7"/>
        <v>48</v>
      </c>
      <c r="G31" s="45">
        <f>IF(D31=D30,"",_xlfn.IFNA(VLOOKUP(D31,'인원 입력 기능'!$B$5:$E$55,4,FALSE),0))</f>
        <v>3471</v>
      </c>
      <c r="H31" s="46">
        <f t="shared" si="2"/>
        <v>2.8402860743335024E-2</v>
      </c>
      <c r="I31" s="50">
        <f>SUM($G$7:G31)</f>
        <v>65369</v>
      </c>
      <c r="J31" s="48">
        <f t="shared" si="3"/>
        <v>0.53490826964306171</v>
      </c>
      <c r="K31" s="18"/>
      <c r="M31" s="1"/>
    </row>
    <row r="32" spans="1:16" ht="25" customHeight="1">
      <c r="A32" s="5"/>
      <c r="B32" s="17"/>
      <c r="C32" s="52">
        <v>25</v>
      </c>
      <c r="D32" s="43">
        <f t="shared" si="5"/>
        <v>49</v>
      </c>
      <c r="E32" s="43">
        <f t="shared" si="6"/>
        <v>5</v>
      </c>
      <c r="F32" s="44">
        <f t="shared" si="7"/>
        <v>45</v>
      </c>
      <c r="G32" s="45">
        <f>IF(D32=D31,"",_xlfn.IFNA(VLOOKUP(D32,'인원 입력 기능'!$B$5:$E$55,4,FALSE),0))</f>
        <v>3859</v>
      </c>
      <c r="H32" s="46">
        <f t="shared" si="2"/>
        <v>3.1577827602572703E-2</v>
      </c>
      <c r="I32" s="50">
        <f>SUM($G$7:G32)</f>
        <v>69228</v>
      </c>
      <c r="J32" s="48">
        <f t="shared" si="3"/>
        <v>0.56648609724563437</v>
      </c>
      <c r="K32" s="18"/>
      <c r="M32" s="1"/>
    </row>
    <row r="33" spans="1:13" ht="25" customHeight="1">
      <c r="A33" s="5"/>
      <c r="B33" s="17"/>
      <c r="C33" s="51">
        <v>24</v>
      </c>
      <c r="D33" s="43">
        <f t="shared" si="5"/>
        <v>48</v>
      </c>
      <c r="E33" s="43">
        <f t="shared" si="6"/>
        <v>5</v>
      </c>
      <c r="F33" s="44">
        <f t="shared" si="7"/>
        <v>42</v>
      </c>
      <c r="G33" s="45">
        <f>IF(D33=D32,"",_xlfn.IFNA(VLOOKUP(D33,'인원 입력 기능'!$B$5:$E$55,4,FALSE),0))</f>
        <v>3669</v>
      </c>
      <c r="H33" s="46">
        <f t="shared" si="2"/>
        <v>3.0023075790059407E-2</v>
      </c>
      <c r="I33" s="50">
        <f>SUM($G$7:G33)</f>
        <v>72897</v>
      </c>
      <c r="J33" s="48">
        <f t="shared" si="3"/>
        <v>0.59650917303569384</v>
      </c>
      <c r="K33" s="18"/>
      <c r="M33" s="1"/>
    </row>
    <row r="34" spans="1:13" ht="25" customHeight="1">
      <c r="A34" s="5"/>
      <c r="B34" s="17"/>
      <c r="C34" s="52">
        <v>23</v>
      </c>
      <c r="D34" s="43">
        <f t="shared" si="5"/>
        <v>47</v>
      </c>
      <c r="E34" s="43">
        <f t="shared" si="6"/>
        <v>5</v>
      </c>
      <c r="F34" s="44">
        <f t="shared" si="7"/>
        <v>39</v>
      </c>
      <c r="G34" s="45">
        <f>IF(D34=D33,"",_xlfn.IFNA(VLOOKUP(D34,'인원 입력 기능'!$B$5:$E$55,4,FALSE),0))</f>
        <v>3323</v>
      </c>
      <c r="H34" s="46">
        <f t="shared" si="2"/>
        <v>2.719179091042993E-2</v>
      </c>
      <c r="I34" s="50">
        <f>SUM($G$7:G34)</f>
        <v>76220</v>
      </c>
      <c r="J34" s="48">
        <f t="shared" si="3"/>
        <v>0.62370096394612373</v>
      </c>
      <c r="K34" s="18"/>
      <c r="M34" s="1"/>
    </row>
    <row r="35" spans="1:13" ht="25" customHeight="1">
      <c r="A35" s="5"/>
      <c r="B35" s="17"/>
      <c r="C35" s="51">
        <v>22</v>
      </c>
      <c r="D35" s="286">
        <f t="shared" si="5"/>
        <v>46</v>
      </c>
      <c r="E35" s="286">
        <f t="shared" si="6"/>
        <v>6</v>
      </c>
      <c r="F35" s="288">
        <f t="shared" si="7"/>
        <v>35</v>
      </c>
      <c r="G35" s="290">
        <f>IF(D35=D34,"",_xlfn.IFNA(VLOOKUP(D35,'인원 입력 기능'!$B$5:$E$55,4,FALSE),0))</f>
        <v>6321</v>
      </c>
      <c r="H35" s="291">
        <f t="shared" si="2"/>
        <v>5.1724137931034482E-2</v>
      </c>
      <c r="I35" s="293">
        <f>SUM($G$7:G35)</f>
        <v>82541</v>
      </c>
      <c r="J35" s="295">
        <f t="shared" si="3"/>
        <v>0.67542510187715821</v>
      </c>
      <c r="K35" s="18"/>
      <c r="M35" s="1"/>
    </row>
    <row r="36" spans="1:13" ht="25" customHeight="1">
      <c r="A36" s="5"/>
      <c r="B36" s="17"/>
      <c r="C36" s="52">
        <v>21</v>
      </c>
      <c r="D36" s="285"/>
      <c r="E36" s="285"/>
      <c r="F36" s="287"/>
      <c r="G36" s="289"/>
      <c r="H36" s="292"/>
      <c r="I36" s="294"/>
      <c r="J36" s="296"/>
      <c r="K36" s="18"/>
      <c r="M36" s="1"/>
    </row>
    <row r="37" spans="1:13" ht="25" customHeight="1">
      <c r="A37" s="5"/>
      <c r="B37" s="17"/>
      <c r="C37" s="51">
        <v>20</v>
      </c>
      <c r="D37" s="43">
        <f t="shared" si="5"/>
        <v>45</v>
      </c>
      <c r="E37" s="43">
        <f t="shared" si="6"/>
        <v>6</v>
      </c>
      <c r="F37" s="44">
        <f t="shared" si="7"/>
        <v>31</v>
      </c>
      <c r="G37" s="45">
        <f>IF(D37=D36,"",_xlfn.IFNA(VLOOKUP(D37,'인원 입력 기능'!$B$5:$E$55,4,FALSE),0))</f>
        <v>2990</v>
      </c>
      <c r="H37" s="46">
        <f t="shared" si="2"/>
        <v>2.4466883786393466E-2</v>
      </c>
      <c r="I37" s="50">
        <f>SUM($G$7:G37)</f>
        <v>85531</v>
      </c>
      <c r="J37" s="48">
        <f t="shared" si="3"/>
        <v>0.69989198566355171</v>
      </c>
      <c r="K37" s="18"/>
      <c r="M37" s="1"/>
    </row>
    <row r="38" spans="1:13" ht="25" customHeight="1">
      <c r="A38" s="5"/>
      <c r="B38" s="17"/>
      <c r="C38" s="52">
        <v>19</v>
      </c>
      <c r="D38" s="43">
        <f t="shared" si="5"/>
        <v>44</v>
      </c>
      <c r="E38" s="43">
        <f t="shared" si="6"/>
        <v>6</v>
      </c>
      <c r="F38" s="44">
        <f t="shared" si="7"/>
        <v>29</v>
      </c>
      <c r="G38" s="45">
        <f>IF(D38=D37,"",_xlfn.IFNA(VLOOKUP(D38,'인원 입력 기능'!$B$5:$E$55,4,FALSE),0))</f>
        <v>2590</v>
      </c>
      <c r="H38" s="46">
        <f t="shared" si="2"/>
        <v>2.1193722075839156E-2</v>
      </c>
      <c r="I38" s="50">
        <f>SUM($G$7:G38)</f>
        <v>88121</v>
      </c>
      <c r="J38" s="48">
        <f t="shared" si="3"/>
        <v>0.72108570773939085</v>
      </c>
      <c r="K38" s="18"/>
      <c r="M38" s="1"/>
    </row>
    <row r="39" spans="1:13" ht="25" customHeight="1">
      <c r="A39" s="5"/>
      <c r="B39" s="17"/>
      <c r="C39" s="51">
        <v>18</v>
      </c>
      <c r="D39" s="43">
        <f t="shared" si="5"/>
        <v>43</v>
      </c>
      <c r="E39" s="43">
        <f t="shared" si="6"/>
        <v>6</v>
      </c>
      <c r="F39" s="44">
        <f t="shared" si="7"/>
        <v>27</v>
      </c>
      <c r="G39" s="45">
        <f>IF(D39=D38,"",_xlfn.IFNA(VLOOKUP(D39,'인원 입력 기능'!$B$5:$E$55,4,FALSE),0))</f>
        <v>2295</v>
      </c>
      <c r="H39" s="46">
        <f t="shared" si="2"/>
        <v>1.8779765314305353E-2</v>
      </c>
      <c r="I39" s="50">
        <f>SUM($G$7:G39)</f>
        <v>90416</v>
      </c>
      <c r="J39" s="48">
        <f t="shared" si="3"/>
        <v>0.73986547305369621</v>
      </c>
      <c r="K39" s="18"/>
      <c r="M39" s="1"/>
    </row>
    <row r="40" spans="1:13" ht="25" customHeight="1">
      <c r="A40" s="5"/>
      <c r="B40" s="17"/>
      <c r="C40" s="52">
        <v>17</v>
      </c>
      <c r="D40" s="43">
        <f t="shared" si="5"/>
        <v>42</v>
      </c>
      <c r="E40" s="43">
        <f t="shared" si="6"/>
        <v>6</v>
      </c>
      <c r="F40" s="44">
        <f t="shared" si="7"/>
        <v>25</v>
      </c>
      <c r="G40" s="45">
        <f>IF(D40=D39,"",_xlfn.IFNA(VLOOKUP(D40,'인원 입력 기능'!$B$5:$E$55,4,FALSE),0))</f>
        <v>2482</v>
      </c>
      <c r="H40" s="46">
        <f t="shared" si="2"/>
        <v>2.0309968413989493E-2</v>
      </c>
      <c r="I40" s="50">
        <f>SUM($G$7:G40)</f>
        <v>92898</v>
      </c>
      <c r="J40" s="48">
        <f t="shared" si="3"/>
        <v>0.76017544146768568</v>
      </c>
      <c r="K40" s="18"/>
      <c r="M40" s="1"/>
    </row>
    <row r="41" spans="1:13" ht="25" customHeight="1">
      <c r="A41" s="5"/>
      <c r="B41" s="17"/>
      <c r="C41" s="51">
        <v>16</v>
      </c>
      <c r="D41" s="43">
        <f t="shared" si="5"/>
        <v>41</v>
      </c>
      <c r="E41" s="43">
        <f t="shared" si="6"/>
        <v>6</v>
      </c>
      <c r="F41" s="44">
        <f t="shared" si="7"/>
        <v>23</v>
      </c>
      <c r="G41" s="45">
        <f>IF(D41=D40,"",_xlfn.IFNA(VLOOKUP(D41,'인원 입력 기능'!$B$5:$E$55,4,FALSE),0))</f>
        <v>1985</v>
      </c>
      <c r="H41" s="46">
        <f t="shared" si="2"/>
        <v>1.6243064988625763E-2</v>
      </c>
      <c r="I41" s="50">
        <f>SUM($G$7:G41)</f>
        <v>94883</v>
      </c>
      <c r="J41" s="48">
        <f t="shared" si="3"/>
        <v>0.7764185064563115</v>
      </c>
      <c r="K41" s="18"/>
      <c r="M41" s="1"/>
    </row>
    <row r="42" spans="1:13" ht="25" customHeight="1">
      <c r="A42" s="5"/>
      <c r="B42" s="17"/>
      <c r="C42" s="52">
        <v>15</v>
      </c>
      <c r="D42" s="286">
        <f t="shared" si="5"/>
        <v>40</v>
      </c>
      <c r="E42" s="286">
        <f t="shared" si="6"/>
        <v>7</v>
      </c>
      <c r="F42" s="288">
        <f t="shared" si="7"/>
        <v>21</v>
      </c>
      <c r="G42" s="290">
        <f>IF(D42=D41,"",_xlfn.IFNA(VLOOKUP(D42,'인원 입력 기능'!$B$5:$E$55,4,FALSE),0))</f>
        <v>4250</v>
      </c>
      <c r="H42" s="291">
        <f t="shared" si="2"/>
        <v>3.4777343174639541E-2</v>
      </c>
      <c r="I42" s="293">
        <f>SUM($G$7:G42)</f>
        <v>99133</v>
      </c>
      <c r="J42" s="295">
        <f t="shared" si="3"/>
        <v>0.81119584963095104</v>
      </c>
      <c r="K42" s="18"/>
      <c r="M42" s="1"/>
    </row>
    <row r="43" spans="1:13" ht="25" customHeight="1">
      <c r="A43" s="5"/>
      <c r="B43" s="17"/>
      <c r="C43" s="51">
        <v>14</v>
      </c>
      <c r="D43" s="285"/>
      <c r="E43" s="285"/>
      <c r="F43" s="287"/>
      <c r="G43" s="289"/>
      <c r="H43" s="292"/>
      <c r="I43" s="294"/>
      <c r="J43" s="296"/>
      <c r="K43" s="18"/>
      <c r="M43" s="1"/>
    </row>
    <row r="44" spans="1:13" ht="25" customHeight="1">
      <c r="A44" s="5"/>
      <c r="B44" s="17"/>
      <c r="C44" s="52">
        <v>13</v>
      </c>
      <c r="D44" s="43">
        <f t="shared" si="5"/>
        <v>39</v>
      </c>
      <c r="E44" s="43">
        <f t="shared" si="6"/>
        <v>7</v>
      </c>
      <c r="F44" s="44">
        <f t="shared" si="7"/>
        <v>17</v>
      </c>
      <c r="G44" s="45">
        <f>IF(D44=D43,"",_xlfn.IFNA(VLOOKUP(D44,'인원 입력 기능'!$B$5:$E$55,4,FALSE),0))</f>
        <v>3919</v>
      </c>
      <c r="H44" s="46">
        <f t="shared" si="2"/>
        <v>3.2068801859155852E-2</v>
      </c>
      <c r="I44" s="50">
        <f>SUM($G$7:G44)</f>
        <v>103052</v>
      </c>
      <c r="J44" s="48">
        <f t="shared" si="3"/>
        <v>0.84326465149010688</v>
      </c>
      <c r="K44" s="18"/>
      <c r="M44" s="1"/>
    </row>
    <row r="45" spans="1:13" ht="25" customHeight="1">
      <c r="A45" s="5"/>
      <c r="B45" s="17"/>
      <c r="C45" s="51">
        <v>12</v>
      </c>
      <c r="D45" s="43">
        <f t="shared" si="5"/>
        <v>38</v>
      </c>
      <c r="E45" s="43">
        <f t="shared" si="6"/>
        <v>7</v>
      </c>
      <c r="F45" s="44">
        <f t="shared" si="7"/>
        <v>15</v>
      </c>
      <c r="G45" s="45">
        <f>IF(D45=D44,"",_xlfn.IFNA(VLOOKUP(D45,'인원 입력 기능'!$B$5:$E$55,4,FALSE),0))</f>
        <v>2666</v>
      </c>
      <c r="H45" s="46">
        <f t="shared" si="2"/>
        <v>2.1815622800844477E-2</v>
      </c>
      <c r="I45" s="50">
        <f>SUM($G$7:G45)</f>
        <v>105718</v>
      </c>
      <c r="J45" s="48">
        <f t="shared" si="3"/>
        <v>0.86508027429095136</v>
      </c>
      <c r="K45" s="18"/>
      <c r="M45" s="1"/>
    </row>
    <row r="46" spans="1:13" ht="25" customHeight="1">
      <c r="A46" s="5"/>
      <c r="B46" s="17"/>
      <c r="C46" s="52">
        <v>11</v>
      </c>
      <c r="D46" s="43">
        <f t="shared" si="5"/>
        <v>37</v>
      </c>
      <c r="E46" s="43">
        <f t="shared" si="6"/>
        <v>7</v>
      </c>
      <c r="F46" s="44">
        <f t="shared" si="7"/>
        <v>13</v>
      </c>
      <c r="G46" s="45">
        <f>IF(D46=D45,"",_xlfn.IFNA(VLOOKUP(D46,'인원 입력 기능'!$B$5:$E$55,4,FALSE),0))</f>
        <v>1735</v>
      </c>
      <c r="H46" s="46">
        <f t="shared" si="2"/>
        <v>1.4197338919529319E-2</v>
      </c>
      <c r="I46" s="50">
        <f>SUM($G$7:G46)</f>
        <v>107453</v>
      </c>
      <c r="J46" s="48">
        <f t="shared" si="3"/>
        <v>0.8792776132104807</v>
      </c>
      <c r="K46" s="18"/>
      <c r="M46" s="1"/>
    </row>
    <row r="47" spans="1:13" ht="25" customHeight="1">
      <c r="A47" s="5"/>
      <c r="B47" s="17"/>
      <c r="C47" s="51">
        <v>10</v>
      </c>
      <c r="D47" s="43">
        <f t="shared" si="5"/>
        <v>36</v>
      </c>
      <c r="E47" s="43">
        <f t="shared" si="6"/>
        <v>7</v>
      </c>
      <c r="F47" s="44">
        <f t="shared" si="7"/>
        <v>11</v>
      </c>
      <c r="G47" s="45">
        <f>IF(D47=D46,"",_xlfn.IFNA(VLOOKUP(D47,'인원 입력 기능'!$B$5:$E$55,4,FALSE),0))</f>
        <v>2336</v>
      </c>
      <c r="H47" s="46">
        <f t="shared" si="2"/>
        <v>1.911526438963717E-2</v>
      </c>
      <c r="I47" s="50">
        <f>SUM($G$7:G47)</f>
        <v>109789</v>
      </c>
      <c r="J47" s="48">
        <f t="shared" si="3"/>
        <v>0.89839287760011788</v>
      </c>
      <c r="K47" s="18"/>
      <c r="M47" s="1"/>
    </row>
    <row r="48" spans="1:13" ht="25" customHeight="1">
      <c r="A48" s="5"/>
      <c r="B48" s="17"/>
      <c r="C48" s="52">
        <v>9</v>
      </c>
      <c r="D48" s="43">
        <f t="shared" si="5"/>
        <v>35</v>
      </c>
      <c r="E48" s="43">
        <f t="shared" si="6"/>
        <v>8</v>
      </c>
      <c r="F48" s="44">
        <f t="shared" si="7"/>
        <v>9</v>
      </c>
      <c r="G48" s="45">
        <f>IF(D48=D47,"",_xlfn.IFNA(VLOOKUP(D48,'인원 입력 기능'!$B$5:$E$55,4,FALSE),0))</f>
        <v>1727</v>
      </c>
      <c r="H48" s="46">
        <f t="shared" si="2"/>
        <v>1.4131875685318233E-2</v>
      </c>
      <c r="I48" s="50">
        <f>SUM($G$7:G48)</f>
        <v>111516</v>
      </c>
      <c r="J48" s="48">
        <f t="shared" si="3"/>
        <v>0.91252475328543603</v>
      </c>
      <c r="K48" s="18"/>
      <c r="M48" s="1"/>
    </row>
    <row r="49" spans="1:13" ht="25" customHeight="1">
      <c r="A49" s="5"/>
      <c r="B49" s="17"/>
      <c r="C49" s="51">
        <v>8</v>
      </c>
      <c r="D49" s="43">
        <f t="shared" si="5"/>
        <v>34</v>
      </c>
      <c r="E49" s="43">
        <f t="shared" si="6"/>
        <v>8</v>
      </c>
      <c r="F49" s="44">
        <f t="shared" si="7"/>
        <v>8</v>
      </c>
      <c r="G49" s="45">
        <f>IF(D49=D48,"",_xlfn.IFNA(VLOOKUP(D49,'인원 입력 기능'!$B$5:$E$55,4,FALSE),0))</f>
        <v>1957</v>
      </c>
      <c r="H49" s="46">
        <f t="shared" si="2"/>
        <v>1.6013943668886962E-2</v>
      </c>
      <c r="I49" s="50">
        <f>SUM($G$7:G49)</f>
        <v>113473</v>
      </c>
      <c r="J49" s="48">
        <f t="shared" si="3"/>
        <v>0.92853869695432301</v>
      </c>
      <c r="K49" s="18"/>
      <c r="M49" s="1"/>
    </row>
    <row r="50" spans="1:13" ht="25" customHeight="1">
      <c r="A50" s="5"/>
      <c r="B50" s="17"/>
      <c r="C50" s="52">
        <v>7</v>
      </c>
      <c r="D50" s="286">
        <f t="shared" si="5"/>
        <v>33</v>
      </c>
      <c r="E50" s="286">
        <f t="shared" si="6"/>
        <v>8</v>
      </c>
      <c r="F50" s="288">
        <f t="shared" si="7"/>
        <v>4</v>
      </c>
      <c r="G50" s="290">
        <f>IF(D50=D49,"",_xlfn.IFNA(VLOOKUP(D50,'인원 입력 기능'!$B$5:$E$55,4,FALSE),0))</f>
        <v>6708</v>
      </c>
      <c r="H50" s="291">
        <f t="shared" si="2"/>
        <v>5.4890921885995779E-2</v>
      </c>
      <c r="I50" s="293">
        <f>SUM($G$7:G50)</f>
        <v>120181</v>
      </c>
      <c r="J50" s="295">
        <f t="shared" si="3"/>
        <v>0.98342961884031876</v>
      </c>
      <c r="K50" s="18"/>
      <c r="M50" s="1"/>
    </row>
    <row r="51" spans="1:13" ht="25" customHeight="1">
      <c r="A51" s="5"/>
      <c r="B51" s="17"/>
      <c r="C51" s="51">
        <v>6</v>
      </c>
      <c r="D51" s="285"/>
      <c r="E51" s="285"/>
      <c r="F51" s="287"/>
      <c r="G51" s="289"/>
      <c r="H51" s="292"/>
      <c r="I51" s="294"/>
      <c r="J51" s="296"/>
      <c r="K51" s="18"/>
      <c r="M51" s="1"/>
    </row>
    <row r="52" spans="1:13" ht="25" customHeight="1">
      <c r="A52" s="5"/>
      <c r="B52" s="17"/>
      <c r="C52" s="52">
        <v>5</v>
      </c>
      <c r="D52" s="53">
        <f t="shared" si="1"/>
        <v>32</v>
      </c>
      <c r="E52" s="53">
        <f t="shared" ref="E52:E57" si="8">IF(ROUND(D52,0)&gt;=$P$7,1,IF(ROUND(D52,0)&gt;=$P$8,2,IF(ROUND(D52,0)&gt;=$P$9,3,IF(ROUND(D52,0)&gt;=$P$10,4,IF(ROUND(D52,0)&gt;=$P$11,5,IF(ROUND(D52,0)&gt;=$P$12,6,IF(ROUND(D52,0)&gt;=$P$13,7,IF(ROUND(D52,0)&gt;=$P$14,8,9))))))))</f>
        <v>9</v>
      </c>
      <c r="F52" s="44">
        <f t="shared" si="4"/>
        <v>1</v>
      </c>
      <c r="G52" s="45">
        <f>IF(D52=D51,"",_xlfn.IFNA(VLOOKUP(D52,'인원 입력 기능'!$B$5:$E$55,4,FALSE),0))</f>
        <v>936</v>
      </c>
      <c r="H52" s="46">
        <f t="shared" si="2"/>
        <v>7.6591984026970856E-3</v>
      </c>
      <c r="I52" s="50">
        <f>SUM($G$7:G52)</f>
        <v>121117</v>
      </c>
      <c r="J52" s="48">
        <f t="shared" si="3"/>
        <v>0.9910888172430159</v>
      </c>
      <c r="K52" s="18"/>
      <c r="M52" s="1"/>
    </row>
    <row r="53" spans="1:13" ht="25" customHeight="1">
      <c r="A53" s="5"/>
      <c r="B53" s="17"/>
      <c r="C53" s="42">
        <v>4</v>
      </c>
      <c r="D53" s="43">
        <f t="shared" si="1"/>
        <v>31</v>
      </c>
      <c r="E53" s="43">
        <f t="shared" si="8"/>
        <v>9</v>
      </c>
      <c r="F53" s="44">
        <f t="shared" si="4"/>
        <v>1</v>
      </c>
      <c r="G53" s="45">
        <f>IF(D53=D52,"",_xlfn.IFNA(VLOOKUP(D53,'인원 입력 기능'!$B$5:$E$55,4,FALSE),0))</f>
        <v>379</v>
      </c>
      <c r="H53" s="46">
        <f t="shared" si="2"/>
        <v>3.1013207207502085E-3</v>
      </c>
      <c r="I53" s="50">
        <f>SUM($G$7:G53)</f>
        <v>121496</v>
      </c>
      <c r="J53" s="48">
        <f t="shared" si="3"/>
        <v>0.9941901379637661</v>
      </c>
      <c r="K53" s="18"/>
      <c r="M53" s="1"/>
    </row>
    <row r="54" spans="1:13" ht="25" customHeight="1">
      <c r="A54" s="5"/>
      <c r="B54" s="17"/>
      <c r="C54" s="49">
        <v>3</v>
      </c>
      <c r="D54" s="43">
        <f t="shared" si="1"/>
        <v>30</v>
      </c>
      <c r="E54" s="43">
        <f t="shared" si="8"/>
        <v>9</v>
      </c>
      <c r="F54" s="44">
        <f t="shared" si="4"/>
        <v>0</v>
      </c>
      <c r="G54" s="45">
        <f>IF(D54=D53,"",_xlfn.IFNA(VLOOKUP(D54,'인원 입력 기능'!$B$5:$E$55,4,FALSE),0))</f>
        <v>250</v>
      </c>
      <c r="H54" s="46">
        <f t="shared" si="2"/>
        <v>2.0457260690964437E-3</v>
      </c>
      <c r="I54" s="50">
        <f>SUM($G$7:G54)</f>
        <v>121746</v>
      </c>
      <c r="J54" s="48">
        <f t="shared" si="3"/>
        <v>0.99623586403286257</v>
      </c>
      <c r="K54" s="18"/>
      <c r="M54" s="1"/>
    </row>
    <row r="55" spans="1:13" ht="25" customHeight="1">
      <c r="A55" s="5"/>
      <c r="B55" s="17"/>
      <c r="C55" s="42">
        <v>2</v>
      </c>
      <c r="D55" s="43">
        <f t="shared" si="1"/>
        <v>29</v>
      </c>
      <c r="E55" s="43">
        <f t="shared" si="8"/>
        <v>9</v>
      </c>
      <c r="F55" s="44">
        <f t="shared" si="4"/>
        <v>0</v>
      </c>
      <c r="G55" s="45">
        <f>IF(D55=D54,"",_xlfn.IFNA(VLOOKUP(D55,'인원 입력 기능'!$B$5:$E$55,4,FALSE),0))</f>
        <v>337</v>
      </c>
      <c r="H55" s="46">
        <f t="shared" si="2"/>
        <v>2.757638741142006E-3</v>
      </c>
      <c r="I55" s="50">
        <f>SUM($G$7:G55)</f>
        <v>122083</v>
      </c>
      <c r="J55" s="48">
        <f t="shared" si="3"/>
        <v>0.99899350277400456</v>
      </c>
      <c r="K55" s="18"/>
      <c r="M55" s="1"/>
    </row>
    <row r="56" spans="1:13" ht="25" customHeight="1">
      <c r="A56" s="5"/>
      <c r="B56" s="17"/>
      <c r="C56" s="49">
        <v>1</v>
      </c>
      <c r="D56" s="54" t="s">
        <v>31</v>
      </c>
      <c r="E56" s="55"/>
      <c r="F56" s="55"/>
      <c r="G56" s="55"/>
      <c r="H56" s="55"/>
      <c r="I56" s="55"/>
      <c r="J56" s="56"/>
      <c r="K56" s="18"/>
      <c r="M56" s="1"/>
    </row>
    <row r="57" spans="1:13" ht="25" customHeight="1" thickBot="1">
      <c r="A57" s="5"/>
      <c r="B57" s="17"/>
      <c r="C57" s="57">
        <v>0</v>
      </c>
      <c r="D57" s="58">
        <f>ROUND(10*(C57-$H$3)/$H$4+50,0)</f>
        <v>27</v>
      </c>
      <c r="E57" s="59">
        <f t="shared" si="8"/>
        <v>9</v>
      </c>
      <c r="F57" s="60">
        <f>IF(I55=0,ROUND(100*(1-(I54+I57)/2/$J$3),0),ROUND(100*(1-(I55+I57)/2/$J$3),0))</f>
        <v>0</v>
      </c>
      <c r="G57" s="61">
        <f>_xlfn.IFNA(VLOOKUP(D57,'인원 입력 기능'!$B$5:$E$55,4,FALSE),0)</f>
        <v>123</v>
      </c>
      <c r="H57" s="62">
        <f>G57/J3</f>
        <v>1.0064972259954503E-3</v>
      </c>
      <c r="I57" s="63">
        <f>SUM($G$7:G57)</f>
        <v>122206</v>
      </c>
      <c r="J57" s="64">
        <f>I57/J3</f>
        <v>1</v>
      </c>
      <c r="K57" s="18"/>
      <c r="M57" s="1"/>
    </row>
    <row r="58" spans="1:13" ht="6" customHeight="1">
      <c r="A58" s="5"/>
      <c r="B58" s="20"/>
      <c r="C58" s="21"/>
      <c r="D58" s="21"/>
      <c r="E58" s="21"/>
      <c r="F58" s="21"/>
      <c r="G58" s="21"/>
      <c r="H58" s="21"/>
      <c r="I58" s="21"/>
      <c r="J58" s="21"/>
      <c r="K58" s="22"/>
      <c r="M58" s="1"/>
    </row>
    <row r="59" spans="1:13">
      <c r="M59" s="1"/>
    </row>
    <row r="60" spans="1:13">
      <c r="M60" s="1"/>
    </row>
    <row r="61" spans="1:13">
      <c r="M61" s="1"/>
    </row>
    <row r="62" spans="1:13">
      <c r="M62" s="1"/>
    </row>
    <row r="63" spans="1:13">
      <c r="M63" s="1"/>
    </row>
    <row r="64" spans="1:13">
      <c r="M64" s="1"/>
    </row>
    <row r="65" spans="13:13">
      <c r="M65" s="1"/>
    </row>
    <row r="66" spans="13:13">
      <c r="M66" s="1"/>
    </row>
    <row r="67" spans="13:13">
      <c r="M67" s="1"/>
    </row>
    <row r="68" spans="13:13">
      <c r="M68" s="1"/>
    </row>
    <row r="69" spans="13:13">
      <c r="M69" s="1"/>
    </row>
    <row r="70" spans="13:13">
      <c r="M70" s="1"/>
    </row>
    <row r="71" spans="13:13">
      <c r="M71" s="1"/>
    </row>
    <row r="72" spans="13:13">
      <c r="M72" s="1"/>
    </row>
    <row r="73" spans="13:13">
      <c r="M73" s="1"/>
    </row>
    <row r="74" spans="13:13">
      <c r="M74" s="1"/>
    </row>
    <row r="75" spans="13:13">
      <c r="M75" s="1"/>
    </row>
    <row r="76" spans="13:13">
      <c r="M76" s="1"/>
    </row>
    <row r="77" spans="13:13">
      <c r="M77" s="1"/>
    </row>
    <row r="78" spans="13:13">
      <c r="M78" s="1"/>
    </row>
    <row r="79" spans="13:13">
      <c r="M79" s="1"/>
    </row>
    <row r="80" spans="13:13">
      <c r="M80" s="1"/>
    </row>
    <row r="81" spans="13:13">
      <c r="M81" s="1"/>
    </row>
    <row r="82" spans="13:13">
      <c r="M82" s="1"/>
    </row>
    <row r="83" spans="13:13">
      <c r="M83" s="1"/>
    </row>
    <row r="84" spans="13:13">
      <c r="M84" s="1"/>
    </row>
    <row r="85" spans="13:13">
      <c r="M85" s="1"/>
    </row>
    <row r="86" spans="13:13">
      <c r="M86" s="1"/>
    </row>
    <row r="87" spans="13:13">
      <c r="M87" s="1"/>
    </row>
    <row r="88" spans="13:13">
      <c r="M88" s="1"/>
    </row>
    <row r="89" spans="13:13">
      <c r="M89" s="1"/>
    </row>
    <row r="90" spans="13:13">
      <c r="M90" s="1"/>
    </row>
    <row r="91" spans="13:13">
      <c r="M91" s="1"/>
    </row>
    <row r="92" spans="13:13">
      <c r="M92" s="1"/>
    </row>
    <row r="93" spans="13:13">
      <c r="M93" s="1"/>
    </row>
    <row r="94" spans="13:13">
      <c r="M94" s="1"/>
    </row>
    <row r="95" spans="13:13">
      <c r="M95" s="1"/>
    </row>
    <row r="96" spans="13:13">
      <c r="M96" s="1"/>
    </row>
    <row r="97" spans="13:13">
      <c r="M97" s="1"/>
    </row>
    <row r="98" spans="13:13">
      <c r="M98" s="1"/>
    </row>
    <row r="99" spans="13:13">
      <c r="M99" s="1"/>
    </row>
    <row r="100" spans="13:13">
      <c r="M100" s="1"/>
    </row>
    <row r="101" spans="13:13">
      <c r="M101" s="1"/>
    </row>
    <row r="102" spans="13:13">
      <c r="M102" s="1"/>
    </row>
    <row r="103" spans="13:13">
      <c r="M103" s="1"/>
    </row>
    <row r="104" spans="13:13">
      <c r="M104" s="1"/>
    </row>
    <row r="105" spans="13:13">
      <c r="M105" s="1"/>
    </row>
  </sheetData>
  <mergeCells count="45">
    <mergeCell ref="I50:I51"/>
    <mergeCell ref="J50:J51"/>
    <mergeCell ref="D50:D51"/>
    <mergeCell ref="E50:E51"/>
    <mergeCell ref="F50:F51"/>
    <mergeCell ref="G50:G51"/>
    <mergeCell ref="H50:H51"/>
    <mergeCell ref="I35:I36"/>
    <mergeCell ref="J35:J36"/>
    <mergeCell ref="D42:D43"/>
    <mergeCell ref="E42:E43"/>
    <mergeCell ref="F42:F43"/>
    <mergeCell ref="G42:G43"/>
    <mergeCell ref="H42:H43"/>
    <mergeCell ref="I42:I43"/>
    <mergeCell ref="J42:J43"/>
    <mergeCell ref="D35:D36"/>
    <mergeCell ref="E35:E36"/>
    <mergeCell ref="F35:F36"/>
    <mergeCell ref="G35:G36"/>
    <mergeCell ref="H35:H36"/>
    <mergeCell ref="I19:I20"/>
    <mergeCell ref="J19:J20"/>
    <mergeCell ref="D27:D28"/>
    <mergeCell ref="E27:E28"/>
    <mergeCell ref="F27:F28"/>
    <mergeCell ref="G27:G28"/>
    <mergeCell ref="H27:H28"/>
    <mergeCell ref="I27:I28"/>
    <mergeCell ref="J27:J28"/>
    <mergeCell ref="D19:D20"/>
    <mergeCell ref="E19:E20"/>
    <mergeCell ref="F19:F20"/>
    <mergeCell ref="G19:G20"/>
    <mergeCell ref="H19:H20"/>
    <mergeCell ref="D3:F3"/>
    <mergeCell ref="D4:F4"/>
    <mergeCell ref="D8:J8"/>
    <mergeCell ref="D12:D13"/>
    <mergeCell ref="E12:E13"/>
    <mergeCell ref="F12:F13"/>
    <mergeCell ref="G12:G13"/>
    <mergeCell ref="H12:H13"/>
    <mergeCell ref="I12:I13"/>
    <mergeCell ref="J12:J13"/>
  </mergeCells>
  <phoneticPr fontId="1" type="noConversion"/>
  <conditionalFormatting sqref="D7:J7 D57:J57 D9:J12 D14:J19 D21:J27 D29:J35 D37:J42 D44:J50 D52:J55">
    <cfRule type="expression" dxfId="160" priority="7">
      <formula>OR($D7=$P$7:$P$14)</formula>
    </cfRule>
  </conditionalFormatting>
  <conditionalFormatting sqref="C7:C57">
    <cfRule type="expression" dxfId="159" priority="6">
      <formula>OR(AND($D7=0,OR($D6=$P$7:$P$14)),AND($D8&gt;0,OR($D7=$P$7:$P$14)))</formula>
    </cfRule>
  </conditionalFormatting>
  <conditionalFormatting sqref="D7 D57 D9:D12 D14:D19 D21:D27 D29:D35 D37:D42 D44:D50 D52:D55">
    <cfRule type="expression" dxfId="158" priority="5">
      <formula>$D7=$D8</formula>
    </cfRule>
  </conditionalFormatting>
  <conditionalFormatting sqref="D56">
    <cfRule type="expression" dxfId="157" priority="4">
      <formula>OR($D56=$P$7:$P$14)</formula>
    </cfRule>
  </conditionalFormatting>
  <conditionalFormatting sqref="D56">
    <cfRule type="expression" dxfId="156" priority="3">
      <formula>$D56=$D57</formula>
    </cfRule>
  </conditionalFormatting>
  <conditionalFormatting sqref="D8">
    <cfRule type="expression" dxfId="155" priority="2">
      <formula>OR($D8=$P$7:$P$14)</formula>
    </cfRule>
  </conditionalFormatting>
  <conditionalFormatting sqref="D8">
    <cfRule type="expression" dxfId="154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C077F-33A8-4B1F-8311-5093F7F331C9}">
  <sheetPr codeName="Sheet9"/>
  <dimension ref="A1:P105"/>
  <sheetViews>
    <sheetView zoomScaleNormal="100" workbookViewId="0">
      <selection activeCell="B2" sqref="B2:K58"/>
    </sheetView>
  </sheetViews>
  <sheetFormatPr defaultRowHeight="17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6">
      <c r="A1" s="5" t="s">
        <v>44</v>
      </c>
      <c r="C1" s="5"/>
      <c r="D1" s="5"/>
      <c r="E1" s="5"/>
      <c r="F1" s="5"/>
      <c r="G1" s="5"/>
      <c r="H1" s="5"/>
      <c r="I1" s="5"/>
      <c r="J1" s="5"/>
      <c r="K1" s="5"/>
    </row>
    <row r="2" spans="1:16" s="5" customFormat="1" ht="6" customHeight="1" thickBot="1">
      <c r="B2" s="15"/>
      <c r="C2" s="23"/>
      <c r="D2" s="23"/>
      <c r="E2" s="23"/>
      <c r="F2" s="23"/>
      <c r="G2" s="23"/>
      <c r="H2" s="23"/>
      <c r="I2" s="23"/>
      <c r="J2" s="23"/>
      <c r="K2" s="16"/>
    </row>
    <row r="3" spans="1:16" ht="25" customHeight="1" thickBot="1">
      <c r="A3" s="5"/>
      <c r="B3" s="17"/>
      <c r="C3" s="34" t="s">
        <v>47</v>
      </c>
      <c r="D3" s="105" t="s">
        <v>115</v>
      </c>
      <c r="E3" s="106"/>
      <c r="F3" s="107"/>
      <c r="G3" s="34" t="s">
        <v>48</v>
      </c>
      <c r="H3" s="101">
        <f>'통계 및 응시자 수 입력 기능'!D5</f>
        <v>22.06</v>
      </c>
      <c r="I3" s="103" t="s">
        <v>49</v>
      </c>
      <c r="J3" s="104">
        <f>'통계 및 응시자 수 입력 기능'!C5</f>
        <v>28059</v>
      </c>
      <c r="K3" s="18"/>
    </row>
    <row r="4" spans="1:16" ht="25" customHeight="1" thickBot="1">
      <c r="A4" s="5"/>
      <c r="B4" s="17"/>
      <c r="C4" s="35" t="s">
        <v>50</v>
      </c>
      <c r="D4" s="108" t="s">
        <v>72</v>
      </c>
      <c r="E4" s="109"/>
      <c r="F4" s="110"/>
      <c r="G4" s="36" t="s">
        <v>52</v>
      </c>
      <c r="H4" s="102">
        <f>'통계 및 응시자 수 입력 기능'!E5</f>
        <v>12.18</v>
      </c>
      <c r="I4" s="12"/>
      <c r="J4" s="12"/>
      <c r="K4" s="18"/>
    </row>
    <row r="5" spans="1:16" ht="25" customHeight="1" thickBot="1">
      <c r="A5" s="5"/>
      <c r="B5" s="17"/>
      <c r="C5" s="12"/>
      <c r="D5" s="12"/>
      <c r="E5" s="12"/>
      <c r="F5" s="12"/>
      <c r="G5" s="12"/>
      <c r="H5" s="19"/>
      <c r="I5" s="19"/>
      <c r="J5" s="19"/>
      <c r="K5" s="18"/>
    </row>
    <row r="6" spans="1:16" ht="25" customHeight="1" thickBot="1">
      <c r="A6" s="5"/>
      <c r="B6" s="17"/>
      <c r="C6" s="38" t="s">
        <v>73</v>
      </c>
      <c r="D6" s="39" t="s">
        <v>74</v>
      </c>
      <c r="E6" s="39" t="s">
        <v>75</v>
      </c>
      <c r="F6" s="39" t="s">
        <v>76</v>
      </c>
      <c r="G6" s="39" t="s">
        <v>77</v>
      </c>
      <c r="H6" s="40" t="s">
        <v>78</v>
      </c>
      <c r="I6" s="40" t="s">
        <v>79</v>
      </c>
      <c r="J6" s="41" t="s">
        <v>80</v>
      </c>
      <c r="K6" s="18"/>
      <c r="L6" s="3"/>
      <c r="M6" s="4"/>
    </row>
    <row r="7" spans="1:16" ht="25" customHeight="1">
      <c r="A7" s="5"/>
      <c r="B7" s="17"/>
      <c r="C7" s="42">
        <v>50</v>
      </c>
      <c r="D7" s="43">
        <f>ROUND(10*(C7-$H$3)/$H$4+50,0)</f>
        <v>73</v>
      </c>
      <c r="E7" s="43">
        <f t="shared" ref="E7:E38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44">
        <f>ROUND(100*(1-(0+I7)/2/$J$3),0)</f>
        <v>99</v>
      </c>
      <c r="G7" s="45">
        <f>_xlfn.IFNA(VLOOKUP(D7,'인원 입력 기능'!$G$5:$J$55,4,FALSE),0)</f>
        <v>322</v>
      </c>
      <c r="H7" s="46">
        <f>G7/J3</f>
        <v>1.1475818810363875E-2</v>
      </c>
      <c r="I7" s="47">
        <f>G7</f>
        <v>322</v>
      </c>
      <c r="J7" s="48">
        <f>I7/J3</f>
        <v>1.1475818810363875E-2</v>
      </c>
      <c r="K7" s="18"/>
      <c r="M7" s="1"/>
      <c r="O7" s="1">
        <v>1</v>
      </c>
      <c r="P7" s="1">
        <f>'표준점수 등급컷 입력기능'!E4</f>
        <v>69</v>
      </c>
    </row>
    <row r="8" spans="1:16" ht="25" customHeight="1">
      <c r="A8" s="5"/>
      <c r="B8" s="17"/>
      <c r="C8" s="49">
        <v>49</v>
      </c>
      <c r="D8" s="111" t="s">
        <v>31</v>
      </c>
      <c r="E8" s="112"/>
      <c r="F8" s="112"/>
      <c r="G8" s="112"/>
      <c r="H8" s="112"/>
      <c r="I8" s="112"/>
      <c r="J8" s="113"/>
      <c r="K8" s="18"/>
      <c r="M8" s="1"/>
      <c r="O8" s="1">
        <v>2</v>
      </c>
      <c r="P8" s="1">
        <f>'표준점수 등급컷 입력기능'!E5</f>
        <v>65</v>
      </c>
    </row>
    <row r="9" spans="1:16" ht="25" customHeight="1">
      <c r="A9" s="5"/>
      <c r="B9" s="17"/>
      <c r="C9" s="42">
        <v>48</v>
      </c>
      <c r="D9" s="43">
        <f>ROUND(10*(C9-$H$3)/$H$4+50,0)</f>
        <v>71</v>
      </c>
      <c r="E9" s="43">
        <f t="shared" si="0"/>
        <v>1</v>
      </c>
      <c r="F9" s="44">
        <f>IF(I8=0,ROUND(100*(1-(I7+I9)/2/$J$3),0),ROUND(100*(1-(I8+I9)/2/$J$3),0))</f>
        <v>98</v>
      </c>
      <c r="G9" s="45">
        <f>_xlfn.IFNA(VLOOKUP(D9,'인원 입력 기능'!$G$5:$J$55,4,FALSE),0)</f>
        <v>281</v>
      </c>
      <c r="H9" s="46">
        <f>G9/$J$3</f>
        <v>1.0014612067429346E-2</v>
      </c>
      <c r="I9" s="50">
        <f>SUM($G$7:G9)</f>
        <v>603</v>
      </c>
      <c r="J9" s="48">
        <f>I9/$J$3</f>
        <v>2.1490430877793221E-2</v>
      </c>
      <c r="K9" s="18"/>
      <c r="M9" s="1"/>
      <c r="O9" s="1">
        <v>3</v>
      </c>
      <c r="P9" s="1">
        <f>'표준점수 등급컷 입력기능'!E6</f>
        <v>59</v>
      </c>
    </row>
    <row r="10" spans="1:16" ht="25" customHeight="1">
      <c r="A10" s="5"/>
      <c r="B10" s="17"/>
      <c r="C10" s="49">
        <v>47</v>
      </c>
      <c r="D10" s="286">
        <f t="shared" ref="D10:D55" si="1">ROUND(10*(C10-$H$3)/$H$4+50,0)</f>
        <v>70</v>
      </c>
      <c r="E10" s="286">
        <f t="shared" si="0"/>
        <v>1</v>
      </c>
      <c r="F10" s="288">
        <f>IF(I9=0,ROUND(100*(1-(I8+I10)/2/$J$3),0),ROUND(100*(1-(I9+I10)/2/$J$3),0))</f>
        <v>97</v>
      </c>
      <c r="G10" s="290">
        <f>IF(D10=D9,"",_xlfn.IFNA(VLOOKUP(D10,'인원 입력 기능'!$G$5:$J$55,4,FALSE),0))</f>
        <v>457</v>
      </c>
      <c r="H10" s="291">
        <f t="shared" ref="H10:H55" si="2">G10/$J$3</f>
        <v>1.6287109305392209E-2</v>
      </c>
      <c r="I10" s="293">
        <f>SUM($G$7:G10)</f>
        <v>1060</v>
      </c>
      <c r="J10" s="295">
        <f t="shared" ref="J10:J55" si="3">I10/$J$3</f>
        <v>3.777754018318543E-2</v>
      </c>
      <c r="K10" s="18"/>
      <c r="M10" s="1"/>
      <c r="O10" s="1">
        <v>4</v>
      </c>
      <c r="P10" s="1">
        <f>'표준점수 등급컷 입력기능'!E7</f>
        <v>51</v>
      </c>
    </row>
    <row r="11" spans="1:16" ht="25" customHeight="1">
      <c r="A11" s="5"/>
      <c r="B11" s="17"/>
      <c r="C11" s="42">
        <v>46</v>
      </c>
      <c r="D11" s="285"/>
      <c r="E11" s="285"/>
      <c r="F11" s="287"/>
      <c r="G11" s="289"/>
      <c r="H11" s="292"/>
      <c r="I11" s="294"/>
      <c r="J11" s="296"/>
      <c r="K11" s="18"/>
      <c r="M11" s="1"/>
      <c r="O11" s="1">
        <v>5</v>
      </c>
      <c r="P11" s="1">
        <f>'표준점수 등급컷 입력기능'!E8</f>
        <v>44</v>
      </c>
    </row>
    <row r="12" spans="1:16" ht="25" customHeight="1">
      <c r="A12" s="5"/>
      <c r="B12" s="17"/>
      <c r="C12" s="49">
        <v>45</v>
      </c>
      <c r="D12" s="43">
        <f t="shared" si="1"/>
        <v>69</v>
      </c>
      <c r="E12" s="43">
        <f t="shared" si="0"/>
        <v>1</v>
      </c>
      <c r="F12" s="44">
        <f t="shared" ref="F11:F55" si="4">IF(I11=0,ROUND(100*(1-(I10+I12)/2/$J$3),0),ROUND(100*(1-(I11+I12)/2/$J$3),0))</f>
        <v>95</v>
      </c>
      <c r="G12" s="45">
        <f>IF(D12=D11,"",_xlfn.IFNA(VLOOKUP(D12,'인원 입력 기능'!$G$5:$J$55,4,FALSE),0))</f>
        <v>523</v>
      </c>
      <c r="H12" s="46">
        <f t="shared" si="2"/>
        <v>1.8639295769628285E-2</v>
      </c>
      <c r="I12" s="50">
        <f>SUM($G$7:G12)</f>
        <v>1583</v>
      </c>
      <c r="J12" s="48">
        <f t="shared" si="3"/>
        <v>5.6416835952813715E-2</v>
      </c>
      <c r="K12" s="18"/>
      <c r="M12" s="1"/>
      <c r="O12" s="1">
        <v>6</v>
      </c>
      <c r="P12" s="1">
        <f>'표준점수 등급컷 입력기능'!E9</f>
        <v>42</v>
      </c>
    </row>
    <row r="13" spans="1:16" ht="25" customHeight="1">
      <c r="A13" s="5"/>
      <c r="B13" s="17"/>
      <c r="C13" s="42">
        <v>44</v>
      </c>
      <c r="D13" s="43">
        <f t="shared" si="1"/>
        <v>68</v>
      </c>
      <c r="E13" s="43">
        <f t="shared" si="0"/>
        <v>2</v>
      </c>
      <c r="F13" s="44">
        <f t="shared" si="4"/>
        <v>94</v>
      </c>
      <c r="G13" s="45">
        <f>IF(D13=D12,"",_xlfn.IFNA(VLOOKUP(D13,'인원 입력 기능'!$G$5:$J$55,4,FALSE),0))</f>
        <v>251</v>
      </c>
      <c r="H13" s="46">
        <f t="shared" si="2"/>
        <v>8.9454364018674935E-3</v>
      </c>
      <c r="I13" s="50">
        <f>SUM($G$7:G13)</f>
        <v>1834</v>
      </c>
      <c r="J13" s="48">
        <f t="shared" si="3"/>
        <v>6.5362272354681214E-2</v>
      </c>
      <c r="K13" s="18"/>
      <c r="M13" s="1"/>
      <c r="O13" s="1">
        <v>7</v>
      </c>
      <c r="P13" s="1">
        <f>'표준점수 등급컷 입력기능'!E10</f>
        <v>38</v>
      </c>
    </row>
    <row r="14" spans="1:16" ht="25" customHeight="1">
      <c r="A14" s="5"/>
      <c r="B14" s="17"/>
      <c r="C14" s="49">
        <v>43</v>
      </c>
      <c r="D14" s="43">
        <f t="shared" si="1"/>
        <v>67</v>
      </c>
      <c r="E14" s="43">
        <f t="shared" si="0"/>
        <v>2</v>
      </c>
      <c r="F14" s="44">
        <f t="shared" si="4"/>
        <v>93</v>
      </c>
      <c r="G14" s="45">
        <f>IF(D14=D13,"",_xlfn.IFNA(VLOOKUP(D14,'인원 입력 기능'!$G$5:$J$55,4,FALSE),0))</f>
        <v>406</v>
      </c>
      <c r="H14" s="46">
        <f t="shared" si="2"/>
        <v>1.446951067393706E-2</v>
      </c>
      <c r="I14" s="50">
        <f>SUM($G$7:G14)</f>
        <v>2240</v>
      </c>
      <c r="J14" s="48">
        <f t="shared" si="3"/>
        <v>7.9831783028618264E-2</v>
      </c>
      <c r="K14" s="18"/>
      <c r="M14" s="1"/>
      <c r="O14" s="1">
        <v>8</v>
      </c>
      <c r="P14" s="1" t="str">
        <f>'표준점수 등급컷 입력기능'!E11</f>
        <v>ㅡ</v>
      </c>
    </row>
    <row r="15" spans="1:16" ht="25" customHeight="1">
      <c r="A15" s="5"/>
      <c r="B15" s="17"/>
      <c r="C15" s="42">
        <v>42</v>
      </c>
      <c r="D15" s="286">
        <f t="shared" si="1"/>
        <v>66</v>
      </c>
      <c r="E15" s="286">
        <f t="shared" si="0"/>
        <v>2</v>
      </c>
      <c r="F15" s="288">
        <f t="shared" si="4"/>
        <v>91</v>
      </c>
      <c r="G15" s="290">
        <f>IF(D15=D14,"",_xlfn.IFNA(VLOOKUP(D15,'인원 입력 기능'!$G$5:$J$55,4,FALSE),0))</f>
        <v>738</v>
      </c>
      <c r="H15" s="291">
        <f t="shared" si="2"/>
        <v>2.6301721372821555E-2</v>
      </c>
      <c r="I15" s="293">
        <f>SUM($G$7:G15)</f>
        <v>2978</v>
      </c>
      <c r="J15" s="295">
        <f t="shared" si="3"/>
        <v>0.10613350440143983</v>
      </c>
      <c r="K15" s="18"/>
      <c r="M15" s="1"/>
      <c r="O15" s="1">
        <v>9</v>
      </c>
      <c r="P15" s="1"/>
    </row>
    <row r="16" spans="1:16" ht="25" customHeight="1">
      <c r="A16" s="5"/>
      <c r="B16" s="17"/>
      <c r="C16" s="49">
        <v>41</v>
      </c>
      <c r="D16" s="285"/>
      <c r="E16" s="285"/>
      <c r="F16" s="287"/>
      <c r="G16" s="289"/>
      <c r="H16" s="292"/>
      <c r="I16" s="294"/>
      <c r="J16" s="296"/>
      <c r="K16" s="18"/>
      <c r="M16" s="1"/>
    </row>
    <row r="17" spans="1:16" ht="25" customHeight="1">
      <c r="A17" s="5"/>
      <c r="B17" s="17"/>
      <c r="C17" s="42">
        <v>40</v>
      </c>
      <c r="D17" s="43">
        <f t="shared" si="1"/>
        <v>65</v>
      </c>
      <c r="E17" s="43">
        <f t="shared" si="0"/>
        <v>2</v>
      </c>
      <c r="F17" s="44">
        <f t="shared" si="4"/>
        <v>88</v>
      </c>
      <c r="G17" s="45">
        <f>IF(D17=D16,"",_xlfn.IFNA(VLOOKUP(D17,'인원 입력 기능'!$G$5:$J$55,4,FALSE),0))</f>
        <v>526</v>
      </c>
      <c r="H17" s="46">
        <f t="shared" si="2"/>
        <v>1.8746213336184467E-2</v>
      </c>
      <c r="I17" s="50">
        <f>SUM($G$7:G17)</f>
        <v>3504</v>
      </c>
      <c r="J17" s="48">
        <f t="shared" si="3"/>
        <v>0.1248797177376243</v>
      </c>
      <c r="K17" s="18"/>
      <c r="M17" s="1"/>
      <c r="P17" s="1">
        <f>H3*H4*J3*P7*IFERROR(IF(J57=1, 1, 0), 0)</f>
        <v>520204465.84679997</v>
      </c>
    </row>
    <row r="18" spans="1:16" ht="25" customHeight="1">
      <c r="A18" s="5"/>
      <c r="B18" s="17"/>
      <c r="C18" s="49">
        <v>39</v>
      </c>
      <c r="D18" s="43">
        <f t="shared" si="1"/>
        <v>64</v>
      </c>
      <c r="E18" s="43">
        <f t="shared" si="0"/>
        <v>3</v>
      </c>
      <c r="F18" s="44">
        <f t="shared" si="4"/>
        <v>87</v>
      </c>
      <c r="G18" s="45">
        <f>IF(D18=D17,"",_xlfn.IFNA(VLOOKUP(D18,'인원 입력 기능'!$G$5:$J$55,4,FALSE),0))</f>
        <v>356</v>
      </c>
      <c r="H18" s="46">
        <f t="shared" si="2"/>
        <v>1.2687551231333975E-2</v>
      </c>
      <c r="I18" s="50">
        <f>SUM($G$7:G18)</f>
        <v>3860</v>
      </c>
      <c r="J18" s="48">
        <f t="shared" si="3"/>
        <v>0.13756726896895827</v>
      </c>
      <c r="K18" s="18"/>
      <c r="M18" s="1"/>
    </row>
    <row r="19" spans="1:16" ht="25" customHeight="1">
      <c r="A19" s="5"/>
      <c r="B19" s="17"/>
      <c r="C19" s="42">
        <v>38</v>
      </c>
      <c r="D19" s="43">
        <f t="shared" si="1"/>
        <v>63</v>
      </c>
      <c r="E19" s="43">
        <f t="shared" si="0"/>
        <v>3</v>
      </c>
      <c r="F19" s="44">
        <f t="shared" si="4"/>
        <v>86</v>
      </c>
      <c r="G19" s="45">
        <f>IF(D19=D18,"",_xlfn.IFNA(VLOOKUP(D19,'인원 입력 기능'!$G$5:$J$55,4,FALSE),0))</f>
        <v>390</v>
      </c>
      <c r="H19" s="46">
        <f t="shared" si="2"/>
        <v>1.3899283652304074E-2</v>
      </c>
      <c r="I19" s="50">
        <f>SUM($G$7:G19)</f>
        <v>4250</v>
      </c>
      <c r="J19" s="48">
        <f t="shared" si="3"/>
        <v>0.15146655262126235</v>
      </c>
      <c r="K19" s="18"/>
      <c r="M19" s="1"/>
    </row>
    <row r="20" spans="1:16" ht="25" customHeight="1">
      <c r="A20" s="5"/>
      <c r="B20" s="17"/>
      <c r="C20" s="49">
        <v>37</v>
      </c>
      <c r="D20" s="43">
        <f t="shared" si="1"/>
        <v>62</v>
      </c>
      <c r="E20" s="43">
        <f t="shared" si="0"/>
        <v>3</v>
      </c>
      <c r="F20" s="44">
        <f t="shared" si="4"/>
        <v>84</v>
      </c>
      <c r="G20" s="45">
        <f>IF(D20=D19,"",_xlfn.IFNA(VLOOKUP(D20,'인원 입력 기능'!$G$5:$J$55,4,FALSE),0))</f>
        <v>473</v>
      </c>
      <c r="H20" s="46">
        <f t="shared" si="2"/>
        <v>1.6857336327025196E-2</v>
      </c>
      <c r="I20" s="50">
        <f>SUM($G$7:G20)</f>
        <v>4723</v>
      </c>
      <c r="J20" s="48">
        <f t="shared" si="3"/>
        <v>0.16832388894828754</v>
      </c>
      <c r="K20" s="18"/>
      <c r="M20" s="1"/>
    </row>
    <row r="21" spans="1:16" ht="25" customHeight="1">
      <c r="A21" s="5"/>
      <c r="B21" s="17"/>
      <c r="C21" s="51">
        <v>36</v>
      </c>
      <c r="D21" s="298">
        <f t="shared" si="1"/>
        <v>61</v>
      </c>
      <c r="E21" s="298">
        <f t="shared" si="0"/>
        <v>3</v>
      </c>
      <c r="F21" s="288">
        <f t="shared" si="4"/>
        <v>82</v>
      </c>
      <c r="G21" s="290">
        <f>IF(D21=D20,"",_xlfn.IFNA(VLOOKUP(D21,'인원 입력 기능'!$G$5:$J$55,4,FALSE),0))</f>
        <v>906</v>
      </c>
      <c r="H21" s="291">
        <f t="shared" si="2"/>
        <v>3.2289105099967921E-2</v>
      </c>
      <c r="I21" s="293">
        <f>SUM($G$7:G21)</f>
        <v>5629</v>
      </c>
      <c r="J21" s="295">
        <f t="shared" si="3"/>
        <v>0.20061299404825547</v>
      </c>
      <c r="K21" s="18"/>
      <c r="M21" s="1"/>
    </row>
    <row r="22" spans="1:16" ht="25" customHeight="1">
      <c r="A22" s="5"/>
      <c r="B22" s="17"/>
      <c r="C22" s="52">
        <v>35</v>
      </c>
      <c r="D22" s="297"/>
      <c r="E22" s="297"/>
      <c r="F22" s="287"/>
      <c r="G22" s="289"/>
      <c r="H22" s="292"/>
      <c r="I22" s="294"/>
      <c r="J22" s="296"/>
      <c r="K22" s="18"/>
      <c r="M22" s="1"/>
    </row>
    <row r="23" spans="1:16" ht="25" customHeight="1">
      <c r="A23" s="5"/>
      <c r="B23" s="17"/>
      <c r="C23" s="51">
        <v>34</v>
      </c>
      <c r="D23" s="53">
        <f t="shared" si="1"/>
        <v>60</v>
      </c>
      <c r="E23" s="53">
        <f t="shared" si="0"/>
        <v>3</v>
      </c>
      <c r="F23" s="44">
        <f t="shared" si="4"/>
        <v>79</v>
      </c>
      <c r="G23" s="45">
        <f>IF(D23=D22,"",_xlfn.IFNA(VLOOKUP(D23,'인원 입력 기능'!$G$5:$J$55,4,FALSE),0))</f>
        <v>455</v>
      </c>
      <c r="H23" s="46">
        <f t="shared" si="2"/>
        <v>1.6215830927688087E-2</v>
      </c>
      <c r="I23" s="50">
        <f>SUM($G$7:G23)</f>
        <v>6084</v>
      </c>
      <c r="J23" s="48">
        <f t="shared" si="3"/>
        <v>0.21682882497594355</v>
      </c>
      <c r="K23" s="18"/>
      <c r="M23" s="1"/>
    </row>
    <row r="24" spans="1:16" ht="25" customHeight="1">
      <c r="A24" s="5"/>
      <c r="B24" s="17"/>
      <c r="C24" s="52">
        <v>33</v>
      </c>
      <c r="D24" s="53">
        <f t="shared" si="1"/>
        <v>59</v>
      </c>
      <c r="E24" s="53">
        <f t="shared" si="0"/>
        <v>3</v>
      </c>
      <c r="F24" s="44">
        <f t="shared" si="4"/>
        <v>78</v>
      </c>
      <c r="G24" s="45">
        <f>IF(D24=D23,"",_xlfn.IFNA(VLOOKUP(D24,'인원 입력 기능'!$G$5:$J$55,4,FALSE),0))</f>
        <v>428</v>
      </c>
      <c r="H24" s="46">
        <f t="shared" si="2"/>
        <v>1.525357282868242E-2</v>
      </c>
      <c r="I24" s="50">
        <f>SUM($G$7:G24)</f>
        <v>6512</v>
      </c>
      <c r="J24" s="48">
        <f t="shared" si="3"/>
        <v>0.23208239780462597</v>
      </c>
      <c r="K24" s="18"/>
      <c r="M24" s="1"/>
    </row>
    <row r="25" spans="1:16" ht="25" customHeight="1">
      <c r="A25" s="5"/>
      <c r="B25" s="17"/>
      <c r="C25" s="51">
        <v>32</v>
      </c>
      <c r="D25" s="53">
        <f t="shared" si="1"/>
        <v>58</v>
      </c>
      <c r="E25" s="53">
        <f t="shared" si="0"/>
        <v>4</v>
      </c>
      <c r="F25" s="44">
        <f t="shared" si="4"/>
        <v>76</v>
      </c>
      <c r="G25" s="45">
        <f>IF(D25=D24,"",_xlfn.IFNA(VLOOKUP(D25,'인원 입력 기능'!$G$5:$J$55,4,FALSE),0))</f>
        <v>477</v>
      </c>
      <c r="H25" s="46">
        <f t="shared" si="2"/>
        <v>1.6999893082433444E-2</v>
      </c>
      <c r="I25" s="50">
        <f>SUM($G$7:G25)</f>
        <v>6989</v>
      </c>
      <c r="J25" s="48">
        <f t="shared" si="3"/>
        <v>0.24908229088705941</v>
      </c>
      <c r="K25" s="18"/>
      <c r="M25" s="1"/>
    </row>
    <row r="26" spans="1:16" ht="25" customHeight="1">
      <c r="A26" s="5"/>
      <c r="B26" s="17"/>
      <c r="C26" s="52">
        <v>31</v>
      </c>
      <c r="D26" s="298">
        <f t="shared" si="1"/>
        <v>57</v>
      </c>
      <c r="E26" s="298">
        <f t="shared" si="0"/>
        <v>4</v>
      </c>
      <c r="F26" s="288">
        <f t="shared" si="4"/>
        <v>73</v>
      </c>
      <c r="G26" s="290">
        <f>IF(D26=D25,"",_xlfn.IFNA(VLOOKUP(D26,'인원 입력 기능'!$G$5:$J$55,4,FALSE),0))</f>
        <v>897</v>
      </c>
      <c r="H26" s="291">
        <f t="shared" si="2"/>
        <v>3.1968352400299369E-2</v>
      </c>
      <c r="I26" s="293">
        <f>SUM($G$7:G26)</f>
        <v>7886</v>
      </c>
      <c r="J26" s="295">
        <f t="shared" si="3"/>
        <v>0.28105064328735879</v>
      </c>
      <c r="K26" s="18"/>
      <c r="M26" s="1"/>
    </row>
    <row r="27" spans="1:16" ht="25" customHeight="1">
      <c r="A27" s="5"/>
      <c r="B27" s="17"/>
      <c r="C27" s="51">
        <v>30</v>
      </c>
      <c r="D27" s="297"/>
      <c r="E27" s="297"/>
      <c r="F27" s="287"/>
      <c r="G27" s="289"/>
      <c r="H27" s="292"/>
      <c r="I27" s="294"/>
      <c r="J27" s="296"/>
      <c r="K27" s="18"/>
      <c r="M27" s="1"/>
    </row>
    <row r="28" spans="1:16" ht="25" customHeight="1">
      <c r="A28" s="5"/>
      <c r="B28" s="17"/>
      <c r="C28" s="52">
        <v>29</v>
      </c>
      <c r="D28" s="53">
        <f t="shared" si="1"/>
        <v>56</v>
      </c>
      <c r="E28" s="53">
        <f t="shared" si="0"/>
        <v>4</v>
      </c>
      <c r="F28" s="44">
        <f t="shared" si="4"/>
        <v>71</v>
      </c>
      <c r="G28" s="45">
        <f>IF(D28=D27,"",_xlfn.IFNA(VLOOKUP(D28,'인원 입력 기능'!$G$5:$J$55,4,FALSE),0))</f>
        <v>501</v>
      </c>
      <c r="H28" s="46">
        <f t="shared" si="2"/>
        <v>1.7855233614882924E-2</v>
      </c>
      <c r="I28" s="50">
        <f>SUM($G$7:G28)</f>
        <v>8387</v>
      </c>
      <c r="J28" s="48">
        <f t="shared" si="3"/>
        <v>0.29890587690224169</v>
      </c>
      <c r="K28" s="18"/>
      <c r="M28" s="1"/>
    </row>
    <row r="29" spans="1:16" ht="25" customHeight="1">
      <c r="A29" s="5"/>
      <c r="B29" s="17"/>
      <c r="C29" s="51">
        <v>28</v>
      </c>
      <c r="D29" s="53">
        <f t="shared" si="1"/>
        <v>55</v>
      </c>
      <c r="E29" s="53">
        <f t="shared" si="0"/>
        <v>4</v>
      </c>
      <c r="F29" s="44">
        <f t="shared" si="4"/>
        <v>69</v>
      </c>
      <c r="G29" s="45">
        <f>IF(D29=D28,"",_xlfn.IFNA(VLOOKUP(D29,'인원 입력 기능'!$G$5:$J$55,4,FALSE),0))</f>
        <v>493</v>
      </c>
      <c r="H29" s="46">
        <f t="shared" si="2"/>
        <v>1.7570120104066431E-2</v>
      </c>
      <c r="I29" s="50">
        <f>SUM($G$7:G29)</f>
        <v>8880</v>
      </c>
      <c r="J29" s="48">
        <f t="shared" si="3"/>
        <v>0.31647599700630813</v>
      </c>
      <c r="K29" s="18"/>
      <c r="M29" s="1"/>
    </row>
    <row r="30" spans="1:16" ht="25" customHeight="1">
      <c r="A30" s="5"/>
      <c r="B30" s="17"/>
      <c r="C30" s="52">
        <v>27</v>
      </c>
      <c r="D30" s="53">
        <f t="shared" si="1"/>
        <v>54</v>
      </c>
      <c r="E30" s="53">
        <f t="shared" si="0"/>
        <v>4</v>
      </c>
      <c r="F30" s="44">
        <f t="shared" si="4"/>
        <v>67</v>
      </c>
      <c r="G30" s="45">
        <f>IF(D30=D29,"",_xlfn.IFNA(VLOOKUP(D30,'인원 입력 기능'!$G$5:$J$55,4,FALSE),0))</f>
        <v>522</v>
      </c>
      <c r="H30" s="46">
        <f t="shared" si="2"/>
        <v>1.8603656580776222E-2</v>
      </c>
      <c r="I30" s="50">
        <f>SUM($G$7:G30)</f>
        <v>9402</v>
      </c>
      <c r="J30" s="48">
        <f t="shared" si="3"/>
        <v>0.33507965358708436</v>
      </c>
      <c r="K30" s="18"/>
      <c r="M30" s="1"/>
    </row>
    <row r="31" spans="1:16" ht="25" customHeight="1">
      <c r="A31" s="5"/>
      <c r="B31" s="17"/>
      <c r="C31" s="51">
        <v>26</v>
      </c>
      <c r="D31" s="53">
        <f t="shared" si="1"/>
        <v>53</v>
      </c>
      <c r="E31" s="53">
        <f t="shared" si="0"/>
        <v>4</v>
      </c>
      <c r="F31" s="44">
        <f t="shared" si="4"/>
        <v>66</v>
      </c>
      <c r="G31" s="45">
        <f>IF(D31=D30,"",_xlfn.IFNA(VLOOKUP(D31,'인원 입력 기능'!$G$5:$J$55,4,FALSE),0))</f>
        <v>501</v>
      </c>
      <c r="H31" s="46">
        <f t="shared" si="2"/>
        <v>1.7855233614882924E-2</v>
      </c>
      <c r="I31" s="50">
        <f>SUM($G$7:G31)</f>
        <v>9903</v>
      </c>
      <c r="J31" s="48">
        <f t="shared" si="3"/>
        <v>0.35293488720196731</v>
      </c>
      <c r="K31" s="18"/>
      <c r="M31" s="1"/>
    </row>
    <row r="32" spans="1:16" ht="25" customHeight="1">
      <c r="A32" s="5"/>
      <c r="B32" s="17"/>
      <c r="C32" s="52">
        <v>25</v>
      </c>
      <c r="D32" s="298">
        <f t="shared" si="1"/>
        <v>52</v>
      </c>
      <c r="E32" s="298">
        <f t="shared" si="0"/>
        <v>4</v>
      </c>
      <c r="F32" s="288">
        <f t="shared" si="4"/>
        <v>63</v>
      </c>
      <c r="G32" s="290">
        <f>IF(D32=D31,"",_xlfn.IFNA(VLOOKUP(D32,'인원 입력 기능'!$G$5:$J$55,4,FALSE),0))</f>
        <v>1105</v>
      </c>
      <c r="H32" s="291">
        <f t="shared" si="2"/>
        <v>3.9381303681528208E-2</v>
      </c>
      <c r="I32" s="293">
        <f>SUM($G$7:G32)</f>
        <v>11008</v>
      </c>
      <c r="J32" s="295">
        <f t="shared" si="3"/>
        <v>0.39231619088349551</v>
      </c>
      <c r="K32" s="18"/>
      <c r="M32" s="1"/>
    </row>
    <row r="33" spans="1:13" ht="25" customHeight="1">
      <c r="A33" s="5"/>
      <c r="B33" s="17"/>
      <c r="C33" s="51">
        <v>24</v>
      </c>
      <c r="D33" s="297"/>
      <c r="E33" s="297"/>
      <c r="F33" s="287"/>
      <c r="G33" s="289"/>
      <c r="H33" s="292"/>
      <c r="I33" s="294"/>
      <c r="J33" s="296"/>
      <c r="K33" s="18"/>
      <c r="M33" s="1"/>
    </row>
    <row r="34" spans="1:13" ht="25" customHeight="1">
      <c r="A34" s="5"/>
      <c r="B34" s="17"/>
      <c r="C34" s="52">
        <v>23</v>
      </c>
      <c r="D34" s="53">
        <f t="shared" si="1"/>
        <v>51</v>
      </c>
      <c r="E34" s="53">
        <f t="shared" si="0"/>
        <v>4</v>
      </c>
      <c r="F34" s="44">
        <f t="shared" si="4"/>
        <v>60</v>
      </c>
      <c r="G34" s="45">
        <f>IF(D34=D33,"",_xlfn.IFNA(VLOOKUP(D34,'인원 입력 기능'!$G$5:$J$55,4,FALSE),0))</f>
        <v>569</v>
      </c>
      <c r="H34" s="46">
        <f t="shared" si="2"/>
        <v>2.0278698456823122E-2</v>
      </c>
      <c r="I34" s="50">
        <f>SUM($G$7:G34)</f>
        <v>11577</v>
      </c>
      <c r="J34" s="48">
        <f t="shared" si="3"/>
        <v>0.41259488934031863</v>
      </c>
      <c r="K34" s="18"/>
      <c r="M34" s="1"/>
    </row>
    <row r="35" spans="1:13" ht="25" customHeight="1">
      <c r="A35" s="5"/>
      <c r="B35" s="17"/>
      <c r="C35" s="51">
        <v>22</v>
      </c>
      <c r="D35" s="53">
        <f t="shared" si="1"/>
        <v>50</v>
      </c>
      <c r="E35" s="53">
        <f t="shared" si="0"/>
        <v>5</v>
      </c>
      <c r="F35" s="44">
        <f t="shared" si="4"/>
        <v>58</v>
      </c>
      <c r="G35" s="45">
        <f>IF(D35=D34,"",_xlfn.IFNA(VLOOKUP(D35,'인원 입력 기능'!$G$5:$J$55,4,FALSE),0))</f>
        <v>651</v>
      </c>
      <c r="H35" s="46">
        <f t="shared" si="2"/>
        <v>2.3201111942692185E-2</v>
      </c>
      <c r="I35" s="50">
        <f>SUM($G$7:G35)</f>
        <v>12228</v>
      </c>
      <c r="J35" s="48">
        <f t="shared" si="3"/>
        <v>0.43579600128301083</v>
      </c>
      <c r="K35" s="18"/>
      <c r="M35" s="1"/>
    </row>
    <row r="36" spans="1:13" ht="25" customHeight="1">
      <c r="A36" s="5"/>
      <c r="B36" s="17"/>
      <c r="C36" s="52">
        <v>21</v>
      </c>
      <c r="D36" s="53">
        <f t="shared" si="1"/>
        <v>49</v>
      </c>
      <c r="E36" s="53">
        <f t="shared" si="0"/>
        <v>5</v>
      </c>
      <c r="F36" s="44">
        <f t="shared" si="4"/>
        <v>55</v>
      </c>
      <c r="G36" s="45">
        <f>IF(D36=D35,"",_xlfn.IFNA(VLOOKUP(D36,'인원 입력 기능'!$G$5:$J$55,4,FALSE),0))</f>
        <v>639</v>
      </c>
      <c r="H36" s="46">
        <f t="shared" si="2"/>
        <v>2.2773441676467443E-2</v>
      </c>
      <c r="I36" s="50">
        <f>SUM($G$7:G36)</f>
        <v>12867</v>
      </c>
      <c r="J36" s="48">
        <f t="shared" si="3"/>
        <v>0.45856944295947827</v>
      </c>
      <c r="K36" s="18"/>
      <c r="M36" s="1"/>
    </row>
    <row r="37" spans="1:13" ht="25" customHeight="1">
      <c r="A37" s="5"/>
      <c r="B37" s="17"/>
      <c r="C37" s="51">
        <v>20</v>
      </c>
      <c r="D37" s="53">
        <f t="shared" si="1"/>
        <v>48</v>
      </c>
      <c r="E37" s="53">
        <f t="shared" si="0"/>
        <v>5</v>
      </c>
      <c r="F37" s="44">
        <f t="shared" si="4"/>
        <v>53</v>
      </c>
      <c r="G37" s="45">
        <f>IF(D37=D36,"",_xlfn.IFNA(VLOOKUP(D37,'인원 입력 기능'!$G$5:$J$55,4,FALSE),0))</f>
        <v>779</v>
      </c>
      <c r="H37" s="46">
        <f t="shared" si="2"/>
        <v>2.7762928115756084E-2</v>
      </c>
      <c r="I37" s="50">
        <f>SUM($G$7:G37)</f>
        <v>13646</v>
      </c>
      <c r="J37" s="48">
        <f t="shared" si="3"/>
        <v>0.4863323710752343</v>
      </c>
      <c r="K37" s="18"/>
      <c r="M37" s="1"/>
    </row>
    <row r="38" spans="1:13" ht="25" customHeight="1">
      <c r="A38" s="5"/>
      <c r="B38" s="17"/>
      <c r="C38" s="52">
        <v>19</v>
      </c>
      <c r="D38" s="298">
        <f t="shared" si="1"/>
        <v>47</v>
      </c>
      <c r="E38" s="298">
        <f t="shared" si="0"/>
        <v>5</v>
      </c>
      <c r="F38" s="288">
        <f t="shared" si="4"/>
        <v>49</v>
      </c>
      <c r="G38" s="290">
        <f>IF(D38=D37,"",_xlfn.IFNA(VLOOKUP(D38,'인원 입력 기능'!$G$5:$J$55,4,FALSE),0))</f>
        <v>1548</v>
      </c>
      <c r="H38" s="291">
        <f t="shared" si="2"/>
        <v>5.5169464342991553E-2</v>
      </c>
      <c r="I38" s="293">
        <f>SUM($G$7:G38)</f>
        <v>15194</v>
      </c>
      <c r="J38" s="295">
        <f t="shared" si="3"/>
        <v>0.54150183541822583</v>
      </c>
      <c r="K38" s="18"/>
      <c r="M38" s="1"/>
    </row>
    <row r="39" spans="1:13" ht="25" customHeight="1">
      <c r="A39" s="5"/>
      <c r="B39" s="17"/>
      <c r="C39" s="51">
        <v>18</v>
      </c>
      <c r="D39" s="297"/>
      <c r="E39" s="297"/>
      <c r="F39" s="287"/>
      <c r="G39" s="289"/>
      <c r="H39" s="292"/>
      <c r="I39" s="294"/>
      <c r="J39" s="296"/>
      <c r="K39" s="18"/>
      <c r="M39" s="1"/>
    </row>
    <row r="40" spans="1:13" ht="25" customHeight="1">
      <c r="A40" s="5"/>
      <c r="B40" s="17"/>
      <c r="C40" s="52">
        <v>17</v>
      </c>
      <c r="D40" s="53">
        <f t="shared" si="1"/>
        <v>46</v>
      </c>
      <c r="E40" s="53">
        <f t="shared" ref="E39:E57" si="5">IF(ROUND(D40,0)&gt;=$P$7,1,IF(ROUND(D40,0)&gt;=$P$8,2,IF(ROUND(D40,0)&gt;=$P$9,3,IF(ROUND(D40,0)&gt;=$P$10,4,IF(ROUND(D40,0)&gt;=$P$11,5,IF(ROUND(D40,0)&gt;=$P$12,6,IF(ROUND(D40,0)&gt;=$P$13,7,IF(ROUND(D40,0)&gt;=$P$14,8,9))))))))</f>
        <v>5</v>
      </c>
      <c r="F40" s="44">
        <f t="shared" si="4"/>
        <v>44</v>
      </c>
      <c r="G40" s="45">
        <f>IF(D40=D39,"",_xlfn.IFNA(VLOOKUP(D40,'인원 입력 기능'!$G$5:$J$55,4,FALSE),0))</f>
        <v>799</v>
      </c>
      <c r="H40" s="46">
        <f t="shared" si="2"/>
        <v>2.8475711892797319E-2</v>
      </c>
      <c r="I40" s="50">
        <f>SUM($G$7:G40)</f>
        <v>15993</v>
      </c>
      <c r="J40" s="48">
        <f t="shared" si="3"/>
        <v>0.56997754731102324</v>
      </c>
      <c r="K40" s="18"/>
      <c r="M40" s="1"/>
    </row>
    <row r="41" spans="1:13" ht="25" customHeight="1">
      <c r="A41" s="5"/>
      <c r="B41" s="17"/>
      <c r="C41" s="51">
        <v>16</v>
      </c>
      <c r="D41" s="53">
        <f t="shared" si="1"/>
        <v>45</v>
      </c>
      <c r="E41" s="53">
        <f t="shared" si="5"/>
        <v>5</v>
      </c>
      <c r="F41" s="44">
        <f t="shared" si="4"/>
        <v>42</v>
      </c>
      <c r="G41" s="45">
        <f>IF(D41=D40,"",_xlfn.IFNA(VLOOKUP(D41,'인원 입력 기능'!$G$5:$J$55,4,FALSE),0))</f>
        <v>822</v>
      </c>
      <c r="H41" s="46">
        <f t="shared" si="2"/>
        <v>2.929541323639474E-2</v>
      </c>
      <c r="I41" s="50">
        <f>SUM($G$7:G41)</f>
        <v>16815</v>
      </c>
      <c r="J41" s="48">
        <f t="shared" si="3"/>
        <v>0.59927296054741797</v>
      </c>
      <c r="K41" s="18"/>
      <c r="M41" s="1"/>
    </row>
    <row r="42" spans="1:13" ht="25" customHeight="1">
      <c r="A42" s="5"/>
      <c r="B42" s="17"/>
      <c r="C42" s="52">
        <v>15</v>
      </c>
      <c r="D42" s="53">
        <f t="shared" si="1"/>
        <v>44</v>
      </c>
      <c r="E42" s="53">
        <f t="shared" si="5"/>
        <v>5</v>
      </c>
      <c r="F42" s="44">
        <f t="shared" si="4"/>
        <v>38</v>
      </c>
      <c r="G42" s="45">
        <f>IF(D42=D41,"",_xlfn.IFNA(VLOOKUP(D42,'인원 입력 기능'!$G$5:$J$55,4,FALSE),0))</f>
        <v>1034</v>
      </c>
      <c r="H42" s="46">
        <f t="shared" si="2"/>
        <v>3.6850921273031828E-2</v>
      </c>
      <c r="I42" s="50">
        <f>SUM($G$7:G42)</f>
        <v>17849</v>
      </c>
      <c r="J42" s="48">
        <f t="shared" si="3"/>
        <v>0.63612388182044977</v>
      </c>
      <c r="K42" s="18"/>
      <c r="M42" s="1"/>
    </row>
    <row r="43" spans="1:13" ht="25" customHeight="1">
      <c r="A43" s="5"/>
      <c r="B43" s="17"/>
      <c r="C43" s="51">
        <v>14</v>
      </c>
      <c r="D43" s="298">
        <f t="shared" si="1"/>
        <v>43</v>
      </c>
      <c r="E43" s="298">
        <f t="shared" si="5"/>
        <v>6</v>
      </c>
      <c r="F43" s="288">
        <f t="shared" si="4"/>
        <v>30</v>
      </c>
      <c r="G43" s="290">
        <f>IF(D43=D42,"",_xlfn.IFNA(VLOOKUP(D43,'인원 입력 기능'!$G$5:$J$55,4,FALSE),0))</f>
        <v>3331</v>
      </c>
      <c r="H43" s="291">
        <f t="shared" si="2"/>
        <v>0.11871413806621761</v>
      </c>
      <c r="I43" s="293">
        <f>SUM($G$7:G43)</f>
        <v>21180</v>
      </c>
      <c r="J43" s="295">
        <f t="shared" si="3"/>
        <v>0.75483801988666743</v>
      </c>
      <c r="K43" s="18"/>
      <c r="M43" s="1"/>
    </row>
    <row r="44" spans="1:13" ht="25" customHeight="1">
      <c r="A44" s="5"/>
      <c r="B44" s="17"/>
      <c r="C44" s="52">
        <v>13</v>
      </c>
      <c r="D44" s="297"/>
      <c r="E44" s="297"/>
      <c r="F44" s="287"/>
      <c r="G44" s="289"/>
      <c r="H44" s="292"/>
      <c r="I44" s="294"/>
      <c r="J44" s="296"/>
      <c r="K44" s="18"/>
      <c r="M44" s="1"/>
    </row>
    <row r="45" spans="1:13" ht="25" customHeight="1">
      <c r="A45" s="5"/>
      <c r="B45" s="17"/>
      <c r="C45" s="51">
        <v>12</v>
      </c>
      <c r="D45" s="53">
        <f t="shared" si="1"/>
        <v>42</v>
      </c>
      <c r="E45" s="53">
        <f t="shared" si="5"/>
        <v>6</v>
      </c>
      <c r="F45" s="44">
        <f t="shared" si="4"/>
        <v>23</v>
      </c>
      <c r="G45" s="45">
        <f>IF(D45=D44,"",_xlfn.IFNA(VLOOKUP(D45,'인원 입력 기능'!$G$5:$J$55,4,FALSE),0))</f>
        <v>1038</v>
      </c>
      <c r="H45" s="46">
        <f t="shared" si="2"/>
        <v>3.6993478028440073E-2</v>
      </c>
      <c r="I45" s="50">
        <f>SUM($G$7:G45)</f>
        <v>22218</v>
      </c>
      <c r="J45" s="48">
        <f t="shared" si="3"/>
        <v>0.79183149791510743</v>
      </c>
      <c r="K45" s="18"/>
      <c r="M45" s="1"/>
    </row>
    <row r="46" spans="1:13" ht="25" customHeight="1">
      <c r="A46" s="5"/>
      <c r="B46" s="17"/>
      <c r="C46" s="52">
        <v>11</v>
      </c>
      <c r="D46" s="53">
        <f t="shared" si="1"/>
        <v>41</v>
      </c>
      <c r="E46" s="53">
        <f t="shared" si="5"/>
        <v>7</v>
      </c>
      <c r="F46" s="44">
        <f t="shared" si="4"/>
        <v>19</v>
      </c>
      <c r="G46" s="45">
        <f>IF(D46=D45,"",_xlfn.IFNA(VLOOKUP(D46,'인원 입력 기능'!$G$5:$J$55,4,FALSE),0))</f>
        <v>789</v>
      </c>
      <c r="H46" s="46">
        <f t="shared" si="2"/>
        <v>2.8119320004276704E-2</v>
      </c>
      <c r="I46" s="50">
        <f>SUM($G$7:G46)</f>
        <v>23007</v>
      </c>
      <c r="J46" s="48">
        <f t="shared" si="3"/>
        <v>0.81995081791938418</v>
      </c>
      <c r="K46" s="18"/>
      <c r="M46" s="1"/>
    </row>
    <row r="47" spans="1:13" ht="25" customHeight="1">
      <c r="A47" s="5"/>
      <c r="B47" s="17"/>
      <c r="C47" s="51">
        <v>10</v>
      </c>
      <c r="D47" s="53">
        <f t="shared" si="1"/>
        <v>40</v>
      </c>
      <c r="E47" s="53">
        <f t="shared" si="5"/>
        <v>7</v>
      </c>
      <c r="F47" s="44">
        <f t="shared" si="4"/>
        <v>16</v>
      </c>
      <c r="G47" s="45">
        <f>IF(D47=D46,"",_xlfn.IFNA(VLOOKUP(D47,'인원 입력 기능'!$G$5:$J$55,4,FALSE),0))</f>
        <v>863</v>
      </c>
      <c r="H47" s="46">
        <f t="shared" si="2"/>
        <v>3.0756619979329269E-2</v>
      </c>
      <c r="I47" s="50">
        <f>SUM($G$7:G47)</f>
        <v>23870</v>
      </c>
      <c r="J47" s="48">
        <f t="shared" si="3"/>
        <v>0.85070743789871339</v>
      </c>
      <c r="K47" s="18"/>
      <c r="M47" s="1"/>
    </row>
    <row r="48" spans="1:13" ht="25" customHeight="1">
      <c r="A48" s="5"/>
      <c r="B48" s="17"/>
      <c r="C48" s="52">
        <v>9</v>
      </c>
      <c r="D48" s="53">
        <f t="shared" si="1"/>
        <v>39</v>
      </c>
      <c r="E48" s="53">
        <f t="shared" si="5"/>
        <v>7</v>
      </c>
      <c r="F48" s="44">
        <f t="shared" si="4"/>
        <v>13</v>
      </c>
      <c r="G48" s="45">
        <f>IF(D48=D47,"",_xlfn.IFNA(VLOOKUP(D48,'인원 입력 기능'!$G$5:$J$55,4,FALSE),0))</f>
        <v>820</v>
      </c>
      <c r="H48" s="46">
        <f t="shared" si="2"/>
        <v>2.9224134858690617E-2</v>
      </c>
      <c r="I48" s="50">
        <f>SUM($G$7:G48)</f>
        <v>24690</v>
      </c>
      <c r="J48" s="48">
        <f t="shared" si="3"/>
        <v>0.87993157275740408</v>
      </c>
      <c r="K48" s="18"/>
      <c r="M48" s="1"/>
    </row>
    <row r="49" spans="1:13" ht="25" customHeight="1">
      <c r="A49" s="5"/>
      <c r="B49" s="17"/>
      <c r="C49" s="51">
        <v>8</v>
      </c>
      <c r="D49" s="300">
        <f t="shared" si="1"/>
        <v>38</v>
      </c>
      <c r="E49" s="300">
        <f t="shared" si="5"/>
        <v>7</v>
      </c>
      <c r="F49" s="301">
        <f t="shared" si="4"/>
        <v>8</v>
      </c>
      <c r="G49" s="302">
        <f>IF(D49=D48,"",_xlfn.IFNA(VLOOKUP(D49,'인원 입력 기능'!$G$5:$J$55,4,FALSE),0))</f>
        <v>2330</v>
      </c>
      <c r="H49" s="303">
        <f t="shared" si="2"/>
        <v>8.303931002530382E-2</v>
      </c>
      <c r="I49" s="304">
        <f>SUM($G$7:G49)</f>
        <v>27020</v>
      </c>
      <c r="J49" s="305">
        <f t="shared" si="3"/>
        <v>0.96297088278270782</v>
      </c>
      <c r="K49" s="18"/>
      <c r="M49" s="1"/>
    </row>
    <row r="50" spans="1:13" ht="25" customHeight="1">
      <c r="A50" s="5"/>
      <c r="B50" s="17"/>
      <c r="C50" s="299">
        <v>7</v>
      </c>
      <c r="D50" s="306"/>
      <c r="E50" s="306"/>
      <c r="F50" s="307"/>
      <c r="G50" s="308"/>
      <c r="H50" s="309"/>
      <c r="I50" s="310"/>
      <c r="J50" s="311"/>
      <c r="K50" s="18"/>
      <c r="M50" s="1"/>
    </row>
    <row r="51" spans="1:13" ht="25" customHeight="1">
      <c r="A51" s="5"/>
      <c r="B51" s="17"/>
      <c r="C51" s="51">
        <v>6</v>
      </c>
      <c r="D51" s="53">
        <f t="shared" si="1"/>
        <v>37</v>
      </c>
      <c r="E51" s="53">
        <f t="shared" si="5"/>
        <v>9</v>
      </c>
      <c r="F51" s="44">
        <f t="shared" si="4"/>
        <v>3</v>
      </c>
      <c r="G51" s="45">
        <f>IF(D51=D50,"",_xlfn.IFNA(VLOOKUP(D51,'인원 입력 기능'!$G$5:$J$55,4,FALSE),0))</f>
        <v>270</v>
      </c>
      <c r="H51" s="46">
        <f t="shared" si="2"/>
        <v>9.6225809900566655E-3</v>
      </c>
      <c r="I51" s="50">
        <f>SUM($G$7:G51)</f>
        <v>27290</v>
      </c>
      <c r="J51" s="48">
        <f t="shared" si="3"/>
        <v>0.97259346377276457</v>
      </c>
      <c r="K51" s="18"/>
      <c r="M51" s="1"/>
    </row>
    <row r="52" spans="1:13" ht="25" customHeight="1">
      <c r="A52" s="5"/>
      <c r="B52" s="17"/>
      <c r="C52" s="52">
        <v>5</v>
      </c>
      <c r="D52" s="53">
        <f t="shared" si="1"/>
        <v>36</v>
      </c>
      <c r="E52" s="53">
        <f t="shared" si="5"/>
        <v>9</v>
      </c>
      <c r="F52" s="44">
        <f t="shared" si="4"/>
        <v>2</v>
      </c>
      <c r="G52" s="45">
        <f>IF(D52=D51,"",_xlfn.IFNA(VLOOKUP(D52,'인원 입력 기능'!$G$5:$J$55,4,FALSE),0))</f>
        <v>343</v>
      </c>
      <c r="H52" s="46">
        <f t="shared" si="2"/>
        <v>1.2224241776257172E-2</v>
      </c>
      <c r="I52" s="50">
        <f>SUM($G$7:G52)</f>
        <v>27633</v>
      </c>
      <c r="J52" s="48">
        <f t="shared" si="3"/>
        <v>0.9848177055490217</v>
      </c>
      <c r="K52" s="18"/>
      <c r="M52" s="1"/>
    </row>
    <row r="53" spans="1:13" ht="25" customHeight="1">
      <c r="A53" s="5"/>
      <c r="B53" s="17"/>
      <c r="C53" s="42">
        <v>4</v>
      </c>
      <c r="D53" s="43">
        <f t="shared" si="1"/>
        <v>35</v>
      </c>
      <c r="E53" s="43">
        <f t="shared" si="5"/>
        <v>9</v>
      </c>
      <c r="F53" s="44">
        <f t="shared" si="4"/>
        <v>1</v>
      </c>
      <c r="G53" s="45">
        <f>IF(D53=D52,"",_xlfn.IFNA(VLOOKUP(D53,'인원 입력 기능'!$G$5:$J$55,4,FALSE),0))</f>
        <v>148</v>
      </c>
      <c r="H53" s="46">
        <f t="shared" si="2"/>
        <v>5.2745999501051357E-3</v>
      </c>
      <c r="I53" s="50">
        <f>SUM($G$7:G53)</f>
        <v>27781</v>
      </c>
      <c r="J53" s="48">
        <f t="shared" si="3"/>
        <v>0.99009230549912686</v>
      </c>
      <c r="K53" s="18"/>
      <c r="M53" s="1"/>
    </row>
    <row r="54" spans="1:13" ht="25" customHeight="1">
      <c r="A54" s="5"/>
      <c r="B54" s="17"/>
      <c r="C54" s="49">
        <v>3</v>
      </c>
      <c r="D54" s="286">
        <f t="shared" si="1"/>
        <v>34</v>
      </c>
      <c r="E54" s="286">
        <f t="shared" si="5"/>
        <v>9</v>
      </c>
      <c r="F54" s="288">
        <f t="shared" si="4"/>
        <v>1</v>
      </c>
      <c r="G54" s="290">
        <f>IF(D54=D53,"",_xlfn.IFNA(VLOOKUP(D54,'인원 입력 기능'!$G$5:$J$55,4,FALSE),0))</f>
        <v>234</v>
      </c>
      <c r="H54" s="291">
        <f t="shared" si="2"/>
        <v>8.3395701913824439E-3</v>
      </c>
      <c r="I54" s="293">
        <f>SUM($G$7:G54)</f>
        <v>28015</v>
      </c>
      <c r="J54" s="295">
        <f t="shared" si="3"/>
        <v>0.99843187569050929</v>
      </c>
      <c r="K54" s="18"/>
      <c r="M54" s="1"/>
    </row>
    <row r="55" spans="1:13" ht="25" customHeight="1">
      <c r="A55" s="5"/>
      <c r="B55" s="17"/>
      <c r="C55" s="42">
        <v>2</v>
      </c>
      <c r="D55" s="285"/>
      <c r="E55" s="285"/>
      <c r="F55" s="287"/>
      <c r="G55" s="289"/>
      <c r="H55" s="292"/>
      <c r="I55" s="294"/>
      <c r="J55" s="296"/>
      <c r="K55" s="18"/>
      <c r="M55" s="1"/>
    </row>
    <row r="56" spans="1:13" ht="25" customHeight="1">
      <c r="A56" s="5"/>
      <c r="B56" s="17"/>
      <c r="C56" s="49">
        <v>1</v>
      </c>
      <c r="D56" s="111" t="s">
        <v>31</v>
      </c>
      <c r="E56" s="112"/>
      <c r="F56" s="112"/>
      <c r="G56" s="112"/>
      <c r="H56" s="112"/>
      <c r="I56" s="112"/>
      <c r="J56" s="113"/>
      <c r="K56" s="18"/>
      <c r="M56" s="1"/>
    </row>
    <row r="57" spans="1:13" ht="25" customHeight="1" thickBot="1">
      <c r="A57" s="5"/>
      <c r="B57" s="17"/>
      <c r="C57" s="57">
        <v>0</v>
      </c>
      <c r="D57" s="58">
        <f>ROUND(10*(C57-$H$3)/$H$4+50,0)</f>
        <v>32</v>
      </c>
      <c r="E57" s="59">
        <f t="shared" si="5"/>
        <v>9</v>
      </c>
      <c r="F57" s="60">
        <f>IF(I55=0,ROUND(100*(1-(I54+I57)/2/$J$3),0),ROUND(100*(1-(I55+I57)/2/$J$3),0))</f>
        <v>0</v>
      </c>
      <c r="G57" s="61">
        <f>_xlfn.IFNA(VLOOKUP(D57,'인원 입력 기능'!$G$5:$J$55,4,FALSE),0)</f>
        <v>44</v>
      </c>
      <c r="H57" s="62">
        <f>G57/J3</f>
        <v>1.568124309490716E-3</v>
      </c>
      <c r="I57" s="63">
        <f>SUM($G$7:G57)</f>
        <v>28059</v>
      </c>
      <c r="J57" s="64">
        <f>I57/J3</f>
        <v>1</v>
      </c>
      <c r="K57" s="18"/>
      <c r="M57" s="1"/>
    </row>
    <row r="58" spans="1:13" ht="6" customHeight="1">
      <c r="A58" s="5"/>
      <c r="B58" s="20"/>
      <c r="C58" s="21"/>
      <c r="D58" s="21"/>
      <c r="E58" s="21"/>
      <c r="F58" s="21"/>
      <c r="G58" s="21"/>
      <c r="H58" s="21"/>
      <c r="I58" s="21"/>
      <c r="J58" s="21"/>
      <c r="K58" s="22"/>
      <c r="M58" s="1"/>
    </row>
    <row r="59" spans="1:13">
      <c r="M59" s="1"/>
    </row>
    <row r="60" spans="1:13">
      <c r="M60" s="1"/>
    </row>
    <row r="61" spans="1:13">
      <c r="M61" s="1"/>
    </row>
    <row r="62" spans="1:13">
      <c r="M62" s="1"/>
    </row>
    <row r="63" spans="1:13">
      <c r="M63" s="1"/>
    </row>
    <row r="64" spans="1:13">
      <c r="M64" s="1"/>
    </row>
    <row r="65" spans="13:13">
      <c r="M65" s="1"/>
    </row>
    <row r="66" spans="13:13">
      <c r="M66" s="1"/>
    </row>
    <row r="67" spans="13:13">
      <c r="M67" s="1"/>
    </row>
    <row r="68" spans="13:13">
      <c r="M68" s="1"/>
    </row>
    <row r="69" spans="13:13">
      <c r="M69" s="1"/>
    </row>
    <row r="70" spans="13:13">
      <c r="M70" s="1"/>
    </row>
    <row r="71" spans="13:13">
      <c r="M71" s="1"/>
    </row>
    <row r="72" spans="13:13">
      <c r="M72" s="1"/>
    </row>
    <row r="73" spans="13:13">
      <c r="M73" s="1"/>
    </row>
    <row r="74" spans="13:13">
      <c r="M74" s="1"/>
    </row>
    <row r="75" spans="13:13">
      <c r="M75" s="1"/>
    </row>
    <row r="76" spans="13:13">
      <c r="M76" s="1"/>
    </row>
    <row r="77" spans="13:13">
      <c r="M77" s="1"/>
    </row>
    <row r="78" spans="13:13">
      <c r="M78" s="1"/>
    </row>
    <row r="79" spans="13:13">
      <c r="M79" s="1"/>
    </row>
    <row r="80" spans="13:13">
      <c r="M80" s="1"/>
    </row>
    <row r="81" spans="13:13">
      <c r="M81" s="1"/>
    </row>
    <row r="82" spans="13:13">
      <c r="M82" s="1"/>
    </row>
    <row r="83" spans="13:13">
      <c r="M83" s="1"/>
    </row>
    <row r="84" spans="13:13">
      <c r="M84" s="1"/>
    </row>
    <row r="85" spans="13:13">
      <c r="M85" s="1"/>
    </row>
    <row r="86" spans="13:13">
      <c r="M86" s="1"/>
    </row>
    <row r="87" spans="13:13">
      <c r="M87" s="1"/>
    </row>
    <row r="88" spans="13:13">
      <c r="M88" s="1"/>
    </row>
    <row r="89" spans="13:13">
      <c r="M89" s="1"/>
    </row>
    <row r="90" spans="13:13">
      <c r="M90" s="1"/>
    </row>
    <row r="91" spans="13:13">
      <c r="M91" s="1"/>
    </row>
    <row r="92" spans="13:13">
      <c r="M92" s="1"/>
    </row>
    <row r="93" spans="13:13">
      <c r="M93" s="1"/>
    </row>
    <row r="94" spans="13:13">
      <c r="M94" s="1"/>
    </row>
    <row r="95" spans="13:13">
      <c r="M95" s="1"/>
    </row>
    <row r="96" spans="13:13">
      <c r="M96" s="1"/>
    </row>
    <row r="97" spans="13:13">
      <c r="M97" s="1"/>
    </row>
    <row r="98" spans="13:13">
      <c r="M98" s="1"/>
    </row>
    <row r="99" spans="13:13">
      <c r="M99" s="1"/>
    </row>
    <row r="100" spans="13:13">
      <c r="M100" s="1"/>
    </row>
    <row r="101" spans="13:13">
      <c r="M101" s="1"/>
    </row>
    <row r="102" spans="13:13">
      <c r="M102" s="1"/>
    </row>
    <row r="103" spans="13:13">
      <c r="M103" s="1"/>
    </row>
    <row r="104" spans="13:13">
      <c r="M104" s="1"/>
    </row>
    <row r="105" spans="13:13">
      <c r="M105" s="1"/>
    </row>
  </sheetData>
  <mergeCells count="67">
    <mergeCell ref="I49:I50"/>
    <mergeCell ref="J49:J50"/>
    <mergeCell ref="D54:D55"/>
    <mergeCell ref="E54:E55"/>
    <mergeCell ref="F54:F55"/>
    <mergeCell ref="G54:G55"/>
    <mergeCell ref="H54:H55"/>
    <mergeCell ref="I54:I55"/>
    <mergeCell ref="J54:J55"/>
    <mergeCell ref="D49:D50"/>
    <mergeCell ref="E49:E50"/>
    <mergeCell ref="F49:F50"/>
    <mergeCell ref="G49:G50"/>
    <mergeCell ref="H49:H50"/>
    <mergeCell ref="I38:I39"/>
    <mergeCell ref="J38:J39"/>
    <mergeCell ref="D43:D44"/>
    <mergeCell ref="E43:E44"/>
    <mergeCell ref="F43:F44"/>
    <mergeCell ref="G43:G44"/>
    <mergeCell ref="H43:H44"/>
    <mergeCell ref="I43:I44"/>
    <mergeCell ref="J43:J44"/>
    <mergeCell ref="D38:D39"/>
    <mergeCell ref="E38:E39"/>
    <mergeCell ref="F38:F39"/>
    <mergeCell ref="G38:G39"/>
    <mergeCell ref="H38:H39"/>
    <mergeCell ref="I26:I27"/>
    <mergeCell ref="J26:J27"/>
    <mergeCell ref="D32:D33"/>
    <mergeCell ref="E32:E33"/>
    <mergeCell ref="F32:F33"/>
    <mergeCell ref="G32:G33"/>
    <mergeCell ref="H32:H33"/>
    <mergeCell ref="I32:I33"/>
    <mergeCell ref="J32:J33"/>
    <mergeCell ref="D26:D27"/>
    <mergeCell ref="E26:E27"/>
    <mergeCell ref="F26:F27"/>
    <mergeCell ref="G26:G27"/>
    <mergeCell ref="H26:H27"/>
    <mergeCell ref="I15:I16"/>
    <mergeCell ref="J15:J16"/>
    <mergeCell ref="D21:D22"/>
    <mergeCell ref="E21:E22"/>
    <mergeCell ref="F21:F22"/>
    <mergeCell ref="G21:G22"/>
    <mergeCell ref="H21:H22"/>
    <mergeCell ref="I21:I22"/>
    <mergeCell ref="J21:J22"/>
    <mergeCell ref="D3:F3"/>
    <mergeCell ref="D4:F4"/>
    <mergeCell ref="D56:J56"/>
    <mergeCell ref="D8:J8"/>
    <mergeCell ref="D10:D11"/>
    <mergeCell ref="E10:E11"/>
    <mergeCell ref="F10:F11"/>
    <mergeCell ref="G10:G11"/>
    <mergeCell ref="H10:H11"/>
    <mergeCell ref="I10:I11"/>
    <mergeCell ref="J10:J11"/>
    <mergeCell ref="D15:D16"/>
    <mergeCell ref="E15:E16"/>
    <mergeCell ref="F15:F16"/>
    <mergeCell ref="G15:G16"/>
    <mergeCell ref="H15:H16"/>
  </mergeCells>
  <phoneticPr fontId="1" type="noConversion"/>
  <conditionalFormatting sqref="D7:J7 D57:J57 D9:J10 D12:J15 D17:J21 D23:J26 D28:J32 D34:J38 D40:J43 D45:J48 D51:J54">
    <cfRule type="expression" dxfId="153" priority="7">
      <formula>OR($D7=$P$7:$P$14)</formula>
    </cfRule>
  </conditionalFormatting>
  <conditionalFormatting sqref="C7:C49 C51:C57">
    <cfRule type="expression" dxfId="152" priority="6">
      <formula>OR(AND($D7=0,OR($D6=$P$7:$P$14)),AND($D8&gt;0,OR($D7=$P$7:$P$14)))</formula>
    </cfRule>
  </conditionalFormatting>
  <conditionalFormatting sqref="D7 D57 D9:D10 D12:D15 D17:D21 D23:D26 D28:D32 D34:D38 D40:D43 D45:D48 D51:D54">
    <cfRule type="expression" dxfId="151" priority="5">
      <formula>$D7=$D8</formula>
    </cfRule>
  </conditionalFormatting>
  <conditionalFormatting sqref="D56">
    <cfRule type="expression" dxfId="150" priority="4">
      <formula>OR($D56=$P$7:$P$14)</formula>
    </cfRule>
  </conditionalFormatting>
  <conditionalFormatting sqref="D56">
    <cfRule type="expression" dxfId="149" priority="3">
      <formula>$D56=$D57</formula>
    </cfRule>
  </conditionalFormatting>
  <conditionalFormatting sqref="D8">
    <cfRule type="expression" dxfId="148" priority="2">
      <formula>OR($D8=$P$7:$P$14)</formula>
    </cfRule>
  </conditionalFormatting>
  <conditionalFormatting sqref="D8">
    <cfRule type="expression" dxfId="147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CCE87-7659-4AFA-9575-51790801DEFC}">
  <sheetPr codeName="Sheet10"/>
  <dimension ref="A1:P105"/>
  <sheetViews>
    <sheetView zoomScaleNormal="100" workbookViewId="0">
      <selection activeCell="B2" sqref="B2:K58"/>
    </sheetView>
  </sheetViews>
  <sheetFormatPr defaultRowHeight="17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6">
      <c r="A1" s="5" t="s">
        <v>44</v>
      </c>
      <c r="C1" s="5"/>
      <c r="D1" s="5"/>
      <c r="E1" s="5"/>
      <c r="F1" s="5"/>
      <c r="G1" s="5"/>
      <c r="H1" s="5"/>
      <c r="I1" s="5"/>
      <c r="J1" s="5"/>
      <c r="K1" s="5"/>
    </row>
    <row r="2" spans="1:16" s="5" customFormat="1" ht="6" customHeight="1" thickBot="1">
      <c r="B2" s="15"/>
      <c r="C2" s="23"/>
      <c r="D2" s="23"/>
      <c r="E2" s="23"/>
      <c r="F2" s="23"/>
      <c r="G2" s="23"/>
      <c r="H2" s="23"/>
      <c r="I2" s="23"/>
      <c r="J2" s="23"/>
      <c r="K2" s="16"/>
    </row>
    <row r="3" spans="1:16" ht="25" customHeight="1" thickBot="1">
      <c r="A3" s="5"/>
      <c r="B3" s="17"/>
      <c r="C3" s="34" t="s">
        <v>47</v>
      </c>
      <c r="D3" s="105" t="s">
        <v>115</v>
      </c>
      <c r="E3" s="106"/>
      <c r="F3" s="107"/>
      <c r="G3" s="34" t="s">
        <v>48</v>
      </c>
      <c r="H3" s="101">
        <f>'통계 및 응시자 수 입력 기능'!D6</f>
        <v>22.55</v>
      </c>
      <c r="I3" s="103" t="s">
        <v>49</v>
      </c>
      <c r="J3" s="104">
        <f>'통계 및 응시자 수 입력 기능'!C6</f>
        <v>40869</v>
      </c>
      <c r="K3" s="18"/>
    </row>
    <row r="4" spans="1:16" ht="25" customHeight="1" thickBot="1">
      <c r="A4" s="5"/>
      <c r="B4" s="17"/>
      <c r="C4" s="35" t="s">
        <v>50</v>
      </c>
      <c r="D4" s="108" t="s">
        <v>71</v>
      </c>
      <c r="E4" s="109"/>
      <c r="F4" s="110"/>
      <c r="G4" s="36" t="s">
        <v>52</v>
      </c>
      <c r="H4" s="102">
        <f>'통계 및 응시자 수 입력 기능'!E6</f>
        <v>12.22</v>
      </c>
      <c r="I4" s="12"/>
      <c r="J4" s="12"/>
      <c r="K4" s="18"/>
    </row>
    <row r="5" spans="1:16" ht="25" customHeight="1" thickBot="1">
      <c r="A5" s="5"/>
      <c r="B5" s="17"/>
      <c r="C5" s="12"/>
      <c r="D5" s="12"/>
      <c r="E5" s="12"/>
      <c r="F5" s="12"/>
      <c r="G5" s="12"/>
      <c r="H5" s="19"/>
      <c r="I5" s="19"/>
      <c r="J5" s="19"/>
      <c r="K5" s="18"/>
    </row>
    <row r="6" spans="1:16" ht="25" customHeight="1" thickBot="1">
      <c r="A6" s="5"/>
      <c r="B6" s="17"/>
      <c r="C6" s="38" t="s">
        <v>73</v>
      </c>
      <c r="D6" s="39" t="s">
        <v>74</v>
      </c>
      <c r="E6" s="39" t="s">
        <v>75</v>
      </c>
      <c r="F6" s="39" t="s">
        <v>76</v>
      </c>
      <c r="G6" s="39" t="s">
        <v>77</v>
      </c>
      <c r="H6" s="40" t="s">
        <v>78</v>
      </c>
      <c r="I6" s="40" t="s">
        <v>79</v>
      </c>
      <c r="J6" s="41" t="s">
        <v>80</v>
      </c>
      <c r="K6" s="18"/>
      <c r="L6" s="3"/>
      <c r="M6" s="4"/>
    </row>
    <row r="7" spans="1:16" ht="25" customHeight="1">
      <c r="A7" s="5"/>
      <c r="B7" s="17"/>
      <c r="C7" s="42">
        <v>50</v>
      </c>
      <c r="D7" s="43">
        <v>73</v>
      </c>
      <c r="E7" s="43">
        <f t="shared" ref="E7:E38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44">
        <f>ROUND(100*(1-(0+I7)/2/$J$3),0)</f>
        <v>99</v>
      </c>
      <c r="G7" s="45">
        <f>_xlfn.IFNA(VLOOKUP(D7,'인원 입력 기능'!$L$5:$O$55,4,FALSE),0)</f>
        <v>622</v>
      </c>
      <c r="H7" s="46">
        <f>G7/J3</f>
        <v>1.5219359416672783E-2</v>
      </c>
      <c r="I7" s="47">
        <f>G7</f>
        <v>622</v>
      </c>
      <c r="J7" s="48">
        <f>I7/J3</f>
        <v>1.5219359416672783E-2</v>
      </c>
      <c r="K7" s="18"/>
      <c r="M7" s="1"/>
      <c r="O7" s="1">
        <v>1</v>
      </c>
      <c r="P7" s="1">
        <f>'표준점수 등급컷 입력기능'!H4</f>
        <v>69</v>
      </c>
    </row>
    <row r="8" spans="1:16" ht="25" customHeight="1">
      <c r="A8" s="5"/>
      <c r="B8" s="17"/>
      <c r="C8" s="49">
        <v>49</v>
      </c>
      <c r="D8" s="111" t="s">
        <v>31</v>
      </c>
      <c r="E8" s="112"/>
      <c r="F8" s="112"/>
      <c r="G8" s="112"/>
      <c r="H8" s="112"/>
      <c r="I8" s="112"/>
      <c r="J8" s="113"/>
      <c r="K8" s="18"/>
      <c r="M8" s="1"/>
      <c r="O8" s="1">
        <v>2</v>
      </c>
      <c r="P8" s="1">
        <f>'표준점수 등급컷 입력기능'!H5</f>
        <v>65</v>
      </c>
    </row>
    <row r="9" spans="1:16" ht="25" customHeight="1">
      <c r="A9" s="5"/>
      <c r="B9" s="17"/>
      <c r="C9" s="42">
        <v>48</v>
      </c>
      <c r="D9" s="43">
        <f>ROUND(10*(C9-$H$3)/$H$4+50,0)</f>
        <v>71</v>
      </c>
      <c r="E9" s="43">
        <f t="shared" si="0"/>
        <v>1</v>
      </c>
      <c r="F9" s="44">
        <f>IF(I8=0,ROUND(100*(1-(I7+I9)/2/$J$3),0),ROUND(100*(1-(I8+I9)/2/$J$3),0))</f>
        <v>97</v>
      </c>
      <c r="G9" s="45">
        <f>_xlfn.IFNA(VLOOKUP(D9,'인원 입력 기능'!$L$5:$O$55,4,FALSE),0)</f>
        <v>834</v>
      </c>
      <c r="H9" s="46">
        <f>G9/$J$3</f>
        <v>2.0406665198561255E-2</v>
      </c>
      <c r="I9" s="50">
        <f>SUM($G$7:G9)</f>
        <v>1456</v>
      </c>
      <c r="J9" s="48">
        <f>I9/$J$3</f>
        <v>3.5626024615234043E-2</v>
      </c>
      <c r="K9" s="18"/>
      <c r="M9" s="1"/>
      <c r="O9" s="1">
        <v>3</v>
      </c>
      <c r="P9" s="1">
        <f>'표준점수 등급컷 입력기능'!H6</f>
        <v>58</v>
      </c>
    </row>
    <row r="10" spans="1:16" ht="25" customHeight="1">
      <c r="A10" s="5"/>
      <c r="B10" s="17"/>
      <c r="C10" s="49">
        <v>47</v>
      </c>
      <c r="D10" s="43">
        <f t="shared" ref="D10:D55" si="1">ROUND(10*(C10-$H$3)/$H$4+50,0)</f>
        <v>70</v>
      </c>
      <c r="E10" s="43">
        <f t="shared" si="0"/>
        <v>1</v>
      </c>
      <c r="F10" s="44">
        <f>IF(I9=0,ROUND(100*(1-(I8+I10)/2/$J$3),0),ROUND(100*(1-(I9+I10)/2/$J$3),0))</f>
        <v>96</v>
      </c>
      <c r="G10" s="45">
        <f>IF(D10=D9,"",_xlfn.IFNA(VLOOKUP(D10,'인원 입력 기능'!$L$5:$O$55,4,FALSE),0))</f>
        <v>167</v>
      </c>
      <c r="H10" s="46">
        <f t="shared" ref="H10:H55" si="2">G10/$J$3</f>
        <v>4.0862267244121458E-3</v>
      </c>
      <c r="I10" s="50">
        <f>SUM($G$7:G10)</f>
        <v>1623</v>
      </c>
      <c r="J10" s="48">
        <f t="shared" ref="J10:J55" si="3">I10/$J$3</f>
        <v>3.9712251339646183E-2</v>
      </c>
      <c r="K10" s="18"/>
      <c r="M10" s="1"/>
      <c r="O10" s="1">
        <v>4</v>
      </c>
      <c r="P10" s="1">
        <f>'표준점수 등급컷 입력기능'!H7</f>
        <v>51</v>
      </c>
    </row>
    <row r="11" spans="1:16" ht="25" customHeight="1">
      <c r="A11" s="5"/>
      <c r="B11" s="17"/>
      <c r="C11" s="42">
        <v>46</v>
      </c>
      <c r="D11" s="43">
        <f t="shared" si="1"/>
        <v>69</v>
      </c>
      <c r="E11" s="43">
        <f t="shared" si="0"/>
        <v>1</v>
      </c>
      <c r="F11" s="44">
        <f t="shared" ref="F11:F55" si="4">IF(I10=0,ROUND(100*(1-(I9+I11)/2/$J$3),0),ROUND(100*(1-(I10+I11)/2/$J$3),0))</f>
        <v>95</v>
      </c>
      <c r="G11" s="45">
        <f>IF(D11=D10,"",_xlfn.IFNA(VLOOKUP(D11,'인원 입력 기능'!$L$5:$O$55,4,FALSE),0))</f>
        <v>661</v>
      </c>
      <c r="H11" s="46">
        <f t="shared" si="2"/>
        <v>1.6173627933152267E-2</v>
      </c>
      <c r="I11" s="50">
        <f>SUM($G$7:G11)</f>
        <v>2284</v>
      </c>
      <c r="J11" s="48">
        <f t="shared" si="3"/>
        <v>5.5885879272798457E-2</v>
      </c>
      <c r="K11" s="18"/>
      <c r="M11" s="1"/>
      <c r="O11" s="1">
        <v>5</v>
      </c>
      <c r="P11" s="1">
        <f>'표준점수 등급컷 입력기능'!H8</f>
        <v>45</v>
      </c>
    </row>
    <row r="12" spans="1:16" ht="25" customHeight="1">
      <c r="A12" s="5"/>
      <c r="B12" s="17"/>
      <c r="C12" s="49">
        <v>45</v>
      </c>
      <c r="D12" s="286">
        <f t="shared" si="1"/>
        <v>68</v>
      </c>
      <c r="E12" s="286">
        <f t="shared" si="0"/>
        <v>2</v>
      </c>
      <c r="F12" s="288">
        <f t="shared" si="4"/>
        <v>93</v>
      </c>
      <c r="G12" s="290">
        <f>IF(D12=D11,"",_xlfn.IFNA(VLOOKUP(D12,'인원 입력 기능'!$L$5:$O$55,4,FALSE),0))</f>
        <v>849</v>
      </c>
      <c r="H12" s="291">
        <f t="shared" si="2"/>
        <v>2.0773691551053367E-2</v>
      </c>
      <c r="I12" s="293">
        <f>SUM($G$7:G12)</f>
        <v>3133</v>
      </c>
      <c r="J12" s="295">
        <f t="shared" si="3"/>
        <v>7.6659570823851816E-2</v>
      </c>
      <c r="K12" s="18"/>
      <c r="M12" s="1"/>
      <c r="O12" s="1">
        <v>6</v>
      </c>
      <c r="P12" s="1">
        <f>'표준점수 등급컷 입력기능'!H9</f>
        <v>41</v>
      </c>
    </row>
    <row r="13" spans="1:16" ht="25" customHeight="1">
      <c r="A13" s="5"/>
      <c r="B13" s="17"/>
      <c r="C13" s="42">
        <v>44</v>
      </c>
      <c r="D13" s="285"/>
      <c r="E13" s="285"/>
      <c r="F13" s="287"/>
      <c r="G13" s="289"/>
      <c r="H13" s="292"/>
      <c r="I13" s="294"/>
      <c r="J13" s="296"/>
      <c r="K13" s="18"/>
      <c r="M13" s="1"/>
      <c r="O13" s="1">
        <v>7</v>
      </c>
      <c r="P13" s="1">
        <f>'표준점수 등급컷 입력기능'!H10</f>
        <v>40</v>
      </c>
    </row>
    <row r="14" spans="1:16" ht="25" customHeight="1">
      <c r="A14" s="5"/>
      <c r="B14" s="17"/>
      <c r="C14" s="49">
        <v>43</v>
      </c>
      <c r="D14" s="43">
        <f t="shared" si="1"/>
        <v>67</v>
      </c>
      <c r="E14" s="43">
        <f t="shared" si="0"/>
        <v>2</v>
      </c>
      <c r="F14" s="44">
        <f t="shared" si="4"/>
        <v>92</v>
      </c>
      <c r="G14" s="45">
        <f>IF(D14=D13,"",_xlfn.IFNA(VLOOKUP(D14,'인원 입력 기능'!$L$5:$O$55,4,FALSE),0))</f>
        <v>522</v>
      </c>
      <c r="H14" s="46">
        <f t="shared" si="2"/>
        <v>1.2772517066725391E-2</v>
      </c>
      <c r="I14" s="50">
        <f>SUM($G$7:G14)</f>
        <v>3655</v>
      </c>
      <c r="J14" s="48">
        <f t="shared" si="3"/>
        <v>8.9432087890577217E-2</v>
      </c>
      <c r="K14" s="18"/>
      <c r="M14" s="1"/>
      <c r="O14" s="1">
        <v>8</v>
      </c>
      <c r="P14" s="1">
        <f>'표준점수 등급컷 입력기능'!H11</f>
        <v>36</v>
      </c>
    </row>
    <row r="15" spans="1:16" ht="25" customHeight="1">
      <c r="A15" s="5"/>
      <c r="B15" s="17"/>
      <c r="C15" s="42">
        <v>42</v>
      </c>
      <c r="D15" s="43">
        <f t="shared" si="1"/>
        <v>66</v>
      </c>
      <c r="E15" s="43">
        <f t="shared" si="0"/>
        <v>2</v>
      </c>
      <c r="F15" s="44">
        <f t="shared" si="4"/>
        <v>91</v>
      </c>
      <c r="G15" s="45">
        <f>IF(D15=D14,"",_xlfn.IFNA(VLOOKUP(D15,'인원 입력 기능'!$L$5:$O$55,4,FALSE),0))</f>
        <v>377</v>
      </c>
      <c r="H15" s="46">
        <f t="shared" si="2"/>
        <v>9.2245956593016709E-3</v>
      </c>
      <c r="I15" s="50">
        <f>SUM($G$7:G15)</f>
        <v>4032</v>
      </c>
      <c r="J15" s="48">
        <f t="shared" si="3"/>
        <v>9.8656683549878887E-2</v>
      </c>
      <c r="K15" s="18"/>
      <c r="M15" s="1"/>
      <c r="O15" s="1">
        <v>9</v>
      </c>
      <c r="P15" s="1"/>
    </row>
    <row r="16" spans="1:16" ht="25" customHeight="1">
      <c r="A16" s="5"/>
      <c r="B16" s="17"/>
      <c r="C16" s="49">
        <v>41</v>
      </c>
      <c r="D16" s="43">
        <f t="shared" si="1"/>
        <v>65</v>
      </c>
      <c r="E16" s="43">
        <f t="shared" si="0"/>
        <v>2</v>
      </c>
      <c r="F16" s="44">
        <f t="shared" si="4"/>
        <v>89</v>
      </c>
      <c r="G16" s="45">
        <f>IF(D16=D15,"",_xlfn.IFNA(VLOOKUP(D16,'인원 입력 기능'!$L$5:$O$55,4,FALSE),0))</f>
        <v>535</v>
      </c>
      <c r="H16" s="46">
        <f t="shared" si="2"/>
        <v>1.3090606572218551E-2</v>
      </c>
      <c r="I16" s="50">
        <f>SUM($G$7:G16)</f>
        <v>4567</v>
      </c>
      <c r="J16" s="48">
        <f t="shared" si="3"/>
        <v>0.11174729012209743</v>
      </c>
      <c r="K16" s="18"/>
      <c r="M16" s="1"/>
    </row>
    <row r="17" spans="1:16" ht="25" customHeight="1">
      <c r="A17" s="5"/>
      <c r="B17" s="17"/>
      <c r="C17" s="42">
        <v>40</v>
      </c>
      <c r="D17" s="43">
        <f t="shared" si="1"/>
        <v>64</v>
      </c>
      <c r="E17" s="43">
        <f t="shared" si="0"/>
        <v>3</v>
      </c>
      <c r="F17" s="44">
        <f t="shared" si="4"/>
        <v>88</v>
      </c>
      <c r="G17" s="45">
        <f>IF(D17=D16,"",_xlfn.IFNA(VLOOKUP(D17,'인원 입력 기능'!$L$5:$O$55,4,FALSE),0))</f>
        <v>449</v>
      </c>
      <c r="H17" s="46">
        <f t="shared" si="2"/>
        <v>1.0986322151263795E-2</v>
      </c>
      <c r="I17" s="50">
        <f>SUM($G$7:G17)</f>
        <v>5016</v>
      </c>
      <c r="J17" s="48">
        <f t="shared" si="3"/>
        <v>0.12273361227336123</v>
      </c>
      <c r="K17" s="18"/>
      <c r="M17" s="1"/>
      <c r="P17" s="1">
        <f>H3*H4*J3*P7*IFERROR(IF(J57=1, 1, 0), 0)</f>
        <v>777071273.12100005</v>
      </c>
    </row>
    <row r="18" spans="1:16" ht="25" customHeight="1">
      <c r="A18" s="5"/>
      <c r="B18" s="17"/>
      <c r="C18" s="49">
        <v>39</v>
      </c>
      <c r="D18" s="286">
        <f t="shared" si="1"/>
        <v>63</v>
      </c>
      <c r="E18" s="286">
        <f t="shared" si="0"/>
        <v>3</v>
      </c>
      <c r="F18" s="288">
        <f t="shared" si="4"/>
        <v>86</v>
      </c>
      <c r="G18" s="290">
        <f>IF(D18=D17,"",_xlfn.IFNA(VLOOKUP(D18,'인원 입력 기능'!$L$5:$O$55,4,FALSE),0))</f>
        <v>1097</v>
      </c>
      <c r="H18" s="291">
        <f t="shared" si="2"/>
        <v>2.6841860578922901E-2</v>
      </c>
      <c r="I18" s="293">
        <f>SUM($G$7:G18)</f>
        <v>6113</v>
      </c>
      <c r="J18" s="295">
        <f t="shared" si="3"/>
        <v>0.14957547285228412</v>
      </c>
      <c r="K18" s="18"/>
      <c r="M18" s="1"/>
    </row>
    <row r="19" spans="1:16" ht="25" customHeight="1">
      <c r="A19" s="5"/>
      <c r="B19" s="17"/>
      <c r="C19" s="42">
        <v>38</v>
      </c>
      <c r="D19" s="285"/>
      <c r="E19" s="285"/>
      <c r="F19" s="287"/>
      <c r="G19" s="289"/>
      <c r="H19" s="292"/>
      <c r="I19" s="294"/>
      <c r="J19" s="296"/>
      <c r="K19" s="18"/>
      <c r="M19" s="1"/>
    </row>
    <row r="20" spans="1:16" ht="25" customHeight="1">
      <c r="A20" s="5"/>
      <c r="B20" s="17"/>
      <c r="C20" s="49">
        <v>37</v>
      </c>
      <c r="D20" s="43">
        <f t="shared" si="1"/>
        <v>62</v>
      </c>
      <c r="E20" s="43">
        <f t="shared" si="0"/>
        <v>3</v>
      </c>
      <c r="F20" s="44">
        <f t="shared" si="4"/>
        <v>84</v>
      </c>
      <c r="G20" s="45">
        <f>IF(D20=D19,"",_xlfn.IFNA(VLOOKUP(D20,'인원 입력 기능'!$L$5:$O$55,4,FALSE),0))</f>
        <v>518</v>
      </c>
      <c r="H20" s="46">
        <f t="shared" si="2"/>
        <v>1.2674643372727496E-2</v>
      </c>
      <c r="I20" s="50">
        <f>SUM($G$7:G20)</f>
        <v>6631</v>
      </c>
      <c r="J20" s="48">
        <f t="shared" si="3"/>
        <v>0.16225011622501162</v>
      </c>
      <c r="K20" s="18"/>
      <c r="M20" s="1"/>
    </row>
    <row r="21" spans="1:16" ht="25" customHeight="1">
      <c r="A21" s="5"/>
      <c r="B21" s="17"/>
      <c r="C21" s="51">
        <v>36</v>
      </c>
      <c r="D21" s="53">
        <f t="shared" si="1"/>
        <v>61</v>
      </c>
      <c r="E21" s="53">
        <f t="shared" si="0"/>
        <v>3</v>
      </c>
      <c r="F21" s="44">
        <f t="shared" si="4"/>
        <v>83</v>
      </c>
      <c r="G21" s="45">
        <f>IF(D21=D20,"",_xlfn.IFNA(VLOOKUP(D21,'인원 입력 기능'!$L$5:$O$55,4,FALSE),0))</f>
        <v>639</v>
      </c>
      <c r="H21" s="46">
        <f t="shared" si="2"/>
        <v>1.5635322616163842E-2</v>
      </c>
      <c r="I21" s="50">
        <f>SUM($G$7:G21)</f>
        <v>7270</v>
      </c>
      <c r="J21" s="48">
        <f t="shared" si="3"/>
        <v>0.17788543884117547</v>
      </c>
      <c r="K21" s="18"/>
      <c r="M21" s="1"/>
    </row>
    <row r="22" spans="1:16" ht="25" customHeight="1">
      <c r="A22" s="5"/>
      <c r="B22" s="17"/>
      <c r="C22" s="52">
        <v>35</v>
      </c>
      <c r="D22" s="53">
        <f t="shared" si="1"/>
        <v>60</v>
      </c>
      <c r="E22" s="53">
        <f t="shared" si="0"/>
        <v>3</v>
      </c>
      <c r="F22" s="44">
        <f t="shared" si="4"/>
        <v>81</v>
      </c>
      <c r="G22" s="45">
        <f>IF(D22=D21,"",_xlfn.IFNA(VLOOKUP(D22,'인원 입력 기능'!$L$5:$O$55,4,FALSE),0))</f>
        <v>585</v>
      </c>
      <c r="H22" s="46">
        <f t="shared" si="2"/>
        <v>1.4314027747192249E-2</v>
      </c>
      <c r="I22" s="50">
        <f>SUM($G$7:G22)</f>
        <v>7855</v>
      </c>
      <c r="J22" s="48">
        <f t="shared" si="3"/>
        <v>0.1921994665883677</v>
      </c>
      <c r="K22" s="18"/>
      <c r="M22" s="1"/>
    </row>
    <row r="23" spans="1:16" ht="25" customHeight="1">
      <c r="A23" s="5"/>
      <c r="B23" s="17"/>
      <c r="C23" s="51">
        <v>34</v>
      </c>
      <c r="D23" s="298">
        <f t="shared" si="1"/>
        <v>59</v>
      </c>
      <c r="E23" s="298">
        <f t="shared" si="0"/>
        <v>3</v>
      </c>
      <c r="F23" s="288">
        <f t="shared" si="4"/>
        <v>79</v>
      </c>
      <c r="G23" s="290">
        <f>IF(D23=D22,"",_xlfn.IFNA(VLOOKUP(D23,'인원 입력 기능'!$L$5:$O$55,4,FALSE),0))</f>
        <v>1373</v>
      </c>
      <c r="H23" s="291">
        <f t="shared" si="2"/>
        <v>3.3595145464777702E-2</v>
      </c>
      <c r="I23" s="293">
        <f>SUM($G$7:G23)</f>
        <v>9228</v>
      </c>
      <c r="J23" s="295">
        <f t="shared" si="3"/>
        <v>0.22579461205314541</v>
      </c>
      <c r="K23" s="18"/>
      <c r="M23" s="1"/>
    </row>
    <row r="24" spans="1:16" ht="25" customHeight="1">
      <c r="A24" s="5"/>
      <c r="B24" s="17"/>
      <c r="C24" s="52">
        <v>33</v>
      </c>
      <c r="D24" s="297"/>
      <c r="E24" s="297"/>
      <c r="F24" s="287"/>
      <c r="G24" s="289"/>
      <c r="H24" s="292"/>
      <c r="I24" s="294"/>
      <c r="J24" s="296"/>
      <c r="K24" s="18"/>
      <c r="M24" s="1"/>
    </row>
    <row r="25" spans="1:16" ht="25" customHeight="1">
      <c r="A25" s="5"/>
      <c r="B25" s="17"/>
      <c r="C25" s="51">
        <v>32</v>
      </c>
      <c r="D25" s="53">
        <f t="shared" si="1"/>
        <v>58</v>
      </c>
      <c r="E25" s="53">
        <f t="shared" si="0"/>
        <v>3</v>
      </c>
      <c r="F25" s="44">
        <f t="shared" si="4"/>
        <v>77</v>
      </c>
      <c r="G25" s="45">
        <f>IF(D25=D24,"",_xlfn.IFNA(VLOOKUP(D25,'인원 입력 기능'!$L$5:$O$55,4,FALSE),0))</f>
        <v>630</v>
      </c>
      <c r="H25" s="46">
        <f t="shared" si="2"/>
        <v>1.5415106804668574E-2</v>
      </c>
      <c r="I25" s="50">
        <f>SUM($G$7:G25)</f>
        <v>9858</v>
      </c>
      <c r="J25" s="48">
        <f t="shared" si="3"/>
        <v>0.241209718857814</v>
      </c>
      <c r="K25" s="18"/>
      <c r="M25" s="1"/>
    </row>
    <row r="26" spans="1:16" ht="25" customHeight="1">
      <c r="A26" s="5"/>
      <c r="B26" s="17"/>
      <c r="C26" s="52">
        <v>31</v>
      </c>
      <c r="D26" s="53">
        <f t="shared" si="1"/>
        <v>57</v>
      </c>
      <c r="E26" s="53">
        <f t="shared" si="0"/>
        <v>4</v>
      </c>
      <c r="F26" s="44">
        <f t="shared" si="4"/>
        <v>75</v>
      </c>
      <c r="G26" s="45">
        <f>IF(D26=D25,"",_xlfn.IFNA(VLOOKUP(D26,'인원 입력 기능'!$L$5:$O$55,4,FALSE),0))</f>
        <v>849</v>
      </c>
      <c r="H26" s="46">
        <f t="shared" si="2"/>
        <v>2.0773691551053367E-2</v>
      </c>
      <c r="I26" s="50">
        <f>SUM($G$7:G26)</f>
        <v>10707</v>
      </c>
      <c r="J26" s="48">
        <f t="shared" si="3"/>
        <v>0.26198341040886736</v>
      </c>
      <c r="K26" s="18"/>
      <c r="M26" s="1"/>
    </row>
    <row r="27" spans="1:16" ht="25" customHeight="1">
      <c r="A27" s="5"/>
      <c r="B27" s="17"/>
      <c r="C27" s="51">
        <v>30</v>
      </c>
      <c r="D27" s="53">
        <f t="shared" si="1"/>
        <v>56</v>
      </c>
      <c r="E27" s="53">
        <f t="shared" si="0"/>
        <v>4</v>
      </c>
      <c r="F27" s="44">
        <f t="shared" si="4"/>
        <v>73</v>
      </c>
      <c r="G27" s="45">
        <f>IF(D27=D26,"",_xlfn.IFNA(VLOOKUP(D27,'인원 입력 기능'!$L$5:$O$55,4,FALSE),0))</f>
        <v>790</v>
      </c>
      <c r="H27" s="46">
        <f t="shared" si="2"/>
        <v>1.9330054564584403E-2</v>
      </c>
      <c r="I27" s="50">
        <f>SUM($G$7:G27)</f>
        <v>11497</v>
      </c>
      <c r="J27" s="48">
        <f t="shared" si="3"/>
        <v>0.28131346497345178</v>
      </c>
      <c r="K27" s="18"/>
      <c r="M27" s="1"/>
    </row>
    <row r="28" spans="1:16" ht="25" customHeight="1">
      <c r="A28" s="5"/>
      <c r="B28" s="17"/>
      <c r="C28" s="52">
        <v>29</v>
      </c>
      <c r="D28" s="53">
        <f t="shared" si="1"/>
        <v>55</v>
      </c>
      <c r="E28" s="53">
        <f t="shared" si="0"/>
        <v>4</v>
      </c>
      <c r="F28" s="44">
        <f t="shared" si="4"/>
        <v>71</v>
      </c>
      <c r="G28" s="45">
        <f>IF(D28=D27,"",_xlfn.IFNA(VLOOKUP(D28,'인원 입력 기능'!$L$5:$O$55,4,FALSE),0))</f>
        <v>854</v>
      </c>
      <c r="H28" s="46">
        <f t="shared" si="2"/>
        <v>2.0896033668550737E-2</v>
      </c>
      <c r="I28" s="50">
        <f>SUM($G$7:G28)</f>
        <v>12351</v>
      </c>
      <c r="J28" s="48">
        <f t="shared" si="3"/>
        <v>0.30220949864200247</v>
      </c>
      <c r="K28" s="18"/>
      <c r="M28" s="1"/>
    </row>
    <row r="29" spans="1:16" ht="25" customHeight="1">
      <c r="A29" s="5"/>
      <c r="B29" s="17"/>
      <c r="C29" s="51">
        <v>28</v>
      </c>
      <c r="D29" s="298">
        <f t="shared" si="1"/>
        <v>54</v>
      </c>
      <c r="E29" s="298">
        <f t="shared" si="0"/>
        <v>4</v>
      </c>
      <c r="F29" s="288">
        <f t="shared" si="4"/>
        <v>68</v>
      </c>
      <c r="G29" s="290">
        <f>IF(D29=D28,"",_xlfn.IFNA(VLOOKUP(D29,'인원 입력 기능'!$L$5:$O$55,4,FALSE),0))</f>
        <v>1733</v>
      </c>
      <c r="H29" s="291">
        <f t="shared" si="2"/>
        <v>4.2403777924588319E-2</v>
      </c>
      <c r="I29" s="293">
        <f>SUM($G$7:G29)</f>
        <v>14084</v>
      </c>
      <c r="J29" s="295">
        <f t="shared" si="3"/>
        <v>0.3446132765665908</v>
      </c>
      <c r="K29" s="18"/>
      <c r="M29" s="1"/>
    </row>
    <row r="30" spans="1:16" ht="25" customHeight="1">
      <c r="A30" s="5"/>
      <c r="B30" s="17"/>
      <c r="C30" s="52">
        <v>27</v>
      </c>
      <c r="D30" s="297"/>
      <c r="E30" s="297"/>
      <c r="F30" s="287"/>
      <c r="G30" s="289"/>
      <c r="H30" s="292"/>
      <c r="I30" s="294"/>
      <c r="J30" s="296"/>
      <c r="K30" s="18"/>
      <c r="M30" s="1"/>
    </row>
    <row r="31" spans="1:16" ht="25" customHeight="1">
      <c r="A31" s="5"/>
      <c r="B31" s="17"/>
      <c r="C31" s="51">
        <v>26</v>
      </c>
      <c r="D31" s="53">
        <f t="shared" si="1"/>
        <v>53</v>
      </c>
      <c r="E31" s="53">
        <f t="shared" si="0"/>
        <v>4</v>
      </c>
      <c r="F31" s="44">
        <f t="shared" si="4"/>
        <v>64</v>
      </c>
      <c r="G31" s="45">
        <f>IF(D31=D30,"",_xlfn.IFNA(VLOOKUP(D31,'인원 입력 기능'!$L$5:$O$55,4,FALSE),0))</f>
        <v>1048</v>
      </c>
      <c r="H31" s="46">
        <f t="shared" si="2"/>
        <v>2.5642907827448679E-2</v>
      </c>
      <c r="I31" s="50">
        <f>SUM($G$7:G31)</f>
        <v>15132</v>
      </c>
      <c r="J31" s="48">
        <f t="shared" si="3"/>
        <v>0.37025618439403951</v>
      </c>
      <c r="K31" s="18"/>
      <c r="M31" s="1"/>
    </row>
    <row r="32" spans="1:16" ht="25" customHeight="1">
      <c r="A32" s="5"/>
      <c r="B32" s="17"/>
      <c r="C32" s="52">
        <v>25</v>
      </c>
      <c r="D32" s="53">
        <f t="shared" si="1"/>
        <v>52</v>
      </c>
      <c r="E32" s="53">
        <f t="shared" si="0"/>
        <v>4</v>
      </c>
      <c r="F32" s="44">
        <f t="shared" si="4"/>
        <v>62</v>
      </c>
      <c r="G32" s="45">
        <f>IF(D32=D31,"",_xlfn.IFNA(VLOOKUP(D32,'인원 입력 기능'!$L$5:$O$55,4,FALSE),0))</f>
        <v>970</v>
      </c>
      <c r="H32" s="46">
        <f t="shared" si="2"/>
        <v>2.3734370794489711E-2</v>
      </c>
      <c r="I32" s="50">
        <f>SUM($G$7:G32)</f>
        <v>16102</v>
      </c>
      <c r="J32" s="48">
        <f t="shared" si="3"/>
        <v>0.39399055518852921</v>
      </c>
      <c r="K32" s="18"/>
      <c r="M32" s="1"/>
    </row>
    <row r="33" spans="1:13" ht="25" customHeight="1">
      <c r="A33" s="5"/>
      <c r="B33" s="17"/>
      <c r="C33" s="51">
        <v>24</v>
      </c>
      <c r="D33" s="53">
        <f t="shared" si="1"/>
        <v>51</v>
      </c>
      <c r="E33" s="53">
        <f t="shared" si="0"/>
        <v>4</v>
      </c>
      <c r="F33" s="44">
        <f t="shared" si="4"/>
        <v>59</v>
      </c>
      <c r="G33" s="45">
        <f>IF(D33=D32,"",_xlfn.IFNA(VLOOKUP(D33,'인원 입력 기능'!$L$5:$O$55,4,FALSE),0))</f>
        <v>996</v>
      </c>
      <c r="H33" s="46">
        <f t="shared" si="2"/>
        <v>2.4370549805476035E-2</v>
      </c>
      <c r="I33" s="50">
        <f>SUM($G$7:G33)</f>
        <v>17098</v>
      </c>
      <c r="J33" s="48">
        <f t="shared" si="3"/>
        <v>0.41836110499400525</v>
      </c>
      <c r="K33" s="18"/>
      <c r="M33" s="1"/>
    </row>
    <row r="34" spans="1:13" ht="25" customHeight="1">
      <c r="A34" s="5"/>
      <c r="B34" s="17"/>
      <c r="C34" s="52">
        <v>23</v>
      </c>
      <c r="D34" s="298">
        <f t="shared" si="1"/>
        <v>50</v>
      </c>
      <c r="E34" s="298">
        <f t="shared" si="0"/>
        <v>5</v>
      </c>
      <c r="F34" s="288">
        <f t="shared" si="4"/>
        <v>56</v>
      </c>
      <c r="G34" s="290">
        <f>IF(D34=D33,"",_xlfn.IFNA(VLOOKUP(D34,'인원 입력 기능'!$L$5:$O$55,4,FALSE),0))</f>
        <v>2089</v>
      </c>
      <c r="H34" s="291">
        <f t="shared" si="2"/>
        <v>5.1114536690401037E-2</v>
      </c>
      <c r="I34" s="293">
        <f>SUM($G$7:G34)</f>
        <v>19187</v>
      </c>
      <c r="J34" s="295">
        <f t="shared" si="3"/>
        <v>0.46947564168440625</v>
      </c>
      <c r="K34" s="18"/>
      <c r="M34" s="1"/>
    </row>
    <row r="35" spans="1:13" ht="25" customHeight="1">
      <c r="A35" s="5"/>
      <c r="B35" s="17"/>
      <c r="C35" s="51">
        <v>22</v>
      </c>
      <c r="D35" s="297"/>
      <c r="E35" s="297"/>
      <c r="F35" s="287"/>
      <c r="G35" s="289"/>
      <c r="H35" s="292"/>
      <c r="I35" s="294"/>
      <c r="J35" s="296"/>
      <c r="K35" s="18"/>
      <c r="M35" s="1"/>
    </row>
    <row r="36" spans="1:13" ht="25" customHeight="1">
      <c r="A36" s="5"/>
      <c r="B36" s="17"/>
      <c r="C36" s="52">
        <v>21</v>
      </c>
      <c r="D36" s="53">
        <f t="shared" si="1"/>
        <v>49</v>
      </c>
      <c r="E36" s="53">
        <f t="shared" si="0"/>
        <v>5</v>
      </c>
      <c r="F36" s="44">
        <f t="shared" si="4"/>
        <v>52</v>
      </c>
      <c r="G36" s="45">
        <f>IF(D36=D35,"",_xlfn.IFNA(VLOOKUP(D36,'인원 입력 기능'!$L$5:$O$55,4,FALSE),0))</f>
        <v>1184</v>
      </c>
      <c r="H36" s="46">
        <f t="shared" si="2"/>
        <v>2.8970613423377131E-2</v>
      </c>
      <c r="I36" s="50">
        <f>SUM($G$7:G36)</f>
        <v>20371</v>
      </c>
      <c r="J36" s="48">
        <f t="shared" si="3"/>
        <v>0.4984462551077834</v>
      </c>
      <c r="K36" s="18"/>
      <c r="M36" s="1"/>
    </row>
    <row r="37" spans="1:13" ht="25" customHeight="1">
      <c r="A37" s="5"/>
      <c r="B37" s="17"/>
      <c r="C37" s="51">
        <v>20</v>
      </c>
      <c r="D37" s="53">
        <f t="shared" si="1"/>
        <v>48</v>
      </c>
      <c r="E37" s="53">
        <f t="shared" si="0"/>
        <v>5</v>
      </c>
      <c r="F37" s="44">
        <f t="shared" si="4"/>
        <v>49</v>
      </c>
      <c r="G37" s="45">
        <f>IF(D37=D36,"",_xlfn.IFNA(VLOOKUP(D37,'인원 입력 기능'!$L$5:$O$55,4,FALSE),0))</f>
        <v>1135</v>
      </c>
      <c r="H37" s="46">
        <f t="shared" si="2"/>
        <v>2.7771660671902908E-2</v>
      </c>
      <c r="I37" s="50">
        <f>SUM($G$7:G37)</f>
        <v>21506</v>
      </c>
      <c r="J37" s="48">
        <f t="shared" si="3"/>
        <v>0.52621791577968635</v>
      </c>
      <c r="K37" s="18"/>
      <c r="M37" s="1"/>
    </row>
    <row r="38" spans="1:13" ht="25" customHeight="1">
      <c r="A38" s="5"/>
      <c r="B38" s="17"/>
      <c r="C38" s="52">
        <v>19</v>
      </c>
      <c r="D38" s="53">
        <f t="shared" si="1"/>
        <v>47</v>
      </c>
      <c r="E38" s="53">
        <f t="shared" si="0"/>
        <v>5</v>
      </c>
      <c r="F38" s="44">
        <f t="shared" si="4"/>
        <v>46</v>
      </c>
      <c r="G38" s="45">
        <f>IF(D38=D37,"",_xlfn.IFNA(VLOOKUP(D38,'인원 입력 기능'!$L$5:$O$55,4,FALSE),0))</f>
        <v>1114</v>
      </c>
      <c r="H38" s="46">
        <f t="shared" si="2"/>
        <v>2.7257823778413955E-2</v>
      </c>
      <c r="I38" s="50">
        <f>SUM($G$7:G38)</f>
        <v>22620</v>
      </c>
      <c r="J38" s="48">
        <f t="shared" si="3"/>
        <v>0.55347573955810025</v>
      </c>
      <c r="K38" s="18"/>
      <c r="M38" s="1"/>
    </row>
    <row r="39" spans="1:13" ht="25" customHeight="1">
      <c r="A39" s="5"/>
      <c r="B39" s="17"/>
      <c r="C39" s="51">
        <v>18</v>
      </c>
      <c r="D39" s="53">
        <f t="shared" si="1"/>
        <v>46</v>
      </c>
      <c r="E39" s="53">
        <f t="shared" ref="E39:E57" si="5">IF(ROUND(D39,0)&gt;=$P$7,1,IF(ROUND(D39,0)&gt;=$P$8,2,IF(ROUND(D39,0)&gt;=$P$9,3,IF(ROUND(D39,0)&gt;=$P$10,4,IF(ROUND(D39,0)&gt;=$P$11,5,IF(ROUND(D39,0)&gt;=$P$12,6,IF(ROUND(D39,0)&gt;=$P$13,7,IF(ROUND(D39,0)&gt;=$P$14,8,9))))))))</f>
        <v>5</v>
      </c>
      <c r="F39" s="44">
        <f t="shared" si="4"/>
        <v>43</v>
      </c>
      <c r="G39" s="45">
        <f>IF(D39=D38,"",_xlfn.IFNA(VLOOKUP(D39,'인원 입력 기능'!$L$5:$O$55,4,FALSE),0))</f>
        <v>1203</v>
      </c>
      <c r="H39" s="46">
        <f t="shared" si="2"/>
        <v>2.9435513469867135E-2</v>
      </c>
      <c r="I39" s="50">
        <f>SUM($G$7:G39)</f>
        <v>23823</v>
      </c>
      <c r="J39" s="48">
        <f t="shared" si="3"/>
        <v>0.58291125302796742</v>
      </c>
      <c r="K39" s="18"/>
      <c r="M39" s="1"/>
    </row>
    <row r="40" spans="1:13" ht="25" customHeight="1">
      <c r="A40" s="5"/>
      <c r="B40" s="17"/>
      <c r="C40" s="52">
        <v>17</v>
      </c>
      <c r="D40" s="298">
        <f t="shared" si="1"/>
        <v>45</v>
      </c>
      <c r="E40" s="298">
        <f t="shared" si="5"/>
        <v>5</v>
      </c>
      <c r="F40" s="288">
        <f t="shared" si="4"/>
        <v>39</v>
      </c>
      <c r="G40" s="290">
        <f>IF(D40=D39,"",_xlfn.IFNA(VLOOKUP(D40,'인원 입력 기능'!$L$5:$O$55,4,FALSE),0))</f>
        <v>2358</v>
      </c>
      <c r="H40" s="291">
        <f t="shared" si="2"/>
        <v>5.7696542611759521E-2</v>
      </c>
      <c r="I40" s="293">
        <f>SUM($G$7:G40)</f>
        <v>26181</v>
      </c>
      <c r="J40" s="295">
        <f t="shared" si="3"/>
        <v>0.64060779563972692</v>
      </c>
      <c r="K40" s="18"/>
      <c r="M40" s="1"/>
    </row>
    <row r="41" spans="1:13" ht="25" customHeight="1">
      <c r="A41" s="5"/>
      <c r="B41" s="17"/>
      <c r="C41" s="51">
        <v>16</v>
      </c>
      <c r="D41" s="297"/>
      <c r="E41" s="297"/>
      <c r="F41" s="287"/>
      <c r="G41" s="289"/>
      <c r="H41" s="292"/>
      <c r="I41" s="294"/>
      <c r="J41" s="296"/>
      <c r="K41" s="18"/>
      <c r="M41" s="1"/>
    </row>
    <row r="42" spans="1:13" ht="25" customHeight="1">
      <c r="A42" s="5"/>
      <c r="B42" s="17"/>
      <c r="C42" s="52">
        <v>15</v>
      </c>
      <c r="D42" s="53">
        <f t="shared" si="1"/>
        <v>44</v>
      </c>
      <c r="E42" s="53">
        <f t="shared" si="5"/>
        <v>6</v>
      </c>
      <c r="F42" s="44">
        <f t="shared" si="4"/>
        <v>34</v>
      </c>
      <c r="G42" s="45">
        <f>IF(D42=D41,"",_xlfn.IFNA(VLOOKUP(D42,'인원 입력 기능'!$L$5:$O$55,4,FALSE),0))</f>
        <v>1360</v>
      </c>
      <c r="H42" s="46">
        <f t="shared" si="2"/>
        <v>3.3277055959284541E-2</v>
      </c>
      <c r="I42" s="50">
        <f>SUM($G$7:G42)</f>
        <v>27541</v>
      </c>
      <c r="J42" s="48">
        <f t="shared" si="3"/>
        <v>0.67388485159901146</v>
      </c>
      <c r="K42" s="18"/>
      <c r="M42" s="1"/>
    </row>
    <row r="43" spans="1:13" ht="25" customHeight="1">
      <c r="A43" s="5"/>
      <c r="B43" s="17"/>
      <c r="C43" s="51">
        <v>14</v>
      </c>
      <c r="D43" s="53">
        <f t="shared" si="1"/>
        <v>43</v>
      </c>
      <c r="E43" s="53">
        <f t="shared" si="5"/>
        <v>6</v>
      </c>
      <c r="F43" s="44">
        <f t="shared" si="4"/>
        <v>31</v>
      </c>
      <c r="G43" s="45">
        <f>IF(D43=D42,"",_xlfn.IFNA(VLOOKUP(D43,'인원 입력 기능'!$L$5:$O$55,4,FALSE),0))</f>
        <v>1045</v>
      </c>
      <c r="H43" s="46">
        <f t="shared" si="2"/>
        <v>2.5569502556950254E-2</v>
      </c>
      <c r="I43" s="50">
        <f>SUM($G$7:G43)</f>
        <v>28586</v>
      </c>
      <c r="J43" s="48">
        <f t="shared" si="3"/>
        <v>0.69945435415596169</v>
      </c>
      <c r="K43" s="18"/>
      <c r="M43" s="1"/>
    </row>
    <row r="44" spans="1:13" ht="25" customHeight="1">
      <c r="A44" s="5"/>
      <c r="B44" s="17"/>
      <c r="C44" s="52">
        <v>13</v>
      </c>
      <c r="D44" s="53">
        <f t="shared" si="1"/>
        <v>42</v>
      </c>
      <c r="E44" s="53">
        <f t="shared" si="5"/>
        <v>6</v>
      </c>
      <c r="F44" s="44">
        <f t="shared" si="4"/>
        <v>28</v>
      </c>
      <c r="G44" s="45">
        <f>IF(D44=D43,"",_xlfn.IFNA(VLOOKUP(D44,'인원 입력 기능'!$L$5:$O$55,4,FALSE),0))</f>
        <v>1393</v>
      </c>
      <c r="H44" s="46">
        <f t="shared" si="2"/>
        <v>3.4084513934767184E-2</v>
      </c>
      <c r="I44" s="50">
        <f>SUM($G$7:G44)</f>
        <v>29979</v>
      </c>
      <c r="J44" s="48">
        <f t="shared" si="3"/>
        <v>0.73353886809072888</v>
      </c>
      <c r="K44" s="18"/>
      <c r="M44" s="1"/>
    </row>
    <row r="45" spans="1:13" ht="25" customHeight="1">
      <c r="A45" s="5"/>
      <c r="B45" s="17"/>
      <c r="C45" s="51">
        <v>12</v>
      </c>
      <c r="D45" s="298">
        <f t="shared" si="1"/>
        <v>41</v>
      </c>
      <c r="E45" s="298">
        <f t="shared" si="5"/>
        <v>6</v>
      </c>
      <c r="F45" s="288">
        <f t="shared" si="4"/>
        <v>24</v>
      </c>
      <c r="G45" s="290">
        <f>IF(D45=D44,"",_xlfn.IFNA(VLOOKUP(D45,'인원 입력 기능'!$L$5:$O$55,4,FALSE),0))</f>
        <v>2170</v>
      </c>
      <c r="H45" s="291">
        <f t="shared" si="2"/>
        <v>5.3096478993858429E-2</v>
      </c>
      <c r="I45" s="293">
        <f>SUM($G$7:G45)</f>
        <v>32149</v>
      </c>
      <c r="J45" s="295">
        <f t="shared" si="3"/>
        <v>0.78663534708458738</v>
      </c>
      <c r="K45" s="18"/>
      <c r="M45" s="1"/>
    </row>
    <row r="46" spans="1:13" ht="25" customHeight="1">
      <c r="A46" s="5"/>
      <c r="B46" s="17"/>
      <c r="C46" s="52">
        <v>11</v>
      </c>
      <c r="D46" s="297"/>
      <c r="E46" s="297"/>
      <c r="F46" s="287"/>
      <c r="G46" s="289"/>
      <c r="H46" s="292"/>
      <c r="I46" s="294"/>
      <c r="J46" s="296"/>
      <c r="K46" s="18"/>
      <c r="M46" s="1"/>
    </row>
    <row r="47" spans="1:13" ht="25" customHeight="1">
      <c r="A47" s="5"/>
      <c r="B47" s="17"/>
      <c r="C47" s="51">
        <v>10</v>
      </c>
      <c r="D47" s="53">
        <f t="shared" si="1"/>
        <v>40</v>
      </c>
      <c r="E47" s="53">
        <f t="shared" si="5"/>
        <v>7</v>
      </c>
      <c r="F47" s="44">
        <f t="shared" si="4"/>
        <v>16</v>
      </c>
      <c r="G47" s="45">
        <f>IF(D47=D46,"",_xlfn.IFNA(VLOOKUP(D47,'인원 입력 기능'!$L$5:$O$55,4,FALSE),0))</f>
        <v>4283</v>
      </c>
      <c r="H47" s="46">
        <f t="shared" si="2"/>
        <v>0.10479825784824684</v>
      </c>
      <c r="I47" s="50">
        <f>SUM($G$7:G47)</f>
        <v>36432</v>
      </c>
      <c r="J47" s="48">
        <f t="shared" si="3"/>
        <v>0.89143360493283419</v>
      </c>
      <c r="K47" s="18"/>
      <c r="M47" s="1"/>
    </row>
    <row r="48" spans="1:13" ht="25" customHeight="1">
      <c r="A48" s="5"/>
      <c r="B48" s="17"/>
      <c r="C48" s="52">
        <v>9</v>
      </c>
      <c r="D48" s="53">
        <f t="shared" si="1"/>
        <v>39</v>
      </c>
      <c r="E48" s="53">
        <f t="shared" si="5"/>
        <v>8</v>
      </c>
      <c r="F48" s="44">
        <f t="shared" si="4"/>
        <v>10</v>
      </c>
      <c r="G48" s="45">
        <f>IF(D48=D47,"",_xlfn.IFNA(VLOOKUP(D48,'인원 입력 기능'!$L$5:$O$55,4,FALSE),0))</f>
        <v>780</v>
      </c>
      <c r="H48" s="46">
        <f t="shared" si="2"/>
        <v>1.9085370329589665E-2</v>
      </c>
      <c r="I48" s="50">
        <f>SUM($G$7:G48)</f>
        <v>37212</v>
      </c>
      <c r="J48" s="48">
        <f t="shared" si="3"/>
        <v>0.91051897526242387</v>
      </c>
      <c r="K48" s="18"/>
      <c r="M48" s="1"/>
    </row>
    <row r="49" spans="1:13" ht="25" customHeight="1">
      <c r="A49" s="5"/>
      <c r="B49" s="17"/>
      <c r="C49" s="51">
        <v>8</v>
      </c>
      <c r="D49" s="53">
        <f t="shared" si="1"/>
        <v>38</v>
      </c>
      <c r="E49" s="53">
        <f t="shared" si="5"/>
        <v>8</v>
      </c>
      <c r="F49" s="44">
        <f t="shared" si="4"/>
        <v>8</v>
      </c>
      <c r="G49" s="45">
        <f>IF(D49=D48,"",_xlfn.IFNA(VLOOKUP(D49,'인원 입력 기능'!$L$5:$O$55,4,FALSE),0))</f>
        <v>1104</v>
      </c>
      <c r="H49" s="46">
        <f t="shared" si="2"/>
        <v>2.7013139543419218E-2</v>
      </c>
      <c r="I49" s="50">
        <f>SUM($G$7:G49)</f>
        <v>38316</v>
      </c>
      <c r="J49" s="48">
        <f t="shared" si="3"/>
        <v>0.93753211480584309</v>
      </c>
      <c r="K49" s="18"/>
      <c r="M49" s="1"/>
    </row>
    <row r="50" spans="1:13" ht="25" customHeight="1">
      <c r="A50" s="5"/>
      <c r="B50" s="17"/>
      <c r="C50" s="52">
        <v>7</v>
      </c>
      <c r="D50" s="53">
        <f t="shared" si="1"/>
        <v>37</v>
      </c>
      <c r="E50" s="53">
        <f t="shared" si="5"/>
        <v>8</v>
      </c>
      <c r="F50" s="44">
        <f t="shared" si="4"/>
        <v>5</v>
      </c>
      <c r="G50" s="45">
        <f>IF(D50=D49,"",_xlfn.IFNA(VLOOKUP(D50,'인원 입력 기능'!$L$5:$O$55,4,FALSE),0))</f>
        <v>850</v>
      </c>
      <c r="H50" s="46">
        <f t="shared" si="2"/>
        <v>2.0798159974552838E-2</v>
      </c>
      <c r="I50" s="50">
        <f>SUM($G$7:G50)</f>
        <v>39166</v>
      </c>
      <c r="J50" s="48">
        <f t="shared" si="3"/>
        <v>0.9583302747803959</v>
      </c>
      <c r="K50" s="18"/>
      <c r="M50" s="1"/>
    </row>
    <row r="51" spans="1:13" ht="25" customHeight="1">
      <c r="A51" s="5"/>
      <c r="B51" s="17"/>
      <c r="C51" s="51">
        <v>6</v>
      </c>
      <c r="D51" s="298">
        <f t="shared" si="1"/>
        <v>36</v>
      </c>
      <c r="E51" s="298">
        <f t="shared" si="5"/>
        <v>8</v>
      </c>
      <c r="F51" s="288">
        <f t="shared" si="4"/>
        <v>3</v>
      </c>
      <c r="G51" s="290">
        <f>IF(D51=D50,"",_xlfn.IFNA(VLOOKUP(D51,'인원 입력 기능'!$L$5:$O$55,4,FALSE),0))</f>
        <v>1023</v>
      </c>
      <c r="H51" s="291">
        <f t="shared" si="2"/>
        <v>2.503119723996183E-2</v>
      </c>
      <c r="I51" s="293">
        <f>SUM($G$7:G51)</f>
        <v>40189</v>
      </c>
      <c r="J51" s="295">
        <f t="shared" si="3"/>
        <v>0.98336147202035773</v>
      </c>
      <c r="K51" s="18"/>
      <c r="M51" s="1"/>
    </row>
    <row r="52" spans="1:13" ht="25" customHeight="1">
      <c r="A52" s="5"/>
      <c r="B52" s="17"/>
      <c r="C52" s="52">
        <v>5</v>
      </c>
      <c r="D52" s="297"/>
      <c r="E52" s="297"/>
      <c r="F52" s="287"/>
      <c r="G52" s="289"/>
      <c r="H52" s="292"/>
      <c r="I52" s="294"/>
      <c r="J52" s="296"/>
      <c r="K52" s="18"/>
      <c r="M52" s="1"/>
    </row>
    <row r="53" spans="1:13" ht="25" customHeight="1">
      <c r="A53" s="5"/>
      <c r="B53" s="17"/>
      <c r="C53" s="42">
        <v>4</v>
      </c>
      <c r="D53" s="43">
        <f t="shared" si="1"/>
        <v>35</v>
      </c>
      <c r="E53" s="43">
        <f t="shared" si="5"/>
        <v>9</v>
      </c>
      <c r="F53" s="44">
        <f t="shared" si="4"/>
        <v>1</v>
      </c>
      <c r="G53" s="45">
        <f>IF(D53=D52,"",_xlfn.IFNA(VLOOKUP(D53,'인원 입력 기능'!$L$5:$O$55,4,FALSE),0))</f>
        <v>213</v>
      </c>
      <c r="H53" s="46">
        <f t="shared" si="2"/>
        <v>5.2117742053879468E-3</v>
      </c>
      <c r="I53" s="50">
        <f>SUM($G$7:G53)</f>
        <v>40402</v>
      </c>
      <c r="J53" s="48">
        <f t="shared" si="3"/>
        <v>0.98857324622574572</v>
      </c>
      <c r="K53" s="18"/>
      <c r="M53" s="1"/>
    </row>
    <row r="54" spans="1:13" ht="25" customHeight="1">
      <c r="A54" s="5"/>
      <c r="B54" s="17"/>
      <c r="C54" s="49">
        <v>3</v>
      </c>
      <c r="D54" s="43">
        <f t="shared" si="1"/>
        <v>34</v>
      </c>
      <c r="E54" s="43">
        <f t="shared" si="5"/>
        <v>9</v>
      </c>
      <c r="F54" s="44">
        <f t="shared" si="4"/>
        <v>1</v>
      </c>
      <c r="G54" s="45">
        <f>IF(D54=D53,"",_xlfn.IFNA(VLOOKUP(D54,'인원 입력 기능'!$L$5:$O$55,4,FALSE),0))</f>
        <v>191</v>
      </c>
      <c r="H54" s="46">
        <f t="shared" si="2"/>
        <v>4.6734688883995207E-3</v>
      </c>
      <c r="I54" s="50">
        <f>SUM($G$7:G54)</f>
        <v>40593</v>
      </c>
      <c r="J54" s="48">
        <f t="shared" si="3"/>
        <v>0.9932467151141452</v>
      </c>
      <c r="K54" s="18"/>
      <c r="M54" s="1"/>
    </row>
    <row r="55" spans="1:13" ht="25" customHeight="1">
      <c r="A55" s="5"/>
      <c r="B55" s="17"/>
      <c r="C55" s="42">
        <v>2</v>
      </c>
      <c r="D55" s="43">
        <f t="shared" si="1"/>
        <v>33</v>
      </c>
      <c r="E55" s="43">
        <f t="shared" si="5"/>
        <v>9</v>
      </c>
      <c r="F55" s="44">
        <f t="shared" si="4"/>
        <v>0</v>
      </c>
      <c r="G55" s="45">
        <f>IF(D55=D54,"",_xlfn.IFNA(VLOOKUP(D55,'인원 입력 기능'!$L$5:$O$55,4,FALSE),0))</f>
        <v>197</v>
      </c>
      <c r="H55" s="46">
        <f t="shared" si="2"/>
        <v>4.8202794293963642E-3</v>
      </c>
      <c r="I55" s="50">
        <f>SUM($G$7:G55)</f>
        <v>40790</v>
      </c>
      <c r="J55" s="48">
        <f t="shared" si="3"/>
        <v>0.99806699454354153</v>
      </c>
      <c r="K55" s="18"/>
      <c r="M55" s="1"/>
    </row>
    <row r="56" spans="1:13" ht="25" customHeight="1">
      <c r="A56" s="5"/>
      <c r="B56" s="17"/>
      <c r="C56" s="49">
        <v>1</v>
      </c>
      <c r="D56" s="111" t="s">
        <v>31</v>
      </c>
      <c r="E56" s="112"/>
      <c r="F56" s="112"/>
      <c r="G56" s="112"/>
      <c r="H56" s="112"/>
      <c r="I56" s="112"/>
      <c r="J56" s="113"/>
      <c r="K56" s="18"/>
      <c r="M56" s="1"/>
    </row>
    <row r="57" spans="1:13" ht="25" customHeight="1" thickBot="1">
      <c r="A57" s="5"/>
      <c r="B57" s="17"/>
      <c r="C57" s="57">
        <v>0</v>
      </c>
      <c r="D57" s="58">
        <f>ROUND(10*(C57-$H$3)/$H$4+50,0)</f>
        <v>32</v>
      </c>
      <c r="E57" s="59">
        <f t="shared" si="5"/>
        <v>9</v>
      </c>
      <c r="F57" s="60">
        <f>IF(I55=0,ROUND(100*(1-(I54+I57)/2/$J$3),0),ROUND(100*(1-(I55+I57)/2/$J$3),0))</f>
        <v>0</v>
      </c>
      <c r="G57" s="61">
        <f>_xlfn.IFNA(VLOOKUP(D57,'인원 입력 기능'!$L$5:$O$55,4,FALSE),0)</f>
        <v>79</v>
      </c>
      <c r="H57" s="62">
        <f>G57/J3</f>
        <v>1.9330054564584403E-3</v>
      </c>
      <c r="I57" s="63">
        <f>SUM($G$7:G57)</f>
        <v>40869</v>
      </c>
      <c r="J57" s="64">
        <f>I57/J3</f>
        <v>1</v>
      </c>
      <c r="K57" s="18"/>
      <c r="M57" s="1"/>
    </row>
    <row r="58" spans="1:13" ht="6" customHeight="1">
      <c r="A58" s="5"/>
      <c r="B58" s="20"/>
      <c r="C58" s="21"/>
      <c r="D58" s="21"/>
      <c r="E58" s="21"/>
      <c r="F58" s="21"/>
      <c r="G58" s="21"/>
      <c r="H58" s="21"/>
      <c r="I58" s="21"/>
      <c r="J58" s="21"/>
      <c r="K58" s="22"/>
      <c r="M58" s="1"/>
    </row>
    <row r="59" spans="1:13">
      <c r="M59" s="1"/>
    </row>
    <row r="60" spans="1:13">
      <c r="M60" s="1"/>
    </row>
    <row r="61" spans="1:13">
      <c r="M61" s="1"/>
    </row>
    <row r="62" spans="1:13">
      <c r="M62" s="1"/>
    </row>
    <row r="63" spans="1:13">
      <c r="M63" s="1"/>
    </row>
    <row r="64" spans="1:13">
      <c r="M64" s="1"/>
    </row>
    <row r="65" spans="13:13">
      <c r="M65" s="1"/>
    </row>
    <row r="66" spans="13:13">
      <c r="M66" s="1"/>
    </row>
    <row r="67" spans="13:13">
      <c r="M67" s="1"/>
    </row>
    <row r="68" spans="13:13">
      <c r="M68" s="1"/>
    </row>
    <row r="69" spans="13:13">
      <c r="M69" s="1"/>
    </row>
    <row r="70" spans="13:13">
      <c r="M70" s="1"/>
    </row>
    <row r="71" spans="13:13">
      <c r="M71" s="1"/>
    </row>
    <row r="72" spans="13:13">
      <c r="M72" s="1"/>
    </row>
    <row r="73" spans="13:13">
      <c r="M73" s="1"/>
    </row>
    <row r="74" spans="13:13">
      <c r="M74" s="1"/>
    </row>
    <row r="75" spans="13:13">
      <c r="M75" s="1"/>
    </row>
    <row r="76" spans="13:13">
      <c r="M76" s="1"/>
    </row>
    <row r="77" spans="13:13">
      <c r="M77" s="1"/>
    </row>
    <row r="78" spans="13:13">
      <c r="M78" s="1"/>
    </row>
    <row r="79" spans="13:13">
      <c r="M79" s="1"/>
    </row>
    <row r="80" spans="13:13">
      <c r="M80" s="1"/>
    </row>
    <row r="81" spans="13:13">
      <c r="M81" s="1"/>
    </row>
    <row r="82" spans="13:13">
      <c r="M82" s="1"/>
    </row>
    <row r="83" spans="13:13">
      <c r="M83" s="1"/>
    </row>
    <row r="84" spans="13:13">
      <c r="M84" s="1"/>
    </row>
    <row r="85" spans="13:13">
      <c r="M85" s="1"/>
    </row>
    <row r="86" spans="13:13">
      <c r="M86" s="1"/>
    </row>
    <row r="87" spans="13:13">
      <c r="M87" s="1"/>
    </row>
    <row r="88" spans="13:13">
      <c r="M88" s="1"/>
    </row>
    <row r="89" spans="13:13">
      <c r="M89" s="1"/>
    </row>
    <row r="90" spans="13:13">
      <c r="M90" s="1"/>
    </row>
    <row r="91" spans="13:13">
      <c r="M91" s="1"/>
    </row>
    <row r="92" spans="13:13">
      <c r="M92" s="1"/>
    </row>
    <row r="93" spans="13:13">
      <c r="M93" s="1"/>
    </row>
    <row r="94" spans="13:13">
      <c r="M94" s="1"/>
    </row>
    <row r="95" spans="13:13">
      <c r="M95" s="1"/>
    </row>
    <row r="96" spans="13:13">
      <c r="M96" s="1"/>
    </row>
    <row r="97" spans="13:13">
      <c r="M97" s="1"/>
    </row>
    <row r="98" spans="13:13">
      <c r="M98" s="1"/>
    </row>
    <row r="99" spans="13:13">
      <c r="M99" s="1"/>
    </row>
    <row r="100" spans="13:13">
      <c r="M100" s="1"/>
    </row>
    <row r="101" spans="13:13">
      <c r="M101" s="1"/>
    </row>
    <row r="102" spans="13:13">
      <c r="M102" s="1"/>
    </row>
    <row r="103" spans="13:13">
      <c r="M103" s="1"/>
    </row>
    <row r="104" spans="13:13">
      <c r="M104" s="1"/>
    </row>
    <row r="105" spans="13:13">
      <c r="M105" s="1"/>
    </row>
  </sheetData>
  <mergeCells count="60">
    <mergeCell ref="I51:I52"/>
    <mergeCell ref="J51:J52"/>
    <mergeCell ref="D51:D52"/>
    <mergeCell ref="E51:E52"/>
    <mergeCell ref="F51:F52"/>
    <mergeCell ref="G51:G52"/>
    <mergeCell ref="H51:H52"/>
    <mergeCell ref="I40:I41"/>
    <mergeCell ref="J40:J41"/>
    <mergeCell ref="D45:D46"/>
    <mergeCell ref="E45:E46"/>
    <mergeCell ref="F45:F46"/>
    <mergeCell ref="G45:G46"/>
    <mergeCell ref="H45:H46"/>
    <mergeCell ref="I45:I46"/>
    <mergeCell ref="J45:J46"/>
    <mergeCell ref="D40:D41"/>
    <mergeCell ref="E40:E41"/>
    <mergeCell ref="F40:F41"/>
    <mergeCell ref="G40:G41"/>
    <mergeCell ref="H40:H41"/>
    <mergeCell ref="I29:I30"/>
    <mergeCell ref="J29:J30"/>
    <mergeCell ref="D34:D35"/>
    <mergeCell ref="E34:E35"/>
    <mergeCell ref="F34:F35"/>
    <mergeCell ref="G34:G35"/>
    <mergeCell ref="H34:H35"/>
    <mergeCell ref="I34:I35"/>
    <mergeCell ref="J34:J35"/>
    <mergeCell ref="D29:D30"/>
    <mergeCell ref="E29:E30"/>
    <mergeCell ref="F29:F30"/>
    <mergeCell ref="G29:G30"/>
    <mergeCell ref="H29:H30"/>
    <mergeCell ref="I18:I19"/>
    <mergeCell ref="J18:J19"/>
    <mergeCell ref="D23:D24"/>
    <mergeCell ref="E23:E24"/>
    <mergeCell ref="F23:F24"/>
    <mergeCell ref="G23:G24"/>
    <mergeCell ref="H23:H24"/>
    <mergeCell ref="I23:I24"/>
    <mergeCell ref="J23:J24"/>
    <mergeCell ref="D3:F3"/>
    <mergeCell ref="D4:F4"/>
    <mergeCell ref="D56:J56"/>
    <mergeCell ref="D8:J8"/>
    <mergeCell ref="D12:D13"/>
    <mergeCell ref="E12:E13"/>
    <mergeCell ref="F12:F13"/>
    <mergeCell ref="G12:G13"/>
    <mergeCell ref="H12:H13"/>
    <mergeCell ref="I12:I13"/>
    <mergeCell ref="J12:J13"/>
    <mergeCell ref="D18:D19"/>
    <mergeCell ref="E18:E19"/>
    <mergeCell ref="F18:F19"/>
    <mergeCell ref="G18:G19"/>
    <mergeCell ref="H18:H19"/>
  </mergeCells>
  <phoneticPr fontId="1" type="noConversion"/>
  <conditionalFormatting sqref="D7:J7 D57:J57 D9:J12 D14:J18 D20:J23 D25:J29 D31:J34 D36:J40 D42:J45 D47:J51 D53:J55">
    <cfRule type="expression" dxfId="146" priority="7">
      <formula>OR($D7=$P$7:$P$14)</formula>
    </cfRule>
  </conditionalFormatting>
  <conditionalFormatting sqref="C7:C57">
    <cfRule type="expression" dxfId="145" priority="6">
      <formula>OR(AND($D7=0,OR($D6=$P$7:$P$14)),AND($D8&gt;0,OR($D7=$P$7:$P$14)))</formula>
    </cfRule>
  </conditionalFormatting>
  <conditionalFormatting sqref="D7 D57 D9:D12 D14:D18 D20:D23 D25:D29 D31:D34 D36:D40 D42:D45 D47:D51 D53:D55">
    <cfRule type="expression" dxfId="144" priority="5">
      <formula>$D7=$D8</formula>
    </cfRule>
  </conditionalFormatting>
  <conditionalFormatting sqref="D56">
    <cfRule type="expression" dxfId="143" priority="4">
      <formula>OR($D56=$P$7:$P$14)</formula>
    </cfRule>
  </conditionalFormatting>
  <conditionalFormatting sqref="D56">
    <cfRule type="expression" dxfId="142" priority="3">
      <formula>$D56=$D57</formula>
    </cfRule>
  </conditionalFormatting>
  <conditionalFormatting sqref="D8">
    <cfRule type="expression" dxfId="141" priority="2">
      <formula>OR($D8=$P$7:$P$14)</formula>
    </cfRule>
  </conditionalFormatting>
  <conditionalFormatting sqref="D8">
    <cfRule type="expression" dxfId="140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2889C-B507-4A3B-8C3B-31827C1F3AD5}">
  <sheetPr codeName="Sheet11"/>
  <dimension ref="A1:P105"/>
  <sheetViews>
    <sheetView zoomScaleNormal="100" workbookViewId="0">
      <selection activeCell="B2" sqref="B2:K58"/>
    </sheetView>
  </sheetViews>
  <sheetFormatPr defaultRowHeight="17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6">
      <c r="A1" s="5" t="s">
        <v>44</v>
      </c>
      <c r="C1" s="5"/>
      <c r="D1" s="5"/>
      <c r="E1" s="5"/>
      <c r="F1" s="5"/>
      <c r="G1" s="5"/>
      <c r="H1" s="5"/>
      <c r="I1" s="5"/>
      <c r="J1" s="5"/>
      <c r="K1" s="5"/>
    </row>
    <row r="2" spans="1:16" s="5" customFormat="1" ht="6" customHeight="1" thickBot="1">
      <c r="B2" s="15"/>
      <c r="C2" s="23"/>
      <c r="D2" s="23"/>
      <c r="E2" s="23"/>
      <c r="F2" s="23"/>
      <c r="G2" s="23"/>
      <c r="H2" s="23"/>
      <c r="I2" s="23"/>
      <c r="J2" s="23"/>
      <c r="K2" s="16"/>
    </row>
    <row r="3" spans="1:16" ht="25" customHeight="1" thickBot="1">
      <c r="A3" s="5"/>
      <c r="B3" s="17"/>
      <c r="C3" s="34" t="s">
        <v>47</v>
      </c>
      <c r="D3" s="105" t="s">
        <v>115</v>
      </c>
      <c r="E3" s="106"/>
      <c r="F3" s="107"/>
      <c r="G3" s="34" t="s">
        <v>48</v>
      </c>
      <c r="H3" s="101">
        <f>'통계 및 응시자 수 입력 기능'!D7</f>
        <v>22.34</v>
      </c>
      <c r="I3" s="103" t="s">
        <v>49</v>
      </c>
      <c r="J3" s="104">
        <f>'통계 및 응시자 수 입력 기능'!C7</f>
        <v>30372</v>
      </c>
      <c r="K3" s="18"/>
    </row>
    <row r="4" spans="1:16" ht="25" customHeight="1" thickBot="1">
      <c r="A4" s="5"/>
      <c r="B4" s="17"/>
      <c r="C4" s="35" t="s">
        <v>50</v>
      </c>
      <c r="D4" s="108" t="s">
        <v>70</v>
      </c>
      <c r="E4" s="109"/>
      <c r="F4" s="110"/>
      <c r="G4" s="36" t="s">
        <v>52</v>
      </c>
      <c r="H4" s="102">
        <f>'통계 및 응시자 수 입력 기능'!E7</f>
        <v>10.93</v>
      </c>
      <c r="I4" s="12"/>
      <c r="J4" s="12"/>
      <c r="K4" s="18"/>
    </row>
    <row r="5" spans="1:16" ht="25" customHeight="1" thickBot="1">
      <c r="A5" s="5"/>
      <c r="B5" s="17"/>
      <c r="C5" s="12"/>
      <c r="D5" s="12"/>
      <c r="E5" s="12"/>
      <c r="F5" s="12"/>
      <c r="G5" s="12"/>
      <c r="H5" s="19"/>
      <c r="I5" s="19"/>
      <c r="J5" s="19"/>
      <c r="K5" s="18"/>
    </row>
    <row r="6" spans="1:16" ht="25" customHeight="1" thickBot="1">
      <c r="A6" s="5"/>
      <c r="B6" s="17"/>
      <c r="C6" s="38" t="s">
        <v>73</v>
      </c>
      <c r="D6" s="39" t="s">
        <v>74</v>
      </c>
      <c r="E6" s="39" t="s">
        <v>75</v>
      </c>
      <c r="F6" s="39" t="s">
        <v>76</v>
      </c>
      <c r="G6" s="39" t="s">
        <v>77</v>
      </c>
      <c r="H6" s="40" t="s">
        <v>78</v>
      </c>
      <c r="I6" s="40" t="s">
        <v>79</v>
      </c>
      <c r="J6" s="41" t="s">
        <v>80</v>
      </c>
      <c r="K6" s="18"/>
      <c r="L6" s="3"/>
      <c r="M6" s="4"/>
    </row>
    <row r="7" spans="1:16" ht="25" customHeight="1">
      <c r="A7" s="5"/>
      <c r="B7" s="17"/>
      <c r="C7" s="42">
        <v>50</v>
      </c>
      <c r="D7" s="43">
        <f>ROUND(10*(C7-$H$3)/$H$4+50,0)</f>
        <v>75</v>
      </c>
      <c r="E7" s="43">
        <f t="shared" ref="E7:E38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44">
        <f>ROUND(100*(1-(0+I7)/2/$J$3),0)</f>
        <v>100</v>
      </c>
      <c r="G7" s="45">
        <f>_xlfn.IFNA(VLOOKUP(D7,'인원 입력 기능'!$Q$5:$T$55,4,FALSE),0)</f>
        <v>158</v>
      </c>
      <c r="H7" s="46">
        <f>G7/J3</f>
        <v>5.2021598841037794E-3</v>
      </c>
      <c r="I7" s="47">
        <f>G7</f>
        <v>158</v>
      </c>
      <c r="J7" s="48">
        <f>I7/J3</f>
        <v>5.2021598841037794E-3</v>
      </c>
      <c r="K7" s="18"/>
      <c r="M7" s="1"/>
      <c r="O7" s="1">
        <v>1</v>
      </c>
      <c r="P7" s="1">
        <f>'표준점수 등급컷 입력기능'!K4</f>
        <v>70</v>
      </c>
    </row>
    <row r="8" spans="1:16" ht="25" customHeight="1">
      <c r="A8" s="5"/>
      <c r="B8" s="17"/>
      <c r="C8" s="49">
        <v>49</v>
      </c>
      <c r="D8" s="111" t="s">
        <v>31</v>
      </c>
      <c r="E8" s="112"/>
      <c r="F8" s="112"/>
      <c r="G8" s="112"/>
      <c r="H8" s="112"/>
      <c r="I8" s="112"/>
      <c r="J8" s="113"/>
      <c r="K8" s="18"/>
      <c r="M8" s="1"/>
      <c r="O8" s="1">
        <v>2</v>
      </c>
      <c r="P8" s="1">
        <f>'표준점수 등급컷 입력기능'!K5</f>
        <v>65</v>
      </c>
    </row>
    <row r="9" spans="1:16" ht="25" customHeight="1">
      <c r="A9" s="5"/>
      <c r="B9" s="17"/>
      <c r="C9" s="42">
        <v>48</v>
      </c>
      <c r="D9" s="286">
        <f>ROUND(10*(C9-$H$3)/$H$4+50,0)</f>
        <v>73</v>
      </c>
      <c r="E9" s="286">
        <f t="shared" si="0"/>
        <v>1</v>
      </c>
      <c r="F9" s="288">
        <f>IF(I8=0,ROUND(100*(1-(I7+I9)/2/$J$3),0),ROUND(100*(1-(I8+I9)/2/$J$3),0))</f>
        <v>98</v>
      </c>
      <c r="G9" s="290">
        <f>_xlfn.IFNA(VLOOKUP(D9,'인원 입력 기능'!$Q$5:$T$55,4,FALSE),0)</f>
        <v>654</v>
      </c>
      <c r="H9" s="291">
        <f>G9/$J$3</f>
        <v>2.1532990912682733E-2</v>
      </c>
      <c r="I9" s="293">
        <f>SUM($G$7:G9)</f>
        <v>812</v>
      </c>
      <c r="J9" s="295">
        <f>I9/$J$3</f>
        <v>2.6735150796786514E-2</v>
      </c>
      <c r="K9" s="18"/>
      <c r="M9" s="1"/>
      <c r="O9" s="1">
        <v>3</v>
      </c>
      <c r="P9" s="1">
        <f>'표준점수 등급컷 입력기능'!K6</f>
        <v>57</v>
      </c>
    </row>
    <row r="10" spans="1:16" ht="25" customHeight="1">
      <c r="A10" s="5"/>
      <c r="B10" s="17"/>
      <c r="C10" s="49">
        <v>47</v>
      </c>
      <c r="D10" s="285"/>
      <c r="E10" s="285"/>
      <c r="F10" s="287"/>
      <c r="G10" s="289"/>
      <c r="H10" s="292"/>
      <c r="I10" s="294"/>
      <c r="J10" s="296"/>
      <c r="K10" s="18"/>
      <c r="M10" s="1"/>
      <c r="O10" s="1">
        <v>4</v>
      </c>
      <c r="P10" s="1">
        <f>'표준점수 등급컷 입력기능'!K7</f>
        <v>51</v>
      </c>
    </row>
    <row r="11" spans="1:16" ht="25" customHeight="1">
      <c r="A11" s="5"/>
      <c r="B11" s="17"/>
      <c r="C11" s="42">
        <v>46</v>
      </c>
      <c r="D11" s="43">
        <f t="shared" ref="D10:D55" si="1">ROUND(10*(C11-$H$3)/$H$4+50,0)</f>
        <v>72</v>
      </c>
      <c r="E11" s="43">
        <f t="shared" si="0"/>
        <v>1</v>
      </c>
      <c r="F11" s="44">
        <f t="shared" ref="F11:F55" si="2">IF(I10=0,ROUND(100*(1-(I9+I11)/2/$J$3),0),ROUND(100*(1-(I10+I11)/2/$J$3),0))</f>
        <v>97</v>
      </c>
      <c r="G11" s="45">
        <f>IF(D11=D10,"",_xlfn.IFNA(VLOOKUP(D11,'인원 입력 기능'!$Q$5:$T$55,4,FALSE),0))</f>
        <v>32</v>
      </c>
      <c r="H11" s="46">
        <f t="shared" ref="H10:H55" si="3">G11/$J$3</f>
        <v>1.0536020018438036E-3</v>
      </c>
      <c r="I11" s="50">
        <f>SUM($G$7:G11)</f>
        <v>844</v>
      </c>
      <c r="J11" s="48">
        <f t="shared" ref="J10:J55" si="4">I11/$J$3</f>
        <v>2.7788752798630318E-2</v>
      </c>
      <c r="K11" s="18"/>
      <c r="M11" s="1"/>
      <c r="O11" s="1">
        <v>5</v>
      </c>
      <c r="P11" s="1">
        <f>'표준점수 등급컷 입력기능'!K8</f>
        <v>46</v>
      </c>
    </row>
    <row r="12" spans="1:16" ht="25" customHeight="1">
      <c r="A12" s="5"/>
      <c r="B12" s="17"/>
      <c r="C12" s="49">
        <v>45</v>
      </c>
      <c r="D12" s="43">
        <f t="shared" si="1"/>
        <v>71</v>
      </c>
      <c r="E12" s="43">
        <f t="shared" si="0"/>
        <v>1</v>
      </c>
      <c r="F12" s="44">
        <f t="shared" si="2"/>
        <v>97</v>
      </c>
      <c r="G12" s="45">
        <f>IF(D12=D11,"",_xlfn.IFNA(VLOOKUP(D12,'인원 입력 기능'!$Q$5:$T$55,4,FALSE),0))</f>
        <v>343</v>
      </c>
      <c r="H12" s="46">
        <f t="shared" si="3"/>
        <v>1.1293296457263268E-2</v>
      </c>
      <c r="I12" s="50">
        <f>SUM($G$7:G12)</f>
        <v>1187</v>
      </c>
      <c r="J12" s="48">
        <f t="shared" si="4"/>
        <v>3.9082049255893585E-2</v>
      </c>
      <c r="K12" s="18"/>
      <c r="M12" s="1"/>
      <c r="O12" s="1">
        <v>6</v>
      </c>
      <c r="P12" s="1">
        <f>'표준점수 등급컷 입력기능'!K9</f>
        <v>41</v>
      </c>
    </row>
    <row r="13" spans="1:16" ht="25" customHeight="1">
      <c r="A13" s="5"/>
      <c r="B13" s="17"/>
      <c r="C13" s="42">
        <v>44</v>
      </c>
      <c r="D13" s="43">
        <f t="shared" si="1"/>
        <v>70</v>
      </c>
      <c r="E13" s="43">
        <f t="shared" si="0"/>
        <v>1</v>
      </c>
      <c r="F13" s="44">
        <f t="shared" si="2"/>
        <v>95</v>
      </c>
      <c r="G13" s="45">
        <f>IF(D13=D12,"",_xlfn.IFNA(VLOOKUP(D13,'인원 입력 기능'!$Q$5:$T$55,4,FALSE),0))</f>
        <v>503</v>
      </c>
      <c r="H13" s="46">
        <f t="shared" si="3"/>
        <v>1.6561306466482285E-2</v>
      </c>
      <c r="I13" s="50">
        <f>SUM($G$7:G13)</f>
        <v>1690</v>
      </c>
      <c r="J13" s="48">
        <f t="shared" si="4"/>
        <v>5.5643355722375873E-2</v>
      </c>
      <c r="K13" s="18"/>
      <c r="M13" s="1"/>
      <c r="O13" s="1">
        <v>7</v>
      </c>
      <c r="P13" s="1">
        <f>'표준점수 등급컷 입력기능'!K10</f>
        <v>39</v>
      </c>
    </row>
    <row r="14" spans="1:16" ht="25" customHeight="1">
      <c r="A14" s="5"/>
      <c r="B14" s="17"/>
      <c r="C14" s="49">
        <v>43</v>
      </c>
      <c r="D14" s="43">
        <f t="shared" si="1"/>
        <v>69</v>
      </c>
      <c r="E14" s="43">
        <f t="shared" si="0"/>
        <v>2</v>
      </c>
      <c r="F14" s="44">
        <f t="shared" si="2"/>
        <v>94</v>
      </c>
      <c r="G14" s="45">
        <f>IF(D14=D13,"",_xlfn.IFNA(VLOOKUP(D14,'인원 입력 기능'!$Q$5:$T$55,4,FALSE),0))</f>
        <v>154</v>
      </c>
      <c r="H14" s="46">
        <f t="shared" si="3"/>
        <v>5.0704596338733048E-3</v>
      </c>
      <c r="I14" s="50">
        <f>SUM($G$7:G14)</f>
        <v>1844</v>
      </c>
      <c r="J14" s="48">
        <f t="shared" si="4"/>
        <v>6.071381535624918E-2</v>
      </c>
      <c r="K14" s="18"/>
      <c r="M14" s="1"/>
      <c r="O14" s="1">
        <v>8</v>
      </c>
      <c r="P14" s="1">
        <f>'표준점수 등급컷 입력기능'!K11</f>
        <v>36</v>
      </c>
    </row>
    <row r="15" spans="1:16" ht="25" customHeight="1">
      <c r="A15" s="5"/>
      <c r="B15" s="17"/>
      <c r="C15" s="42">
        <v>42</v>
      </c>
      <c r="D15" s="43">
        <f t="shared" si="1"/>
        <v>68</v>
      </c>
      <c r="E15" s="43">
        <f t="shared" si="0"/>
        <v>2</v>
      </c>
      <c r="F15" s="44">
        <f t="shared" si="2"/>
        <v>93</v>
      </c>
      <c r="G15" s="45">
        <f>IF(D15=D14,"",_xlfn.IFNA(VLOOKUP(D15,'인원 입력 기능'!$Q$5:$T$55,4,FALSE),0))</f>
        <v>500</v>
      </c>
      <c r="H15" s="46">
        <f t="shared" si="3"/>
        <v>1.6462531278809429E-2</v>
      </c>
      <c r="I15" s="50">
        <f>SUM($G$7:G15)</f>
        <v>2344</v>
      </c>
      <c r="J15" s="48">
        <f t="shared" si="4"/>
        <v>7.717634663505861E-2</v>
      </c>
      <c r="K15" s="18"/>
      <c r="M15" s="1"/>
      <c r="O15" s="1">
        <v>9</v>
      </c>
      <c r="P15" s="1"/>
    </row>
    <row r="16" spans="1:16" ht="25" customHeight="1">
      <c r="A16" s="5"/>
      <c r="B16" s="17"/>
      <c r="C16" s="49">
        <v>41</v>
      </c>
      <c r="D16" s="43">
        <f t="shared" si="1"/>
        <v>67</v>
      </c>
      <c r="E16" s="43">
        <f t="shared" si="0"/>
        <v>2</v>
      </c>
      <c r="F16" s="44">
        <f t="shared" si="2"/>
        <v>92</v>
      </c>
      <c r="G16" s="45">
        <f>IF(D16=D15,"",_xlfn.IFNA(VLOOKUP(D16,'인원 입력 기능'!$Q$5:$T$55,4,FALSE),0))</f>
        <v>341</v>
      </c>
      <c r="H16" s="46">
        <f t="shared" si="3"/>
        <v>1.1227446332148032E-2</v>
      </c>
      <c r="I16" s="50">
        <f>SUM($G$7:G16)</f>
        <v>2685</v>
      </c>
      <c r="J16" s="48">
        <f t="shared" si="4"/>
        <v>8.8403792967206643E-2</v>
      </c>
      <c r="K16" s="18"/>
      <c r="M16" s="1"/>
    </row>
    <row r="17" spans="1:16" ht="25" customHeight="1">
      <c r="A17" s="5"/>
      <c r="B17" s="17"/>
      <c r="C17" s="42">
        <v>40</v>
      </c>
      <c r="D17" s="43">
        <f t="shared" si="1"/>
        <v>66</v>
      </c>
      <c r="E17" s="43">
        <f t="shared" si="0"/>
        <v>2</v>
      </c>
      <c r="F17" s="44">
        <f t="shared" si="2"/>
        <v>91</v>
      </c>
      <c r="G17" s="45">
        <f>IF(D17=D16,"",_xlfn.IFNA(VLOOKUP(D17,'인원 입력 기능'!$Q$5:$T$55,4,FALSE),0))</f>
        <v>286</v>
      </c>
      <c r="H17" s="46">
        <f t="shared" si="3"/>
        <v>9.4165678914789937E-3</v>
      </c>
      <c r="I17" s="50">
        <f>SUM($G$7:G17)</f>
        <v>2971</v>
      </c>
      <c r="J17" s="48">
        <f t="shared" si="4"/>
        <v>9.7820360858685632E-2</v>
      </c>
      <c r="K17" s="18"/>
      <c r="M17" s="1"/>
      <c r="P17" s="1">
        <f>H3*H4*J3*P7*IFERROR(IF(J57=1, 1, 0), 0)</f>
        <v>519128368.24799997</v>
      </c>
    </row>
    <row r="18" spans="1:16" ht="25" customHeight="1">
      <c r="A18" s="5"/>
      <c r="B18" s="17"/>
      <c r="C18" s="49">
        <v>39</v>
      </c>
      <c r="D18" s="43">
        <f t="shared" si="1"/>
        <v>65</v>
      </c>
      <c r="E18" s="43">
        <f t="shared" si="0"/>
        <v>2</v>
      </c>
      <c r="F18" s="44">
        <f t="shared" si="2"/>
        <v>89</v>
      </c>
      <c r="G18" s="45">
        <f>IF(D18=D17,"",_xlfn.IFNA(VLOOKUP(D18,'인원 입력 기능'!$Q$5:$T$55,4,FALSE),0))</f>
        <v>449</v>
      </c>
      <c r="H18" s="46">
        <f t="shared" si="3"/>
        <v>1.4783353088370869E-2</v>
      </c>
      <c r="I18" s="50">
        <f>SUM($G$7:G18)</f>
        <v>3420</v>
      </c>
      <c r="J18" s="48">
        <f t="shared" si="4"/>
        <v>0.1126037139470565</v>
      </c>
      <c r="K18" s="18"/>
      <c r="M18" s="1"/>
    </row>
    <row r="19" spans="1:16" ht="25" customHeight="1">
      <c r="A19" s="5"/>
      <c r="B19" s="17"/>
      <c r="C19" s="42">
        <v>38</v>
      </c>
      <c r="D19" s="43">
        <f t="shared" si="1"/>
        <v>64</v>
      </c>
      <c r="E19" s="43">
        <f t="shared" si="0"/>
        <v>3</v>
      </c>
      <c r="F19" s="44">
        <f t="shared" si="2"/>
        <v>88</v>
      </c>
      <c r="G19" s="45">
        <f>IF(D19=D18,"",_xlfn.IFNA(VLOOKUP(D19,'인원 입력 기능'!$Q$5:$T$55,4,FALSE),0))</f>
        <v>303</v>
      </c>
      <c r="H19" s="46">
        <f t="shared" si="3"/>
        <v>9.976293954958514E-3</v>
      </c>
      <c r="I19" s="50">
        <f>SUM($G$7:G19)</f>
        <v>3723</v>
      </c>
      <c r="J19" s="48">
        <f t="shared" si="4"/>
        <v>0.12258000790201501</v>
      </c>
      <c r="K19" s="18"/>
      <c r="M19" s="1"/>
    </row>
    <row r="20" spans="1:16" ht="25" customHeight="1">
      <c r="A20" s="5"/>
      <c r="B20" s="17"/>
      <c r="C20" s="49">
        <v>37</v>
      </c>
      <c r="D20" s="43">
        <f t="shared" si="1"/>
        <v>63</v>
      </c>
      <c r="E20" s="43">
        <f t="shared" si="0"/>
        <v>3</v>
      </c>
      <c r="F20" s="44">
        <f t="shared" si="2"/>
        <v>87</v>
      </c>
      <c r="G20" s="45">
        <f>IF(D20=D19,"",_xlfn.IFNA(VLOOKUP(D20,'인원 입력 기능'!$Q$5:$T$55,4,FALSE),0))</f>
        <v>433</v>
      </c>
      <c r="H20" s="46">
        <f t="shared" si="3"/>
        <v>1.4256552087448967E-2</v>
      </c>
      <c r="I20" s="50">
        <f>SUM($G$7:G20)</f>
        <v>4156</v>
      </c>
      <c r="J20" s="48">
        <f t="shared" si="4"/>
        <v>0.13683655998946398</v>
      </c>
      <c r="K20" s="18"/>
      <c r="M20" s="1"/>
    </row>
    <row r="21" spans="1:16" ht="25" customHeight="1">
      <c r="A21" s="5"/>
      <c r="B21" s="17"/>
      <c r="C21" s="51">
        <v>36</v>
      </c>
      <c r="D21" s="298">
        <f t="shared" si="1"/>
        <v>62</v>
      </c>
      <c r="E21" s="298">
        <f t="shared" si="0"/>
        <v>3</v>
      </c>
      <c r="F21" s="288">
        <f t="shared" si="2"/>
        <v>85</v>
      </c>
      <c r="G21" s="290">
        <f>IF(D21=D20,"",_xlfn.IFNA(VLOOKUP(D21,'인원 입력 기능'!$Q$5:$T$55,4,FALSE),0))</f>
        <v>819</v>
      </c>
      <c r="H21" s="291">
        <f t="shared" si="3"/>
        <v>2.6965626234689847E-2</v>
      </c>
      <c r="I21" s="293">
        <f>SUM($G$7:G21)</f>
        <v>4975</v>
      </c>
      <c r="J21" s="295">
        <f t="shared" si="4"/>
        <v>0.16380218622415382</v>
      </c>
      <c r="K21" s="18"/>
      <c r="M21" s="1"/>
    </row>
    <row r="22" spans="1:16" ht="25" customHeight="1">
      <c r="A22" s="5"/>
      <c r="B22" s="17"/>
      <c r="C22" s="52">
        <v>35</v>
      </c>
      <c r="D22" s="297"/>
      <c r="E22" s="297"/>
      <c r="F22" s="287"/>
      <c r="G22" s="289"/>
      <c r="H22" s="292"/>
      <c r="I22" s="294"/>
      <c r="J22" s="296"/>
      <c r="K22" s="18"/>
      <c r="M22" s="1"/>
    </row>
    <row r="23" spans="1:16" ht="25" customHeight="1">
      <c r="A23" s="5"/>
      <c r="B23" s="17"/>
      <c r="C23" s="51">
        <v>34</v>
      </c>
      <c r="D23" s="53">
        <f t="shared" si="1"/>
        <v>61</v>
      </c>
      <c r="E23" s="53">
        <f t="shared" si="0"/>
        <v>3</v>
      </c>
      <c r="F23" s="44">
        <f t="shared" si="2"/>
        <v>83</v>
      </c>
      <c r="G23" s="45">
        <f>IF(D23=D22,"",_xlfn.IFNA(VLOOKUP(D23,'인원 입력 기능'!$Q$5:$T$55,4,FALSE),0))</f>
        <v>493</v>
      </c>
      <c r="H23" s="46">
        <f t="shared" si="3"/>
        <v>1.6232055840906097E-2</v>
      </c>
      <c r="I23" s="50">
        <f>SUM($G$7:G23)</f>
        <v>5468</v>
      </c>
      <c r="J23" s="48">
        <f t="shared" si="4"/>
        <v>0.18003424206505991</v>
      </c>
      <c r="K23" s="18"/>
      <c r="M23" s="1"/>
    </row>
    <row r="24" spans="1:16" ht="25" customHeight="1">
      <c r="A24" s="5"/>
      <c r="B24" s="17"/>
      <c r="C24" s="52">
        <v>33</v>
      </c>
      <c r="D24" s="53">
        <f t="shared" si="1"/>
        <v>60</v>
      </c>
      <c r="E24" s="53">
        <f t="shared" si="0"/>
        <v>3</v>
      </c>
      <c r="F24" s="44">
        <f t="shared" si="2"/>
        <v>81</v>
      </c>
      <c r="G24" s="45">
        <f>IF(D24=D23,"",_xlfn.IFNA(VLOOKUP(D24,'인원 입력 기능'!$Q$5:$T$55,4,FALSE),0))</f>
        <v>429</v>
      </c>
      <c r="H24" s="46">
        <f t="shared" si="3"/>
        <v>1.4124851837218491E-2</v>
      </c>
      <c r="I24" s="50">
        <f>SUM($G$7:G24)</f>
        <v>5897</v>
      </c>
      <c r="J24" s="48">
        <f t="shared" si="4"/>
        <v>0.19415909390227842</v>
      </c>
      <c r="K24" s="18"/>
      <c r="M24" s="1"/>
    </row>
    <row r="25" spans="1:16" ht="25" customHeight="1">
      <c r="A25" s="5"/>
      <c r="B25" s="17"/>
      <c r="C25" s="51">
        <v>32</v>
      </c>
      <c r="D25" s="53">
        <f t="shared" si="1"/>
        <v>59</v>
      </c>
      <c r="E25" s="53">
        <f t="shared" si="0"/>
        <v>3</v>
      </c>
      <c r="F25" s="44">
        <f t="shared" si="2"/>
        <v>80</v>
      </c>
      <c r="G25" s="45">
        <f>IF(D25=D24,"",_xlfn.IFNA(VLOOKUP(D25,'인원 입력 기능'!$Q$5:$T$55,4,FALSE),0))</f>
        <v>467</v>
      </c>
      <c r="H25" s="46">
        <f t="shared" si="3"/>
        <v>1.5376004214408007E-2</v>
      </c>
      <c r="I25" s="50">
        <f>SUM($G$7:G25)</f>
        <v>6364</v>
      </c>
      <c r="J25" s="48">
        <f t="shared" si="4"/>
        <v>0.20953509811668641</v>
      </c>
      <c r="K25" s="18"/>
      <c r="M25" s="1"/>
    </row>
    <row r="26" spans="1:16" ht="25" customHeight="1">
      <c r="A26" s="5"/>
      <c r="B26" s="17"/>
      <c r="C26" s="52">
        <v>31</v>
      </c>
      <c r="D26" s="53">
        <f t="shared" si="1"/>
        <v>58</v>
      </c>
      <c r="E26" s="53">
        <f t="shared" si="0"/>
        <v>3</v>
      </c>
      <c r="F26" s="44">
        <f t="shared" si="2"/>
        <v>78</v>
      </c>
      <c r="G26" s="45">
        <f>IF(D26=D25,"",_xlfn.IFNA(VLOOKUP(D26,'인원 입력 기능'!$Q$5:$T$55,4,FALSE),0))</f>
        <v>580</v>
      </c>
      <c r="H26" s="46">
        <f t="shared" si="3"/>
        <v>1.9096536283418938E-2</v>
      </c>
      <c r="I26" s="50">
        <f>SUM($G$7:G26)</f>
        <v>6944</v>
      </c>
      <c r="J26" s="48">
        <f t="shared" si="4"/>
        <v>0.22863163440010537</v>
      </c>
      <c r="K26" s="18"/>
      <c r="M26" s="1"/>
    </row>
    <row r="27" spans="1:16" ht="25" customHeight="1">
      <c r="A27" s="5"/>
      <c r="B27" s="17"/>
      <c r="C27" s="51">
        <v>30</v>
      </c>
      <c r="D27" s="53">
        <f t="shared" si="1"/>
        <v>57</v>
      </c>
      <c r="E27" s="53">
        <f t="shared" si="0"/>
        <v>3</v>
      </c>
      <c r="F27" s="44">
        <f t="shared" si="2"/>
        <v>76</v>
      </c>
      <c r="G27" s="45">
        <f>IF(D27=D26,"",_xlfn.IFNA(VLOOKUP(D27,'인원 입력 기능'!$Q$5:$T$55,4,FALSE),0))</f>
        <v>569</v>
      </c>
      <c r="H27" s="46">
        <f t="shared" si="3"/>
        <v>1.8734360595285132E-2</v>
      </c>
      <c r="I27" s="50">
        <f>SUM($G$7:G27)</f>
        <v>7513</v>
      </c>
      <c r="J27" s="48">
        <f t="shared" si="4"/>
        <v>0.2473659949953905</v>
      </c>
      <c r="K27" s="18"/>
      <c r="M27" s="1"/>
    </row>
    <row r="28" spans="1:16" ht="25" customHeight="1">
      <c r="A28" s="5"/>
      <c r="B28" s="17"/>
      <c r="C28" s="52">
        <v>29</v>
      </c>
      <c r="D28" s="53">
        <f t="shared" si="1"/>
        <v>56</v>
      </c>
      <c r="E28" s="53">
        <f t="shared" si="0"/>
        <v>4</v>
      </c>
      <c r="F28" s="44">
        <f t="shared" si="2"/>
        <v>74</v>
      </c>
      <c r="G28" s="45">
        <f>IF(D28=D27,"",_xlfn.IFNA(VLOOKUP(D28,'인원 입력 기능'!$Q$5:$T$55,4,FALSE),0))</f>
        <v>654</v>
      </c>
      <c r="H28" s="46">
        <f t="shared" si="3"/>
        <v>2.1532990912682733E-2</v>
      </c>
      <c r="I28" s="50">
        <f>SUM($G$7:G28)</f>
        <v>8167</v>
      </c>
      <c r="J28" s="48">
        <f t="shared" si="4"/>
        <v>0.26889898590807321</v>
      </c>
      <c r="K28" s="18"/>
      <c r="M28" s="1"/>
    </row>
    <row r="29" spans="1:16" ht="25" customHeight="1">
      <c r="A29" s="5"/>
      <c r="B29" s="17"/>
      <c r="C29" s="51">
        <v>28</v>
      </c>
      <c r="D29" s="53">
        <f t="shared" si="1"/>
        <v>55</v>
      </c>
      <c r="E29" s="53">
        <f t="shared" si="0"/>
        <v>4</v>
      </c>
      <c r="F29" s="44">
        <f t="shared" si="2"/>
        <v>72</v>
      </c>
      <c r="G29" s="45">
        <f>IF(D29=D28,"",_xlfn.IFNA(VLOOKUP(D29,'인원 입력 기능'!$Q$5:$T$55,4,FALSE),0))</f>
        <v>640</v>
      </c>
      <c r="H29" s="46">
        <f t="shared" si="3"/>
        <v>2.1072040036876068E-2</v>
      </c>
      <c r="I29" s="50">
        <f>SUM($G$7:G29)</f>
        <v>8807</v>
      </c>
      <c r="J29" s="48">
        <f t="shared" si="4"/>
        <v>0.28997102594494928</v>
      </c>
      <c r="K29" s="18"/>
      <c r="M29" s="1"/>
    </row>
    <row r="30" spans="1:16" ht="25" customHeight="1">
      <c r="A30" s="5"/>
      <c r="B30" s="17"/>
      <c r="C30" s="52">
        <v>27</v>
      </c>
      <c r="D30" s="53">
        <f t="shared" si="1"/>
        <v>54</v>
      </c>
      <c r="E30" s="53">
        <f t="shared" si="0"/>
        <v>4</v>
      </c>
      <c r="F30" s="44">
        <f t="shared" si="2"/>
        <v>70</v>
      </c>
      <c r="G30" s="45">
        <f>IF(D30=D29,"",_xlfn.IFNA(VLOOKUP(D30,'인원 입력 기능'!$Q$5:$T$55,4,FALSE),0))</f>
        <v>745</v>
      </c>
      <c r="H30" s="46">
        <f t="shared" si="3"/>
        <v>2.4529171605426052E-2</v>
      </c>
      <c r="I30" s="50">
        <f>SUM($G$7:G30)</f>
        <v>9552</v>
      </c>
      <c r="J30" s="48">
        <f t="shared" si="4"/>
        <v>0.31450019755037534</v>
      </c>
      <c r="K30" s="18"/>
      <c r="M30" s="1"/>
    </row>
    <row r="31" spans="1:16" ht="25" customHeight="1">
      <c r="A31" s="5"/>
      <c r="B31" s="17"/>
      <c r="C31" s="51">
        <v>26</v>
      </c>
      <c r="D31" s="53">
        <f t="shared" si="1"/>
        <v>53</v>
      </c>
      <c r="E31" s="53">
        <f t="shared" si="0"/>
        <v>4</v>
      </c>
      <c r="F31" s="44">
        <f t="shared" si="2"/>
        <v>67</v>
      </c>
      <c r="G31" s="45">
        <f>IF(D31=D30,"",_xlfn.IFNA(VLOOKUP(D31,'인원 입력 기능'!$Q$5:$T$55,4,FALSE),0))</f>
        <v>783</v>
      </c>
      <c r="H31" s="46">
        <f t="shared" si="3"/>
        <v>2.5780323982615566E-2</v>
      </c>
      <c r="I31" s="50">
        <f>SUM($G$7:G31)</f>
        <v>10335</v>
      </c>
      <c r="J31" s="48">
        <f t="shared" si="4"/>
        <v>0.34028052153299093</v>
      </c>
      <c r="K31" s="18"/>
      <c r="M31" s="1"/>
    </row>
    <row r="32" spans="1:16" ht="25" customHeight="1">
      <c r="A32" s="5"/>
      <c r="B32" s="17"/>
      <c r="C32" s="52">
        <v>25</v>
      </c>
      <c r="D32" s="298">
        <f t="shared" si="1"/>
        <v>52</v>
      </c>
      <c r="E32" s="298">
        <f t="shared" si="0"/>
        <v>4</v>
      </c>
      <c r="F32" s="288">
        <f t="shared" si="2"/>
        <v>63</v>
      </c>
      <c r="G32" s="290">
        <f>IF(D32=D31,"",_xlfn.IFNA(VLOOKUP(D32,'인원 입력 기능'!$Q$5:$T$55,4,FALSE),0))</f>
        <v>1749</v>
      </c>
      <c r="H32" s="291">
        <f t="shared" si="3"/>
        <v>5.7585934413275384E-2</v>
      </c>
      <c r="I32" s="293">
        <f>SUM($G$7:G32)</f>
        <v>12084</v>
      </c>
      <c r="J32" s="295">
        <f t="shared" si="4"/>
        <v>0.3978664559462663</v>
      </c>
      <c r="K32" s="18"/>
      <c r="M32" s="1"/>
    </row>
    <row r="33" spans="1:13" ht="25" customHeight="1">
      <c r="A33" s="5"/>
      <c r="B33" s="17"/>
      <c r="C33" s="51">
        <v>24</v>
      </c>
      <c r="D33" s="297"/>
      <c r="E33" s="297"/>
      <c r="F33" s="287"/>
      <c r="G33" s="289"/>
      <c r="H33" s="292"/>
      <c r="I33" s="294"/>
      <c r="J33" s="296"/>
      <c r="K33" s="18"/>
      <c r="M33" s="1"/>
    </row>
    <row r="34" spans="1:13" ht="25" customHeight="1">
      <c r="A34" s="5"/>
      <c r="B34" s="17"/>
      <c r="C34" s="52">
        <v>23</v>
      </c>
      <c r="D34" s="53">
        <f t="shared" si="1"/>
        <v>51</v>
      </c>
      <c r="E34" s="53">
        <f t="shared" si="0"/>
        <v>4</v>
      </c>
      <c r="F34" s="44">
        <f t="shared" si="2"/>
        <v>59</v>
      </c>
      <c r="G34" s="45">
        <f>IF(D34=D33,"",_xlfn.IFNA(VLOOKUP(D34,'인원 입력 기능'!$Q$5:$T$55,4,FALSE),0))</f>
        <v>913</v>
      </c>
      <c r="H34" s="46">
        <f t="shared" si="3"/>
        <v>3.0060582115106017E-2</v>
      </c>
      <c r="I34" s="50">
        <f>SUM($G$7:G34)</f>
        <v>12997</v>
      </c>
      <c r="J34" s="48">
        <f t="shared" si="4"/>
        <v>0.42792703806137233</v>
      </c>
      <c r="K34" s="18"/>
      <c r="M34" s="1"/>
    </row>
    <row r="35" spans="1:13" ht="25" customHeight="1">
      <c r="A35" s="5"/>
      <c r="B35" s="17"/>
      <c r="C35" s="51">
        <v>22</v>
      </c>
      <c r="D35" s="53">
        <f t="shared" si="1"/>
        <v>50</v>
      </c>
      <c r="E35" s="53">
        <f t="shared" si="0"/>
        <v>5</v>
      </c>
      <c r="F35" s="44">
        <f t="shared" si="2"/>
        <v>56</v>
      </c>
      <c r="G35" s="45">
        <f>IF(D35=D34,"",_xlfn.IFNA(VLOOKUP(D35,'인원 입력 기능'!$Q$5:$T$55,4,FALSE),0))</f>
        <v>1001</v>
      </c>
      <c r="H35" s="46">
        <f t="shared" si="3"/>
        <v>3.2957987620176481E-2</v>
      </c>
      <c r="I35" s="50">
        <f>SUM($G$7:G35)</f>
        <v>13998</v>
      </c>
      <c r="J35" s="48">
        <f t="shared" si="4"/>
        <v>0.46088502568154882</v>
      </c>
      <c r="K35" s="18"/>
      <c r="M35" s="1"/>
    </row>
    <row r="36" spans="1:13" ht="25" customHeight="1">
      <c r="A36" s="5"/>
      <c r="B36" s="17"/>
      <c r="C36" s="52">
        <v>21</v>
      </c>
      <c r="D36" s="53">
        <f t="shared" si="1"/>
        <v>49</v>
      </c>
      <c r="E36" s="53">
        <f t="shared" si="0"/>
        <v>5</v>
      </c>
      <c r="F36" s="44">
        <f t="shared" si="2"/>
        <v>52</v>
      </c>
      <c r="G36" s="45">
        <f>IF(D36=D35,"",_xlfn.IFNA(VLOOKUP(D36,'인원 입력 기능'!$Q$5:$T$55,4,FALSE),0))</f>
        <v>1130</v>
      </c>
      <c r="H36" s="46">
        <f t="shared" si="3"/>
        <v>3.720532069010931E-2</v>
      </c>
      <c r="I36" s="50">
        <f>SUM($G$7:G36)</f>
        <v>15128</v>
      </c>
      <c r="J36" s="48">
        <f t="shared" si="4"/>
        <v>0.49809034637165811</v>
      </c>
      <c r="K36" s="18"/>
      <c r="M36" s="1"/>
    </row>
    <row r="37" spans="1:13" ht="25" customHeight="1">
      <c r="A37" s="5"/>
      <c r="B37" s="17"/>
      <c r="C37" s="51">
        <v>20</v>
      </c>
      <c r="D37" s="53">
        <f t="shared" si="1"/>
        <v>48</v>
      </c>
      <c r="E37" s="53">
        <f t="shared" si="0"/>
        <v>5</v>
      </c>
      <c r="F37" s="44">
        <f t="shared" si="2"/>
        <v>48</v>
      </c>
      <c r="G37" s="45">
        <f>IF(D37=D36,"",_xlfn.IFNA(VLOOKUP(D37,'인원 입력 기능'!$Q$5:$T$55,4,FALSE),0))</f>
        <v>1077</v>
      </c>
      <c r="H37" s="46">
        <f t="shared" si="3"/>
        <v>3.5460292374555509E-2</v>
      </c>
      <c r="I37" s="50">
        <f>SUM($G$7:G37)</f>
        <v>16205</v>
      </c>
      <c r="J37" s="48">
        <f t="shared" si="4"/>
        <v>0.53355063874621367</v>
      </c>
      <c r="K37" s="18"/>
      <c r="M37" s="1"/>
    </row>
    <row r="38" spans="1:13" ht="25" customHeight="1">
      <c r="A38" s="5"/>
      <c r="B38" s="17"/>
      <c r="C38" s="52">
        <v>19</v>
      </c>
      <c r="D38" s="53">
        <f t="shared" si="1"/>
        <v>47</v>
      </c>
      <c r="E38" s="53">
        <f t="shared" si="0"/>
        <v>5</v>
      </c>
      <c r="F38" s="44">
        <f t="shared" si="2"/>
        <v>45</v>
      </c>
      <c r="G38" s="45">
        <f>IF(D38=D37,"",_xlfn.IFNA(VLOOKUP(D38,'인원 입력 기능'!$Q$5:$T$55,4,FALSE),0))</f>
        <v>1179</v>
      </c>
      <c r="H38" s="46">
        <f t="shared" si="3"/>
        <v>3.8818648755432637E-2</v>
      </c>
      <c r="I38" s="50">
        <f>SUM($G$7:G38)</f>
        <v>17384</v>
      </c>
      <c r="J38" s="48">
        <f t="shared" si="4"/>
        <v>0.57236928750164628</v>
      </c>
      <c r="K38" s="18"/>
      <c r="M38" s="1"/>
    </row>
    <row r="39" spans="1:13" ht="25" customHeight="1">
      <c r="A39" s="5"/>
      <c r="B39" s="17"/>
      <c r="C39" s="51">
        <v>18</v>
      </c>
      <c r="D39" s="53">
        <f t="shared" si="1"/>
        <v>46</v>
      </c>
      <c r="E39" s="53">
        <f t="shared" ref="E39:E57" si="5">IF(ROUND(D39,0)&gt;=$P$7,1,IF(ROUND(D39,0)&gt;=$P$8,2,IF(ROUND(D39,0)&gt;=$P$9,3,IF(ROUND(D39,0)&gt;=$P$10,4,IF(ROUND(D39,0)&gt;=$P$11,5,IF(ROUND(D39,0)&gt;=$P$12,6,IF(ROUND(D39,0)&gt;=$P$13,7,IF(ROUND(D39,0)&gt;=$P$14,8,9))))))))</f>
        <v>5</v>
      </c>
      <c r="F39" s="44">
        <f t="shared" si="2"/>
        <v>41</v>
      </c>
      <c r="G39" s="45">
        <f>IF(D39=D38,"",_xlfn.IFNA(VLOOKUP(D39,'인원 입력 기능'!$Q$5:$T$55,4,FALSE),0))</f>
        <v>1083</v>
      </c>
      <c r="H39" s="46">
        <f t="shared" si="3"/>
        <v>3.5657842749901227E-2</v>
      </c>
      <c r="I39" s="50">
        <f>SUM($G$7:G39)</f>
        <v>18467</v>
      </c>
      <c r="J39" s="48">
        <f t="shared" si="4"/>
        <v>0.60802713025154753</v>
      </c>
      <c r="K39" s="18"/>
      <c r="M39" s="1"/>
    </row>
    <row r="40" spans="1:13" ht="25" customHeight="1">
      <c r="A40" s="5"/>
      <c r="B40" s="17"/>
      <c r="C40" s="52">
        <v>17</v>
      </c>
      <c r="D40" s="53">
        <f t="shared" si="1"/>
        <v>45</v>
      </c>
      <c r="E40" s="53">
        <f t="shared" si="5"/>
        <v>6</v>
      </c>
      <c r="F40" s="44">
        <f t="shared" si="2"/>
        <v>37</v>
      </c>
      <c r="G40" s="45">
        <f>IF(D40=D39,"",_xlfn.IFNA(VLOOKUP(D40,'인원 입력 기능'!$Q$5:$T$55,4,FALSE),0))</f>
        <v>1141</v>
      </c>
      <c r="H40" s="46">
        <f t="shared" si="3"/>
        <v>3.7567496378243116E-2</v>
      </c>
      <c r="I40" s="50">
        <f>SUM($G$7:G40)</f>
        <v>19608</v>
      </c>
      <c r="J40" s="48">
        <f t="shared" si="4"/>
        <v>0.64559462662979061</v>
      </c>
      <c r="K40" s="18"/>
      <c r="M40" s="1"/>
    </row>
    <row r="41" spans="1:13" ht="25" customHeight="1">
      <c r="A41" s="5"/>
      <c r="B41" s="17"/>
      <c r="C41" s="51">
        <v>16</v>
      </c>
      <c r="D41" s="53">
        <f t="shared" si="1"/>
        <v>44</v>
      </c>
      <c r="E41" s="53">
        <f t="shared" si="5"/>
        <v>6</v>
      </c>
      <c r="F41" s="44">
        <f t="shared" si="2"/>
        <v>34</v>
      </c>
      <c r="G41" s="45">
        <f>IF(D41=D40,"",_xlfn.IFNA(VLOOKUP(D41,'인원 입력 기능'!$Q$5:$T$55,4,FALSE),0))</f>
        <v>1119</v>
      </c>
      <c r="H41" s="46">
        <f t="shared" si="3"/>
        <v>3.6843145001975504E-2</v>
      </c>
      <c r="I41" s="50">
        <f>SUM($G$7:G41)</f>
        <v>20727</v>
      </c>
      <c r="J41" s="48">
        <f t="shared" si="4"/>
        <v>0.68243777163176611</v>
      </c>
      <c r="K41" s="18"/>
      <c r="M41" s="1"/>
    </row>
    <row r="42" spans="1:13" ht="25" customHeight="1">
      <c r="A42" s="5"/>
      <c r="B42" s="17"/>
      <c r="C42" s="52">
        <v>15</v>
      </c>
      <c r="D42" s="53">
        <f t="shared" si="1"/>
        <v>43</v>
      </c>
      <c r="E42" s="53">
        <f t="shared" si="5"/>
        <v>6</v>
      </c>
      <c r="F42" s="44">
        <f t="shared" si="2"/>
        <v>30</v>
      </c>
      <c r="G42" s="45">
        <f>IF(D42=D41,"",_xlfn.IFNA(VLOOKUP(D42,'인원 입력 기능'!$Q$5:$T$55,4,FALSE),0))</f>
        <v>1244</v>
      </c>
      <c r="H42" s="46">
        <f t="shared" si="3"/>
        <v>4.0958777821677859E-2</v>
      </c>
      <c r="I42" s="50">
        <f>SUM($G$7:G42)</f>
        <v>21971</v>
      </c>
      <c r="J42" s="48">
        <f t="shared" si="4"/>
        <v>0.723396549453444</v>
      </c>
      <c r="K42" s="18"/>
      <c r="M42" s="1"/>
    </row>
    <row r="43" spans="1:13" ht="25" customHeight="1">
      <c r="A43" s="5"/>
      <c r="B43" s="17"/>
      <c r="C43" s="51">
        <v>14</v>
      </c>
      <c r="D43" s="53">
        <f t="shared" si="1"/>
        <v>42</v>
      </c>
      <c r="E43" s="53">
        <f t="shared" si="5"/>
        <v>6</v>
      </c>
      <c r="F43" s="44">
        <f t="shared" si="2"/>
        <v>26</v>
      </c>
      <c r="G43" s="45">
        <f>IF(D43=D42,"",_xlfn.IFNA(VLOOKUP(D43,'인원 입력 기능'!$Q$5:$T$55,4,FALSE),0))</f>
        <v>1140</v>
      </c>
      <c r="H43" s="46">
        <f t="shared" si="3"/>
        <v>3.7534571315685501E-2</v>
      </c>
      <c r="I43" s="50">
        <f>SUM($G$7:G43)</f>
        <v>23111</v>
      </c>
      <c r="J43" s="48">
        <f t="shared" si="4"/>
        <v>0.7609311207691295</v>
      </c>
      <c r="K43" s="18"/>
      <c r="M43" s="1"/>
    </row>
    <row r="44" spans="1:13" ht="25" customHeight="1">
      <c r="A44" s="5"/>
      <c r="B44" s="17"/>
      <c r="C44" s="52">
        <v>13</v>
      </c>
      <c r="D44" s="298">
        <f t="shared" si="1"/>
        <v>41</v>
      </c>
      <c r="E44" s="298">
        <f t="shared" si="5"/>
        <v>6</v>
      </c>
      <c r="F44" s="288">
        <f t="shared" si="2"/>
        <v>20</v>
      </c>
      <c r="G44" s="290">
        <f>IF(D44=D43,"",_xlfn.IFNA(VLOOKUP(D44,'인원 입력 기능'!$Q$5:$T$55,4,FALSE),0))</f>
        <v>2440</v>
      </c>
      <c r="H44" s="291">
        <f t="shared" si="3"/>
        <v>8.033715264059002E-2</v>
      </c>
      <c r="I44" s="293">
        <f>SUM($G$7:G44)</f>
        <v>25551</v>
      </c>
      <c r="J44" s="295">
        <f t="shared" si="4"/>
        <v>0.84126827340971944</v>
      </c>
      <c r="K44" s="18"/>
      <c r="M44" s="1"/>
    </row>
    <row r="45" spans="1:13" ht="25" customHeight="1">
      <c r="A45" s="5"/>
      <c r="B45" s="17"/>
      <c r="C45" s="51">
        <v>12</v>
      </c>
      <c r="D45" s="297"/>
      <c r="E45" s="297"/>
      <c r="F45" s="287"/>
      <c r="G45" s="289"/>
      <c r="H45" s="292"/>
      <c r="I45" s="294"/>
      <c r="J45" s="296"/>
      <c r="K45" s="18"/>
      <c r="M45" s="1"/>
    </row>
    <row r="46" spans="1:13" ht="25" customHeight="1">
      <c r="A46" s="5"/>
      <c r="B46" s="17"/>
      <c r="C46" s="52">
        <v>11</v>
      </c>
      <c r="D46" s="53">
        <f t="shared" si="1"/>
        <v>40</v>
      </c>
      <c r="E46" s="53">
        <f t="shared" si="5"/>
        <v>7</v>
      </c>
      <c r="F46" s="44">
        <f t="shared" si="2"/>
        <v>15</v>
      </c>
      <c r="G46" s="45">
        <f>IF(D46=D45,"",_xlfn.IFNA(VLOOKUP(D46,'인원 입력 기능'!$Q$5:$T$55,4,FALSE),0))</f>
        <v>829</v>
      </c>
      <c r="H46" s="46">
        <f t="shared" si="3"/>
        <v>2.7294876860266035E-2</v>
      </c>
      <c r="I46" s="50">
        <f>SUM($G$7:G46)</f>
        <v>26380</v>
      </c>
      <c r="J46" s="48">
        <f t="shared" si="4"/>
        <v>0.86856315026998554</v>
      </c>
      <c r="K46" s="18"/>
      <c r="M46" s="1"/>
    </row>
    <row r="47" spans="1:13" ht="25" customHeight="1">
      <c r="A47" s="5"/>
      <c r="B47" s="17"/>
      <c r="C47" s="51">
        <v>10</v>
      </c>
      <c r="D47" s="53">
        <f t="shared" si="1"/>
        <v>39</v>
      </c>
      <c r="E47" s="53">
        <f t="shared" si="5"/>
        <v>7</v>
      </c>
      <c r="F47" s="44">
        <f t="shared" si="2"/>
        <v>12</v>
      </c>
      <c r="G47" s="45">
        <f>IF(D47=D46,"",_xlfn.IFNA(VLOOKUP(D47,'인원 입력 기능'!$Q$5:$T$55,4,FALSE),0))</f>
        <v>679</v>
      </c>
      <c r="H47" s="46">
        <f t="shared" si="3"/>
        <v>2.2356117476623204E-2</v>
      </c>
      <c r="I47" s="50">
        <f>SUM($G$7:G47)</f>
        <v>27059</v>
      </c>
      <c r="J47" s="48">
        <f t="shared" si="4"/>
        <v>0.89091926774660868</v>
      </c>
      <c r="K47" s="18"/>
      <c r="M47" s="1"/>
    </row>
    <row r="48" spans="1:13" ht="25" customHeight="1">
      <c r="A48" s="5"/>
      <c r="B48" s="17"/>
      <c r="C48" s="52">
        <v>9</v>
      </c>
      <c r="D48" s="53">
        <f t="shared" si="1"/>
        <v>38</v>
      </c>
      <c r="E48" s="53">
        <f t="shared" si="5"/>
        <v>8</v>
      </c>
      <c r="F48" s="44">
        <f t="shared" si="2"/>
        <v>8</v>
      </c>
      <c r="G48" s="45">
        <f>IF(D48=D47,"",_xlfn.IFNA(VLOOKUP(D48,'인원 입력 기능'!$Q$5:$T$55,4,FALSE),0))</f>
        <v>1474</v>
      </c>
      <c r="H48" s="46">
        <f t="shared" si="3"/>
        <v>4.8531542209930202E-2</v>
      </c>
      <c r="I48" s="50">
        <f>SUM($G$7:G48)</f>
        <v>28533</v>
      </c>
      <c r="J48" s="48">
        <f t="shared" si="4"/>
        <v>0.93945080995653896</v>
      </c>
      <c r="K48" s="18"/>
      <c r="M48" s="1"/>
    </row>
    <row r="49" spans="1:13" ht="25" customHeight="1">
      <c r="A49" s="5"/>
      <c r="B49" s="17"/>
      <c r="C49" s="51">
        <v>8</v>
      </c>
      <c r="D49" s="53">
        <f t="shared" si="1"/>
        <v>37</v>
      </c>
      <c r="E49" s="53">
        <f t="shared" si="5"/>
        <v>8</v>
      </c>
      <c r="F49" s="44">
        <f t="shared" si="2"/>
        <v>5</v>
      </c>
      <c r="G49" s="45">
        <f>IF(D49=D48,"",_xlfn.IFNA(VLOOKUP(D49,'인원 입력 기능'!$Q$5:$T$55,4,FALSE),0))</f>
        <v>605</v>
      </c>
      <c r="H49" s="46">
        <f t="shared" si="3"/>
        <v>1.991966284735941E-2</v>
      </c>
      <c r="I49" s="50">
        <f>SUM($G$7:G49)</f>
        <v>29138</v>
      </c>
      <c r="J49" s="48">
        <f t="shared" si="4"/>
        <v>0.95937047280389831</v>
      </c>
      <c r="K49" s="18"/>
      <c r="M49" s="1"/>
    </row>
    <row r="50" spans="1:13" ht="25" customHeight="1">
      <c r="A50" s="5"/>
      <c r="B50" s="17"/>
      <c r="C50" s="52">
        <v>7</v>
      </c>
      <c r="D50" s="53">
        <f t="shared" si="1"/>
        <v>36</v>
      </c>
      <c r="E50" s="53">
        <f t="shared" si="5"/>
        <v>8</v>
      </c>
      <c r="F50" s="44">
        <f t="shared" si="2"/>
        <v>3</v>
      </c>
      <c r="G50" s="45">
        <f>IF(D50=D49,"",_xlfn.IFNA(VLOOKUP(D50,'인원 입력 기능'!$Q$5:$T$55,4,FALSE),0))</f>
        <v>358</v>
      </c>
      <c r="H50" s="46">
        <f t="shared" si="3"/>
        <v>1.1787172395627552E-2</v>
      </c>
      <c r="I50" s="50">
        <f>SUM($G$7:G50)</f>
        <v>29496</v>
      </c>
      <c r="J50" s="48">
        <f t="shared" si="4"/>
        <v>0.97115764519952585</v>
      </c>
      <c r="K50" s="18"/>
      <c r="M50" s="1"/>
    </row>
    <row r="51" spans="1:13" ht="25" customHeight="1">
      <c r="A51" s="5"/>
      <c r="B51" s="17"/>
      <c r="C51" s="51">
        <v>6</v>
      </c>
      <c r="D51" s="53">
        <f t="shared" si="1"/>
        <v>35</v>
      </c>
      <c r="E51" s="53">
        <f t="shared" si="5"/>
        <v>9</v>
      </c>
      <c r="F51" s="44">
        <f t="shared" si="2"/>
        <v>2</v>
      </c>
      <c r="G51" s="45">
        <f>IF(D51=D50,"",_xlfn.IFNA(VLOOKUP(D51,'인원 입력 기능'!$Q$5:$T$55,4,FALSE),0))</f>
        <v>350</v>
      </c>
      <c r="H51" s="46">
        <f t="shared" si="3"/>
        <v>1.1523771895166601E-2</v>
      </c>
      <c r="I51" s="50">
        <f>SUM($G$7:G51)</f>
        <v>29846</v>
      </c>
      <c r="J51" s="48">
        <f t="shared" si="4"/>
        <v>0.98268141709469248</v>
      </c>
      <c r="K51" s="18"/>
      <c r="M51" s="1"/>
    </row>
    <row r="52" spans="1:13" ht="25" customHeight="1">
      <c r="A52" s="5"/>
      <c r="B52" s="17"/>
      <c r="C52" s="52">
        <v>5</v>
      </c>
      <c r="D52" s="53">
        <f t="shared" si="1"/>
        <v>34</v>
      </c>
      <c r="E52" s="53">
        <f t="shared" si="5"/>
        <v>9</v>
      </c>
      <c r="F52" s="44">
        <f t="shared" si="2"/>
        <v>1</v>
      </c>
      <c r="G52" s="45">
        <f>IF(D52=D51,"",_xlfn.IFNA(VLOOKUP(D52,'인원 입력 기능'!$Q$5:$T$55,4,FALSE),0))</f>
        <v>212</v>
      </c>
      <c r="H52" s="46">
        <f t="shared" si="3"/>
        <v>6.9801132622151979E-3</v>
      </c>
      <c r="I52" s="50">
        <f>SUM($G$7:G52)</f>
        <v>30058</v>
      </c>
      <c r="J52" s="48">
        <f t="shared" si="4"/>
        <v>0.98966153035690763</v>
      </c>
      <c r="K52" s="18"/>
      <c r="M52" s="1"/>
    </row>
    <row r="53" spans="1:13" ht="25" customHeight="1">
      <c r="A53" s="5"/>
      <c r="B53" s="17"/>
      <c r="C53" s="42">
        <v>4</v>
      </c>
      <c r="D53" s="43">
        <f t="shared" si="1"/>
        <v>33</v>
      </c>
      <c r="E53" s="43">
        <f t="shared" si="5"/>
        <v>9</v>
      </c>
      <c r="F53" s="44">
        <f t="shared" si="2"/>
        <v>1</v>
      </c>
      <c r="G53" s="45">
        <f>IF(D53=D52,"",_xlfn.IFNA(VLOOKUP(D53,'인원 입력 기능'!$Q$5:$T$55,4,FALSE),0))</f>
        <v>139</v>
      </c>
      <c r="H53" s="46">
        <f t="shared" si="3"/>
        <v>4.5765836955090214E-3</v>
      </c>
      <c r="I53" s="50">
        <f>SUM($G$7:G53)</f>
        <v>30197</v>
      </c>
      <c r="J53" s="48">
        <f t="shared" si="4"/>
        <v>0.99423811405241669</v>
      </c>
      <c r="K53" s="18"/>
      <c r="M53" s="1"/>
    </row>
    <row r="54" spans="1:13" ht="25" customHeight="1">
      <c r="A54" s="5"/>
      <c r="B54" s="17"/>
      <c r="C54" s="49">
        <v>3</v>
      </c>
      <c r="D54" s="43">
        <f t="shared" si="1"/>
        <v>32</v>
      </c>
      <c r="E54" s="43">
        <f t="shared" si="5"/>
        <v>9</v>
      </c>
      <c r="F54" s="44">
        <f t="shared" si="2"/>
        <v>0</v>
      </c>
      <c r="G54" s="45">
        <f>IF(D54=D53,"",_xlfn.IFNA(VLOOKUP(D54,'인원 입력 기능'!$Q$5:$T$55,4,FALSE),0))</f>
        <v>73</v>
      </c>
      <c r="H54" s="46">
        <f t="shared" si="3"/>
        <v>2.4035295667061769E-3</v>
      </c>
      <c r="I54" s="50">
        <f>SUM($G$7:G54)</f>
        <v>30270</v>
      </c>
      <c r="J54" s="48">
        <f t="shared" si="4"/>
        <v>0.99664164361912289</v>
      </c>
      <c r="K54" s="18"/>
      <c r="M54" s="1"/>
    </row>
    <row r="55" spans="1:13" ht="25" customHeight="1">
      <c r="A55" s="5"/>
      <c r="B55" s="17"/>
      <c r="C55" s="42">
        <v>2</v>
      </c>
      <c r="D55" s="43">
        <f t="shared" si="1"/>
        <v>31</v>
      </c>
      <c r="E55" s="43">
        <f t="shared" si="5"/>
        <v>9</v>
      </c>
      <c r="F55" s="44">
        <f t="shared" si="2"/>
        <v>0</v>
      </c>
      <c r="G55" s="45">
        <f>IF(D55=D54,"",_xlfn.IFNA(VLOOKUP(D55,'인원 입력 기능'!$Q$5:$T$55,4,FALSE),0))</f>
        <v>62</v>
      </c>
      <c r="H55" s="46">
        <f t="shared" si="3"/>
        <v>2.0413538785723695E-3</v>
      </c>
      <c r="I55" s="50">
        <f>SUM($G$7:G55)</f>
        <v>30332</v>
      </c>
      <c r="J55" s="48">
        <f t="shared" si="4"/>
        <v>0.99868299749769529</v>
      </c>
      <c r="K55" s="18"/>
      <c r="M55" s="1"/>
    </row>
    <row r="56" spans="1:13" ht="25" customHeight="1">
      <c r="A56" s="5"/>
      <c r="B56" s="17"/>
      <c r="C56" s="49">
        <v>1</v>
      </c>
      <c r="D56" s="111" t="s">
        <v>31</v>
      </c>
      <c r="E56" s="112"/>
      <c r="F56" s="112"/>
      <c r="G56" s="112"/>
      <c r="H56" s="112"/>
      <c r="I56" s="112"/>
      <c r="J56" s="113"/>
      <c r="K56" s="18"/>
      <c r="M56" s="1"/>
    </row>
    <row r="57" spans="1:13" ht="25" customHeight="1" thickBot="1">
      <c r="A57" s="5"/>
      <c r="B57" s="17"/>
      <c r="C57" s="57">
        <v>0</v>
      </c>
      <c r="D57" s="58">
        <f>ROUND(10*(C57-$H$3)/$H$4+50,0)</f>
        <v>30</v>
      </c>
      <c r="E57" s="59">
        <f t="shared" si="5"/>
        <v>9</v>
      </c>
      <c r="F57" s="60">
        <f>IF(I55=0,ROUND(100*(1-(I54+I57)/2/$J$3),0),ROUND(100*(1-(I55+I57)/2/$J$3),0))</f>
        <v>0</v>
      </c>
      <c r="G57" s="61">
        <f>_xlfn.IFNA(VLOOKUP(D57,'인원 입력 기능'!$Q$5:$T$55,4,FALSE),0)</f>
        <v>40</v>
      </c>
      <c r="H57" s="62">
        <f>G57/J3</f>
        <v>1.3170025023047543E-3</v>
      </c>
      <c r="I57" s="63">
        <f>SUM($G$7:G57)</f>
        <v>30372</v>
      </c>
      <c r="J57" s="64">
        <f>I57/J3</f>
        <v>1</v>
      </c>
      <c r="K57" s="18"/>
      <c r="M57" s="1"/>
    </row>
    <row r="58" spans="1:13" ht="6" customHeight="1">
      <c r="A58" s="5"/>
      <c r="B58" s="20"/>
      <c r="C58" s="21"/>
      <c r="D58" s="21"/>
      <c r="E58" s="21"/>
      <c r="F58" s="21"/>
      <c r="G58" s="21"/>
      <c r="H58" s="21"/>
      <c r="I58" s="21"/>
      <c r="J58" s="21"/>
      <c r="K58" s="22"/>
      <c r="M58" s="1"/>
    </row>
    <row r="59" spans="1:13">
      <c r="M59" s="1"/>
    </row>
    <row r="60" spans="1:13">
      <c r="M60" s="1"/>
    </row>
    <row r="61" spans="1:13">
      <c r="M61" s="1"/>
    </row>
    <row r="62" spans="1:13">
      <c r="M62" s="1"/>
    </row>
    <row r="63" spans="1:13">
      <c r="M63" s="1"/>
    </row>
    <row r="64" spans="1:13">
      <c r="M64" s="1"/>
    </row>
    <row r="65" spans="13:13">
      <c r="M65" s="1"/>
    </row>
    <row r="66" spans="13:13">
      <c r="M66" s="1"/>
    </row>
    <row r="67" spans="13:13">
      <c r="M67" s="1"/>
    </row>
    <row r="68" spans="13:13">
      <c r="M68" s="1"/>
    </row>
    <row r="69" spans="13:13">
      <c r="M69" s="1"/>
    </row>
    <row r="70" spans="13:13">
      <c r="M70" s="1"/>
    </row>
    <row r="71" spans="13:13">
      <c r="M71" s="1"/>
    </row>
    <row r="72" spans="13:13">
      <c r="M72" s="1"/>
    </row>
    <row r="73" spans="13:13">
      <c r="M73" s="1"/>
    </row>
    <row r="74" spans="13:13">
      <c r="M74" s="1"/>
    </row>
    <row r="75" spans="13:13">
      <c r="M75" s="1"/>
    </row>
    <row r="76" spans="13:13">
      <c r="M76" s="1"/>
    </row>
    <row r="77" spans="13:13">
      <c r="M77" s="1"/>
    </row>
    <row r="78" spans="13:13">
      <c r="M78" s="1"/>
    </row>
    <row r="79" spans="13:13">
      <c r="M79" s="1"/>
    </row>
    <row r="80" spans="13:13">
      <c r="M80" s="1"/>
    </row>
    <row r="81" spans="13:13">
      <c r="M81" s="1"/>
    </row>
    <row r="82" spans="13:13">
      <c r="M82" s="1"/>
    </row>
    <row r="83" spans="13:13">
      <c r="M83" s="1"/>
    </row>
    <row r="84" spans="13:13">
      <c r="M84" s="1"/>
    </row>
    <row r="85" spans="13:13">
      <c r="M85" s="1"/>
    </row>
    <row r="86" spans="13:13">
      <c r="M86" s="1"/>
    </row>
    <row r="87" spans="13:13">
      <c r="M87" s="1"/>
    </row>
    <row r="88" spans="13:13">
      <c r="M88" s="1"/>
    </row>
    <row r="89" spans="13:13">
      <c r="M89" s="1"/>
    </row>
    <row r="90" spans="13:13">
      <c r="M90" s="1"/>
    </row>
    <row r="91" spans="13:13">
      <c r="M91" s="1"/>
    </row>
    <row r="92" spans="13:13">
      <c r="M92" s="1"/>
    </row>
    <row r="93" spans="13:13">
      <c r="M93" s="1"/>
    </row>
    <row r="94" spans="13:13">
      <c r="M94" s="1"/>
    </row>
    <row r="95" spans="13:13">
      <c r="M95" s="1"/>
    </row>
    <row r="96" spans="13:13">
      <c r="M96" s="1"/>
    </row>
    <row r="97" spans="13:13">
      <c r="M97" s="1"/>
    </row>
    <row r="98" spans="13:13">
      <c r="M98" s="1"/>
    </row>
    <row r="99" spans="13:13">
      <c r="M99" s="1"/>
    </row>
    <row r="100" spans="13:13">
      <c r="M100" s="1"/>
    </row>
    <row r="101" spans="13:13">
      <c r="M101" s="1"/>
    </row>
    <row r="102" spans="13:13">
      <c r="M102" s="1"/>
    </row>
    <row r="103" spans="13:13">
      <c r="M103" s="1"/>
    </row>
    <row r="104" spans="13:13">
      <c r="M104" s="1"/>
    </row>
    <row r="105" spans="13:13">
      <c r="M105" s="1"/>
    </row>
  </sheetData>
  <mergeCells count="32">
    <mergeCell ref="I44:I45"/>
    <mergeCell ref="J44:J45"/>
    <mergeCell ref="D44:D45"/>
    <mergeCell ref="E44:E45"/>
    <mergeCell ref="F44:F45"/>
    <mergeCell ref="G44:G45"/>
    <mergeCell ref="H44:H45"/>
    <mergeCell ref="I21:I22"/>
    <mergeCell ref="J21:J22"/>
    <mergeCell ref="D32:D33"/>
    <mergeCell ref="E32:E33"/>
    <mergeCell ref="F32:F33"/>
    <mergeCell ref="G32:G33"/>
    <mergeCell ref="H32:H33"/>
    <mergeCell ref="I32:I33"/>
    <mergeCell ref="J32:J33"/>
    <mergeCell ref="D3:F3"/>
    <mergeCell ref="D4:F4"/>
    <mergeCell ref="D56:J56"/>
    <mergeCell ref="D8:J8"/>
    <mergeCell ref="D9:D10"/>
    <mergeCell ref="E9:E10"/>
    <mergeCell ref="F9:F10"/>
    <mergeCell ref="G9:G10"/>
    <mergeCell ref="H9:H10"/>
    <mergeCell ref="I9:I10"/>
    <mergeCell ref="J9:J10"/>
    <mergeCell ref="D21:D22"/>
    <mergeCell ref="E21:E22"/>
    <mergeCell ref="F21:F22"/>
    <mergeCell ref="G21:G22"/>
    <mergeCell ref="H21:H22"/>
  </mergeCells>
  <phoneticPr fontId="1" type="noConversion"/>
  <conditionalFormatting sqref="D7:J7 D57:J57 D9:J9 D11:J21 D23:J32 D34:J44 D46:J55">
    <cfRule type="expression" dxfId="139" priority="7">
      <formula>OR($D7=$P$7:$P$14)</formula>
    </cfRule>
  </conditionalFormatting>
  <conditionalFormatting sqref="C7:C57">
    <cfRule type="expression" dxfId="138" priority="6">
      <formula>OR(AND($D7=0,OR($D6=$P$7:$P$14)),AND($D8&gt;0,OR($D7=$P$7:$P$14)))</formula>
    </cfRule>
  </conditionalFormatting>
  <conditionalFormatting sqref="D7 D57 D9 D11:D21 D23:D32 D34:D44 D46:D55">
    <cfRule type="expression" dxfId="137" priority="5">
      <formula>$D7=$D8</formula>
    </cfRule>
  </conditionalFormatting>
  <conditionalFormatting sqref="D56">
    <cfRule type="expression" dxfId="136" priority="4">
      <formula>OR($D56=$P$7:$P$14)</formula>
    </cfRule>
  </conditionalFormatting>
  <conditionalFormatting sqref="D56">
    <cfRule type="expression" dxfId="135" priority="3">
      <formula>$D56=$D57</formula>
    </cfRule>
  </conditionalFormatting>
  <conditionalFormatting sqref="D8">
    <cfRule type="expression" dxfId="134" priority="2">
      <formula>OR($D8=$P$7:$P$14)</formula>
    </cfRule>
  </conditionalFormatting>
  <conditionalFormatting sqref="D8">
    <cfRule type="expression" dxfId="133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9ABD9-E74C-4687-9C80-5E784D6F62E9}">
  <sheetPr codeName="Sheet12"/>
  <dimension ref="A1:P105"/>
  <sheetViews>
    <sheetView zoomScaleNormal="100" workbookViewId="0">
      <selection activeCell="B2" sqref="B2:K58"/>
    </sheetView>
  </sheetViews>
  <sheetFormatPr defaultRowHeight="17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6">
      <c r="A1" s="5" t="s">
        <v>44</v>
      </c>
      <c r="C1" s="5"/>
      <c r="D1" s="5"/>
      <c r="E1" s="5"/>
      <c r="F1" s="5"/>
      <c r="G1" s="5"/>
      <c r="H1" s="5"/>
      <c r="I1" s="5"/>
      <c r="J1" s="5"/>
      <c r="K1" s="5"/>
    </row>
    <row r="2" spans="1:16" s="5" customFormat="1" ht="6" customHeight="1" thickBot="1">
      <c r="B2" s="15"/>
      <c r="C2" s="23"/>
      <c r="D2" s="23"/>
      <c r="E2" s="23"/>
      <c r="F2" s="23"/>
      <c r="G2" s="23"/>
      <c r="H2" s="23"/>
      <c r="I2" s="23"/>
      <c r="J2" s="23"/>
      <c r="K2" s="16"/>
    </row>
    <row r="3" spans="1:16" ht="25" customHeight="1" thickBot="1">
      <c r="A3" s="5"/>
      <c r="B3" s="17"/>
      <c r="C3" s="34" t="s">
        <v>47</v>
      </c>
      <c r="D3" s="105" t="s">
        <v>115</v>
      </c>
      <c r="E3" s="106"/>
      <c r="F3" s="107"/>
      <c r="G3" s="34" t="s">
        <v>48</v>
      </c>
      <c r="H3" s="101">
        <f>'통계 및 응시자 수 입력 기능'!D8</f>
        <v>26.25</v>
      </c>
      <c r="I3" s="103" t="s">
        <v>49</v>
      </c>
      <c r="J3" s="104">
        <f>'통계 및 응시자 수 입력 기능'!C8</f>
        <v>21313</v>
      </c>
      <c r="K3" s="18"/>
    </row>
    <row r="4" spans="1:16" ht="25" customHeight="1" thickBot="1">
      <c r="A4" s="5"/>
      <c r="B4" s="17"/>
      <c r="C4" s="35" t="s">
        <v>50</v>
      </c>
      <c r="D4" s="108" t="s">
        <v>69</v>
      </c>
      <c r="E4" s="109"/>
      <c r="F4" s="110"/>
      <c r="G4" s="36" t="s">
        <v>52</v>
      </c>
      <c r="H4" s="102">
        <f>'통계 및 응시자 수 입력 기능'!E8</f>
        <v>13.12</v>
      </c>
      <c r="I4" s="12"/>
      <c r="J4" s="12"/>
      <c r="K4" s="18"/>
    </row>
    <row r="5" spans="1:16" ht="25" customHeight="1" thickBot="1">
      <c r="A5" s="5"/>
      <c r="B5" s="17"/>
      <c r="C5" s="12"/>
      <c r="D5" s="12"/>
      <c r="E5" s="12"/>
      <c r="F5" s="12"/>
      <c r="G5" s="12"/>
      <c r="H5" s="19"/>
      <c r="I5" s="19"/>
      <c r="J5" s="19"/>
      <c r="K5" s="18"/>
    </row>
    <row r="6" spans="1:16" ht="25" customHeight="1" thickBot="1">
      <c r="A6" s="5"/>
      <c r="B6" s="17"/>
      <c r="C6" s="38" t="s">
        <v>73</v>
      </c>
      <c r="D6" s="39" t="s">
        <v>74</v>
      </c>
      <c r="E6" s="39" t="s">
        <v>75</v>
      </c>
      <c r="F6" s="39" t="s">
        <v>76</v>
      </c>
      <c r="G6" s="39" t="s">
        <v>77</v>
      </c>
      <c r="H6" s="40" t="s">
        <v>78</v>
      </c>
      <c r="I6" s="40" t="s">
        <v>79</v>
      </c>
      <c r="J6" s="41" t="s">
        <v>80</v>
      </c>
      <c r="K6" s="18"/>
      <c r="L6" s="3"/>
      <c r="M6" s="4"/>
    </row>
    <row r="7" spans="1:16" ht="25" customHeight="1">
      <c r="A7" s="5"/>
      <c r="B7" s="17"/>
      <c r="C7" s="42">
        <v>50</v>
      </c>
      <c r="D7" s="43">
        <f>ROUND(10*(C7-$H$3)/$H$4+50,0)</f>
        <v>68</v>
      </c>
      <c r="E7" s="43">
        <f t="shared" ref="E7:E38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44">
        <f>ROUND(100*(1-(0+I7)/2/$J$3),0)</f>
        <v>98</v>
      </c>
      <c r="G7" s="45">
        <f>_xlfn.IFNA(VLOOKUP(D7,'인원 입력 기능'!$V$5:$Y$55,4,FALSE),0)</f>
        <v>976</v>
      </c>
      <c r="H7" s="46">
        <f>G7/J3</f>
        <v>4.5793647069863462E-2</v>
      </c>
      <c r="I7" s="47">
        <f>G7</f>
        <v>976</v>
      </c>
      <c r="J7" s="48">
        <f>I7/J3</f>
        <v>4.5793647069863462E-2</v>
      </c>
      <c r="K7" s="18"/>
      <c r="M7" s="1"/>
      <c r="O7" s="1">
        <v>1</v>
      </c>
      <c r="P7" s="1">
        <f>'표준점수 등급컷 입력기능'!B16</f>
        <v>68</v>
      </c>
    </row>
    <row r="8" spans="1:16" ht="25" customHeight="1">
      <c r="A8" s="5"/>
      <c r="B8" s="17"/>
      <c r="C8" s="49">
        <v>49</v>
      </c>
      <c r="D8" s="111" t="s">
        <v>31</v>
      </c>
      <c r="E8" s="112"/>
      <c r="F8" s="112"/>
      <c r="G8" s="112"/>
      <c r="H8" s="112"/>
      <c r="I8" s="112"/>
      <c r="J8" s="113"/>
      <c r="K8" s="18"/>
      <c r="M8" s="1"/>
      <c r="O8" s="1">
        <v>2</v>
      </c>
      <c r="P8" s="1">
        <f>'표준점수 등급컷 입력기능'!B17</f>
        <v>64</v>
      </c>
    </row>
    <row r="9" spans="1:16" ht="25" customHeight="1">
      <c r="A9" s="5"/>
      <c r="B9" s="17"/>
      <c r="C9" s="42">
        <v>48</v>
      </c>
      <c r="D9" s="43">
        <f>ROUND(10*(C9-$H$3)/$H$4+50,0)</f>
        <v>67</v>
      </c>
      <c r="E9" s="43">
        <f t="shared" si="0"/>
        <v>2</v>
      </c>
      <c r="F9" s="44">
        <f>IF(I8=0,ROUND(100*(1-(I7+I9)/2/$J$3),0),ROUND(100*(1-(I8+I9)/2/$J$3),0))</f>
        <v>94</v>
      </c>
      <c r="G9" s="45">
        <f>_xlfn.IFNA(VLOOKUP(D9,'인원 입력 기능'!$V$5:$Y$55,4,FALSE),0)</f>
        <v>646</v>
      </c>
      <c r="H9" s="46">
        <f>G9/$J$3</f>
        <v>3.0310139351569464E-2</v>
      </c>
      <c r="I9" s="50">
        <f>SUM($G$7:G9)</f>
        <v>1622</v>
      </c>
      <c r="J9" s="48">
        <f>I9/$J$3</f>
        <v>7.6103786421432923E-2</v>
      </c>
      <c r="K9" s="18"/>
      <c r="M9" s="1"/>
      <c r="O9" s="1">
        <v>3</v>
      </c>
      <c r="P9" s="1">
        <f>'표준점수 등급컷 입력기능'!B18</f>
        <v>59</v>
      </c>
    </row>
    <row r="10" spans="1:16" ht="25" customHeight="1">
      <c r="A10" s="5"/>
      <c r="B10" s="17"/>
      <c r="C10" s="49">
        <v>47</v>
      </c>
      <c r="D10" s="43">
        <f t="shared" ref="D10:D55" si="1">ROUND(10*(C10-$H$3)/$H$4+50,0)</f>
        <v>66</v>
      </c>
      <c r="E10" s="43">
        <f t="shared" si="0"/>
        <v>2</v>
      </c>
      <c r="F10" s="44">
        <f>IF(I9=0,ROUND(100*(1-(I8+I10)/2/$J$3),0),ROUND(100*(1-(I9+I10)/2/$J$3),0))</f>
        <v>92</v>
      </c>
      <c r="G10" s="45">
        <f>IF(D10=D9,"",_xlfn.IFNA(VLOOKUP(D10,'인원 입력 기능'!$V$5:$Y$55,4,FALSE),0))</f>
        <v>271</v>
      </c>
      <c r="H10" s="46">
        <f t="shared" ref="H10:H55" si="2">G10/$J$3</f>
        <v>1.2715244217144466E-2</v>
      </c>
      <c r="I10" s="50">
        <f>SUM($G$7:G10)</f>
        <v>1893</v>
      </c>
      <c r="J10" s="48">
        <f t="shared" ref="J10:J55" si="3">I10/$J$3</f>
        <v>8.8819030638577393E-2</v>
      </c>
      <c r="K10" s="18"/>
      <c r="M10" s="1"/>
      <c r="O10" s="1">
        <v>4</v>
      </c>
      <c r="P10" s="1">
        <f>'표준점수 등급컷 입력기능'!B19</f>
        <v>52</v>
      </c>
    </row>
    <row r="11" spans="1:16" ht="25" customHeight="1">
      <c r="A11" s="5"/>
      <c r="B11" s="17"/>
      <c r="C11" s="42">
        <v>46</v>
      </c>
      <c r="D11" s="43">
        <f t="shared" si="1"/>
        <v>65</v>
      </c>
      <c r="E11" s="43">
        <f t="shared" si="0"/>
        <v>2</v>
      </c>
      <c r="F11" s="44">
        <f t="shared" ref="F11:F55" si="4">IF(I10=0,ROUND(100*(1-(I9+I11)/2/$J$3),0),ROUND(100*(1-(I10+I11)/2/$J$3),0))</f>
        <v>90</v>
      </c>
      <c r="G11" s="45">
        <f>IF(D11=D10,"",_xlfn.IFNA(VLOOKUP(D11,'인원 입력 기능'!$V$5:$Y$55,4,FALSE),0))</f>
        <v>335</v>
      </c>
      <c r="H11" s="46">
        <f t="shared" si="2"/>
        <v>1.5718106320086331E-2</v>
      </c>
      <c r="I11" s="50">
        <f>SUM($G$7:G11)</f>
        <v>2228</v>
      </c>
      <c r="J11" s="48">
        <f t="shared" si="3"/>
        <v>0.10453713695866372</v>
      </c>
      <c r="K11" s="18"/>
      <c r="M11" s="1"/>
      <c r="O11" s="1">
        <v>5</v>
      </c>
      <c r="P11" s="1">
        <f>'표준점수 등급컷 입력기능'!B20</f>
        <v>45</v>
      </c>
    </row>
    <row r="12" spans="1:16" ht="25" customHeight="1">
      <c r="A12" s="5"/>
      <c r="B12" s="17"/>
      <c r="C12" s="49">
        <v>45</v>
      </c>
      <c r="D12" s="286">
        <f t="shared" si="1"/>
        <v>64</v>
      </c>
      <c r="E12" s="286">
        <f t="shared" si="0"/>
        <v>2</v>
      </c>
      <c r="F12" s="288">
        <f t="shared" si="4"/>
        <v>88</v>
      </c>
      <c r="G12" s="290">
        <f>IF(D12=D11,"",_xlfn.IFNA(VLOOKUP(D12,'인원 입력 기능'!$V$5:$Y$55,4,FALSE),0))</f>
        <v>705</v>
      </c>
      <c r="H12" s="291">
        <f t="shared" si="2"/>
        <v>3.3078402852718999E-2</v>
      </c>
      <c r="I12" s="293">
        <f>SUM($G$7:G12)</f>
        <v>2933</v>
      </c>
      <c r="J12" s="295">
        <f t="shared" si="3"/>
        <v>0.13761553981138272</v>
      </c>
      <c r="K12" s="18"/>
      <c r="M12" s="1"/>
      <c r="O12" s="1">
        <v>6</v>
      </c>
      <c r="P12" s="1">
        <f>'표준점수 등급컷 입력기능'!B21</f>
        <v>41</v>
      </c>
    </row>
    <row r="13" spans="1:16" ht="25" customHeight="1">
      <c r="A13" s="5"/>
      <c r="B13" s="17"/>
      <c r="C13" s="42">
        <v>44</v>
      </c>
      <c r="D13" s="285"/>
      <c r="E13" s="285"/>
      <c r="F13" s="287"/>
      <c r="G13" s="289"/>
      <c r="H13" s="292"/>
      <c r="I13" s="294"/>
      <c r="J13" s="296"/>
      <c r="K13" s="18"/>
      <c r="M13" s="1"/>
      <c r="O13" s="1">
        <v>7</v>
      </c>
      <c r="P13" s="1">
        <f>'표준점수 등급컷 입력기능'!B22</f>
        <v>38</v>
      </c>
    </row>
    <row r="14" spans="1:16" ht="25" customHeight="1">
      <c r="A14" s="5"/>
      <c r="B14" s="17"/>
      <c r="C14" s="49">
        <v>43</v>
      </c>
      <c r="D14" s="43">
        <f t="shared" si="1"/>
        <v>63</v>
      </c>
      <c r="E14" s="43">
        <f t="shared" si="0"/>
        <v>3</v>
      </c>
      <c r="F14" s="44">
        <f t="shared" si="4"/>
        <v>85</v>
      </c>
      <c r="G14" s="45">
        <f>IF(D14=D13,"",_xlfn.IFNA(VLOOKUP(D14,'인원 입력 기능'!$V$5:$Y$55,4,FALSE),0))</f>
        <v>475</v>
      </c>
      <c r="H14" s="46">
        <f t="shared" si="2"/>
        <v>2.2286867170271667E-2</v>
      </c>
      <c r="I14" s="50">
        <f>SUM($G$7:G14)</f>
        <v>3408</v>
      </c>
      <c r="J14" s="48">
        <f t="shared" si="3"/>
        <v>0.15990240698165439</v>
      </c>
      <c r="K14" s="18"/>
      <c r="M14" s="1"/>
      <c r="O14" s="1">
        <v>8</v>
      </c>
      <c r="P14" s="1">
        <f>'표준점수 등급컷 입력기능'!B23</f>
        <v>35</v>
      </c>
    </row>
    <row r="15" spans="1:16" ht="25" customHeight="1">
      <c r="A15" s="5"/>
      <c r="B15" s="17"/>
      <c r="C15" s="42">
        <v>42</v>
      </c>
      <c r="D15" s="43">
        <f t="shared" si="1"/>
        <v>62</v>
      </c>
      <c r="E15" s="43">
        <f t="shared" si="0"/>
        <v>3</v>
      </c>
      <c r="F15" s="44">
        <f t="shared" si="4"/>
        <v>83</v>
      </c>
      <c r="G15" s="45">
        <f>IF(D15=D14,"",_xlfn.IFNA(VLOOKUP(D15,'인원 입력 기능'!$V$5:$Y$55,4,FALSE),0))</f>
        <v>349</v>
      </c>
      <c r="H15" s="46">
        <f t="shared" si="2"/>
        <v>1.6374982405104866E-2</v>
      </c>
      <c r="I15" s="50">
        <f>SUM($G$7:G15)</f>
        <v>3757</v>
      </c>
      <c r="J15" s="48">
        <f t="shared" si="3"/>
        <v>0.17627738938675924</v>
      </c>
      <c r="K15" s="18"/>
      <c r="M15" s="1"/>
      <c r="O15" s="1">
        <v>9</v>
      </c>
      <c r="P15" s="1"/>
    </row>
    <row r="16" spans="1:16" ht="25" customHeight="1">
      <c r="A16" s="5"/>
      <c r="B16" s="17"/>
      <c r="C16" s="49">
        <v>41</v>
      </c>
      <c r="D16" s="43">
        <f t="shared" si="1"/>
        <v>61</v>
      </c>
      <c r="E16" s="43">
        <f t="shared" si="0"/>
        <v>3</v>
      </c>
      <c r="F16" s="44">
        <f t="shared" si="4"/>
        <v>82</v>
      </c>
      <c r="G16" s="45">
        <f>IF(D16=D15,"",_xlfn.IFNA(VLOOKUP(D16,'인원 입력 기능'!$V$5:$Y$55,4,FALSE),0))</f>
        <v>265</v>
      </c>
      <c r="H16" s="46">
        <f t="shared" si="2"/>
        <v>1.2433725894993666E-2</v>
      </c>
      <c r="I16" s="50">
        <f>SUM($G$7:G16)</f>
        <v>4022</v>
      </c>
      <c r="J16" s="48">
        <f t="shared" si="3"/>
        <v>0.18871111528175291</v>
      </c>
      <c r="K16" s="18"/>
      <c r="M16" s="1"/>
    </row>
    <row r="17" spans="1:16" ht="25" customHeight="1">
      <c r="A17" s="5"/>
      <c r="B17" s="17"/>
      <c r="C17" s="42">
        <v>40</v>
      </c>
      <c r="D17" s="286">
        <f t="shared" si="1"/>
        <v>60</v>
      </c>
      <c r="E17" s="286">
        <f t="shared" si="0"/>
        <v>3</v>
      </c>
      <c r="F17" s="288">
        <f t="shared" si="4"/>
        <v>79</v>
      </c>
      <c r="G17" s="290">
        <f>IF(D17=D16,"",_xlfn.IFNA(VLOOKUP(D17,'인원 입력 기능'!$V$5:$Y$55,4,FALSE),0))</f>
        <v>753</v>
      </c>
      <c r="H17" s="291">
        <f t="shared" si="2"/>
        <v>3.5330549429925397E-2</v>
      </c>
      <c r="I17" s="293">
        <f>SUM($G$7:G17)</f>
        <v>4775</v>
      </c>
      <c r="J17" s="295">
        <f t="shared" si="3"/>
        <v>0.22404166471167833</v>
      </c>
      <c r="K17" s="18"/>
      <c r="M17" s="1"/>
      <c r="P17" s="1">
        <f>H3*H4*J3*P7*IFERROR(IF(J57=1, 1, 0), 0)</f>
        <v>499133409.59999996</v>
      </c>
    </row>
    <row r="18" spans="1:16" ht="25" customHeight="1">
      <c r="A18" s="5"/>
      <c r="B18" s="17"/>
      <c r="C18" s="49">
        <v>39</v>
      </c>
      <c r="D18" s="285"/>
      <c r="E18" s="285"/>
      <c r="F18" s="287"/>
      <c r="G18" s="289"/>
      <c r="H18" s="292"/>
      <c r="I18" s="294"/>
      <c r="J18" s="296"/>
      <c r="K18" s="18"/>
      <c r="M18" s="1"/>
    </row>
    <row r="19" spans="1:16" ht="25" customHeight="1">
      <c r="A19" s="5"/>
      <c r="B19" s="17"/>
      <c r="C19" s="42">
        <v>38</v>
      </c>
      <c r="D19" s="43">
        <f t="shared" si="1"/>
        <v>59</v>
      </c>
      <c r="E19" s="43">
        <f t="shared" si="0"/>
        <v>3</v>
      </c>
      <c r="F19" s="44">
        <f t="shared" si="4"/>
        <v>77</v>
      </c>
      <c r="G19" s="45">
        <f>IF(D19=D18,"",_xlfn.IFNA(VLOOKUP(D19,'인원 입력 기능'!$V$5:$Y$55,4,FALSE),0))</f>
        <v>397</v>
      </c>
      <c r="H19" s="46">
        <f t="shared" si="2"/>
        <v>1.8627128982311267E-2</v>
      </c>
      <c r="I19" s="50">
        <f>SUM($G$7:G19)</f>
        <v>5172</v>
      </c>
      <c r="J19" s="48">
        <f t="shared" si="3"/>
        <v>0.24266879369398958</v>
      </c>
      <c r="K19" s="18"/>
      <c r="M19" s="1"/>
    </row>
    <row r="20" spans="1:16" ht="25" customHeight="1">
      <c r="A20" s="5"/>
      <c r="B20" s="17"/>
      <c r="C20" s="49">
        <v>37</v>
      </c>
      <c r="D20" s="43">
        <f t="shared" si="1"/>
        <v>58</v>
      </c>
      <c r="E20" s="43">
        <f t="shared" si="0"/>
        <v>4</v>
      </c>
      <c r="F20" s="44">
        <f t="shared" si="4"/>
        <v>75</v>
      </c>
      <c r="G20" s="45">
        <f>IF(D20=D19,"",_xlfn.IFNA(VLOOKUP(D20,'인원 입력 기능'!$V$5:$Y$55,4,FALSE),0))</f>
        <v>436</v>
      </c>
      <c r="H20" s="46">
        <f t="shared" si="2"/>
        <v>2.0456998076291467E-2</v>
      </c>
      <c r="I20" s="50">
        <f>SUM($G$7:G20)</f>
        <v>5608</v>
      </c>
      <c r="J20" s="48">
        <f t="shared" si="3"/>
        <v>0.26312579177028106</v>
      </c>
      <c r="K20" s="18"/>
      <c r="M20" s="1"/>
    </row>
    <row r="21" spans="1:16" ht="25" customHeight="1">
      <c r="A21" s="5"/>
      <c r="B21" s="17"/>
      <c r="C21" s="51">
        <v>36</v>
      </c>
      <c r="D21" s="298">
        <f t="shared" si="1"/>
        <v>57</v>
      </c>
      <c r="E21" s="298">
        <f t="shared" si="0"/>
        <v>4</v>
      </c>
      <c r="F21" s="288">
        <f t="shared" si="4"/>
        <v>72</v>
      </c>
      <c r="G21" s="290">
        <f>IF(D21=D20,"",_xlfn.IFNA(VLOOKUP(D21,'인원 입력 기능'!$V$5:$Y$55,4,FALSE),0))</f>
        <v>767</v>
      </c>
      <c r="H21" s="291">
        <f t="shared" si="2"/>
        <v>3.5987425514943931E-2</v>
      </c>
      <c r="I21" s="293">
        <f>SUM($G$7:G21)</f>
        <v>6375</v>
      </c>
      <c r="J21" s="295">
        <f t="shared" si="3"/>
        <v>0.299113217285225</v>
      </c>
      <c r="K21" s="18"/>
      <c r="M21" s="1"/>
    </row>
    <row r="22" spans="1:16" ht="25" customHeight="1">
      <c r="A22" s="5"/>
      <c r="B22" s="17"/>
      <c r="C22" s="52">
        <v>35</v>
      </c>
      <c r="D22" s="297"/>
      <c r="E22" s="297"/>
      <c r="F22" s="287"/>
      <c r="G22" s="289"/>
      <c r="H22" s="292"/>
      <c r="I22" s="294"/>
      <c r="J22" s="296"/>
      <c r="K22" s="18"/>
      <c r="M22" s="1"/>
    </row>
    <row r="23" spans="1:16" ht="25" customHeight="1">
      <c r="A23" s="5"/>
      <c r="B23" s="17"/>
      <c r="C23" s="51">
        <v>34</v>
      </c>
      <c r="D23" s="53">
        <f t="shared" si="1"/>
        <v>56</v>
      </c>
      <c r="E23" s="53">
        <f t="shared" si="0"/>
        <v>4</v>
      </c>
      <c r="F23" s="44">
        <f t="shared" si="4"/>
        <v>69</v>
      </c>
      <c r="G23" s="45">
        <f>IF(D23=D22,"",_xlfn.IFNA(VLOOKUP(D23,'인원 입력 기능'!$V$5:$Y$55,4,FALSE),0))</f>
        <v>387</v>
      </c>
      <c r="H23" s="46">
        <f t="shared" si="2"/>
        <v>1.8157931778726599E-2</v>
      </c>
      <c r="I23" s="50">
        <f>SUM($G$7:G23)</f>
        <v>6762</v>
      </c>
      <c r="J23" s="48">
        <f t="shared" si="3"/>
        <v>0.3172711490639516</v>
      </c>
      <c r="K23" s="18"/>
      <c r="M23" s="1"/>
    </row>
    <row r="24" spans="1:16" ht="25" customHeight="1">
      <c r="A24" s="5"/>
      <c r="B24" s="17"/>
      <c r="C24" s="52">
        <v>33</v>
      </c>
      <c r="D24" s="53">
        <f t="shared" si="1"/>
        <v>55</v>
      </c>
      <c r="E24" s="53">
        <f t="shared" si="0"/>
        <v>4</v>
      </c>
      <c r="F24" s="44">
        <f t="shared" si="4"/>
        <v>67</v>
      </c>
      <c r="G24" s="45">
        <f>IF(D24=D23,"",_xlfn.IFNA(VLOOKUP(D24,'인원 입력 기능'!$V$5:$Y$55,4,FALSE),0))</f>
        <v>395</v>
      </c>
      <c r="H24" s="46">
        <f t="shared" si="2"/>
        <v>1.8533289541594333E-2</v>
      </c>
      <c r="I24" s="50">
        <f>SUM($G$7:G24)</f>
        <v>7157</v>
      </c>
      <c r="J24" s="48">
        <f t="shared" si="3"/>
        <v>0.33580443860554593</v>
      </c>
      <c r="K24" s="18"/>
      <c r="M24" s="1"/>
    </row>
    <row r="25" spans="1:16" ht="25" customHeight="1">
      <c r="A25" s="5"/>
      <c r="B25" s="17"/>
      <c r="C25" s="51">
        <v>32</v>
      </c>
      <c r="D25" s="298">
        <f t="shared" si="1"/>
        <v>54</v>
      </c>
      <c r="E25" s="298">
        <f t="shared" si="0"/>
        <v>4</v>
      </c>
      <c r="F25" s="288">
        <f t="shared" si="4"/>
        <v>64</v>
      </c>
      <c r="G25" s="290">
        <f>IF(D25=D24,"",_xlfn.IFNA(VLOOKUP(D25,'인원 입력 기능'!$V$5:$Y$55,4,FALSE),0))</f>
        <v>839</v>
      </c>
      <c r="H25" s="291">
        <f t="shared" si="2"/>
        <v>3.9365645380753531E-2</v>
      </c>
      <c r="I25" s="293">
        <f>SUM($G$7:G25)</f>
        <v>7996</v>
      </c>
      <c r="J25" s="295">
        <f t="shared" si="3"/>
        <v>0.37517008398629942</v>
      </c>
      <c r="K25" s="18"/>
      <c r="M25" s="1"/>
    </row>
    <row r="26" spans="1:16" ht="25" customHeight="1">
      <c r="A26" s="5"/>
      <c r="B26" s="17"/>
      <c r="C26" s="52">
        <v>31</v>
      </c>
      <c r="D26" s="297"/>
      <c r="E26" s="297"/>
      <c r="F26" s="287"/>
      <c r="G26" s="289"/>
      <c r="H26" s="292"/>
      <c r="I26" s="294"/>
      <c r="J26" s="296"/>
      <c r="K26" s="18"/>
      <c r="M26" s="1"/>
    </row>
    <row r="27" spans="1:16" ht="25" customHeight="1">
      <c r="A27" s="5"/>
      <c r="B27" s="17"/>
      <c r="C27" s="51">
        <v>30</v>
      </c>
      <c r="D27" s="53">
        <f t="shared" si="1"/>
        <v>53</v>
      </c>
      <c r="E27" s="53">
        <f t="shared" si="0"/>
        <v>4</v>
      </c>
      <c r="F27" s="44">
        <f t="shared" si="4"/>
        <v>61</v>
      </c>
      <c r="G27" s="45">
        <f>IF(D27=D26,"",_xlfn.IFNA(VLOOKUP(D27,'인원 입력 기능'!$V$5:$Y$55,4,FALSE),0))</f>
        <v>484</v>
      </c>
      <c r="H27" s="46">
        <f t="shared" si="2"/>
        <v>2.2709144653497864E-2</v>
      </c>
      <c r="I27" s="50">
        <f>SUM($G$7:G27)</f>
        <v>8480</v>
      </c>
      <c r="J27" s="48">
        <f t="shared" si="3"/>
        <v>0.3978792286397973</v>
      </c>
      <c r="K27" s="18"/>
      <c r="M27" s="1"/>
    </row>
    <row r="28" spans="1:16" ht="25" customHeight="1">
      <c r="A28" s="5"/>
      <c r="B28" s="17"/>
      <c r="C28" s="52">
        <v>29</v>
      </c>
      <c r="D28" s="53">
        <f t="shared" si="1"/>
        <v>52</v>
      </c>
      <c r="E28" s="53">
        <f t="shared" si="0"/>
        <v>4</v>
      </c>
      <c r="F28" s="44">
        <f t="shared" si="4"/>
        <v>59</v>
      </c>
      <c r="G28" s="45">
        <f>IF(D28=D27,"",_xlfn.IFNA(VLOOKUP(D28,'인원 입력 기능'!$V$5:$Y$55,4,FALSE),0))</f>
        <v>440</v>
      </c>
      <c r="H28" s="46">
        <f t="shared" si="2"/>
        <v>2.064467695772533E-2</v>
      </c>
      <c r="I28" s="50">
        <f>SUM($G$7:G28)</f>
        <v>8920</v>
      </c>
      <c r="J28" s="48">
        <f t="shared" si="3"/>
        <v>0.41852390559752262</v>
      </c>
      <c r="K28" s="18"/>
      <c r="M28" s="1"/>
    </row>
    <row r="29" spans="1:16" ht="25" customHeight="1">
      <c r="A29" s="5"/>
      <c r="B29" s="17"/>
      <c r="C29" s="51">
        <v>28</v>
      </c>
      <c r="D29" s="298">
        <f t="shared" si="1"/>
        <v>51</v>
      </c>
      <c r="E29" s="298">
        <f t="shared" si="0"/>
        <v>5</v>
      </c>
      <c r="F29" s="288">
        <f t="shared" si="4"/>
        <v>56</v>
      </c>
      <c r="G29" s="290">
        <f>IF(D29=D28,"",_xlfn.IFNA(VLOOKUP(D29,'인원 입력 기능'!$V$5:$Y$55,4,FALSE),0))</f>
        <v>912</v>
      </c>
      <c r="H29" s="291">
        <f t="shared" si="2"/>
        <v>4.2790784966921597E-2</v>
      </c>
      <c r="I29" s="293">
        <f>SUM($G$7:G29)</f>
        <v>9832</v>
      </c>
      <c r="J29" s="295">
        <f t="shared" si="3"/>
        <v>0.46131469056444424</v>
      </c>
      <c r="K29" s="18"/>
      <c r="M29" s="1"/>
    </row>
    <row r="30" spans="1:16" ht="25" customHeight="1">
      <c r="A30" s="5"/>
      <c r="B30" s="17"/>
      <c r="C30" s="52">
        <v>27</v>
      </c>
      <c r="D30" s="297"/>
      <c r="E30" s="297"/>
      <c r="F30" s="287"/>
      <c r="G30" s="289"/>
      <c r="H30" s="292"/>
      <c r="I30" s="294"/>
      <c r="J30" s="296"/>
      <c r="K30" s="18"/>
      <c r="M30" s="1"/>
    </row>
    <row r="31" spans="1:16" ht="25" customHeight="1">
      <c r="A31" s="5"/>
      <c r="B31" s="17"/>
      <c r="C31" s="51">
        <v>26</v>
      </c>
      <c r="D31" s="53">
        <f t="shared" si="1"/>
        <v>50</v>
      </c>
      <c r="E31" s="53">
        <f t="shared" si="0"/>
        <v>5</v>
      </c>
      <c r="F31" s="44">
        <f t="shared" si="4"/>
        <v>53</v>
      </c>
      <c r="G31" s="45">
        <f>IF(D31=D30,"",_xlfn.IFNA(VLOOKUP(D31,'인원 입력 기능'!$V$5:$Y$55,4,FALSE),0))</f>
        <v>440</v>
      </c>
      <c r="H31" s="46">
        <f t="shared" si="2"/>
        <v>2.064467695772533E-2</v>
      </c>
      <c r="I31" s="50">
        <f>SUM($G$7:G31)</f>
        <v>10272</v>
      </c>
      <c r="J31" s="48">
        <f t="shared" si="3"/>
        <v>0.48195936752216956</v>
      </c>
      <c r="K31" s="18"/>
      <c r="M31" s="1"/>
    </row>
    <row r="32" spans="1:16" ht="25" customHeight="1">
      <c r="A32" s="5"/>
      <c r="B32" s="17"/>
      <c r="C32" s="52">
        <v>25</v>
      </c>
      <c r="D32" s="53">
        <f t="shared" si="1"/>
        <v>49</v>
      </c>
      <c r="E32" s="53">
        <f t="shared" si="0"/>
        <v>5</v>
      </c>
      <c r="F32" s="44">
        <f t="shared" si="4"/>
        <v>51</v>
      </c>
      <c r="G32" s="45">
        <f>IF(D32=D31,"",_xlfn.IFNA(VLOOKUP(D32,'인원 입력 기능'!$V$5:$Y$55,4,FALSE),0))</f>
        <v>479</v>
      </c>
      <c r="H32" s="46">
        <f t="shared" si="2"/>
        <v>2.247454605170553E-2</v>
      </c>
      <c r="I32" s="50">
        <f>SUM($G$7:G32)</f>
        <v>10751</v>
      </c>
      <c r="J32" s="48">
        <f t="shared" si="3"/>
        <v>0.50443391357387513</v>
      </c>
      <c r="K32" s="18"/>
      <c r="M32" s="1"/>
    </row>
    <row r="33" spans="1:13" ht="25" customHeight="1">
      <c r="A33" s="5"/>
      <c r="B33" s="17"/>
      <c r="C33" s="51">
        <v>24</v>
      </c>
      <c r="D33" s="298">
        <f t="shared" si="1"/>
        <v>48</v>
      </c>
      <c r="E33" s="298">
        <f t="shared" si="0"/>
        <v>5</v>
      </c>
      <c r="F33" s="288">
        <f t="shared" si="4"/>
        <v>47</v>
      </c>
      <c r="G33" s="290">
        <f>IF(D33=D32,"",_xlfn.IFNA(VLOOKUP(D33,'인원 입력 기능'!$V$5:$Y$55,4,FALSE),0))</f>
        <v>982</v>
      </c>
      <c r="H33" s="291">
        <f t="shared" si="2"/>
        <v>4.6075165392014263E-2</v>
      </c>
      <c r="I33" s="293">
        <f>SUM($G$7:G33)</f>
        <v>11733</v>
      </c>
      <c r="J33" s="295">
        <f t="shared" si="3"/>
        <v>0.55050907896588941</v>
      </c>
      <c r="K33" s="18"/>
      <c r="M33" s="1"/>
    </row>
    <row r="34" spans="1:13" ht="25" customHeight="1">
      <c r="A34" s="5"/>
      <c r="B34" s="17"/>
      <c r="C34" s="52">
        <v>23</v>
      </c>
      <c r="D34" s="297"/>
      <c r="E34" s="297"/>
      <c r="F34" s="287"/>
      <c r="G34" s="289"/>
      <c r="H34" s="292"/>
      <c r="I34" s="294"/>
      <c r="J34" s="296"/>
      <c r="K34" s="18"/>
      <c r="M34" s="1"/>
    </row>
    <row r="35" spans="1:13" ht="25" customHeight="1">
      <c r="A35" s="5"/>
      <c r="B35" s="17"/>
      <c r="C35" s="51">
        <v>22</v>
      </c>
      <c r="D35" s="53">
        <f t="shared" si="1"/>
        <v>47</v>
      </c>
      <c r="E35" s="53">
        <f t="shared" si="0"/>
        <v>5</v>
      </c>
      <c r="F35" s="44">
        <f t="shared" si="4"/>
        <v>44</v>
      </c>
      <c r="G35" s="45">
        <f>IF(D35=D34,"",_xlfn.IFNA(VLOOKUP(D35,'인원 입력 기능'!$V$5:$Y$55,4,FALSE),0))</f>
        <v>528</v>
      </c>
      <c r="H35" s="46">
        <f t="shared" si="2"/>
        <v>2.4773612349270398E-2</v>
      </c>
      <c r="I35" s="50">
        <f>SUM($G$7:G35)</f>
        <v>12261</v>
      </c>
      <c r="J35" s="48">
        <f t="shared" si="3"/>
        <v>0.57528269131515974</v>
      </c>
      <c r="K35" s="18"/>
      <c r="M35" s="1"/>
    </row>
    <row r="36" spans="1:13" ht="25" customHeight="1">
      <c r="A36" s="5"/>
      <c r="B36" s="17"/>
      <c r="C36" s="52">
        <v>21</v>
      </c>
      <c r="D36" s="53">
        <f t="shared" si="1"/>
        <v>46</v>
      </c>
      <c r="E36" s="53">
        <f t="shared" si="0"/>
        <v>5</v>
      </c>
      <c r="F36" s="44">
        <f t="shared" si="4"/>
        <v>41</v>
      </c>
      <c r="G36" s="45">
        <f>IF(D36=D35,"",_xlfn.IFNA(VLOOKUP(D36,'인원 입력 기능'!$V$5:$Y$55,4,FALSE),0))</f>
        <v>463</v>
      </c>
      <c r="H36" s="46">
        <f t="shared" si="2"/>
        <v>2.1723830525970066E-2</v>
      </c>
      <c r="I36" s="50">
        <f>SUM($G$7:G36)</f>
        <v>12724</v>
      </c>
      <c r="J36" s="48">
        <f t="shared" si="3"/>
        <v>0.59700652184112979</v>
      </c>
      <c r="K36" s="18"/>
      <c r="M36" s="1"/>
    </row>
    <row r="37" spans="1:13" ht="25" customHeight="1">
      <c r="A37" s="5"/>
      <c r="B37" s="17"/>
      <c r="C37" s="51">
        <v>20</v>
      </c>
      <c r="D37" s="53">
        <f t="shared" si="1"/>
        <v>45</v>
      </c>
      <c r="E37" s="53">
        <f t="shared" si="0"/>
        <v>5</v>
      </c>
      <c r="F37" s="44">
        <f t="shared" si="4"/>
        <v>39</v>
      </c>
      <c r="G37" s="45">
        <f>IF(D37=D36,"",_xlfn.IFNA(VLOOKUP(D37,'인원 입력 기능'!$V$5:$Y$55,4,FALSE),0))</f>
        <v>513</v>
      </c>
      <c r="H37" s="46">
        <f t="shared" si="2"/>
        <v>2.40698165438934E-2</v>
      </c>
      <c r="I37" s="50">
        <f>SUM($G$7:G37)</f>
        <v>13237</v>
      </c>
      <c r="J37" s="48">
        <f t="shared" si="3"/>
        <v>0.62107633838502319</v>
      </c>
      <c r="K37" s="18"/>
      <c r="M37" s="1"/>
    </row>
    <row r="38" spans="1:13" ht="25" customHeight="1">
      <c r="A38" s="5"/>
      <c r="B38" s="17"/>
      <c r="C38" s="52">
        <v>19</v>
      </c>
      <c r="D38" s="298">
        <f t="shared" si="1"/>
        <v>44</v>
      </c>
      <c r="E38" s="298">
        <f t="shared" si="0"/>
        <v>6</v>
      </c>
      <c r="F38" s="288">
        <f t="shared" si="4"/>
        <v>35</v>
      </c>
      <c r="G38" s="290">
        <f>IF(D38=D37,"",_xlfn.IFNA(VLOOKUP(D38,'인원 입력 기능'!$V$5:$Y$55,4,FALSE),0))</f>
        <v>1083</v>
      </c>
      <c r="H38" s="291">
        <f t="shared" si="2"/>
        <v>5.0814057148219398E-2</v>
      </c>
      <c r="I38" s="293">
        <f>SUM($G$7:G38)</f>
        <v>14320</v>
      </c>
      <c r="J38" s="295">
        <f t="shared" si="3"/>
        <v>0.67189039553324259</v>
      </c>
      <c r="K38" s="18"/>
      <c r="M38" s="1"/>
    </row>
    <row r="39" spans="1:13" ht="25" customHeight="1">
      <c r="A39" s="5"/>
      <c r="B39" s="17"/>
      <c r="C39" s="51">
        <v>18</v>
      </c>
      <c r="D39" s="297"/>
      <c r="E39" s="297"/>
      <c r="F39" s="287"/>
      <c r="G39" s="289"/>
      <c r="H39" s="292"/>
      <c r="I39" s="294"/>
      <c r="J39" s="296"/>
      <c r="K39" s="18"/>
      <c r="M39" s="1"/>
    </row>
    <row r="40" spans="1:13" ht="25" customHeight="1">
      <c r="A40" s="5"/>
      <c r="B40" s="17"/>
      <c r="C40" s="52">
        <v>17</v>
      </c>
      <c r="D40" s="53">
        <f t="shared" si="1"/>
        <v>43</v>
      </c>
      <c r="E40" s="53">
        <f t="shared" ref="E39:E57" si="5">IF(ROUND(D40,0)&gt;=$P$7,1,IF(ROUND(D40,0)&gt;=$P$8,2,IF(ROUND(D40,0)&gt;=$P$9,3,IF(ROUND(D40,0)&gt;=$P$10,4,IF(ROUND(D40,0)&gt;=$P$11,5,IF(ROUND(D40,0)&gt;=$P$12,6,IF(ROUND(D40,0)&gt;=$P$13,7,IF(ROUND(D40,0)&gt;=$P$14,8,9))))))))</f>
        <v>6</v>
      </c>
      <c r="F40" s="44">
        <f t="shared" si="4"/>
        <v>32</v>
      </c>
      <c r="G40" s="45">
        <f>IF(D40=D39,"",_xlfn.IFNA(VLOOKUP(D40,'인원 입력 기능'!$V$5:$Y$55,4,FALSE),0))</f>
        <v>539</v>
      </c>
      <c r="H40" s="46">
        <f t="shared" si="2"/>
        <v>2.5289729273213532E-2</v>
      </c>
      <c r="I40" s="50">
        <f>SUM($G$7:G40)</f>
        <v>14859</v>
      </c>
      <c r="J40" s="48">
        <f t="shared" si="3"/>
        <v>0.69718012480645619</v>
      </c>
      <c r="K40" s="18"/>
      <c r="M40" s="1"/>
    </row>
    <row r="41" spans="1:13" ht="25" customHeight="1">
      <c r="A41" s="5"/>
      <c r="B41" s="17"/>
      <c r="C41" s="51">
        <v>16</v>
      </c>
      <c r="D41" s="53">
        <f t="shared" si="1"/>
        <v>42</v>
      </c>
      <c r="E41" s="53">
        <f t="shared" si="5"/>
        <v>6</v>
      </c>
      <c r="F41" s="44">
        <f t="shared" si="4"/>
        <v>29</v>
      </c>
      <c r="G41" s="45">
        <f>IF(D41=D40,"",_xlfn.IFNA(VLOOKUP(D41,'인원 입력 기능'!$V$5:$Y$55,4,FALSE),0))</f>
        <v>539</v>
      </c>
      <c r="H41" s="46">
        <f t="shared" si="2"/>
        <v>2.5289729273213532E-2</v>
      </c>
      <c r="I41" s="50">
        <f>SUM($G$7:G41)</f>
        <v>15398</v>
      </c>
      <c r="J41" s="48">
        <f t="shared" si="3"/>
        <v>0.72246985407966968</v>
      </c>
      <c r="K41" s="18"/>
      <c r="M41" s="1"/>
    </row>
    <row r="42" spans="1:13" ht="25" customHeight="1">
      <c r="A42" s="5"/>
      <c r="B42" s="17"/>
      <c r="C42" s="52">
        <v>15</v>
      </c>
      <c r="D42" s="298">
        <f t="shared" si="1"/>
        <v>41</v>
      </c>
      <c r="E42" s="298">
        <f t="shared" si="5"/>
        <v>6</v>
      </c>
      <c r="F42" s="288">
        <f t="shared" si="4"/>
        <v>25</v>
      </c>
      <c r="G42" s="290">
        <f>IF(D42=D41,"",_xlfn.IFNA(VLOOKUP(D42,'인원 입력 기능'!$V$5:$Y$55,4,FALSE),0))</f>
        <v>1090</v>
      </c>
      <c r="H42" s="291">
        <f t="shared" si="2"/>
        <v>5.1142495190728665E-2</v>
      </c>
      <c r="I42" s="293">
        <f>SUM($G$7:G42)</f>
        <v>16488</v>
      </c>
      <c r="J42" s="295">
        <f t="shared" si="3"/>
        <v>0.77361234927039835</v>
      </c>
      <c r="K42" s="18"/>
      <c r="M42" s="1"/>
    </row>
    <row r="43" spans="1:13" ht="25" customHeight="1">
      <c r="A43" s="5"/>
      <c r="B43" s="17"/>
      <c r="C43" s="51">
        <v>14</v>
      </c>
      <c r="D43" s="297"/>
      <c r="E43" s="297"/>
      <c r="F43" s="287"/>
      <c r="G43" s="289"/>
      <c r="H43" s="292"/>
      <c r="I43" s="294"/>
      <c r="J43" s="296"/>
      <c r="K43" s="18"/>
      <c r="M43" s="1"/>
    </row>
    <row r="44" spans="1:13" ht="25" customHeight="1">
      <c r="A44" s="5"/>
      <c r="B44" s="17"/>
      <c r="C44" s="52">
        <v>13</v>
      </c>
      <c r="D44" s="53">
        <f t="shared" si="1"/>
        <v>40</v>
      </c>
      <c r="E44" s="53">
        <f t="shared" si="5"/>
        <v>7</v>
      </c>
      <c r="F44" s="44">
        <f t="shared" si="4"/>
        <v>19</v>
      </c>
      <c r="G44" s="45">
        <f>IF(D44=D43,"",_xlfn.IFNA(VLOOKUP(D44,'인원 입력 기능'!$V$5:$Y$55,4,FALSE),0))</f>
        <v>1711</v>
      </c>
      <c r="H44" s="46">
        <f t="shared" si="2"/>
        <v>8.0279641533336457E-2</v>
      </c>
      <c r="I44" s="50">
        <f>SUM($G$7:G44)</f>
        <v>18199</v>
      </c>
      <c r="J44" s="48">
        <f t="shared" si="3"/>
        <v>0.85389199080373479</v>
      </c>
      <c r="K44" s="18"/>
      <c r="M44" s="1"/>
    </row>
    <row r="45" spans="1:13" ht="25" customHeight="1">
      <c r="A45" s="5"/>
      <c r="B45" s="17"/>
      <c r="C45" s="51">
        <v>12</v>
      </c>
      <c r="D45" s="53">
        <f t="shared" si="1"/>
        <v>39</v>
      </c>
      <c r="E45" s="53">
        <f t="shared" si="5"/>
        <v>7</v>
      </c>
      <c r="F45" s="44">
        <f t="shared" si="4"/>
        <v>14</v>
      </c>
      <c r="G45" s="45">
        <f>IF(D45=D44,"",_xlfn.IFNA(VLOOKUP(D45,'인원 입력 기능'!$V$5:$Y$55,4,FALSE),0))</f>
        <v>454</v>
      </c>
      <c r="H45" s="46">
        <f t="shared" si="2"/>
        <v>2.1301553042743865E-2</v>
      </c>
      <c r="I45" s="50">
        <f>SUM($G$7:G45)</f>
        <v>18653</v>
      </c>
      <c r="J45" s="48">
        <f t="shared" si="3"/>
        <v>0.87519354384647863</v>
      </c>
      <c r="K45" s="18"/>
      <c r="M45" s="1"/>
    </row>
    <row r="46" spans="1:13" ht="25" customHeight="1">
      <c r="A46" s="5"/>
      <c r="B46" s="17"/>
      <c r="C46" s="52">
        <v>11</v>
      </c>
      <c r="D46" s="298">
        <f t="shared" si="1"/>
        <v>38</v>
      </c>
      <c r="E46" s="298">
        <f t="shared" si="5"/>
        <v>7</v>
      </c>
      <c r="F46" s="288">
        <f t="shared" si="4"/>
        <v>10</v>
      </c>
      <c r="G46" s="290">
        <f>IF(D46=D45,"",_xlfn.IFNA(VLOOKUP(D46,'인원 입력 기능'!$V$5:$Y$55,4,FALSE),0))</f>
        <v>971</v>
      </c>
      <c r="H46" s="291">
        <f t="shared" si="2"/>
        <v>4.5559048468071128E-2</v>
      </c>
      <c r="I46" s="293">
        <f>SUM($G$7:G46)</f>
        <v>19624</v>
      </c>
      <c r="J46" s="295">
        <f t="shared" si="3"/>
        <v>0.92075259231454976</v>
      </c>
      <c r="K46" s="18"/>
      <c r="M46" s="1"/>
    </row>
    <row r="47" spans="1:13" ht="25" customHeight="1">
      <c r="A47" s="5"/>
      <c r="B47" s="17"/>
      <c r="C47" s="51">
        <v>10</v>
      </c>
      <c r="D47" s="297"/>
      <c r="E47" s="297"/>
      <c r="F47" s="287"/>
      <c r="G47" s="289"/>
      <c r="H47" s="292"/>
      <c r="I47" s="294"/>
      <c r="J47" s="296"/>
      <c r="K47" s="18"/>
      <c r="M47" s="1"/>
    </row>
    <row r="48" spans="1:13" ht="25" customHeight="1">
      <c r="A48" s="5"/>
      <c r="B48" s="17"/>
      <c r="C48" s="52">
        <v>9</v>
      </c>
      <c r="D48" s="53">
        <f t="shared" si="1"/>
        <v>37</v>
      </c>
      <c r="E48" s="53">
        <f t="shared" si="5"/>
        <v>8</v>
      </c>
      <c r="F48" s="44">
        <f t="shared" si="4"/>
        <v>7</v>
      </c>
      <c r="G48" s="45">
        <f>IF(D48=D47,"",_xlfn.IFNA(VLOOKUP(D48,'인원 입력 기능'!$V$5:$Y$55,4,FALSE),0))</f>
        <v>306</v>
      </c>
      <c r="H48" s="46">
        <f t="shared" si="2"/>
        <v>1.4357434429690799E-2</v>
      </c>
      <c r="I48" s="50">
        <f>SUM($G$7:G48)</f>
        <v>19930</v>
      </c>
      <c r="J48" s="48">
        <f t="shared" si="3"/>
        <v>0.9351100267442406</v>
      </c>
      <c r="K48" s="18"/>
      <c r="M48" s="1"/>
    </row>
    <row r="49" spans="1:13" ht="25" customHeight="1">
      <c r="A49" s="5"/>
      <c r="B49" s="17"/>
      <c r="C49" s="51">
        <v>8</v>
      </c>
      <c r="D49" s="53">
        <f t="shared" si="1"/>
        <v>36</v>
      </c>
      <c r="E49" s="53">
        <f t="shared" si="5"/>
        <v>8</v>
      </c>
      <c r="F49" s="44">
        <f t="shared" si="4"/>
        <v>6</v>
      </c>
      <c r="G49" s="45">
        <f>IF(D49=D48,"",_xlfn.IFNA(VLOOKUP(D49,'인원 입력 기능'!$V$5:$Y$55,4,FALSE),0))</f>
        <v>324</v>
      </c>
      <c r="H49" s="46">
        <f t="shared" si="2"/>
        <v>1.5201989396143199E-2</v>
      </c>
      <c r="I49" s="50">
        <f>SUM($G$7:G49)</f>
        <v>20254</v>
      </c>
      <c r="J49" s="48">
        <f t="shared" si="3"/>
        <v>0.95031201614038385</v>
      </c>
      <c r="K49" s="18"/>
      <c r="M49" s="1"/>
    </row>
    <row r="50" spans="1:13" ht="25" customHeight="1">
      <c r="A50" s="5"/>
      <c r="B50" s="17"/>
      <c r="C50" s="52">
        <v>7</v>
      </c>
      <c r="D50" s="298">
        <f t="shared" si="1"/>
        <v>35</v>
      </c>
      <c r="E50" s="298">
        <f t="shared" si="5"/>
        <v>8</v>
      </c>
      <c r="F50" s="288">
        <f t="shared" si="4"/>
        <v>4</v>
      </c>
      <c r="G50" s="290">
        <f>IF(D50=D49,"",_xlfn.IFNA(VLOOKUP(D50,'인원 입력 기능'!$V$5:$Y$55,4,FALSE),0))</f>
        <v>602</v>
      </c>
      <c r="H50" s="291">
        <f t="shared" si="2"/>
        <v>2.8245671655796931E-2</v>
      </c>
      <c r="I50" s="293">
        <f>SUM($G$7:G50)</f>
        <v>20856</v>
      </c>
      <c r="J50" s="295">
        <f t="shared" si="3"/>
        <v>0.97855768779618069</v>
      </c>
      <c r="K50" s="18"/>
      <c r="M50" s="1"/>
    </row>
    <row r="51" spans="1:13" ht="25" customHeight="1">
      <c r="A51" s="5"/>
      <c r="B51" s="17"/>
      <c r="C51" s="51">
        <v>6</v>
      </c>
      <c r="D51" s="297"/>
      <c r="E51" s="297"/>
      <c r="F51" s="287"/>
      <c r="G51" s="289"/>
      <c r="H51" s="292"/>
      <c r="I51" s="294"/>
      <c r="J51" s="296"/>
      <c r="K51" s="18"/>
      <c r="M51" s="1"/>
    </row>
    <row r="52" spans="1:13" ht="25" customHeight="1">
      <c r="A52" s="5"/>
      <c r="B52" s="17"/>
      <c r="C52" s="52">
        <v>5</v>
      </c>
      <c r="D52" s="53">
        <f t="shared" si="1"/>
        <v>34</v>
      </c>
      <c r="E52" s="53">
        <f t="shared" si="5"/>
        <v>9</v>
      </c>
      <c r="F52" s="44">
        <f t="shared" si="4"/>
        <v>2</v>
      </c>
      <c r="G52" s="45">
        <f>IF(D52=D51,"",_xlfn.IFNA(VLOOKUP(D52,'인원 입력 기능'!$V$5:$Y$55,4,FALSE),0))</f>
        <v>204</v>
      </c>
      <c r="H52" s="46">
        <f t="shared" si="2"/>
        <v>9.5716229531271988E-3</v>
      </c>
      <c r="I52" s="50">
        <f>SUM($G$7:G52)</f>
        <v>21060</v>
      </c>
      <c r="J52" s="48">
        <f t="shared" si="3"/>
        <v>0.98812931074930799</v>
      </c>
      <c r="K52" s="18"/>
      <c r="M52" s="1"/>
    </row>
    <row r="53" spans="1:13" ht="25" customHeight="1">
      <c r="A53" s="5"/>
      <c r="B53" s="17"/>
      <c r="C53" s="42">
        <v>4</v>
      </c>
      <c r="D53" s="43">
        <f t="shared" si="1"/>
        <v>33</v>
      </c>
      <c r="E53" s="43">
        <f t="shared" si="5"/>
        <v>9</v>
      </c>
      <c r="F53" s="44">
        <f t="shared" si="4"/>
        <v>1</v>
      </c>
      <c r="G53" s="45">
        <f>IF(D53=D52,"",_xlfn.IFNA(VLOOKUP(D53,'인원 입력 기능'!$V$5:$Y$55,4,FALSE),0))</f>
        <v>76</v>
      </c>
      <c r="H53" s="46">
        <f t="shared" si="2"/>
        <v>3.5658987472434664E-3</v>
      </c>
      <c r="I53" s="50">
        <f>SUM($G$7:G53)</f>
        <v>21136</v>
      </c>
      <c r="J53" s="48">
        <f t="shared" si="3"/>
        <v>0.99169520949655143</v>
      </c>
      <c r="K53" s="18"/>
      <c r="M53" s="1"/>
    </row>
    <row r="54" spans="1:13" ht="25" customHeight="1">
      <c r="A54" s="5"/>
      <c r="B54" s="17"/>
      <c r="C54" s="49">
        <v>3</v>
      </c>
      <c r="D54" s="286">
        <f t="shared" si="1"/>
        <v>32</v>
      </c>
      <c r="E54" s="286">
        <f t="shared" si="5"/>
        <v>9</v>
      </c>
      <c r="F54" s="288">
        <f t="shared" si="4"/>
        <v>0</v>
      </c>
      <c r="G54" s="290">
        <f>IF(D54=D53,"",_xlfn.IFNA(VLOOKUP(D54,'인원 입력 기능'!$V$5:$Y$55,4,FALSE),0))</f>
        <v>155</v>
      </c>
      <c r="H54" s="291">
        <f t="shared" si="2"/>
        <v>7.2725566555623331E-3</v>
      </c>
      <c r="I54" s="293">
        <f>SUM($G$7:G54)</f>
        <v>21291</v>
      </c>
      <c r="J54" s="295">
        <f t="shared" si="3"/>
        <v>0.99896776615211369</v>
      </c>
      <c r="K54" s="18"/>
      <c r="M54" s="1"/>
    </row>
    <row r="55" spans="1:13" ht="25" customHeight="1">
      <c r="A55" s="5"/>
      <c r="B55" s="17"/>
      <c r="C55" s="42">
        <v>2</v>
      </c>
      <c r="D55" s="285"/>
      <c r="E55" s="285"/>
      <c r="F55" s="287"/>
      <c r="G55" s="289"/>
      <c r="H55" s="292"/>
      <c r="I55" s="294"/>
      <c r="J55" s="296"/>
      <c r="K55" s="18"/>
      <c r="M55" s="1"/>
    </row>
    <row r="56" spans="1:13" ht="25" customHeight="1">
      <c r="A56" s="5"/>
      <c r="B56" s="17"/>
      <c r="C56" s="49">
        <v>1</v>
      </c>
      <c r="D56" s="111" t="s">
        <v>31</v>
      </c>
      <c r="E56" s="112"/>
      <c r="F56" s="112"/>
      <c r="G56" s="112"/>
      <c r="H56" s="112"/>
      <c r="I56" s="112"/>
      <c r="J56" s="113"/>
      <c r="K56" s="18"/>
      <c r="M56" s="1"/>
    </row>
    <row r="57" spans="1:13" ht="25" customHeight="1" thickBot="1">
      <c r="A57" s="5"/>
      <c r="B57" s="17"/>
      <c r="C57" s="57">
        <v>0</v>
      </c>
      <c r="D57" s="58">
        <f>ROUND(10*(C57-$H$3)/$H$4+50,0)</f>
        <v>30</v>
      </c>
      <c r="E57" s="59">
        <f t="shared" si="5"/>
        <v>9</v>
      </c>
      <c r="F57" s="60">
        <f>IF(I55=0,ROUND(100*(1-(I54+I57)/2/$J$3),0),ROUND(100*(1-(I55+I57)/2/$J$3),0))</f>
        <v>0</v>
      </c>
      <c r="G57" s="61">
        <f>_xlfn.IFNA(VLOOKUP(D57,'인원 입력 기능'!$V$5:$Y$55,4,FALSE),0)</f>
        <v>22</v>
      </c>
      <c r="H57" s="62">
        <f>G57/J3</f>
        <v>1.0322338478862666E-3</v>
      </c>
      <c r="I57" s="63">
        <f>SUM($G$7:G57)</f>
        <v>21313</v>
      </c>
      <c r="J57" s="64">
        <f>I57/J3</f>
        <v>1</v>
      </c>
      <c r="K57" s="18"/>
      <c r="M57" s="1"/>
    </row>
    <row r="58" spans="1:13" ht="6" customHeight="1">
      <c r="A58" s="5"/>
      <c r="B58" s="20"/>
      <c r="C58" s="21"/>
      <c r="D58" s="21"/>
      <c r="E58" s="21"/>
      <c r="F58" s="21"/>
      <c r="G58" s="21"/>
      <c r="H58" s="21"/>
      <c r="I58" s="21"/>
      <c r="J58" s="21"/>
      <c r="K58" s="22"/>
      <c r="M58" s="1"/>
    </row>
    <row r="59" spans="1:13">
      <c r="M59" s="1"/>
    </row>
    <row r="60" spans="1:13">
      <c r="M60" s="1"/>
    </row>
    <row r="61" spans="1:13">
      <c r="M61" s="1"/>
    </row>
    <row r="62" spans="1:13">
      <c r="M62" s="1"/>
    </row>
    <row r="63" spans="1:13">
      <c r="M63" s="1"/>
    </row>
    <row r="64" spans="1:13">
      <c r="M64" s="1"/>
    </row>
    <row r="65" spans="13:13">
      <c r="M65" s="1"/>
    </row>
    <row r="66" spans="13:13">
      <c r="M66" s="1"/>
    </row>
    <row r="67" spans="13:13">
      <c r="M67" s="1"/>
    </row>
    <row r="68" spans="13:13">
      <c r="M68" s="1"/>
    </row>
    <row r="69" spans="13:13">
      <c r="M69" s="1"/>
    </row>
    <row r="70" spans="13:13">
      <c r="M70" s="1"/>
    </row>
    <row r="71" spans="13:13">
      <c r="M71" s="1"/>
    </row>
    <row r="72" spans="13:13">
      <c r="M72" s="1"/>
    </row>
    <row r="73" spans="13:13">
      <c r="M73" s="1"/>
    </row>
    <row r="74" spans="13:13">
      <c r="M74" s="1"/>
    </row>
    <row r="75" spans="13:13">
      <c r="M75" s="1"/>
    </row>
    <row r="76" spans="13:13">
      <c r="M76" s="1"/>
    </row>
    <row r="77" spans="13:13">
      <c r="M77" s="1"/>
    </row>
    <row r="78" spans="13:13">
      <c r="M78" s="1"/>
    </row>
    <row r="79" spans="13:13">
      <c r="M79" s="1"/>
    </row>
    <row r="80" spans="13:13">
      <c r="M80" s="1"/>
    </row>
    <row r="81" spans="13:13">
      <c r="M81" s="1"/>
    </row>
    <row r="82" spans="13:13">
      <c r="M82" s="1"/>
    </row>
    <row r="83" spans="13:13">
      <c r="M83" s="1"/>
    </row>
    <row r="84" spans="13:13">
      <c r="M84" s="1"/>
    </row>
    <row r="85" spans="13:13">
      <c r="M85" s="1"/>
    </row>
    <row r="86" spans="13:13">
      <c r="M86" s="1"/>
    </row>
    <row r="87" spans="13:13">
      <c r="M87" s="1"/>
    </row>
    <row r="88" spans="13:13">
      <c r="M88" s="1"/>
    </row>
    <row r="89" spans="13:13">
      <c r="M89" s="1"/>
    </row>
    <row r="90" spans="13:13">
      <c r="M90" s="1"/>
    </row>
    <row r="91" spans="13:13">
      <c r="M91" s="1"/>
    </row>
    <row r="92" spans="13:13">
      <c r="M92" s="1"/>
    </row>
    <row r="93" spans="13:13">
      <c r="M93" s="1"/>
    </row>
    <row r="94" spans="13:13">
      <c r="M94" s="1"/>
    </row>
    <row r="95" spans="13:13">
      <c r="M95" s="1"/>
    </row>
    <row r="96" spans="13:13">
      <c r="M96" s="1"/>
    </row>
    <row r="97" spans="13:13">
      <c r="M97" s="1"/>
    </row>
    <row r="98" spans="13:13">
      <c r="M98" s="1"/>
    </row>
    <row r="99" spans="13:13">
      <c r="M99" s="1"/>
    </row>
    <row r="100" spans="13:13">
      <c r="M100" s="1"/>
    </row>
    <row r="101" spans="13:13">
      <c r="M101" s="1"/>
    </row>
    <row r="102" spans="13:13">
      <c r="M102" s="1"/>
    </row>
    <row r="103" spans="13:13">
      <c r="M103" s="1"/>
    </row>
    <row r="104" spans="13:13">
      <c r="M104" s="1"/>
    </row>
    <row r="105" spans="13:13">
      <c r="M105" s="1"/>
    </row>
  </sheetData>
  <mergeCells count="81">
    <mergeCell ref="I50:I51"/>
    <mergeCell ref="J50:J51"/>
    <mergeCell ref="D54:D55"/>
    <mergeCell ref="E54:E55"/>
    <mergeCell ref="F54:F55"/>
    <mergeCell ref="G54:G55"/>
    <mergeCell ref="H54:H55"/>
    <mergeCell ref="I54:I55"/>
    <mergeCell ref="J54:J55"/>
    <mergeCell ref="D50:D51"/>
    <mergeCell ref="E50:E51"/>
    <mergeCell ref="F50:F51"/>
    <mergeCell ref="G50:G51"/>
    <mergeCell ref="H50:H51"/>
    <mergeCell ref="I42:I43"/>
    <mergeCell ref="J42:J43"/>
    <mergeCell ref="D46:D47"/>
    <mergeCell ref="E46:E47"/>
    <mergeCell ref="F46:F47"/>
    <mergeCell ref="G46:G47"/>
    <mergeCell ref="H46:H47"/>
    <mergeCell ref="I46:I47"/>
    <mergeCell ref="J46:J47"/>
    <mergeCell ref="D42:D43"/>
    <mergeCell ref="E42:E43"/>
    <mergeCell ref="F42:F43"/>
    <mergeCell ref="G42:G43"/>
    <mergeCell ref="H42:H43"/>
    <mergeCell ref="I33:I34"/>
    <mergeCell ref="J33:J34"/>
    <mergeCell ref="D38:D39"/>
    <mergeCell ref="E38:E39"/>
    <mergeCell ref="F38:F39"/>
    <mergeCell ref="G38:G39"/>
    <mergeCell ref="H38:H39"/>
    <mergeCell ref="I38:I39"/>
    <mergeCell ref="J38:J39"/>
    <mergeCell ref="D33:D34"/>
    <mergeCell ref="E33:E34"/>
    <mergeCell ref="F33:F34"/>
    <mergeCell ref="G33:G34"/>
    <mergeCell ref="H33:H34"/>
    <mergeCell ref="I25:I26"/>
    <mergeCell ref="J25:J26"/>
    <mergeCell ref="D29:D30"/>
    <mergeCell ref="E29:E30"/>
    <mergeCell ref="F29:F30"/>
    <mergeCell ref="G29:G30"/>
    <mergeCell ref="H29:H30"/>
    <mergeCell ref="I29:I30"/>
    <mergeCell ref="J29:J30"/>
    <mergeCell ref="D25:D26"/>
    <mergeCell ref="E25:E26"/>
    <mergeCell ref="F25:F26"/>
    <mergeCell ref="G25:G26"/>
    <mergeCell ref="H25:H26"/>
    <mergeCell ref="I17:I18"/>
    <mergeCell ref="J17:J18"/>
    <mergeCell ref="D21:D22"/>
    <mergeCell ref="E21:E22"/>
    <mergeCell ref="F21:F22"/>
    <mergeCell ref="G21:G22"/>
    <mergeCell ref="H21:H22"/>
    <mergeCell ref="I21:I22"/>
    <mergeCell ref="J21:J22"/>
    <mergeCell ref="D3:F3"/>
    <mergeCell ref="D4:F4"/>
    <mergeCell ref="D56:J56"/>
    <mergeCell ref="D8:J8"/>
    <mergeCell ref="D12:D13"/>
    <mergeCell ref="E12:E13"/>
    <mergeCell ref="F12:F13"/>
    <mergeCell ref="G12:G13"/>
    <mergeCell ref="H12:H13"/>
    <mergeCell ref="I12:I13"/>
    <mergeCell ref="J12:J13"/>
    <mergeCell ref="D17:D18"/>
    <mergeCell ref="E17:E18"/>
    <mergeCell ref="F17:F18"/>
    <mergeCell ref="G17:G18"/>
    <mergeCell ref="H17:H18"/>
  </mergeCells>
  <phoneticPr fontId="1" type="noConversion"/>
  <conditionalFormatting sqref="D7:J7 D57:J57 D9:J12 D14:J17 D19:J21 D23:J25 D27:J29 D31:J33 D35:J38 D40:J42 D44:J46 D48:J50 D52:J54">
    <cfRule type="expression" dxfId="132" priority="7">
      <formula>OR($D7=$P$7:$P$14)</formula>
    </cfRule>
  </conditionalFormatting>
  <conditionalFormatting sqref="C7:C57">
    <cfRule type="expression" dxfId="131" priority="6">
      <formula>OR(AND($D7=0,OR($D6=$P$7:$P$14)),AND($D8&gt;0,OR($D7=$P$7:$P$14)))</formula>
    </cfRule>
  </conditionalFormatting>
  <conditionalFormatting sqref="D7 D57 D9:D12 D14:D17 D19:D21 D23:D25 D27:D29 D31:D33 D35:D38 D40:D42 D44:D46 D48:D50 D52:D54">
    <cfRule type="expression" dxfId="130" priority="5">
      <formula>$D7=$D8</formula>
    </cfRule>
  </conditionalFormatting>
  <conditionalFormatting sqref="D56">
    <cfRule type="expression" dxfId="129" priority="4">
      <formula>OR($D56=$P$7:$P$14)</formula>
    </cfRule>
  </conditionalFormatting>
  <conditionalFormatting sqref="D56">
    <cfRule type="expression" dxfId="128" priority="3">
      <formula>$D56=$D57</formula>
    </cfRule>
  </conditionalFormatting>
  <conditionalFormatting sqref="D8">
    <cfRule type="expression" dxfId="127" priority="2">
      <formula>OR($D8=$P$7:$P$14)</formula>
    </cfRule>
  </conditionalFormatting>
  <conditionalFormatting sqref="D8">
    <cfRule type="expression" dxfId="126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EDF1D-98F8-4FEC-A704-989E46CB810A}">
  <sheetPr codeName="Sheet13"/>
  <dimension ref="A1:P105"/>
  <sheetViews>
    <sheetView zoomScaleNormal="100" workbookViewId="0">
      <selection activeCell="B2" sqref="B2:K58"/>
    </sheetView>
  </sheetViews>
  <sheetFormatPr defaultRowHeight="17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6">
      <c r="A1" s="5" t="s">
        <v>44</v>
      </c>
      <c r="C1" s="5"/>
      <c r="D1" s="5"/>
      <c r="E1" s="5"/>
      <c r="F1" s="5"/>
      <c r="G1" s="5"/>
      <c r="H1" s="5"/>
      <c r="I1" s="5"/>
      <c r="J1" s="5"/>
      <c r="K1" s="5"/>
    </row>
    <row r="2" spans="1:16" s="5" customFormat="1" ht="6" customHeight="1" thickBot="1">
      <c r="B2" s="15"/>
      <c r="C2" s="23"/>
      <c r="D2" s="23"/>
      <c r="E2" s="23"/>
      <c r="F2" s="23"/>
      <c r="G2" s="23"/>
      <c r="H2" s="23"/>
      <c r="I2" s="23"/>
      <c r="J2" s="23"/>
      <c r="K2" s="16"/>
    </row>
    <row r="3" spans="1:16" ht="25" customHeight="1" thickBot="1">
      <c r="A3" s="5"/>
      <c r="B3" s="17"/>
      <c r="C3" s="34" t="s">
        <v>47</v>
      </c>
      <c r="D3" s="105" t="s">
        <v>115</v>
      </c>
      <c r="E3" s="106"/>
      <c r="F3" s="107"/>
      <c r="G3" s="34" t="s">
        <v>48</v>
      </c>
      <c r="H3" s="101">
        <f>'통계 및 응시자 수 입력 기능'!D9</f>
        <v>19.559999999999999</v>
      </c>
      <c r="I3" s="103" t="s">
        <v>49</v>
      </c>
      <c r="J3" s="104">
        <f>'통계 및 응시자 수 입력 기능'!C9</f>
        <v>16100</v>
      </c>
      <c r="K3" s="18"/>
    </row>
    <row r="4" spans="1:16" ht="25" customHeight="1" thickBot="1">
      <c r="A4" s="5"/>
      <c r="B4" s="17"/>
      <c r="C4" s="35" t="s">
        <v>50</v>
      </c>
      <c r="D4" s="108" t="s">
        <v>68</v>
      </c>
      <c r="E4" s="109"/>
      <c r="F4" s="110"/>
      <c r="G4" s="36" t="s">
        <v>52</v>
      </c>
      <c r="H4" s="102">
        <f>'통계 및 응시자 수 입력 기능'!E9</f>
        <v>11.87</v>
      </c>
      <c r="I4" s="12"/>
      <c r="J4" s="12"/>
      <c r="K4" s="18"/>
    </row>
    <row r="5" spans="1:16" ht="25" customHeight="1" thickBot="1">
      <c r="A5" s="5"/>
      <c r="B5" s="17"/>
      <c r="C5" s="12"/>
      <c r="D5" s="12"/>
      <c r="E5" s="12"/>
      <c r="F5" s="12"/>
      <c r="G5" s="12"/>
      <c r="H5" s="19"/>
      <c r="I5" s="19"/>
      <c r="J5" s="19"/>
      <c r="K5" s="18"/>
    </row>
    <row r="6" spans="1:16" ht="25" customHeight="1" thickBot="1">
      <c r="A6" s="5"/>
      <c r="B6" s="17"/>
      <c r="C6" s="38" t="s">
        <v>73</v>
      </c>
      <c r="D6" s="39" t="s">
        <v>74</v>
      </c>
      <c r="E6" s="39" t="s">
        <v>75</v>
      </c>
      <c r="F6" s="39" t="s">
        <v>76</v>
      </c>
      <c r="G6" s="39" t="s">
        <v>77</v>
      </c>
      <c r="H6" s="40" t="s">
        <v>78</v>
      </c>
      <c r="I6" s="40" t="s">
        <v>79</v>
      </c>
      <c r="J6" s="41" t="s">
        <v>80</v>
      </c>
      <c r="K6" s="18"/>
      <c r="L6" s="3"/>
      <c r="M6" s="4"/>
    </row>
    <row r="7" spans="1:16" ht="25" customHeight="1">
      <c r="A7" s="5"/>
      <c r="B7" s="17"/>
      <c r="C7" s="42">
        <v>50</v>
      </c>
      <c r="D7" s="43">
        <f>ROUND(10*(C7-$H$3)/$H$4+50,0)</f>
        <v>76</v>
      </c>
      <c r="E7" s="43">
        <f t="shared" ref="E7:E38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44">
        <f>ROUND(100*(1-(0+I7)/2/$J$3),0)</f>
        <v>99</v>
      </c>
      <c r="G7" s="45">
        <f>_xlfn.IFNA(VLOOKUP(D7,'인원 입력 기능'!$AA$5:$AD$55,4,FALSE),0)</f>
        <v>254</v>
      </c>
      <c r="H7" s="46">
        <f>G7/J3</f>
        <v>1.5776397515527951E-2</v>
      </c>
      <c r="I7" s="47">
        <f>G7</f>
        <v>254</v>
      </c>
      <c r="J7" s="48">
        <f>I7/J3</f>
        <v>1.5776397515527951E-2</v>
      </c>
      <c r="K7" s="18"/>
      <c r="M7" s="1"/>
      <c r="O7" s="1">
        <v>1</v>
      </c>
      <c r="P7" s="1">
        <f>'표준점수 등급컷 입력기능'!E16</f>
        <v>72</v>
      </c>
    </row>
    <row r="8" spans="1:16" ht="25" customHeight="1">
      <c r="A8" s="5"/>
      <c r="B8" s="17"/>
      <c r="C8" s="49">
        <v>49</v>
      </c>
      <c r="D8" s="111" t="s">
        <v>31</v>
      </c>
      <c r="E8" s="112"/>
      <c r="F8" s="112"/>
      <c r="G8" s="112"/>
      <c r="H8" s="112"/>
      <c r="I8" s="112"/>
      <c r="J8" s="113"/>
      <c r="K8" s="18"/>
      <c r="M8" s="1"/>
      <c r="O8" s="1">
        <v>2</v>
      </c>
      <c r="P8" s="1">
        <f>'표준점수 등급컷 입력기능'!E17</f>
        <v>66</v>
      </c>
    </row>
    <row r="9" spans="1:16" ht="25" customHeight="1">
      <c r="A9" s="5"/>
      <c r="B9" s="17"/>
      <c r="C9" s="42">
        <v>48</v>
      </c>
      <c r="D9" s="43">
        <f>ROUND(10*(C9-$H$3)/$H$4+50,0)</f>
        <v>74</v>
      </c>
      <c r="E9" s="43">
        <f t="shared" si="0"/>
        <v>1</v>
      </c>
      <c r="F9" s="44">
        <f>IF(I8=0,ROUND(100*(1-(I7+I9)/2/$J$3),0),ROUND(100*(1-(I8+I9)/2/$J$3),0))</f>
        <v>98</v>
      </c>
      <c r="G9" s="45">
        <f>_xlfn.IFNA(VLOOKUP(D9,'인원 입력 기능'!$AA$5:$AD$55,4,FALSE),0)</f>
        <v>198</v>
      </c>
      <c r="H9" s="46">
        <f>G9/$J$3</f>
        <v>1.2298136645962732E-2</v>
      </c>
      <c r="I9" s="50">
        <f>SUM($G$7:G9)</f>
        <v>452</v>
      </c>
      <c r="J9" s="48">
        <f>I9/$J$3</f>
        <v>2.8074534161490684E-2</v>
      </c>
      <c r="K9" s="18"/>
      <c r="M9" s="1"/>
      <c r="O9" s="1">
        <v>3</v>
      </c>
      <c r="P9" s="1">
        <f>'표준점수 등급컷 입력기능'!E18</f>
        <v>56</v>
      </c>
    </row>
    <row r="10" spans="1:16" ht="25" customHeight="1">
      <c r="A10" s="5"/>
      <c r="B10" s="17"/>
      <c r="C10" s="49">
        <v>47</v>
      </c>
      <c r="D10" s="43">
        <f t="shared" ref="D10:D55" si="1">ROUND(10*(C10-$H$3)/$H$4+50,0)</f>
        <v>73</v>
      </c>
      <c r="E10" s="43">
        <f t="shared" si="0"/>
        <v>1</v>
      </c>
      <c r="F10" s="44">
        <f>IF(I9=0,ROUND(100*(1-(I8+I10)/2/$J$3),0),ROUND(100*(1-(I9+I10)/2/$J$3),0))</f>
        <v>97</v>
      </c>
      <c r="G10" s="45">
        <f>IF(D10=D9,"",_xlfn.IFNA(VLOOKUP(D10,'인원 입력 기능'!$AA$5:$AD$55,4,FALSE),0))</f>
        <v>179</v>
      </c>
      <c r="H10" s="46">
        <f t="shared" ref="H10:H55" si="2">G10/$J$3</f>
        <v>1.1118012422360249E-2</v>
      </c>
      <c r="I10" s="50">
        <f>SUM($G$7:G10)</f>
        <v>631</v>
      </c>
      <c r="J10" s="48">
        <f t="shared" ref="J10:J55" si="3">I10/$J$3</f>
        <v>3.9192546583850935E-2</v>
      </c>
      <c r="K10" s="18"/>
      <c r="M10" s="1"/>
      <c r="O10" s="1">
        <v>4</v>
      </c>
      <c r="P10" s="1">
        <f>'표준점수 등급컷 입력기능'!E19</f>
        <v>50</v>
      </c>
    </row>
    <row r="11" spans="1:16" ht="25" customHeight="1">
      <c r="A11" s="5"/>
      <c r="B11" s="17"/>
      <c r="C11" s="42">
        <v>46</v>
      </c>
      <c r="D11" s="43">
        <f t="shared" si="1"/>
        <v>72</v>
      </c>
      <c r="E11" s="43">
        <f t="shared" si="0"/>
        <v>1</v>
      </c>
      <c r="F11" s="44">
        <f t="shared" ref="F11:F55" si="4">IF(I10=0,ROUND(100*(1-(I9+I11)/2/$J$3),0),ROUND(100*(1-(I10+I11)/2/$J$3),0))</f>
        <v>96</v>
      </c>
      <c r="G11" s="45">
        <f>IF(D11=D10,"",_xlfn.IFNA(VLOOKUP(D11,'인원 입력 기능'!$AA$5:$AD$55,4,FALSE),0))</f>
        <v>112</v>
      </c>
      <c r="H11" s="46">
        <f t="shared" si="2"/>
        <v>6.956521739130435E-3</v>
      </c>
      <c r="I11" s="50">
        <f>SUM($G$7:G11)</f>
        <v>743</v>
      </c>
      <c r="J11" s="48">
        <f t="shared" si="3"/>
        <v>4.6149068322981365E-2</v>
      </c>
      <c r="K11" s="18"/>
      <c r="M11" s="1"/>
      <c r="O11" s="1">
        <v>5</v>
      </c>
      <c r="P11" s="1">
        <f>'표준점수 등급컷 입력기능'!E20</f>
        <v>44</v>
      </c>
    </row>
    <row r="12" spans="1:16" ht="25" customHeight="1">
      <c r="A12" s="5"/>
      <c r="B12" s="17"/>
      <c r="C12" s="49">
        <v>45</v>
      </c>
      <c r="D12" s="286">
        <f t="shared" si="1"/>
        <v>71</v>
      </c>
      <c r="E12" s="286">
        <f t="shared" si="0"/>
        <v>2</v>
      </c>
      <c r="F12" s="288">
        <f t="shared" si="4"/>
        <v>94</v>
      </c>
      <c r="G12" s="290">
        <f>IF(D12=D11,"",_xlfn.IFNA(VLOOKUP(D12,'인원 입력 기능'!$AA$5:$AD$55,4,FALSE),0))</f>
        <v>297</v>
      </c>
      <c r="H12" s="291">
        <f t="shared" si="2"/>
        <v>1.84472049689441E-2</v>
      </c>
      <c r="I12" s="293">
        <f>SUM($G$7:G12)</f>
        <v>1040</v>
      </c>
      <c r="J12" s="295">
        <f t="shared" si="3"/>
        <v>6.4596273291925466E-2</v>
      </c>
      <c r="K12" s="18"/>
      <c r="M12" s="1"/>
      <c r="O12" s="1">
        <v>6</v>
      </c>
      <c r="P12" s="1">
        <f>'표준점수 등급컷 입력기능'!E21</f>
        <v>42</v>
      </c>
    </row>
    <row r="13" spans="1:16" ht="25" customHeight="1">
      <c r="A13" s="5"/>
      <c r="B13" s="17"/>
      <c r="C13" s="42">
        <v>44</v>
      </c>
      <c r="D13" s="285"/>
      <c r="E13" s="285"/>
      <c r="F13" s="287"/>
      <c r="G13" s="289"/>
      <c r="H13" s="292"/>
      <c r="I13" s="294"/>
      <c r="J13" s="296"/>
      <c r="K13" s="18"/>
      <c r="M13" s="1"/>
      <c r="O13" s="1">
        <v>7</v>
      </c>
      <c r="P13" s="1">
        <f>'표준점수 등급컷 입력기능'!E22</f>
        <v>40</v>
      </c>
    </row>
    <row r="14" spans="1:16" ht="25" customHeight="1">
      <c r="A14" s="5"/>
      <c r="B14" s="17"/>
      <c r="C14" s="49">
        <v>43</v>
      </c>
      <c r="D14" s="43">
        <f t="shared" si="1"/>
        <v>70</v>
      </c>
      <c r="E14" s="43">
        <f t="shared" si="0"/>
        <v>2</v>
      </c>
      <c r="F14" s="44">
        <f t="shared" si="4"/>
        <v>93</v>
      </c>
      <c r="G14" s="45">
        <f>IF(D14=D13,"",_xlfn.IFNA(VLOOKUP(D14,'인원 입력 기능'!$AA$5:$AD$55,4,FALSE),0))</f>
        <v>170</v>
      </c>
      <c r="H14" s="46">
        <f t="shared" si="2"/>
        <v>1.0559006211180125E-2</v>
      </c>
      <c r="I14" s="50">
        <f>SUM($G$7:G14)</f>
        <v>1210</v>
      </c>
      <c r="J14" s="48">
        <f t="shared" si="3"/>
        <v>7.515527950310559E-2</v>
      </c>
      <c r="K14" s="18"/>
      <c r="M14" s="1"/>
      <c r="O14" s="1">
        <v>8</v>
      </c>
      <c r="P14" s="1">
        <f>'표준점수 등급컷 입력기능'!E23</f>
        <v>39</v>
      </c>
    </row>
    <row r="15" spans="1:16" ht="25" customHeight="1">
      <c r="A15" s="5"/>
      <c r="B15" s="17"/>
      <c r="C15" s="42">
        <v>42</v>
      </c>
      <c r="D15" s="43">
        <f t="shared" si="1"/>
        <v>69</v>
      </c>
      <c r="E15" s="43">
        <f t="shared" si="0"/>
        <v>2</v>
      </c>
      <c r="F15" s="44">
        <f t="shared" si="4"/>
        <v>92</v>
      </c>
      <c r="G15" s="45">
        <f>IF(D15=D14,"",_xlfn.IFNA(VLOOKUP(D15,'인원 입력 기능'!$AA$5:$AD$55,4,FALSE),0))</f>
        <v>151</v>
      </c>
      <c r="H15" s="46">
        <f t="shared" si="2"/>
        <v>9.3788819875776398E-3</v>
      </c>
      <c r="I15" s="50">
        <f>SUM($G$7:G15)</f>
        <v>1361</v>
      </c>
      <c r="J15" s="48">
        <f t="shared" si="3"/>
        <v>8.4534161490683227E-2</v>
      </c>
      <c r="K15" s="18"/>
      <c r="M15" s="1"/>
      <c r="O15" s="1">
        <v>9</v>
      </c>
      <c r="P15" s="1"/>
    </row>
    <row r="16" spans="1:16" ht="25" customHeight="1">
      <c r="A16" s="5"/>
      <c r="B16" s="17"/>
      <c r="C16" s="49">
        <v>41</v>
      </c>
      <c r="D16" s="43">
        <f t="shared" si="1"/>
        <v>68</v>
      </c>
      <c r="E16" s="43">
        <f t="shared" si="0"/>
        <v>2</v>
      </c>
      <c r="F16" s="44">
        <f t="shared" si="4"/>
        <v>91</v>
      </c>
      <c r="G16" s="45">
        <f>IF(D16=D15,"",_xlfn.IFNA(VLOOKUP(D16,'인원 입력 기능'!$AA$5:$AD$55,4,FALSE),0))</f>
        <v>149</v>
      </c>
      <c r="H16" s="46">
        <f t="shared" si="2"/>
        <v>9.2546583850931681E-3</v>
      </c>
      <c r="I16" s="50">
        <f>SUM($G$7:G16)</f>
        <v>1510</v>
      </c>
      <c r="J16" s="48">
        <f t="shared" si="3"/>
        <v>9.3788819875776391E-2</v>
      </c>
      <c r="K16" s="18"/>
      <c r="M16" s="1"/>
    </row>
    <row r="17" spans="1:16" ht="25" customHeight="1">
      <c r="A17" s="5"/>
      <c r="B17" s="17"/>
      <c r="C17" s="42">
        <v>40</v>
      </c>
      <c r="D17" s="43">
        <f t="shared" si="1"/>
        <v>67</v>
      </c>
      <c r="E17" s="43">
        <f t="shared" si="0"/>
        <v>2</v>
      </c>
      <c r="F17" s="44">
        <f t="shared" si="4"/>
        <v>90</v>
      </c>
      <c r="G17" s="45">
        <f>IF(D17=D16,"",_xlfn.IFNA(VLOOKUP(D17,'인원 입력 기능'!$AA$5:$AD$55,4,FALSE),0))</f>
        <v>137</v>
      </c>
      <c r="H17" s="46">
        <f t="shared" si="2"/>
        <v>8.509316770186336E-3</v>
      </c>
      <c r="I17" s="50">
        <f>SUM($G$7:G17)</f>
        <v>1647</v>
      </c>
      <c r="J17" s="48">
        <f t="shared" si="3"/>
        <v>0.10229813664596274</v>
      </c>
      <c r="K17" s="18"/>
      <c r="M17" s="1"/>
      <c r="P17" s="1">
        <f>H3*H4*J3*P7*IFERROR(IF(J57=1, 1, 0), 0)</f>
        <v>269139810.23999995</v>
      </c>
    </row>
    <row r="18" spans="1:16" ht="25" customHeight="1">
      <c r="A18" s="5"/>
      <c r="B18" s="17"/>
      <c r="C18" s="49">
        <v>39</v>
      </c>
      <c r="D18" s="286">
        <f t="shared" si="1"/>
        <v>66</v>
      </c>
      <c r="E18" s="286">
        <f t="shared" si="0"/>
        <v>2</v>
      </c>
      <c r="F18" s="288">
        <f t="shared" si="4"/>
        <v>89</v>
      </c>
      <c r="G18" s="290">
        <f>IF(D18=D17,"",_xlfn.IFNA(VLOOKUP(D18,'인원 입력 기능'!$AA$5:$AD$55,4,FALSE),0))</f>
        <v>297</v>
      </c>
      <c r="H18" s="291">
        <f t="shared" si="2"/>
        <v>1.84472049689441E-2</v>
      </c>
      <c r="I18" s="293">
        <f>SUM($G$7:G18)</f>
        <v>1944</v>
      </c>
      <c r="J18" s="295">
        <f t="shared" si="3"/>
        <v>0.12074534161490683</v>
      </c>
      <c r="K18" s="18"/>
      <c r="M18" s="1"/>
    </row>
    <row r="19" spans="1:16" ht="25" customHeight="1">
      <c r="A19" s="5"/>
      <c r="B19" s="17"/>
      <c r="C19" s="42">
        <v>38</v>
      </c>
      <c r="D19" s="285"/>
      <c r="E19" s="285"/>
      <c r="F19" s="287"/>
      <c r="G19" s="289"/>
      <c r="H19" s="292"/>
      <c r="I19" s="294"/>
      <c r="J19" s="296"/>
      <c r="K19" s="18"/>
      <c r="M19" s="1"/>
    </row>
    <row r="20" spans="1:16" ht="25" customHeight="1">
      <c r="A20" s="5"/>
      <c r="B20" s="17"/>
      <c r="C20" s="49">
        <v>37</v>
      </c>
      <c r="D20" s="43">
        <f t="shared" si="1"/>
        <v>65</v>
      </c>
      <c r="E20" s="43">
        <f t="shared" si="0"/>
        <v>3</v>
      </c>
      <c r="F20" s="44">
        <f t="shared" si="4"/>
        <v>87</v>
      </c>
      <c r="G20" s="45">
        <f>IF(D20=D19,"",_xlfn.IFNA(VLOOKUP(D20,'인원 입력 기능'!$AA$5:$AD$55,4,FALSE),0))</f>
        <v>154</v>
      </c>
      <c r="H20" s="46">
        <f t="shared" si="2"/>
        <v>9.5652173913043474E-3</v>
      </c>
      <c r="I20" s="50">
        <f>SUM($G$7:G20)</f>
        <v>2098</v>
      </c>
      <c r="J20" s="48">
        <f t="shared" si="3"/>
        <v>0.13031055900621119</v>
      </c>
      <c r="K20" s="18"/>
      <c r="M20" s="1"/>
    </row>
    <row r="21" spans="1:16" ht="25" customHeight="1">
      <c r="A21" s="5"/>
      <c r="B21" s="17"/>
      <c r="C21" s="51">
        <v>36</v>
      </c>
      <c r="D21" s="53">
        <f t="shared" si="1"/>
        <v>64</v>
      </c>
      <c r="E21" s="53">
        <f t="shared" si="0"/>
        <v>3</v>
      </c>
      <c r="F21" s="44">
        <f t="shared" si="4"/>
        <v>87</v>
      </c>
      <c r="G21" s="45">
        <f>IF(D21=D20,"",_xlfn.IFNA(VLOOKUP(D21,'인원 입력 기능'!$AA$5:$AD$55,4,FALSE),0))</f>
        <v>145</v>
      </c>
      <c r="H21" s="46">
        <f t="shared" si="2"/>
        <v>9.0062111801242229E-3</v>
      </c>
      <c r="I21" s="50">
        <f>SUM($G$7:G21)</f>
        <v>2243</v>
      </c>
      <c r="J21" s="48">
        <f t="shared" si="3"/>
        <v>0.1393167701863354</v>
      </c>
      <c r="K21" s="18"/>
      <c r="M21" s="1"/>
    </row>
    <row r="22" spans="1:16" ht="25" customHeight="1">
      <c r="A22" s="5"/>
      <c r="B22" s="17"/>
      <c r="C22" s="52">
        <v>35</v>
      </c>
      <c r="D22" s="53">
        <f t="shared" si="1"/>
        <v>63</v>
      </c>
      <c r="E22" s="53">
        <f t="shared" si="0"/>
        <v>3</v>
      </c>
      <c r="F22" s="44">
        <f t="shared" si="4"/>
        <v>86</v>
      </c>
      <c r="G22" s="45">
        <f>IF(D22=D21,"",_xlfn.IFNA(VLOOKUP(D22,'인원 입력 기능'!$AA$5:$AD$55,4,FALSE),0))</f>
        <v>150</v>
      </c>
      <c r="H22" s="46">
        <f t="shared" si="2"/>
        <v>9.316770186335404E-3</v>
      </c>
      <c r="I22" s="50">
        <f>SUM($G$7:G22)</f>
        <v>2393</v>
      </c>
      <c r="J22" s="48">
        <f t="shared" si="3"/>
        <v>0.14863354037267082</v>
      </c>
      <c r="K22" s="18"/>
      <c r="M22" s="1"/>
    </row>
    <row r="23" spans="1:16" ht="25" customHeight="1">
      <c r="A23" s="5"/>
      <c r="B23" s="17"/>
      <c r="C23" s="51">
        <v>34</v>
      </c>
      <c r="D23" s="53">
        <f t="shared" si="1"/>
        <v>62</v>
      </c>
      <c r="E23" s="53">
        <f t="shared" si="0"/>
        <v>3</v>
      </c>
      <c r="F23" s="44">
        <f t="shared" si="4"/>
        <v>85</v>
      </c>
      <c r="G23" s="45">
        <f>IF(D23=D22,"",_xlfn.IFNA(VLOOKUP(D23,'인원 입력 기능'!$AA$5:$AD$55,4,FALSE),0))</f>
        <v>125</v>
      </c>
      <c r="H23" s="46">
        <f t="shared" si="2"/>
        <v>7.763975155279503E-3</v>
      </c>
      <c r="I23" s="50">
        <f>SUM($G$7:G23)</f>
        <v>2518</v>
      </c>
      <c r="J23" s="48">
        <f t="shared" si="3"/>
        <v>0.15639751552795031</v>
      </c>
      <c r="K23" s="18"/>
      <c r="M23" s="1"/>
    </row>
    <row r="24" spans="1:16" ht="25" customHeight="1">
      <c r="A24" s="5"/>
      <c r="B24" s="17"/>
      <c r="C24" s="52">
        <v>33</v>
      </c>
      <c r="D24" s="53">
        <f t="shared" si="1"/>
        <v>61</v>
      </c>
      <c r="E24" s="53">
        <f t="shared" si="0"/>
        <v>3</v>
      </c>
      <c r="F24" s="44">
        <f t="shared" si="4"/>
        <v>84</v>
      </c>
      <c r="G24" s="45">
        <f>IF(D24=D23,"",_xlfn.IFNA(VLOOKUP(D24,'인원 입력 기능'!$AA$5:$AD$55,4,FALSE),0))</f>
        <v>183</v>
      </c>
      <c r="H24" s="46">
        <f t="shared" si="2"/>
        <v>1.1366459627329193E-2</v>
      </c>
      <c r="I24" s="50">
        <f>SUM($G$7:G24)</f>
        <v>2701</v>
      </c>
      <c r="J24" s="48">
        <f t="shared" si="3"/>
        <v>0.16776397515527949</v>
      </c>
      <c r="K24" s="18"/>
      <c r="M24" s="1"/>
    </row>
    <row r="25" spans="1:16" ht="25" customHeight="1">
      <c r="A25" s="5"/>
      <c r="B25" s="17"/>
      <c r="C25" s="51">
        <v>32</v>
      </c>
      <c r="D25" s="298">
        <f t="shared" si="1"/>
        <v>60</v>
      </c>
      <c r="E25" s="298">
        <f t="shared" si="0"/>
        <v>3</v>
      </c>
      <c r="F25" s="288">
        <f t="shared" si="4"/>
        <v>82</v>
      </c>
      <c r="G25" s="290">
        <f>IF(D25=D24,"",_xlfn.IFNA(VLOOKUP(D25,'인원 입력 기능'!$AA$5:$AD$55,4,FALSE),0))</f>
        <v>360</v>
      </c>
      <c r="H25" s="291">
        <f t="shared" si="2"/>
        <v>2.236024844720497E-2</v>
      </c>
      <c r="I25" s="293">
        <f>SUM($G$7:G25)</f>
        <v>3061</v>
      </c>
      <c r="J25" s="295">
        <f t="shared" si="3"/>
        <v>0.19012422360248446</v>
      </c>
      <c r="K25" s="18"/>
      <c r="M25" s="1"/>
    </row>
    <row r="26" spans="1:16" ht="25" customHeight="1">
      <c r="A26" s="5"/>
      <c r="B26" s="17"/>
      <c r="C26" s="52">
        <v>31</v>
      </c>
      <c r="D26" s="297"/>
      <c r="E26" s="297"/>
      <c r="F26" s="287"/>
      <c r="G26" s="289"/>
      <c r="H26" s="292"/>
      <c r="I26" s="294"/>
      <c r="J26" s="296"/>
      <c r="K26" s="18"/>
      <c r="M26" s="1"/>
    </row>
    <row r="27" spans="1:16" ht="25" customHeight="1">
      <c r="A27" s="5"/>
      <c r="B27" s="17"/>
      <c r="C27" s="51">
        <v>30</v>
      </c>
      <c r="D27" s="53">
        <f t="shared" si="1"/>
        <v>59</v>
      </c>
      <c r="E27" s="53">
        <f t="shared" si="0"/>
        <v>3</v>
      </c>
      <c r="F27" s="44">
        <f t="shared" si="4"/>
        <v>80</v>
      </c>
      <c r="G27" s="45">
        <f>IF(D27=D26,"",_xlfn.IFNA(VLOOKUP(D27,'인원 입력 기능'!$AA$5:$AD$55,4,FALSE),0))</f>
        <v>160</v>
      </c>
      <c r="H27" s="46">
        <f t="shared" si="2"/>
        <v>9.9378881987577643E-3</v>
      </c>
      <c r="I27" s="50">
        <f>SUM($G$7:G27)</f>
        <v>3221</v>
      </c>
      <c r="J27" s="48">
        <f t="shared" si="3"/>
        <v>0.20006211180124223</v>
      </c>
      <c r="K27" s="18"/>
      <c r="M27" s="1"/>
    </row>
    <row r="28" spans="1:16" ht="25" customHeight="1">
      <c r="A28" s="5"/>
      <c r="B28" s="17"/>
      <c r="C28" s="52">
        <v>29</v>
      </c>
      <c r="D28" s="53">
        <f t="shared" si="1"/>
        <v>58</v>
      </c>
      <c r="E28" s="53">
        <f t="shared" si="0"/>
        <v>3</v>
      </c>
      <c r="F28" s="44">
        <f t="shared" si="4"/>
        <v>79</v>
      </c>
      <c r="G28" s="45">
        <f>IF(D28=D27,"",_xlfn.IFNA(VLOOKUP(D28,'인원 입력 기능'!$AA$5:$AD$55,4,FALSE),0))</f>
        <v>209</v>
      </c>
      <c r="H28" s="46">
        <f t="shared" si="2"/>
        <v>1.2981366459627329E-2</v>
      </c>
      <c r="I28" s="50">
        <f>SUM($G$7:G28)</f>
        <v>3430</v>
      </c>
      <c r="J28" s="48">
        <f t="shared" si="3"/>
        <v>0.21304347826086956</v>
      </c>
      <c r="K28" s="18"/>
      <c r="M28" s="1"/>
    </row>
    <row r="29" spans="1:16" ht="25" customHeight="1">
      <c r="A29" s="5"/>
      <c r="B29" s="17"/>
      <c r="C29" s="51">
        <v>28</v>
      </c>
      <c r="D29" s="53">
        <f t="shared" si="1"/>
        <v>57</v>
      </c>
      <c r="E29" s="53">
        <f t="shared" si="0"/>
        <v>3</v>
      </c>
      <c r="F29" s="44">
        <f t="shared" si="4"/>
        <v>78</v>
      </c>
      <c r="G29" s="45">
        <f>IF(D29=D28,"",_xlfn.IFNA(VLOOKUP(D29,'인원 입력 기능'!$AA$5:$AD$55,4,FALSE),0))</f>
        <v>203</v>
      </c>
      <c r="H29" s="46">
        <f t="shared" si="2"/>
        <v>1.2608695652173913E-2</v>
      </c>
      <c r="I29" s="50">
        <f>SUM($G$7:G29)</f>
        <v>3633</v>
      </c>
      <c r="J29" s="48">
        <f t="shared" si="3"/>
        <v>0.22565217391304349</v>
      </c>
      <c r="K29" s="18"/>
      <c r="M29" s="1"/>
    </row>
    <row r="30" spans="1:16" ht="25" customHeight="1">
      <c r="A30" s="5"/>
      <c r="B30" s="17"/>
      <c r="C30" s="52">
        <v>27</v>
      </c>
      <c r="D30" s="53">
        <f t="shared" si="1"/>
        <v>56</v>
      </c>
      <c r="E30" s="53">
        <f t="shared" si="0"/>
        <v>3</v>
      </c>
      <c r="F30" s="44">
        <f t="shared" si="4"/>
        <v>77</v>
      </c>
      <c r="G30" s="45">
        <f>IF(D30=D29,"",_xlfn.IFNA(VLOOKUP(D30,'인원 입력 기능'!$AA$5:$AD$55,4,FALSE),0))</f>
        <v>194</v>
      </c>
      <c r="H30" s="46">
        <f t="shared" si="2"/>
        <v>1.2049689440993789E-2</v>
      </c>
      <c r="I30" s="50">
        <f>SUM($G$7:G30)</f>
        <v>3827</v>
      </c>
      <c r="J30" s="48">
        <f t="shared" si="3"/>
        <v>0.23770186335403726</v>
      </c>
      <c r="K30" s="18"/>
      <c r="M30" s="1"/>
    </row>
    <row r="31" spans="1:16" ht="25" customHeight="1">
      <c r="A31" s="5"/>
      <c r="B31" s="17"/>
      <c r="C31" s="51">
        <v>26</v>
      </c>
      <c r="D31" s="298">
        <f t="shared" si="1"/>
        <v>55</v>
      </c>
      <c r="E31" s="298">
        <f t="shared" si="0"/>
        <v>4</v>
      </c>
      <c r="F31" s="288">
        <f t="shared" si="4"/>
        <v>75</v>
      </c>
      <c r="G31" s="290">
        <f>IF(D31=D30,"",_xlfn.IFNA(VLOOKUP(D31,'인원 입력 기능'!$AA$5:$AD$55,4,FALSE),0))</f>
        <v>465</v>
      </c>
      <c r="H31" s="291">
        <f t="shared" si="2"/>
        <v>2.888198757763975E-2</v>
      </c>
      <c r="I31" s="293">
        <f>SUM($G$7:G31)</f>
        <v>4292</v>
      </c>
      <c r="J31" s="295">
        <f t="shared" si="3"/>
        <v>0.26658385093167702</v>
      </c>
      <c r="K31" s="18"/>
      <c r="M31" s="1"/>
    </row>
    <row r="32" spans="1:16" ht="25" customHeight="1">
      <c r="A32" s="5"/>
      <c r="B32" s="17"/>
      <c r="C32" s="52">
        <v>25</v>
      </c>
      <c r="D32" s="297"/>
      <c r="E32" s="297"/>
      <c r="F32" s="287"/>
      <c r="G32" s="289"/>
      <c r="H32" s="292"/>
      <c r="I32" s="294"/>
      <c r="J32" s="296"/>
      <c r="K32" s="18"/>
      <c r="M32" s="1"/>
    </row>
    <row r="33" spans="1:13" ht="25" customHeight="1">
      <c r="A33" s="5"/>
      <c r="B33" s="17"/>
      <c r="C33" s="51">
        <v>24</v>
      </c>
      <c r="D33" s="53">
        <f t="shared" si="1"/>
        <v>54</v>
      </c>
      <c r="E33" s="53">
        <f t="shared" si="0"/>
        <v>4</v>
      </c>
      <c r="F33" s="44">
        <f t="shared" si="4"/>
        <v>73</v>
      </c>
      <c r="G33" s="45">
        <f>IF(D33=D32,"",_xlfn.IFNA(VLOOKUP(D33,'인원 입력 기능'!$AA$5:$AD$55,4,FALSE),0))</f>
        <v>247</v>
      </c>
      <c r="H33" s="46">
        <f t="shared" si="2"/>
        <v>1.5341614906832298E-2</v>
      </c>
      <c r="I33" s="50">
        <f>SUM($G$7:G33)</f>
        <v>4539</v>
      </c>
      <c r="J33" s="48">
        <f t="shared" si="3"/>
        <v>0.2819254658385093</v>
      </c>
      <c r="K33" s="18"/>
      <c r="M33" s="1"/>
    </row>
    <row r="34" spans="1:13" ht="25" customHeight="1">
      <c r="A34" s="5"/>
      <c r="B34" s="17"/>
      <c r="C34" s="52">
        <v>23</v>
      </c>
      <c r="D34" s="53">
        <f t="shared" si="1"/>
        <v>53</v>
      </c>
      <c r="E34" s="53">
        <f t="shared" si="0"/>
        <v>4</v>
      </c>
      <c r="F34" s="44">
        <f t="shared" si="4"/>
        <v>71</v>
      </c>
      <c r="G34" s="45">
        <f>IF(D34=D33,"",_xlfn.IFNA(VLOOKUP(D34,'인원 입력 기능'!$AA$5:$AD$55,4,FALSE),0))</f>
        <v>314</v>
      </c>
      <c r="H34" s="46">
        <f t="shared" si="2"/>
        <v>1.9503105590062114E-2</v>
      </c>
      <c r="I34" s="50">
        <f>SUM($G$7:G34)</f>
        <v>4853</v>
      </c>
      <c r="J34" s="48">
        <f t="shared" si="3"/>
        <v>0.30142857142857143</v>
      </c>
      <c r="K34" s="18"/>
      <c r="M34" s="1"/>
    </row>
    <row r="35" spans="1:13" ht="25" customHeight="1">
      <c r="A35" s="5"/>
      <c r="B35" s="17"/>
      <c r="C35" s="51">
        <v>22</v>
      </c>
      <c r="D35" s="53">
        <f t="shared" si="1"/>
        <v>52</v>
      </c>
      <c r="E35" s="53">
        <f t="shared" si="0"/>
        <v>4</v>
      </c>
      <c r="F35" s="44">
        <f t="shared" si="4"/>
        <v>69</v>
      </c>
      <c r="G35" s="45">
        <f>IF(D35=D34,"",_xlfn.IFNA(VLOOKUP(D35,'인원 입력 기능'!$AA$5:$AD$55,4,FALSE),0))</f>
        <v>328</v>
      </c>
      <c r="H35" s="46">
        <f t="shared" si="2"/>
        <v>2.0372670807453416E-2</v>
      </c>
      <c r="I35" s="50">
        <f>SUM($G$7:G35)</f>
        <v>5181</v>
      </c>
      <c r="J35" s="48">
        <f t="shared" si="3"/>
        <v>0.32180124223602485</v>
      </c>
      <c r="K35" s="18"/>
      <c r="M35" s="1"/>
    </row>
    <row r="36" spans="1:13" ht="25" customHeight="1">
      <c r="A36" s="5"/>
      <c r="B36" s="17"/>
      <c r="C36" s="52">
        <v>21</v>
      </c>
      <c r="D36" s="53">
        <f t="shared" si="1"/>
        <v>51</v>
      </c>
      <c r="E36" s="53">
        <f t="shared" si="0"/>
        <v>4</v>
      </c>
      <c r="F36" s="44">
        <f t="shared" si="4"/>
        <v>67</v>
      </c>
      <c r="G36" s="45">
        <f>IF(D36=D35,"",_xlfn.IFNA(VLOOKUP(D36,'인원 입력 기능'!$AA$5:$AD$55,4,FALSE),0))</f>
        <v>372</v>
      </c>
      <c r="H36" s="46">
        <f t="shared" si="2"/>
        <v>2.3105590062111801E-2</v>
      </c>
      <c r="I36" s="50">
        <f>SUM($G$7:G36)</f>
        <v>5553</v>
      </c>
      <c r="J36" s="48">
        <f t="shared" si="3"/>
        <v>0.34490683229813662</v>
      </c>
      <c r="K36" s="18"/>
      <c r="M36" s="1"/>
    </row>
    <row r="37" spans="1:13" ht="25" customHeight="1">
      <c r="A37" s="5"/>
      <c r="B37" s="17"/>
      <c r="C37" s="51">
        <v>20</v>
      </c>
      <c r="D37" s="298">
        <f t="shared" si="1"/>
        <v>50</v>
      </c>
      <c r="E37" s="298">
        <f t="shared" si="0"/>
        <v>4</v>
      </c>
      <c r="F37" s="288">
        <f t="shared" si="4"/>
        <v>63</v>
      </c>
      <c r="G37" s="290">
        <f>IF(D37=D36,"",_xlfn.IFNA(VLOOKUP(D37,'인원 입력 기능'!$AA$5:$AD$55,4,FALSE),0))</f>
        <v>895</v>
      </c>
      <c r="H37" s="291">
        <f t="shared" si="2"/>
        <v>5.5590062111801244E-2</v>
      </c>
      <c r="I37" s="293">
        <f>SUM($G$7:G37)</f>
        <v>6448</v>
      </c>
      <c r="J37" s="295">
        <f t="shared" si="3"/>
        <v>0.40049689440993791</v>
      </c>
      <c r="K37" s="18"/>
      <c r="M37" s="1"/>
    </row>
    <row r="38" spans="1:13" ht="25" customHeight="1">
      <c r="A38" s="5"/>
      <c r="B38" s="17"/>
      <c r="C38" s="52">
        <v>19</v>
      </c>
      <c r="D38" s="297"/>
      <c r="E38" s="297"/>
      <c r="F38" s="287"/>
      <c r="G38" s="289"/>
      <c r="H38" s="292"/>
      <c r="I38" s="294"/>
      <c r="J38" s="296"/>
      <c r="K38" s="18"/>
      <c r="M38" s="1"/>
    </row>
    <row r="39" spans="1:13" ht="25" customHeight="1">
      <c r="A39" s="5"/>
      <c r="B39" s="17"/>
      <c r="C39" s="51">
        <v>18</v>
      </c>
      <c r="D39" s="53">
        <f t="shared" si="1"/>
        <v>49</v>
      </c>
      <c r="E39" s="53">
        <f t="shared" ref="E39:E57" si="5">IF(ROUND(D39,0)&gt;=$P$7,1,IF(ROUND(D39,0)&gt;=$P$8,2,IF(ROUND(D39,0)&gt;=$P$9,3,IF(ROUND(D39,0)&gt;=$P$10,4,IF(ROUND(D39,0)&gt;=$P$11,5,IF(ROUND(D39,0)&gt;=$P$12,6,IF(ROUND(D39,0)&gt;=$P$13,7,IF(ROUND(D39,0)&gt;=$P$14,8,9))))))))</f>
        <v>5</v>
      </c>
      <c r="F39" s="44">
        <f t="shared" si="4"/>
        <v>58</v>
      </c>
      <c r="G39" s="45">
        <f>IF(D39=D38,"",_xlfn.IFNA(VLOOKUP(D39,'인원 입력 기능'!$AA$5:$AD$55,4,FALSE),0))</f>
        <v>575</v>
      </c>
      <c r="H39" s="46">
        <f t="shared" si="2"/>
        <v>3.5714285714285712E-2</v>
      </c>
      <c r="I39" s="50">
        <f>SUM($G$7:G39)</f>
        <v>7023</v>
      </c>
      <c r="J39" s="48">
        <f t="shared" si="3"/>
        <v>0.43621118012422361</v>
      </c>
      <c r="K39" s="18"/>
      <c r="M39" s="1"/>
    </row>
    <row r="40" spans="1:13" ht="25" customHeight="1">
      <c r="A40" s="5"/>
      <c r="B40" s="17"/>
      <c r="C40" s="52">
        <v>17</v>
      </c>
      <c r="D40" s="53">
        <f t="shared" si="1"/>
        <v>48</v>
      </c>
      <c r="E40" s="53">
        <f t="shared" si="5"/>
        <v>5</v>
      </c>
      <c r="F40" s="44">
        <f t="shared" si="4"/>
        <v>55</v>
      </c>
      <c r="G40" s="45">
        <f>IF(D40=D39,"",_xlfn.IFNA(VLOOKUP(D40,'인원 입력 기능'!$AA$5:$AD$55,4,FALSE),0))</f>
        <v>513</v>
      </c>
      <c r="H40" s="46">
        <f t="shared" si="2"/>
        <v>3.1863354037267082E-2</v>
      </c>
      <c r="I40" s="50">
        <f>SUM($G$7:G40)</f>
        <v>7536</v>
      </c>
      <c r="J40" s="48">
        <f t="shared" si="3"/>
        <v>0.4680745341614907</v>
      </c>
      <c r="K40" s="18"/>
      <c r="M40" s="1"/>
    </row>
    <row r="41" spans="1:13" ht="25" customHeight="1">
      <c r="A41" s="5"/>
      <c r="B41" s="17"/>
      <c r="C41" s="51">
        <v>16</v>
      </c>
      <c r="D41" s="53">
        <f t="shared" si="1"/>
        <v>47</v>
      </c>
      <c r="E41" s="53">
        <f t="shared" si="5"/>
        <v>5</v>
      </c>
      <c r="F41" s="44">
        <f t="shared" si="4"/>
        <v>51</v>
      </c>
      <c r="G41" s="45">
        <f>IF(D41=D40,"",_xlfn.IFNA(VLOOKUP(D41,'인원 입력 기능'!$AA$5:$AD$55,4,FALSE),0))</f>
        <v>677</v>
      </c>
      <c r="H41" s="46">
        <f t="shared" si="2"/>
        <v>4.2049689440993791E-2</v>
      </c>
      <c r="I41" s="50">
        <f>SUM($G$7:G41)</f>
        <v>8213</v>
      </c>
      <c r="J41" s="48">
        <f t="shared" si="3"/>
        <v>0.51012422360248444</v>
      </c>
      <c r="K41" s="18"/>
      <c r="M41" s="1"/>
    </row>
    <row r="42" spans="1:13" ht="25" customHeight="1">
      <c r="A42" s="5"/>
      <c r="B42" s="17"/>
      <c r="C42" s="52">
        <v>15</v>
      </c>
      <c r="D42" s="53">
        <f t="shared" si="1"/>
        <v>46</v>
      </c>
      <c r="E42" s="53">
        <f t="shared" si="5"/>
        <v>5</v>
      </c>
      <c r="F42" s="44">
        <f t="shared" si="4"/>
        <v>47</v>
      </c>
      <c r="G42" s="45">
        <f>IF(D42=D41,"",_xlfn.IFNA(VLOOKUP(D42,'인원 입력 기능'!$AA$5:$AD$55,4,FALSE),0))</f>
        <v>675</v>
      </c>
      <c r="H42" s="46">
        <f t="shared" si="2"/>
        <v>4.192546583850932E-2</v>
      </c>
      <c r="I42" s="50">
        <f>SUM($G$7:G42)</f>
        <v>8888</v>
      </c>
      <c r="J42" s="48">
        <f t="shared" si="3"/>
        <v>0.55204968944099375</v>
      </c>
      <c r="K42" s="18"/>
      <c r="M42" s="1"/>
    </row>
    <row r="43" spans="1:13" ht="25" customHeight="1">
      <c r="A43" s="5"/>
      <c r="B43" s="17"/>
      <c r="C43" s="51">
        <v>14</v>
      </c>
      <c r="D43" s="53">
        <f t="shared" si="1"/>
        <v>45</v>
      </c>
      <c r="E43" s="53">
        <f t="shared" si="5"/>
        <v>5</v>
      </c>
      <c r="F43" s="44">
        <f t="shared" si="4"/>
        <v>43</v>
      </c>
      <c r="G43" s="45">
        <f>IF(D43=D42,"",_xlfn.IFNA(VLOOKUP(D43,'인원 입력 기능'!$AA$5:$AD$55,4,FALSE),0))</f>
        <v>634</v>
      </c>
      <c r="H43" s="46">
        <f t="shared" si="2"/>
        <v>3.9378881987577642E-2</v>
      </c>
      <c r="I43" s="50">
        <f>SUM($G$7:G43)</f>
        <v>9522</v>
      </c>
      <c r="J43" s="48">
        <f t="shared" si="3"/>
        <v>0.59142857142857141</v>
      </c>
      <c r="K43" s="18"/>
      <c r="M43" s="1"/>
    </row>
    <row r="44" spans="1:13" ht="25" customHeight="1">
      <c r="A44" s="5"/>
      <c r="B44" s="17"/>
      <c r="C44" s="52">
        <v>13</v>
      </c>
      <c r="D44" s="298">
        <f t="shared" si="1"/>
        <v>44</v>
      </c>
      <c r="E44" s="298">
        <f t="shared" si="5"/>
        <v>5</v>
      </c>
      <c r="F44" s="288">
        <f t="shared" si="4"/>
        <v>35</v>
      </c>
      <c r="G44" s="290">
        <f>IF(D44=D43,"",_xlfn.IFNA(VLOOKUP(D44,'인원 입력 기능'!$AA$5:$AD$55,4,FALSE),0))</f>
        <v>1895</v>
      </c>
      <c r="H44" s="291">
        <f t="shared" si="2"/>
        <v>0.11770186335403726</v>
      </c>
      <c r="I44" s="293">
        <f>SUM($G$7:G44)</f>
        <v>11417</v>
      </c>
      <c r="J44" s="295">
        <f t="shared" si="3"/>
        <v>0.70913043478260873</v>
      </c>
      <c r="K44" s="18"/>
      <c r="M44" s="1"/>
    </row>
    <row r="45" spans="1:13" ht="25" customHeight="1">
      <c r="A45" s="5"/>
      <c r="B45" s="17"/>
      <c r="C45" s="51">
        <v>12</v>
      </c>
      <c r="D45" s="297"/>
      <c r="E45" s="297"/>
      <c r="F45" s="287"/>
      <c r="G45" s="289"/>
      <c r="H45" s="292"/>
      <c r="I45" s="294"/>
      <c r="J45" s="296"/>
      <c r="K45" s="18"/>
      <c r="M45" s="1"/>
    </row>
    <row r="46" spans="1:13" ht="25" customHeight="1">
      <c r="A46" s="5"/>
      <c r="B46" s="17"/>
      <c r="C46" s="52">
        <v>11</v>
      </c>
      <c r="D46" s="53">
        <f t="shared" si="1"/>
        <v>43</v>
      </c>
      <c r="E46" s="53">
        <f t="shared" si="5"/>
        <v>6</v>
      </c>
      <c r="F46" s="44">
        <f t="shared" si="4"/>
        <v>27</v>
      </c>
      <c r="G46" s="45">
        <f>IF(D46=D45,"",_xlfn.IFNA(VLOOKUP(D46,'인원 입력 기능'!$AA$5:$AD$55,4,FALSE),0))</f>
        <v>813</v>
      </c>
      <c r="H46" s="46">
        <f t="shared" si="2"/>
        <v>5.049689440993789E-2</v>
      </c>
      <c r="I46" s="50">
        <f>SUM($G$7:G46)</f>
        <v>12230</v>
      </c>
      <c r="J46" s="48">
        <f t="shared" si="3"/>
        <v>0.75962732919254661</v>
      </c>
      <c r="K46" s="18"/>
      <c r="M46" s="1"/>
    </row>
    <row r="47" spans="1:13" ht="25" customHeight="1">
      <c r="A47" s="5"/>
      <c r="B47" s="17"/>
      <c r="C47" s="51">
        <v>10</v>
      </c>
      <c r="D47" s="53">
        <f t="shared" si="1"/>
        <v>42</v>
      </c>
      <c r="E47" s="53">
        <f t="shared" si="5"/>
        <v>6</v>
      </c>
      <c r="F47" s="44">
        <f t="shared" si="4"/>
        <v>19</v>
      </c>
      <c r="G47" s="45">
        <f>IF(D47=D46,"",_xlfn.IFNA(VLOOKUP(D47,'인원 입력 기능'!$AA$5:$AD$55,4,FALSE),0))</f>
        <v>1541</v>
      </c>
      <c r="H47" s="46">
        <f t="shared" si="2"/>
        <v>9.571428571428571E-2</v>
      </c>
      <c r="I47" s="50">
        <f>SUM($G$7:G47)</f>
        <v>13771</v>
      </c>
      <c r="J47" s="48">
        <f t="shared" si="3"/>
        <v>0.85534161490683225</v>
      </c>
      <c r="K47" s="18"/>
      <c r="M47" s="1"/>
    </row>
    <row r="48" spans="1:13" ht="25" customHeight="1">
      <c r="A48" s="5"/>
      <c r="B48" s="17"/>
      <c r="C48" s="52">
        <v>9</v>
      </c>
      <c r="D48" s="53">
        <f t="shared" si="1"/>
        <v>41</v>
      </c>
      <c r="E48" s="53">
        <f t="shared" si="5"/>
        <v>7</v>
      </c>
      <c r="F48" s="44">
        <f t="shared" si="4"/>
        <v>13</v>
      </c>
      <c r="G48" s="45">
        <f>IF(D48=D47,"",_xlfn.IFNA(VLOOKUP(D48,'인원 입력 기능'!$AA$5:$AD$55,4,FALSE),0))</f>
        <v>473</v>
      </c>
      <c r="H48" s="46">
        <f t="shared" si="2"/>
        <v>2.937888198757764E-2</v>
      </c>
      <c r="I48" s="50">
        <f>SUM($G$7:G48)</f>
        <v>14244</v>
      </c>
      <c r="J48" s="48">
        <f t="shared" si="3"/>
        <v>0.8847204968944099</v>
      </c>
      <c r="K48" s="18"/>
      <c r="M48" s="1"/>
    </row>
    <row r="49" spans="1:13" ht="25" customHeight="1">
      <c r="A49" s="5"/>
      <c r="B49" s="17"/>
      <c r="C49" s="51">
        <v>8</v>
      </c>
      <c r="D49" s="53">
        <f t="shared" si="1"/>
        <v>40</v>
      </c>
      <c r="E49" s="53">
        <f t="shared" si="5"/>
        <v>7</v>
      </c>
      <c r="F49" s="44">
        <f t="shared" si="4"/>
        <v>10</v>
      </c>
      <c r="G49" s="45">
        <f>IF(D49=D48,"",_xlfn.IFNA(VLOOKUP(D49,'인원 입력 기능'!$AA$5:$AD$55,4,FALSE),0))</f>
        <v>559</v>
      </c>
      <c r="H49" s="46">
        <f t="shared" si="2"/>
        <v>3.4720496894409938E-2</v>
      </c>
      <c r="I49" s="50">
        <f>SUM($G$7:G49)</f>
        <v>14803</v>
      </c>
      <c r="J49" s="48">
        <f t="shared" si="3"/>
        <v>0.91944099378881983</v>
      </c>
      <c r="K49" s="18"/>
      <c r="M49" s="1"/>
    </row>
    <row r="50" spans="1:13" ht="25" customHeight="1">
      <c r="A50" s="5"/>
      <c r="B50" s="17"/>
      <c r="C50" s="52">
        <v>7</v>
      </c>
      <c r="D50" s="298">
        <f t="shared" si="1"/>
        <v>39</v>
      </c>
      <c r="E50" s="298">
        <f t="shared" si="5"/>
        <v>8</v>
      </c>
      <c r="F50" s="288">
        <f t="shared" si="4"/>
        <v>6</v>
      </c>
      <c r="G50" s="290">
        <f>IF(D50=D49,"",_xlfn.IFNA(VLOOKUP(D50,'인원 입력 기능'!$AA$5:$AD$55,4,FALSE),0))</f>
        <v>691</v>
      </c>
      <c r="H50" s="291">
        <f t="shared" si="2"/>
        <v>4.2919254658385093E-2</v>
      </c>
      <c r="I50" s="293">
        <f>SUM($G$7:G50)</f>
        <v>15494</v>
      </c>
      <c r="J50" s="295">
        <f t="shared" si="3"/>
        <v>0.96236024844720491</v>
      </c>
      <c r="K50" s="18"/>
      <c r="M50" s="1"/>
    </row>
    <row r="51" spans="1:13" ht="25" customHeight="1">
      <c r="A51" s="5"/>
      <c r="B51" s="17"/>
      <c r="C51" s="51">
        <v>6</v>
      </c>
      <c r="D51" s="297"/>
      <c r="E51" s="297"/>
      <c r="F51" s="287"/>
      <c r="G51" s="289"/>
      <c r="H51" s="292"/>
      <c r="I51" s="294"/>
      <c r="J51" s="296"/>
      <c r="K51" s="18"/>
      <c r="M51" s="1"/>
    </row>
    <row r="52" spans="1:13" ht="25" customHeight="1">
      <c r="A52" s="5"/>
      <c r="B52" s="17"/>
      <c r="C52" s="52">
        <v>5</v>
      </c>
      <c r="D52" s="53">
        <f t="shared" si="1"/>
        <v>38</v>
      </c>
      <c r="E52" s="53">
        <f t="shared" si="5"/>
        <v>9</v>
      </c>
      <c r="F52" s="44">
        <f t="shared" si="4"/>
        <v>3</v>
      </c>
      <c r="G52" s="45">
        <f>IF(D52=D51,"",_xlfn.IFNA(VLOOKUP(D52,'인원 입력 기능'!$AA$5:$AD$55,4,FALSE),0))</f>
        <v>311</v>
      </c>
      <c r="H52" s="46">
        <f t="shared" si="2"/>
        <v>1.9316770186335402E-2</v>
      </c>
      <c r="I52" s="50">
        <f>SUM($G$7:G52)</f>
        <v>15805</v>
      </c>
      <c r="J52" s="48">
        <f t="shared" si="3"/>
        <v>0.9816770186335404</v>
      </c>
      <c r="K52" s="18"/>
      <c r="M52" s="1"/>
    </row>
    <row r="53" spans="1:13" ht="25" customHeight="1">
      <c r="A53" s="5"/>
      <c r="B53" s="17"/>
      <c r="C53" s="42">
        <v>4</v>
      </c>
      <c r="D53" s="43">
        <f t="shared" si="1"/>
        <v>37</v>
      </c>
      <c r="E53" s="43">
        <f t="shared" si="5"/>
        <v>9</v>
      </c>
      <c r="F53" s="44">
        <f t="shared" si="4"/>
        <v>2</v>
      </c>
      <c r="G53" s="45">
        <f>IF(D53=D52,"",_xlfn.IFNA(VLOOKUP(D53,'인원 입력 기능'!$AA$5:$AD$55,4,FALSE),0))</f>
        <v>92</v>
      </c>
      <c r="H53" s="46">
        <f t="shared" si="2"/>
        <v>5.7142857142857143E-3</v>
      </c>
      <c r="I53" s="50">
        <f>SUM($G$7:G53)</f>
        <v>15897</v>
      </c>
      <c r="J53" s="48">
        <f t="shared" si="3"/>
        <v>0.98739130434782607</v>
      </c>
      <c r="K53" s="18"/>
      <c r="M53" s="1"/>
    </row>
    <row r="54" spans="1:13" ht="25" customHeight="1">
      <c r="A54" s="5"/>
      <c r="B54" s="17"/>
      <c r="C54" s="49">
        <v>3</v>
      </c>
      <c r="D54" s="43">
        <f t="shared" si="1"/>
        <v>36</v>
      </c>
      <c r="E54" s="43">
        <f t="shared" si="5"/>
        <v>9</v>
      </c>
      <c r="F54" s="44">
        <f t="shared" si="4"/>
        <v>1</v>
      </c>
      <c r="G54" s="45">
        <f>IF(D54=D53,"",_xlfn.IFNA(VLOOKUP(D54,'인원 입력 기능'!$AA$5:$AD$55,4,FALSE),0))</f>
        <v>95</v>
      </c>
      <c r="H54" s="46">
        <f t="shared" si="2"/>
        <v>5.9006211180124227E-3</v>
      </c>
      <c r="I54" s="50">
        <f>SUM($G$7:G54)</f>
        <v>15992</v>
      </c>
      <c r="J54" s="48">
        <f t="shared" si="3"/>
        <v>0.99329192546583855</v>
      </c>
      <c r="K54" s="18"/>
      <c r="M54" s="1"/>
    </row>
    <row r="55" spans="1:13" ht="25" customHeight="1">
      <c r="A55" s="5"/>
      <c r="B55" s="17"/>
      <c r="C55" s="42">
        <v>2</v>
      </c>
      <c r="D55" s="43">
        <f t="shared" si="1"/>
        <v>35</v>
      </c>
      <c r="E55" s="43">
        <f t="shared" si="5"/>
        <v>9</v>
      </c>
      <c r="F55" s="44">
        <f t="shared" si="4"/>
        <v>0</v>
      </c>
      <c r="G55" s="45">
        <f>IF(D55=D54,"",_xlfn.IFNA(VLOOKUP(D55,'인원 입력 기능'!$AA$5:$AD$55,4,FALSE),0))</f>
        <v>83</v>
      </c>
      <c r="H55" s="46">
        <f t="shared" si="2"/>
        <v>5.1552795031055898E-3</v>
      </c>
      <c r="I55" s="50">
        <f>SUM($G$7:G55)</f>
        <v>16075</v>
      </c>
      <c r="J55" s="48">
        <f t="shared" si="3"/>
        <v>0.99844720496894412</v>
      </c>
      <c r="K55" s="18"/>
      <c r="M55" s="1"/>
    </row>
    <row r="56" spans="1:13" ht="25" customHeight="1">
      <c r="A56" s="5"/>
      <c r="B56" s="17"/>
      <c r="C56" s="49">
        <v>1</v>
      </c>
      <c r="D56" s="111" t="s">
        <v>31</v>
      </c>
      <c r="E56" s="112"/>
      <c r="F56" s="112"/>
      <c r="G56" s="112"/>
      <c r="H56" s="112"/>
      <c r="I56" s="112"/>
      <c r="J56" s="113"/>
      <c r="K56" s="18"/>
      <c r="M56" s="1"/>
    </row>
    <row r="57" spans="1:13" ht="25" customHeight="1" thickBot="1">
      <c r="A57" s="5"/>
      <c r="B57" s="17"/>
      <c r="C57" s="57">
        <v>0</v>
      </c>
      <c r="D57" s="58">
        <v>33</v>
      </c>
      <c r="E57" s="59">
        <f t="shared" si="5"/>
        <v>9</v>
      </c>
      <c r="F57" s="60">
        <f>IF(I55=0,ROUND(100*(1-(I54+I57)/2/$J$3),0),ROUND(100*(1-(I55+I57)/2/$J$3),0))</f>
        <v>0</v>
      </c>
      <c r="G57" s="61">
        <f>_xlfn.IFNA(VLOOKUP(D57,'인원 입력 기능'!$AA$5:$AD$55,4,FALSE),0)</f>
        <v>25</v>
      </c>
      <c r="H57" s="62">
        <f>G57/J3</f>
        <v>1.5527950310559005E-3</v>
      </c>
      <c r="I57" s="63">
        <f>SUM($G$7:G57)</f>
        <v>16100</v>
      </c>
      <c r="J57" s="64">
        <f>I57/J3</f>
        <v>1</v>
      </c>
      <c r="K57" s="18"/>
      <c r="M57" s="1"/>
    </row>
    <row r="58" spans="1:13" ht="6" customHeight="1">
      <c r="A58" s="5"/>
      <c r="B58" s="20"/>
      <c r="C58" s="21"/>
      <c r="D58" s="21"/>
      <c r="E58" s="21"/>
      <c r="F58" s="21"/>
      <c r="G58" s="21"/>
      <c r="H58" s="21"/>
      <c r="I58" s="21"/>
      <c r="J58" s="21"/>
      <c r="K58" s="22"/>
      <c r="M58" s="1"/>
    </row>
    <row r="59" spans="1:13">
      <c r="M59" s="1"/>
    </row>
    <row r="60" spans="1:13">
      <c r="M60" s="1"/>
    </row>
    <row r="61" spans="1:13">
      <c r="M61" s="1"/>
    </row>
    <row r="62" spans="1:13">
      <c r="M62" s="1"/>
    </row>
    <row r="63" spans="1:13">
      <c r="M63" s="1"/>
    </row>
    <row r="64" spans="1:13">
      <c r="M64" s="1"/>
    </row>
    <row r="65" spans="13:13">
      <c r="M65" s="1"/>
    </row>
    <row r="66" spans="13:13">
      <c r="M66" s="1"/>
    </row>
    <row r="67" spans="13:13">
      <c r="M67" s="1"/>
    </row>
    <row r="68" spans="13:13">
      <c r="M68" s="1"/>
    </row>
    <row r="69" spans="13:13">
      <c r="M69" s="1"/>
    </row>
    <row r="70" spans="13:13">
      <c r="M70" s="1"/>
    </row>
    <row r="71" spans="13:13">
      <c r="M71" s="1"/>
    </row>
    <row r="72" spans="13:13">
      <c r="M72" s="1"/>
    </row>
    <row r="73" spans="13:13">
      <c r="M73" s="1"/>
    </row>
    <row r="74" spans="13:13">
      <c r="M74" s="1"/>
    </row>
    <row r="75" spans="13:13">
      <c r="M75" s="1"/>
    </row>
    <row r="76" spans="13:13">
      <c r="M76" s="1"/>
    </row>
    <row r="77" spans="13:13">
      <c r="M77" s="1"/>
    </row>
    <row r="78" spans="13:13">
      <c r="M78" s="1"/>
    </row>
    <row r="79" spans="13:13">
      <c r="M79" s="1"/>
    </row>
    <row r="80" spans="13:13">
      <c r="M80" s="1"/>
    </row>
    <row r="81" spans="13:13">
      <c r="M81" s="1"/>
    </row>
    <row r="82" spans="13:13">
      <c r="M82" s="1"/>
    </row>
    <row r="83" spans="13:13">
      <c r="M83" s="1"/>
    </row>
    <row r="84" spans="13:13">
      <c r="M84" s="1"/>
    </row>
    <row r="85" spans="13:13">
      <c r="M85" s="1"/>
    </row>
    <row r="86" spans="13:13">
      <c r="M86" s="1"/>
    </row>
    <row r="87" spans="13:13">
      <c r="M87" s="1"/>
    </row>
    <row r="88" spans="13:13">
      <c r="M88" s="1"/>
    </row>
    <row r="89" spans="13:13">
      <c r="M89" s="1"/>
    </row>
    <row r="90" spans="13:13">
      <c r="M90" s="1"/>
    </row>
    <row r="91" spans="13:13">
      <c r="M91" s="1"/>
    </row>
    <row r="92" spans="13:13">
      <c r="M92" s="1"/>
    </row>
    <row r="93" spans="13:13">
      <c r="M93" s="1"/>
    </row>
    <row r="94" spans="13:13">
      <c r="M94" s="1"/>
    </row>
    <row r="95" spans="13:13">
      <c r="M95" s="1"/>
    </row>
    <row r="96" spans="13:13">
      <c r="M96" s="1"/>
    </row>
    <row r="97" spans="13:13">
      <c r="M97" s="1"/>
    </row>
    <row r="98" spans="13:13">
      <c r="M98" s="1"/>
    </row>
    <row r="99" spans="13:13">
      <c r="M99" s="1"/>
    </row>
    <row r="100" spans="13:13">
      <c r="M100" s="1"/>
    </row>
    <row r="101" spans="13:13">
      <c r="M101" s="1"/>
    </row>
    <row r="102" spans="13:13">
      <c r="M102" s="1"/>
    </row>
    <row r="103" spans="13:13">
      <c r="M103" s="1"/>
    </row>
    <row r="104" spans="13:13">
      <c r="M104" s="1"/>
    </row>
    <row r="105" spans="13:13">
      <c r="M105" s="1"/>
    </row>
  </sheetData>
  <mergeCells count="53">
    <mergeCell ref="I44:I45"/>
    <mergeCell ref="J44:J45"/>
    <mergeCell ref="D50:D51"/>
    <mergeCell ref="E50:E51"/>
    <mergeCell ref="F50:F51"/>
    <mergeCell ref="G50:G51"/>
    <mergeCell ref="H50:H51"/>
    <mergeCell ref="I50:I51"/>
    <mergeCell ref="J50:J51"/>
    <mergeCell ref="D44:D45"/>
    <mergeCell ref="E44:E45"/>
    <mergeCell ref="F44:F45"/>
    <mergeCell ref="G44:G45"/>
    <mergeCell ref="H44:H45"/>
    <mergeCell ref="I31:I32"/>
    <mergeCell ref="J31:J32"/>
    <mergeCell ref="D37:D38"/>
    <mergeCell ref="E37:E38"/>
    <mergeCell ref="F37:F38"/>
    <mergeCell ref="G37:G38"/>
    <mergeCell ref="H37:H38"/>
    <mergeCell ref="I37:I38"/>
    <mergeCell ref="J37:J38"/>
    <mergeCell ref="D31:D32"/>
    <mergeCell ref="E31:E32"/>
    <mergeCell ref="F31:F32"/>
    <mergeCell ref="G31:G32"/>
    <mergeCell ref="H31:H32"/>
    <mergeCell ref="I18:I19"/>
    <mergeCell ref="J18:J19"/>
    <mergeCell ref="D25:D26"/>
    <mergeCell ref="E25:E26"/>
    <mergeCell ref="F25:F26"/>
    <mergeCell ref="G25:G26"/>
    <mergeCell ref="H25:H26"/>
    <mergeCell ref="I25:I26"/>
    <mergeCell ref="J25:J26"/>
    <mergeCell ref="D3:F3"/>
    <mergeCell ref="D4:F4"/>
    <mergeCell ref="D56:J56"/>
    <mergeCell ref="D8:J8"/>
    <mergeCell ref="D12:D13"/>
    <mergeCell ref="E12:E13"/>
    <mergeCell ref="F12:F13"/>
    <mergeCell ref="G12:G13"/>
    <mergeCell ref="H12:H13"/>
    <mergeCell ref="I12:I13"/>
    <mergeCell ref="J12:J13"/>
    <mergeCell ref="D18:D19"/>
    <mergeCell ref="E18:E19"/>
    <mergeCell ref="F18:F19"/>
    <mergeCell ref="G18:G19"/>
    <mergeCell ref="H18:H19"/>
  </mergeCells>
  <phoneticPr fontId="1" type="noConversion"/>
  <conditionalFormatting sqref="D7:J7 D57:J57 D9:J12 D14:J18 D20:J25 D27:J31 D33:J37 D39:J44 D46:J50 D52:J55">
    <cfRule type="expression" dxfId="125" priority="7">
      <formula>OR($D7=$P$7:$P$14)</formula>
    </cfRule>
  </conditionalFormatting>
  <conditionalFormatting sqref="C7:C57">
    <cfRule type="expression" dxfId="124" priority="6">
      <formula>OR(AND($D7=0,OR($D6=$P$7:$P$14)),AND($D8&gt;0,OR($D7=$P$7:$P$14)))</formula>
    </cfRule>
  </conditionalFormatting>
  <conditionalFormatting sqref="D7 D57 D9:D12 D14:D18 D20:D25 D27:D31 D33:D37 D39:D44 D46:D50 D52:D55">
    <cfRule type="expression" dxfId="123" priority="5">
      <formula>$D7=$D8</formula>
    </cfRule>
  </conditionalFormatting>
  <conditionalFormatting sqref="D56">
    <cfRule type="expression" dxfId="122" priority="4">
      <formula>OR($D56=$P$7:$P$14)</formula>
    </cfRule>
  </conditionalFormatting>
  <conditionalFormatting sqref="D56">
    <cfRule type="expression" dxfId="121" priority="3">
      <formula>$D56=$D57</formula>
    </cfRule>
  </conditionalFormatting>
  <conditionalFormatting sqref="D8">
    <cfRule type="expression" dxfId="120" priority="2">
      <formula>OR($D8=$P$7:$P$14)</formula>
    </cfRule>
  </conditionalFormatting>
  <conditionalFormatting sqref="D8">
    <cfRule type="expression" dxfId="119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40D9E-C049-4545-ADCA-5E5EBB94A528}">
  <sheetPr codeName="Sheet14"/>
  <dimension ref="A1:P105"/>
  <sheetViews>
    <sheetView zoomScaleNormal="100" workbookViewId="0">
      <selection activeCell="B2" sqref="B2:K58"/>
    </sheetView>
  </sheetViews>
  <sheetFormatPr defaultRowHeight="17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6">
      <c r="A1" s="5" t="s">
        <v>44</v>
      </c>
      <c r="C1" s="5"/>
      <c r="D1" s="5"/>
      <c r="E1" s="5"/>
      <c r="F1" s="5"/>
      <c r="G1" s="5"/>
      <c r="H1" s="5"/>
      <c r="I1" s="5"/>
      <c r="J1" s="5"/>
      <c r="K1" s="5"/>
    </row>
    <row r="2" spans="1:16" s="5" customFormat="1" ht="6" customHeight="1" thickBot="1">
      <c r="B2" s="15"/>
      <c r="C2" s="23"/>
      <c r="D2" s="23"/>
      <c r="E2" s="23"/>
      <c r="F2" s="23"/>
      <c r="G2" s="23"/>
      <c r="H2" s="23"/>
      <c r="I2" s="23"/>
      <c r="J2" s="23"/>
      <c r="K2" s="16"/>
    </row>
    <row r="3" spans="1:16" ht="25" customHeight="1" thickBot="1">
      <c r="A3" s="5"/>
      <c r="B3" s="17"/>
      <c r="C3" s="34" t="s">
        <v>47</v>
      </c>
      <c r="D3" s="105" t="s">
        <v>115</v>
      </c>
      <c r="E3" s="106"/>
      <c r="F3" s="107"/>
      <c r="G3" s="34" t="s">
        <v>48</v>
      </c>
      <c r="H3" s="101">
        <f>'통계 및 응시자 수 입력 기능'!D10</f>
        <v>21.81</v>
      </c>
      <c r="I3" s="103" t="s">
        <v>49</v>
      </c>
      <c r="J3" s="104">
        <f>'통계 및 응시자 수 입력 기능'!C10</f>
        <v>6919</v>
      </c>
      <c r="K3" s="18"/>
    </row>
    <row r="4" spans="1:16" ht="25" customHeight="1" thickBot="1">
      <c r="A4" s="5"/>
      <c r="B4" s="17"/>
      <c r="C4" s="35" t="s">
        <v>50</v>
      </c>
      <c r="D4" s="108" t="s">
        <v>67</v>
      </c>
      <c r="E4" s="109"/>
      <c r="F4" s="110"/>
      <c r="G4" s="36" t="s">
        <v>52</v>
      </c>
      <c r="H4" s="102">
        <f>'통계 및 응시자 수 입력 기능'!E10</f>
        <v>12.89</v>
      </c>
      <c r="I4" s="12"/>
      <c r="J4" s="12"/>
      <c r="K4" s="18"/>
    </row>
    <row r="5" spans="1:16" ht="25" customHeight="1" thickBot="1">
      <c r="A5" s="5"/>
      <c r="B5" s="17"/>
      <c r="C5" s="12"/>
      <c r="D5" s="12"/>
      <c r="E5" s="12"/>
      <c r="F5" s="12"/>
      <c r="G5" s="12"/>
      <c r="H5" s="19"/>
      <c r="I5" s="19"/>
      <c r="J5" s="19"/>
      <c r="K5" s="18"/>
    </row>
    <row r="6" spans="1:16" ht="25" customHeight="1" thickBot="1">
      <c r="A6" s="5"/>
      <c r="B6" s="17"/>
      <c r="C6" s="38" t="s">
        <v>73</v>
      </c>
      <c r="D6" s="39" t="s">
        <v>74</v>
      </c>
      <c r="E6" s="39" t="s">
        <v>75</v>
      </c>
      <c r="F6" s="39" t="s">
        <v>76</v>
      </c>
      <c r="G6" s="39" t="s">
        <v>77</v>
      </c>
      <c r="H6" s="40" t="s">
        <v>78</v>
      </c>
      <c r="I6" s="40" t="s">
        <v>79</v>
      </c>
      <c r="J6" s="41" t="s">
        <v>80</v>
      </c>
      <c r="K6" s="18"/>
      <c r="L6" s="3"/>
      <c r="M6" s="4"/>
    </row>
    <row r="7" spans="1:16" ht="25" customHeight="1">
      <c r="A7" s="5"/>
      <c r="B7" s="17"/>
      <c r="C7" s="42">
        <v>50</v>
      </c>
      <c r="D7" s="43">
        <f>ROUND(10*(C7-$H$3)/$H$4+50,0)</f>
        <v>72</v>
      </c>
      <c r="E7" s="43">
        <f t="shared" ref="E7:E38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44">
        <f>ROUND(100*(1-(0+I7)/2/$J$3),0)</f>
        <v>99</v>
      </c>
      <c r="G7" s="45">
        <f>_xlfn.IFNA(VLOOKUP(D7,'인원 입력 기능'!$AF$5:$AI$55,4,FALSE),0)</f>
        <v>196</v>
      </c>
      <c r="H7" s="46">
        <f>G7/J3</f>
        <v>2.8327793033675386E-2</v>
      </c>
      <c r="I7" s="47">
        <f>G7</f>
        <v>196</v>
      </c>
      <c r="J7" s="48">
        <f>I7/J3</f>
        <v>2.8327793033675386E-2</v>
      </c>
      <c r="K7" s="18"/>
      <c r="M7" s="1"/>
      <c r="O7" s="1">
        <v>1</v>
      </c>
      <c r="P7" s="1">
        <f>'표준점수 등급컷 입력기능'!H16</f>
        <v>70</v>
      </c>
    </row>
    <row r="8" spans="1:16" ht="25" customHeight="1">
      <c r="A8" s="5"/>
      <c r="B8" s="17"/>
      <c r="C8" s="49">
        <v>49</v>
      </c>
      <c r="D8" s="111" t="s">
        <v>31</v>
      </c>
      <c r="E8" s="112"/>
      <c r="F8" s="112"/>
      <c r="G8" s="112"/>
      <c r="H8" s="112"/>
      <c r="I8" s="112"/>
      <c r="J8" s="113"/>
      <c r="K8" s="18"/>
      <c r="M8" s="1"/>
      <c r="O8" s="1">
        <v>2</v>
      </c>
      <c r="P8" s="1">
        <f>'표준점수 등급컷 입력기능'!H17</f>
        <v>66</v>
      </c>
    </row>
    <row r="9" spans="1:16" ht="25" customHeight="1">
      <c r="A9" s="5"/>
      <c r="B9" s="17"/>
      <c r="C9" s="42">
        <v>48</v>
      </c>
      <c r="D9" s="286">
        <f>ROUND(10*(C9-$H$3)/$H$4+50,0)</f>
        <v>70</v>
      </c>
      <c r="E9" s="286">
        <f t="shared" si="0"/>
        <v>1</v>
      </c>
      <c r="F9" s="288">
        <f>IF(I8=0,ROUND(100*(1-(I7+I9)/2/$J$3),0),ROUND(100*(1-(I8+I9)/2/$J$3),0))</f>
        <v>95</v>
      </c>
      <c r="G9" s="290">
        <f>_xlfn.IFNA(VLOOKUP(D9,'인원 입력 기능'!$AF$5:$AI$55,4,FALSE),0)</f>
        <v>249</v>
      </c>
      <c r="H9" s="291">
        <f>G9/$J$3</f>
        <v>3.5987859517271285E-2</v>
      </c>
      <c r="I9" s="293">
        <f>SUM($G$7:G9)</f>
        <v>445</v>
      </c>
      <c r="J9" s="295">
        <f>I9/$J$3</f>
        <v>6.4315652550946664E-2</v>
      </c>
      <c r="K9" s="18"/>
      <c r="M9" s="1"/>
      <c r="O9" s="1">
        <v>3</v>
      </c>
      <c r="P9" s="1">
        <f>'표준점수 등급컷 입력기능'!H18</f>
        <v>58</v>
      </c>
    </row>
    <row r="10" spans="1:16" ht="25" customHeight="1">
      <c r="A10" s="5"/>
      <c r="B10" s="17"/>
      <c r="C10" s="49">
        <v>47</v>
      </c>
      <c r="D10" s="285"/>
      <c r="E10" s="285"/>
      <c r="F10" s="287"/>
      <c r="G10" s="289"/>
      <c r="H10" s="292"/>
      <c r="I10" s="294"/>
      <c r="J10" s="296"/>
      <c r="K10" s="18"/>
      <c r="M10" s="1"/>
      <c r="O10" s="1">
        <v>4</v>
      </c>
      <c r="P10" s="1">
        <f>'표준점수 등급컷 입력기능'!H19</f>
        <v>50</v>
      </c>
    </row>
    <row r="11" spans="1:16" ht="25" customHeight="1">
      <c r="A11" s="5"/>
      <c r="B11" s="17"/>
      <c r="C11" s="42">
        <v>46</v>
      </c>
      <c r="D11" s="43">
        <f t="shared" ref="D10:D55" si="1">ROUND(10*(C11-$H$3)/$H$4+50,0)</f>
        <v>69</v>
      </c>
      <c r="E11" s="43">
        <f t="shared" si="0"/>
        <v>2</v>
      </c>
      <c r="F11" s="44">
        <f t="shared" ref="F11:F55" si="2">IF(I10=0,ROUND(100*(1-(I9+I11)/2/$J$3),0),ROUND(100*(1-(I10+I11)/2/$J$3),0))</f>
        <v>93</v>
      </c>
      <c r="G11" s="45">
        <f>IF(D11=D10,"",_xlfn.IFNA(VLOOKUP(D11,'인원 입력 기능'!$AF$5:$AI$55,4,FALSE),0))</f>
        <v>38</v>
      </c>
      <c r="H11" s="46">
        <f t="shared" ref="H10:H55" si="3">G11/$J$3</f>
        <v>5.4921231391819626E-3</v>
      </c>
      <c r="I11" s="50">
        <f>SUM($G$7:G11)</f>
        <v>483</v>
      </c>
      <c r="J11" s="48">
        <f t="shared" ref="J10:J55" si="4">I11/$J$3</f>
        <v>6.9807775690128637E-2</v>
      </c>
      <c r="K11" s="18"/>
      <c r="M11" s="1"/>
      <c r="O11" s="1">
        <v>5</v>
      </c>
      <c r="P11" s="1">
        <f>'표준점수 등급컷 입력기능'!H20</f>
        <v>45</v>
      </c>
    </row>
    <row r="12" spans="1:16" ht="25" customHeight="1">
      <c r="A12" s="5"/>
      <c r="B12" s="17"/>
      <c r="C12" s="49">
        <v>45</v>
      </c>
      <c r="D12" s="43">
        <f t="shared" si="1"/>
        <v>68</v>
      </c>
      <c r="E12" s="43">
        <f t="shared" si="0"/>
        <v>2</v>
      </c>
      <c r="F12" s="44">
        <f t="shared" si="2"/>
        <v>92</v>
      </c>
      <c r="G12" s="45">
        <f>IF(D12=D11,"",_xlfn.IFNA(VLOOKUP(D12,'인원 입력 기능'!$AF$5:$AI$55,4,FALSE),0))</f>
        <v>125</v>
      </c>
      <c r="H12" s="46">
        <f t="shared" si="3"/>
        <v>1.8066194536782772E-2</v>
      </c>
      <c r="I12" s="50">
        <f>SUM($G$7:G12)</f>
        <v>608</v>
      </c>
      <c r="J12" s="48">
        <f t="shared" si="4"/>
        <v>8.7873970226911402E-2</v>
      </c>
      <c r="K12" s="18"/>
      <c r="M12" s="1"/>
      <c r="O12" s="1">
        <v>6</v>
      </c>
      <c r="P12" s="1">
        <f>'표준점수 등급컷 입력기능'!H21</f>
        <v>42</v>
      </c>
    </row>
    <row r="13" spans="1:16" ht="25" customHeight="1">
      <c r="A13" s="5"/>
      <c r="B13" s="17"/>
      <c r="C13" s="42">
        <v>44</v>
      </c>
      <c r="D13" s="43">
        <f t="shared" si="1"/>
        <v>67</v>
      </c>
      <c r="E13" s="43">
        <f t="shared" si="0"/>
        <v>2</v>
      </c>
      <c r="F13" s="44">
        <f t="shared" si="2"/>
        <v>91</v>
      </c>
      <c r="G13" s="45">
        <f>IF(D13=D12,"",_xlfn.IFNA(VLOOKUP(D13,'인원 입력 기능'!$AF$5:$AI$55,4,FALSE),0))</f>
        <v>73</v>
      </c>
      <c r="H13" s="46">
        <f t="shared" si="3"/>
        <v>1.0550657609481139E-2</v>
      </c>
      <c r="I13" s="50">
        <f>SUM($G$7:G13)</f>
        <v>681</v>
      </c>
      <c r="J13" s="48">
        <f t="shared" si="4"/>
        <v>9.8424627836392539E-2</v>
      </c>
      <c r="K13" s="18"/>
      <c r="M13" s="1"/>
      <c r="O13" s="1">
        <v>7</v>
      </c>
      <c r="P13" s="1">
        <f>'표준점수 등급컷 입력기능'!H22</f>
        <v>40</v>
      </c>
    </row>
    <row r="14" spans="1:16" ht="25" customHeight="1">
      <c r="A14" s="5"/>
      <c r="B14" s="17"/>
      <c r="C14" s="49">
        <v>43</v>
      </c>
      <c r="D14" s="286">
        <f t="shared" si="1"/>
        <v>66</v>
      </c>
      <c r="E14" s="286">
        <f t="shared" si="0"/>
        <v>2</v>
      </c>
      <c r="F14" s="288">
        <f t="shared" si="2"/>
        <v>89</v>
      </c>
      <c r="G14" s="290">
        <f>IF(D14=D13,"",_xlfn.IFNA(VLOOKUP(D14,'인원 입력 기능'!$AF$5:$AI$55,4,FALSE),0))</f>
        <v>161</v>
      </c>
      <c r="H14" s="291">
        <f t="shared" si="3"/>
        <v>2.3269258563376211E-2</v>
      </c>
      <c r="I14" s="293">
        <f>SUM($G$7:G14)</f>
        <v>842</v>
      </c>
      <c r="J14" s="295">
        <f t="shared" si="4"/>
        <v>0.12169388639976875</v>
      </c>
      <c r="K14" s="18"/>
      <c r="M14" s="1"/>
      <c r="O14" s="1">
        <v>8</v>
      </c>
      <c r="P14" s="1">
        <f>'표준점수 등급컷 입력기능'!H23</f>
        <v>38</v>
      </c>
    </row>
    <row r="15" spans="1:16" ht="25" customHeight="1">
      <c r="A15" s="5"/>
      <c r="B15" s="17"/>
      <c r="C15" s="42">
        <v>42</v>
      </c>
      <c r="D15" s="285"/>
      <c r="E15" s="285"/>
      <c r="F15" s="287"/>
      <c r="G15" s="289"/>
      <c r="H15" s="292"/>
      <c r="I15" s="294"/>
      <c r="J15" s="296"/>
      <c r="K15" s="18"/>
      <c r="M15" s="1"/>
      <c r="O15" s="1">
        <v>9</v>
      </c>
      <c r="P15" s="1"/>
    </row>
    <row r="16" spans="1:16" ht="25" customHeight="1">
      <c r="A16" s="5"/>
      <c r="B16" s="17"/>
      <c r="C16" s="49">
        <v>41</v>
      </c>
      <c r="D16" s="43">
        <f t="shared" si="1"/>
        <v>65</v>
      </c>
      <c r="E16" s="43">
        <f t="shared" si="0"/>
        <v>3</v>
      </c>
      <c r="F16" s="44">
        <f t="shared" si="2"/>
        <v>87</v>
      </c>
      <c r="G16" s="45">
        <f>IF(D16=D15,"",_xlfn.IFNA(VLOOKUP(D16,'인원 입력 기능'!$AF$5:$AI$55,4,FALSE),0))</f>
        <v>63</v>
      </c>
      <c r="H16" s="46">
        <f t="shared" si="3"/>
        <v>9.1053620465385166E-3</v>
      </c>
      <c r="I16" s="50">
        <f>SUM($G$7:G16)</f>
        <v>905</v>
      </c>
      <c r="J16" s="48">
        <f t="shared" si="4"/>
        <v>0.13079924844630728</v>
      </c>
      <c r="K16" s="18"/>
      <c r="M16" s="1"/>
    </row>
    <row r="17" spans="1:16" ht="25" customHeight="1">
      <c r="A17" s="5"/>
      <c r="B17" s="17"/>
      <c r="C17" s="42">
        <v>40</v>
      </c>
      <c r="D17" s="43">
        <f t="shared" si="1"/>
        <v>64</v>
      </c>
      <c r="E17" s="43">
        <f t="shared" si="0"/>
        <v>3</v>
      </c>
      <c r="F17" s="44">
        <f t="shared" si="2"/>
        <v>86</v>
      </c>
      <c r="G17" s="45">
        <f>IF(D17=D16,"",_xlfn.IFNA(VLOOKUP(D17,'인원 입력 기능'!$AF$5:$AI$55,4,FALSE),0))</f>
        <v>92</v>
      </c>
      <c r="H17" s="46">
        <f t="shared" si="3"/>
        <v>1.329671917907212E-2</v>
      </c>
      <c r="I17" s="50">
        <f>SUM($G$7:G17)</f>
        <v>997</v>
      </c>
      <c r="J17" s="48">
        <f t="shared" si="4"/>
        <v>0.14409596762537938</v>
      </c>
      <c r="K17" s="18"/>
      <c r="M17" s="1"/>
      <c r="P17" s="1">
        <f>H3*H4*J3*P7*IFERROR(IF(J57=1, 1, 0), 0)</f>
        <v>136160128.79699999</v>
      </c>
    </row>
    <row r="18" spans="1:16" ht="25" customHeight="1">
      <c r="A18" s="5"/>
      <c r="B18" s="17"/>
      <c r="C18" s="49">
        <v>39</v>
      </c>
      <c r="D18" s="286">
        <f t="shared" si="1"/>
        <v>63</v>
      </c>
      <c r="E18" s="286">
        <f t="shared" si="0"/>
        <v>3</v>
      </c>
      <c r="F18" s="288">
        <f t="shared" si="2"/>
        <v>85</v>
      </c>
      <c r="G18" s="290">
        <f>IF(D18=D17,"",_xlfn.IFNA(VLOOKUP(D18,'인원 입력 기능'!$AF$5:$AI$55,4,FALSE),0))</f>
        <v>132</v>
      </c>
      <c r="H18" s="291">
        <f t="shared" si="3"/>
        <v>1.9077901430842606E-2</v>
      </c>
      <c r="I18" s="293">
        <f>SUM($G$7:G18)</f>
        <v>1129</v>
      </c>
      <c r="J18" s="295">
        <f t="shared" si="4"/>
        <v>0.163173869056222</v>
      </c>
      <c r="K18" s="18"/>
      <c r="M18" s="1"/>
    </row>
    <row r="19" spans="1:16" ht="25" customHeight="1">
      <c r="A19" s="5"/>
      <c r="B19" s="17"/>
      <c r="C19" s="42">
        <v>38</v>
      </c>
      <c r="D19" s="285"/>
      <c r="E19" s="285"/>
      <c r="F19" s="287"/>
      <c r="G19" s="289"/>
      <c r="H19" s="292"/>
      <c r="I19" s="294"/>
      <c r="J19" s="296"/>
      <c r="K19" s="18"/>
      <c r="M19" s="1"/>
    </row>
    <row r="20" spans="1:16" ht="25" customHeight="1">
      <c r="A20" s="5"/>
      <c r="B20" s="17"/>
      <c r="C20" s="49">
        <v>37</v>
      </c>
      <c r="D20" s="43">
        <f t="shared" si="1"/>
        <v>62</v>
      </c>
      <c r="E20" s="43">
        <f t="shared" si="0"/>
        <v>3</v>
      </c>
      <c r="F20" s="44">
        <f t="shared" si="2"/>
        <v>83</v>
      </c>
      <c r="G20" s="45">
        <f>IF(D20=D19,"",_xlfn.IFNA(VLOOKUP(D20,'인원 입력 기능'!$AF$5:$AI$55,4,FALSE),0))</f>
        <v>97</v>
      </c>
      <c r="H20" s="46">
        <f t="shared" si="3"/>
        <v>1.4019366960543431E-2</v>
      </c>
      <c r="I20" s="50">
        <f>SUM($G$7:G20)</f>
        <v>1226</v>
      </c>
      <c r="J20" s="48">
        <f t="shared" si="4"/>
        <v>0.17719323601676543</v>
      </c>
      <c r="K20" s="18"/>
      <c r="M20" s="1"/>
    </row>
    <row r="21" spans="1:16" ht="25" customHeight="1">
      <c r="A21" s="5"/>
      <c r="B21" s="17"/>
      <c r="C21" s="51">
        <v>36</v>
      </c>
      <c r="D21" s="53">
        <f t="shared" si="1"/>
        <v>61</v>
      </c>
      <c r="E21" s="53">
        <f t="shared" si="0"/>
        <v>3</v>
      </c>
      <c r="F21" s="44">
        <f t="shared" si="2"/>
        <v>82</v>
      </c>
      <c r="G21" s="45">
        <f>IF(D21=D20,"",_xlfn.IFNA(VLOOKUP(D21,'인원 입력 기능'!$AF$5:$AI$55,4,FALSE),0))</f>
        <v>74</v>
      </c>
      <c r="H21" s="46">
        <f t="shared" si="3"/>
        <v>1.06951871657754E-2</v>
      </c>
      <c r="I21" s="50">
        <f>SUM($G$7:G21)</f>
        <v>1300</v>
      </c>
      <c r="J21" s="48">
        <f t="shared" si="4"/>
        <v>0.18788842318254084</v>
      </c>
      <c r="K21" s="18"/>
      <c r="M21" s="1"/>
    </row>
    <row r="22" spans="1:16" ht="25" customHeight="1">
      <c r="A22" s="5"/>
      <c r="B22" s="17"/>
      <c r="C22" s="52">
        <v>35</v>
      </c>
      <c r="D22" s="53">
        <f t="shared" si="1"/>
        <v>60</v>
      </c>
      <c r="E22" s="53">
        <f t="shared" si="0"/>
        <v>3</v>
      </c>
      <c r="F22" s="44">
        <f t="shared" si="2"/>
        <v>81</v>
      </c>
      <c r="G22" s="45">
        <f>IF(D22=D21,"",_xlfn.IFNA(VLOOKUP(D22,'인원 입력 기능'!$AF$5:$AI$55,4,FALSE),0))</f>
        <v>87</v>
      </c>
      <c r="H22" s="46">
        <f t="shared" si="3"/>
        <v>1.2574071397600809E-2</v>
      </c>
      <c r="I22" s="50">
        <f>SUM($G$7:G22)</f>
        <v>1387</v>
      </c>
      <c r="J22" s="48">
        <f t="shared" si="4"/>
        <v>0.20046249458014165</v>
      </c>
      <c r="K22" s="18"/>
      <c r="M22" s="1"/>
    </row>
    <row r="23" spans="1:16" ht="25" customHeight="1">
      <c r="A23" s="5"/>
      <c r="B23" s="17"/>
      <c r="C23" s="51">
        <v>34</v>
      </c>
      <c r="D23" s="298">
        <f t="shared" si="1"/>
        <v>59</v>
      </c>
      <c r="E23" s="298">
        <f t="shared" si="0"/>
        <v>3</v>
      </c>
      <c r="F23" s="288">
        <f t="shared" si="2"/>
        <v>79</v>
      </c>
      <c r="G23" s="290">
        <f>IF(D23=D22,"",_xlfn.IFNA(VLOOKUP(D23,'인원 입력 기능'!$AF$5:$AI$55,4,FALSE),0))</f>
        <v>163</v>
      </c>
      <c r="H23" s="291">
        <f t="shared" si="3"/>
        <v>2.3558317675964734E-2</v>
      </c>
      <c r="I23" s="293">
        <f>SUM($G$7:G23)</f>
        <v>1550</v>
      </c>
      <c r="J23" s="295">
        <f t="shared" si="4"/>
        <v>0.22402081225610637</v>
      </c>
      <c r="K23" s="18"/>
      <c r="M23" s="1"/>
    </row>
    <row r="24" spans="1:16" ht="25" customHeight="1">
      <c r="A24" s="5"/>
      <c r="B24" s="17"/>
      <c r="C24" s="52">
        <v>33</v>
      </c>
      <c r="D24" s="297"/>
      <c r="E24" s="297"/>
      <c r="F24" s="287"/>
      <c r="G24" s="289"/>
      <c r="H24" s="292"/>
      <c r="I24" s="294"/>
      <c r="J24" s="296"/>
      <c r="K24" s="18"/>
      <c r="M24" s="1"/>
    </row>
    <row r="25" spans="1:16" ht="25" customHeight="1">
      <c r="A25" s="5"/>
      <c r="B25" s="17"/>
      <c r="C25" s="51">
        <v>32</v>
      </c>
      <c r="D25" s="53">
        <f t="shared" si="1"/>
        <v>58</v>
      </c>
      <c r="E25" s="53">
        <f t="shared" si="0"/>
        <v>3</v>
      </c>
      <c r="F25" s="44">
        <f t="shared" si="2"/>
        <v>77</v>
      </c>
      <c r="G25" s="45">
        <f>IF(D25=D24,"",_xlfn.IFNA(VLOOKUP(D25,'인원 입력 기능'!$AF$5:$AI$55,4,FALSE),0))</f>
        <v>89</v>
      </c>
      <c r="H25" s="46">
        <f t="shared" si="3"/>
        <v>1.2863130510189334E-2</v>
      </c>
      <c r="I25" s="50">
        <f>SUM($G$7:G25)</f>
        <v>1639</v>
      </c>
      <c r="J25" s="48">
        <f t="shared" si="4"/>
        <v>0.23688394276629571</v>
      </c>
      <c r="K25" s="18"/>
      <c r="M25" s="1"/>
    </row>
    <row r="26" spans="1:16" ht="25" customHeight="1">
      <c r="A26" s="5"/>
      <c r="B26" s="17"/>
      <c r="C26" s="52">
        <v>31</v>
      </c>
      <c r="D26" s="53">
        <f t="shared" si="1"/>
        <v>57</v>
      </c>
      <c r="E26" s="53">
        <f t="shared" si="0"/>
        <v>4</v>
      </c>
      <c r="F26" s="44">
        <f t="shared" si="2"/>
        <v>76</v>
      </c>
      <c r="G26" s="45">
        <f>IF(D26=D25,"",_xlfn.IFNA(VLOOKUP(D26,'인원 입력 기능'!$AF$5:$AI$55,4,FALSE),0))</f>
        <v>98</v>
      </c>
      <c r="H26" s="46">
        <f t="shared" si="3"/>
        <v>1.4163896516837693E-2</v>
      </c>
      <c r="I26" s="50">
        <f>SUM($G$7:G26)</f>
        <v>1737</v>
      </c>
      <c r="J26" s="48">
        <f t="shared" si="4"/>
        <v>0.2510478392831334</v>
      </c>
      <c r="K26" s="18"/>
      <c r="M26" s="1"/>
    </row>
    <row r="27" spans="1:16" ht="25" customHeight="1">
      <c r="A27" s="5"/>
      <c r="B27" s="17"/>
      <c r="C27" s="51">
        <v>30</v>
      </c>
      <c r="D27" s="298">
        <f t="shared" si="1"/>
        <v>56</v>
      </c>
      <c r="E27" s="298">
        <f t="shared" si="0"/>
        <v>4</v>
      </c>
      <c r="F27" s="288">
        <f t="shared" si="2"/>
        <v>73</v>
      </c>
      <c r="G27" s="290">
        <f>IF(D27=D26,"",_xlfn.IFNA(VLOOKUP(D27,'인원 입력 기능'!$AF$5:$AI$55,4,FALSE),0))</f>
        <v>215</v>
      </c>
      <c r="H27" s="291">
        <f t="shared" si="3"/>
        <v>3.1073854603266369E-2</v>
      </c>
      <c r="I27" s="293">
        <f>SUM($G$7:G27)</f>
        <v>1952</v>
      </c>
      <c r="J27" s="295">
        <f t="shared" si="4"/>
        <v>0.28212169388639979</v>
      </c>
      <c r="K27" s="18"/>
      <c r="M27" s="1"/>
    </row>
    <row r="28" spans="1:16" ht="25" customHeight="1">
      <c r="A28" s="5"/>
      <c r="B28" s="17"/>
      <c r="C28" s="52">
        <v>29</v>
      </c>
      <c r="D28" s="297"/>
      <c r="E28" s="297"/>
      <c r="F28" s="287"/>
      <c r="G28" s="289"/>
      <c r="H28" s="292"/>
      <c r="I28" s="294"/>
      <c r="J28" s="296"/>
      <c r="K28" s="18"/>
      <c r="M28" s="1"/>
    </row>
    <row r="29" spans="1:16" ht="25" customHeight="1">
      <c r="A29" s="5"/>
      <c r="B29" s="17"/>
      <c r="C29" s="51">
        <v>28</v>
      </c>
      <c r="D29" s="53">
        <f t="shared" si="1"/>
        <v>55</v>
      </c>
      <c r="E29" s="53">
        <f t="shared" si="0"/>
        <v>4</v>
      </c>
      <c r="F29" s="44">
        <f t="shared" si="2"/>
        <v>71</v>
      </c>
      <c r="G29" s="45">
        <f>IF(D29=D28,"",_xlfn.IFNA(VLOOKUP(D29,'인원 입력 기능'!$AF$5:$AI$55,4,FALSE),0))</f>
        <v>133</v>
      </c>
      <c r="H29" s="46">
        <f t="shared" si="3"/>
        <v>1.9222430987136871E-2</v>
      </c>
      <c r="I29" s="50">
        <f>SUM($G$7:G29)</f>
        <v>2085</v>
      </c>
      <c r="J29" s="48">
        <f t="shared" si="4"/>
        <v>0.30134412487353662</v>
      </c>
      <c r="K29" s="18"/>
      <c r="M29" s="1"/>
    </row>
    <row r="30" spans="1:16" ht="25" customHeight="1">
      <c r="A30" s="5"/>
      <c r="B30" s="17"/>
      <c r="C30" s="52">
        <v>27</v>
      </c>
      <c r="D30" s="53">
        <f t="shared" si="1"/>
        <v>54</v>
      </c>
      <c r="E30" s="53">
        <f t="shared" si="0"/>
        <v>4</v>
      </c>
      <c r="F30" s="44">
        <f t="shared" si="2"/>
        <v>69</v>
      </c>
      <c r="G30" s="45">
        <f>IF(D30=D29,"",_xlfn.IFNA(VLOOKUP(D30,'인원 입력 기능'!$AF$5:$AI$55,4,FALSE),0))</f>
        <v>127</v>
      </c>
      <c r="H30" s="46">
        <f t="shared" si="3"/>
        <v>1.8355253649371295E-2</v>
      </c>
      <c r="I30" s="50">
        <f>SUM($G$7:G30)</f>
        <v>2212</v>
      </c>
      <c r="J30" s="48">
        <f t="shared" si="4"/>
        <v>0.31969937852290792</v>
      </c>
      <c r="K30" s="18"/>
      <c r="M30" s="1"/>
    </row>
    <row r="31" spans="1:16" ht="25" customHeight="1">
      <c r="A31" s="5"/>
      <c r="B31" s="17"/>
      <c r="C31" s="51">
        <v>26</v>
      </c>
      <c r="D31" s="53">
        <f t="shared" si="1"/>
        <v>53</v>
      </c>
      <c r="E31" s="53">
        <f t="shared" si="0"/>
        <v>4</v>
      </c>
      <c r="F31" s="44">
        <f t="shared" si="2"/>
        <v>67</v>
      </c>
      <c r="G31" s="45">
        <f>IF(D31=D30,"",_xlfn.IFNA(VLOOKUP(D31,'인원 입력 기능'!$AF$5:$AI$55,4,FALSE),0))</f>
        <v>116</v>
      </c>
      <c r="H31" s="46">
        <f t="shared" si="3"/>
        <v>1.6765428530134411E-2</v>
      </c>
      <c r="I31" s="50">
        <f>SUM($G$7:G31)</f>
        <v>2328</v>
      </c>
      <c r="J31" s="48">
        <f t="shared" si="4"/>
        <v>0.33646480705304233</v>
      </c>
      <c r="K31" s="18"/>
      <c r="M31" s="1"/>
    </row>
    <row r="32" spans="1:16" ht="25" customHeight="1">
      <c r="A32" s="5"/>
      <c r="B32" s="17"/>
      <c r="C32" s="52">
        <v>25</v>
      </c>
      <c r="D32" s="298">
        <f t="shared" si="1"/>
        <v>52</v>
      </c>
      <c r="E32" s="298">
        <f t="shared" si="0"/>
        <v>4</v>
      </c>
      <c r="F32" s="288">
        <f t="shared" si="2"/>
        <v>64</v>
      </c>
      <c r="G32" s="290">
        <f>IF(D32=D31,"",_xlfn.IFNA(VLOOKUP(D32,'인원 입력 기능'!$AF$5:$AI$55,4,FALSE),0))</f>
        <v>269</v>
      </c>
      <c r="H32" s="291">
        <f t="shared" si="3"/>
        <v>3.8878450643156523E-2</v>
      </c>
      <c r="I32" s="293">
        <f>SUM($G$7:G32)</f>
        <v>2597</v>
      </c>
      <c r="J32" s="295">
        <f t="shared" si="4"/>
        <v>0.37534325769619886</v>
      </c>
      <c r="K32" s="18"/>
      <c r="M32" s="1"/>
    </row>
    <row r="33" spans="1:13" ht="25" customHeight="1">
      <c r="A33" s="5"/>
      <c r="B33" s="17"/>
      <c r="C33" s="51">
        <v>24</v>
      </c>
      <c r="D33" s="297"/>
      <c r="E33" s="297"/>
      <c r="F33" s="287"/>
      <c r="G33" s="289"/>
      <c r="H33" s="292"/>
      <c r="I33" s="294"/>
      <c r="J33" s="296"/>
      <c r="K33" s="18"/>
      <c r="M33" s="1"/>
    </row>
    <row r="34" spans="1:13" ht="25" customHeight="1">
      <c r="A34" s="5"/>
      <c r="B34" s="17"/>
      <c r="C34" s="52">
        <v>23</v>
      </c>
      <c r="D34" s="53">
        <f t="shared" si="1"/>
        <v>51</v>
      </c>
      <c r="E34" s="53">
        <f t="shared" si="0"/>
        <v>4</v>
      </c>
      <c r="F34" s="44">
        <f t="shared" si="2"/>
        <v>61</v>
      </c>
      <c r="G34" s="45">
        <f>IF(D34=D33,"",_xlfn.IFNA(VLOOKUP(D34,'인원 입력 기능'!$AF$5:$AI$55,4,FALSE),0))</f>
        <v>148</v>
      </c>
      <c r="H34" s="46">
        <f t="shared" si="3"/>
        <v>2.1390374331550801E-2</v>
      </c>
      <c r="I34" s="50">
        <f>SUM($G$7:G34)</f>
        <v>2745</v>
      </c>
      <c r="J34" s="48">
        <f t="shared" si="4"/>
        <v>0.39673363202774969</v>
      </c>
      <c r="K34" s="18"/>
      <c r="M34" s="1"/>
    </row>
    <row r="35" spans="1:13" ht="25" customHeight="1">
      <c r="A35" s="5"/>
      <c r="B35" s="17"/>
      <c r="C35" s="51">
        <v>22</v>
      </c>
      <c r="D35" s="53">
        <f t="shared" si="1"/>
        <v>50</v>
      </c>
      <c r="E35" s="53">
        <f t="shared" si="0"/>
        <v>4</v>
      </c>
      <c r="F35" s="44">
        <f t="shared" si="2"/>
        <v>59</v>
      </c>
      <c r="G35" s="45">
        <f>IF(D35=D34,"",_xlfn.IFNA(VLOOKUP(D35,'인원 입력 기능'!$AF$5:$AI$55,4,FALSE),0))</f>
        <v>153</v>
      </c>
      <c r="H35" s="46">
        <f t="shared" si="3"/>
        <v>2.2113022113022112E-2</v>
      </c>
      <c r="I35" s="50">
        <f>SUM($G$7:G35)</f>
        <v>2898</v>
      </c>
      <c r="J35" s="48">
        <f t="shared" si="4"/>
        <v>0.41884665414077177</v>
      </c>
      <c r="K35" s="18"/>
      <c r="M35" s="1"/>
    </row>
    <row r="36" spans="1:13" ht="25" customHeight="1">
      <c r="A36" s="5"/>
      <c r="B36" s="17"/>
      <c r="C36" s="52">
        <v>21</v>
      </c>
      <c r="D36" s="298">
        <f t="shared" si="1"/>
        <v>49</v>
      </c>
      <c r="E36" s="298">
        <f t="shared" si="0"/>
        <v>5</v>
      </c>
      <c r="F36" s="288">
        <f t="shared" si="2"/>
        <v>56</v>
      </c>
      <c r="G36" s="290">
        <f>IF(D36=D35,"",_xlfn.IFNA(VLOOKUP(D36,'인원 입력 기능'!$AF$5:$AI$55,4,FALSE),0))</f>
        <v>296</v>
      </c>
      <c r="H36" s="291">
        <f t="shared" si="3"/>
        <v>4.2780748663101602E-2</v>
      </c>
      <c r="I36" s="293">
        <f>SUM($G$7:G36)</f>
        <v>3194</v>
      </c>
      <c r="J36" s="295">
        <f t="shared" si="4"/>
        <v>0.46162740280387338</v>
      </c>
      <c r="K36" s="18"/>
      <c r="M36" s="1"/>
    </row>
    <row r="37" spans="1:13" ht="25" customHeight="1">
      <c r="A37" s="5"/>
      <c r="B37" s="17"/>
      <c r="C37" s="51">
        <v>20</v>
      </c>
      <c r="D37" s="297"/>
      <c r="E37" s="297"/>
      <c r="F37" s="287"/>
      <c r="G37" s="289"/>
      <c r="H37" s="292"/>
      <c r="I37" s="294"/>
      <c r="J37" s="296"/>
      <c r="K37" s="18"/>
      <c r="M37" s="1"/>
    </row>
    <row r="38" spans="1:13" ht="25" customHeight="1">
      <c r="A38" s="5"/>
      <c r="B38" s="17"/>
      <c r="C38" s="52">
        <v>19</v>
      </c>
      <c r="D38" s="53">
        <f t="shared" si="1"/>
        <v>48</v>
      </c>
      <c r="E38" s="53">
        <f t="shared" si="0"/>
        <v>5</v>
      </c>
      <c r="F38" s="44">
        <f t="shared" si="2"/>
        <v>53</v>
      </c>
      <c r="G38" s="45">
        <f>IF(D38=D37,"",_xlfn.IFNA(VLOOKUP(D38,'인원 입력 기능'!$AF$5:$AI$55,4,FALSE),0))</f>
        <v>172</v>
      </c>
      <c r="H38" s="46">
        <f t="shared" si="3"/>
        <v>2.4859083682613095E-2</v>
      </c>
      <c r="I38" s="50">
        <f>SUM($G$7:G38)</f>
        <v>3366</v>
      </c>
      <c r="J38" s="48">
        <f t="shared" si="4"/>
        <v>0.48648648648648651</v>
      </c>
      <c r="K38" s="18"/>
      <c r="M38" s="1"/>
    </row>
    <row r="39" spans="1:13" ht="25" customHeight="1">
      <c r="A39" s="5"/>
      <c r="B39" s="17"/>
      <c r="C39" s="51">
        <v>18</v>
      </c>
      <c r="D39" s="53">
        <f t="shared" si="1"/>
        <v>47</v>
      </c>
      <c r="E39" s="53">
        <f t="shared" ref="E39:E57" si="5">IF(ROUND(D39,0)&gt;=$P$7,1,IF(ROUND(D39,0)&gt;=$P$8,2,IF(ROUND(D39,0)&gt;=$P$9,3,IF(ROUND(D39,0)&gt;=$P$10,4,IF(ROUND(D39,0)&gt;=$P$11,5,IF(ROUND(D39,0)&gt;=$P$12,6,IF(ROUND(D39,0)&gt;=$P$13,7,IF(ROUND(D39,0)&gt;=$P$14,8,9))))))))</f>
        <v>5</v>
      </c>
      <c r="F39" s="44">
        <f t="shared" si="2"/>
        <v>50</v>
      </c>
      <c r="G39" s="45">
        <f>IF(D39=D38,"",_xlfn.IFNA(VLOOKUP(D39,'인원 입력 기능'!$AF$5:$AI$55,4,FALSE),0))</f>
        <v>174</v>
      </c>
      <c r="H39" s="46">
        <f t="shared" si="3"/>
        <v>2.5148142795201618E-2</v>
      </c>
      <c r="I39" s="50">
        <f>SUM($G$7:G39)</f>
        <v>3540</v>
      </c>
      <c r="J39" s="48">
        <f t="shared" si="4"/>
        <v>0.51163462928168812</v>
      </c>
      <c r="K39" s="18"/>
      <c r="M39" s="1"/>
    </row>
    <row r="40" spans="1:13" ht="25" customHeight="1">
      <c r="A40" s="5"/>
      <c r="B40" s="17"/>
      <c r="C40" s="52">
        <v>17</v>
      </c>
      <c r="D40" s="53">
        <f t="shared" si="1"/>
        <v>46</v>
      </c>
      <c r="E40" s="53">
        <f t="shared" si="5"/>
        <v>5</v>
      </c>
      <c r="F40" s="44">
        <f t="shared" si="2"/>
        <v>47</v>
      </c>
      <c r="G40" s="45">
        <f>IF(D40=D39,"",_xlfn.IFNA(VLOOKUP(D40,'인원 입력 기능'!$AF$5:$AI$55,4,FALSE),0))</f>
        <v>198</v>
      </c>
      <c r="H40" s="46">
        <f t="shared" si="3"/>
        <v>2.8616852146263912E-2</v>
      </c>
      <c r="I40" s="50">
        <f>SUM($G$7:G40)</f>
        <v>3738</v>
      </c>
      <c r="J40" s="48">
        <f t="shared" si="4"/>
        <v>0.54025148142795199</v>
      </c>
      <c r="K40" s="18"/>
      <c r="M40" s="1"/>
    </row>
    <row r="41" spans="1:13" ht="25" customHeight="1">
      <c r="A41" s="5"/>
      <c r="B41" s="17"/>
      <c r="C41" s="51">
        <v>16</v>
      </c>
      <c r="D41" s="298">
        <f t="shared" si="1"/>
        <v>45</v>
      </c>
      <c r="E41" s="298">
        <f t="shared" si="5"/>
        <v>5</v>
      </c>
      <c r="F41" s="288">
        <f t="shared" si="2"/>
        <v>43</v>
      </c>
      <c r="G41" s="290">
        <f>IF(D41=D40,"",_xlfn.IFNA(VLOOKUP(D41,'인원 입력 기능'!$AF$5:$AI$55,4,FALSE),0))</f>
        <v>427</v>
      </c>
      <c r="H41" s="291">
        <f t="shared" si="3"/>
        <v>6.171412053764995E-2</v>
      </c>
      <c r="I41" s="293">
        <f>SUM($G$7:G41)</f>
        <v>4165</v>
      </c>
      <c r="J41" s="295">
        <f t="shared" si="4"/>
        <v>0.601965601965602</v>
      </c>
      <c r="K41" s="18"/>
      <c r="M41" s="1"/>
    </row>
    <row r="42" spans="1:13" ht="25" customHeight="1">
      <c r="A42" s="5"/>
      <c r="B42" s="17"/>
      <c r="C42" s="52">
        <v>15</v>
      </c>
      <c r="D42" s="297"/>
      <c r="E42" s="297"/>
      <c r="F42" s="287"/>
      <c r="G42" s="289"/>
      <c r="H42" s="292"/>
      <c r="I42" s="294"/>
      <c r="J42" s="296"/>
      <c r="K42" s="18"/>
      <c r="M42" s="1"/>
    </row>
    <row r="43" spans="1:13" ht="25" customHeight="1">
      <c r="A43" s="5"/>
      <c r="B43" s="17"/>
      <c r="C43" s="51">
        <v>14</v>
      </c>
      <c r="D43" s="53">
        <f t="shared" si="1"/>
        <v>44</v>
      </c>
      <c r="E43" s="53">
        <f t="shared" si="5"/>
        <v>6</v>
      </c>
      <c r="F43" s="44">
        <f t="shared" si="2"/>
        <v>38</v>
      </c>
      <c r="G43" s="45">
        <f>IF(D43=D42,"",_xlfn.IFNA(VLOOKUP(D43,'인원 입력 기능'!$AF$5:$AI$55,4,FALSE),0))</f>
        <v>288</v>
      </c>
      <c r="H43" s="46">
        <f t="shared" si="3"/>
        <v>4.162451221274751E-2</v>
      </c>
      <c r="I43" s="50">
        <f>SUM($G$7:G43)</f>
        <v>4453</v>
      </c>
      <c r="J43" s="48">
        <f t="shared" si="4"/>
        <v>0.64359011417834944</v>
      </c>
      <c r="K43" s="18"/>
      <c r="M43" s="1"/>
    </row>
    <row r="44" spans="1:13" ht="25" customHeight="1">
      <c r="A44" s="5"/>
      <c r="B44" s="17"/>
      <c r="C44" s="52">
        <v>13</v>
      </c>
      <c r="D44" s="53">
        <f t="shared" si="1"/>
        <v>43</v>
      </c>
      <c r="E44" s="53">
        <f t="shared" si="5"/>
        <v>6</v>
      </c>
      <c r="F44" s="44">
        <f t="shared" si="2"/>
        <v>34</v>
      </c>
      <c r="G44" s="45">
        <f>IF(D44=D43,"",_xlfn.IFNA(VLOOKUP(D44,'인원 입력 기능'!$AF$5:$AI$55,4,FALSE),0))</f>
        <v>207</v>
      </c>
      <c r="H44" s="46">
        <f t="shared" si="3"/>
        <v>2.991761815291227E-2</v>
      </c>
      <c r="I44" s="50">
        <f>SUM($G$7:G44)</f>
        <v>4660</v>
      </c>
      <c r="J44" s="48">
        <f t="shared" si="4"/>
        <v>0.67350773233126171</v>
      </c>
      <c r="K44" s="18"/>
      <c r="M44" s="1"/>
    </row>
    <row r="45" spans="1:13" ht="25" customHeight="1">
      <c r="A45" s="5"/>
      <c r="B45" s="17"/>
      <c r="C45" s="51">
        <v>12</v>
      </c>
      <c r="D45" s="298">
        <f t="shared" si="1"/>
        <v>42</v>
      </c>
      <c r="E45" s="298">
        <f t="shared" si="5"/>
        <v>6</v>
      </c>
      <c r="F45" s="288">
        <f t="shared" si="2"/>
        <v>25</v>
      </c>
      <c r="G45" s="290">
        <f>IF(D45=D44,"",_xlfn.IFNA(VLOOKUP(D45,'인원 입력 기능'!$AF$5:$AI$55,4,FALSE),0))</f>
        <v>1117</v>
      </c>
      <c r="H45" s="291">
        <f t="shared" si="3"/>
        <v>0.16143951438069085</v>
      </c>
      <c r="I45" s="293">
        <f>SUM($G$7:G45)</f>
        <v>5777</v>
      </c>
      <c r="J45" s="295">
        <f t="shared" si="4"/>
        <v>0.83494724671195264</v>
      </c>
      <c r="K45" s="18"/>
      <c r="M45" s="1"/>
    </row>
    <row r="46" spans="1:13" ht="25" customHeight="1">
      <c r="A46" s="5"/>
      <c r="B46" s="17"/>
      <c r="C46" s="52">
        <v>11</v>
      </c>
      <c r="D46" s="297"/>
      <c r="E46" s="297"/>
      <c r="F46" s="287"/>
      <c r="G46" s="289"/>
      <c r="H46" s="292"/>
      <c r="I46" s="294"/>
      <c r="J46" s="296"/>
      <c r="K46" s="18"/>
      <c r="M46" s="1"/>
    </row>
    <row r="47" spans="1:13" ht="25" customHeight="1">
      <c r="A47" s="5"/>
      <c r="B47" s="17"/>
      <c r="C47" s="51">
        <v>10</v>
      </c>
      <c r="D47" s="53">
        <f t="shared" si="1"/>
        <v>41</v>
      </c>
      <c r="E47" s="53">
        <f t="shared" si="5"/>
        <v>7</v>
      </c>
      <c r="F47" s="44">
        <f t="shared" si="2"/>
        <v>15</v>
      </c>
      <c r="G47" s="45">
        <f>IF(D47=D46,"",_xlfn.IFNA(VLOOKUP(D47,'인원 입력 기능'!$AF$5:$AI$55,4,FALSE),0))</f>
        <v>173</v>
      </c>
      <c r="H47" s="46">
        <f t="shared" si="3"/>
        <v>2.5003613238907357E-2</v>
      </c>
      <c r="I47" s="50">
        <f>SUM($G$7:G47)</f>
        <v>5950</v>
      </c>
      <c r="J47" s="48">
        <f t="shared" si="4"/>
        <v>0.85995085995085996</v>
      </c>
      <c r="K47" s="18"/>
      <c r="M47" s="1"/>
    </row>
    <row r="48" spans="1:13" ht="25" customHeight="1">
      <c r="A48" s="5"/>
      <c r="B48" s="17"/>
      <c r="C48" s="52">
        <v>9</v>
      </c>
      <c r="D48" s="53">
        <f t="shared" si="1"/>
        <v>40</v>
      </c>
      <c r="E48" s="53">
        <f t="shared" si="5"/>
        <v>7</v>
      </c>
      <c r="F48" s="44">
        <f t="shared" si="2"/>
        <v>12</v>
      </c>
      <c r="G48" s="45">
        <f>IF(D48=D47,"",_xlfn.IFNA(VLOOKUP(D48,'인원 입력 기능'!$AF$5:$AI$55,4,FALSE),0))</f>
        <v>240</v>
      </c>
      <c r="H48" s="46">
        <f t="shared" si="3"/>
        <v>3.4687093510622921E-2</v>
      </c>
      <c r="I48" s="50">
        <f>SUM($G$7:G48)</f>
        <v>6190</v>
      </c>
      <c r="J48" s="48">
        <f t="shared" si="4"/>
        <v>0.89463795346148289</v>
      </c>
      <c r="K48" s="18"/>
      <c r="M48" s="1"/>
    </row>
    <row r="49" spans="1:13" ht="25" customHeight="1">
      <c r="A49" s="5"/>
      <c r="B49" s="17"/>
      <c r="C49" s="51">
        <v>8</v>
      </c>
      <c r="D49" s="298">
        <f t="shared" si="1"/>
        <v>39</v>
      </c>
      <c r="E49" s="298">
        <f t="shared" si="5"/>
        <v>8</v>
      </c>
      <c r="F49" s="288">
        <f t="shared" si="2"/>
        <v>8</v>
      </c>
      <c r="G49" s="290">
        <f>IF(D49=D48,"",_xlfn.IFNA(VLOOKUP(D49,'인원 입력 기능'!$AF$5:$AI$55,4,FALSE),0))</f>
        <v>404</v>
      </c>
      <c r="H49" s="291">
        <f t="shared" si="3"/>
        <v>5.8389940742881917E-2</v>
      </c>
      <c r="I49" s="293">
        <f>SUM($G$7:G49)</f>
        <v>6594</v>
      </c>
      <c r="J49" s="295">
        <f t="shared" si="4"/>
        <v>0.95302789420436484</v>
      </c>
      <c r="K49" s="18"/>
      <c r="M49" s="1"/>
    </row>
    <row r="50" spans="1:13" ht="25" customHeight="1">
      <c r="A50" s="5"/>
      <c r="B50" s="17"/>
      <c r="C50" s="52">
        <v>7</v>
      </c>
      <c r="D50" s="297"/>
      <c r="E50" s="297"/>
      <c r="F50" s="287"/>
      <c r="G50" s="289"/>
      <c r="H50" s="292"/>
      <c r="I50" s="294"/>
      <c r="J50" s="296"/>
      <c r="K50" s="18"/>
      <c r="M50" s="1"/>
    </row>
    <row r="51" spans="1:13" ht="25" customHeight="1">
      <c r="A51" s="5"/>
      <c r="B51" s="17"/>
      <c r="C51" s="51">
        <v>6</v>
      </c>
      <c r="D51" s="53">
        <f t="shared" si="1"/>
        <v>38</v>
      </c>
      <c r="E51" s="53">
        <f t="shared" si="5"/>
        <v>8</v>
      </c>
      <c r="F51" s="44">
        <f t="shared" si="2"/>
        <v>4</v>
      </c>
      <c r="G51" s="45">
        <f>IF(D51=D50,"",_xlfn.IFNA(VLOOKUP(D51,'인원 입력 기능'!$AF$5:$AI$55,4,FALSE),0))</f>
        <v>84</v>
      </c>
      <c r="H51" s="46">
        <f t="shared" si="3"/>
        <v>1.2140482728718023E-2</v>
      </c>
      <c r="I51" s="50">
        <f>SUM($G$7:G51)</f>
        <v>6678</v>
      </c>
      <c r="J51" s="48">
        <f t="shared" si="4"/>
        <v>0.96516837693308277</v>
      </c>
      <c r="K51" s="18"/>
      <c r="M51" s="1"/>
    </row>
    <row r="52" spans="1:13" ht="25" customHeight="1">
      <c r="A52" s="5"/>
      <c r="B52" s="17"/>
      <c r="C52" s="52">
        <v>5</v>
      </c>
      <c r="D52" s="53">
        <f t="shared" si="1"/>
        <v>37</v>
      </c>
      <c r="E52" s="53">
        <f t="shared" si="5"/>
        <v>9</v>
      </c>
      <c r="F52" s="44">
        <f t="shared" si="2"/>
        <v>3</v>
      </c>
      <c r="G52" s="45">
        <f>IF(D52=D51,"",_xlfn.IFNA(VLOOKUP(D52,'인원 입력 기능'!$AF$5:$AI$55,4,FALSE),0))</f>
        <v>126</v>
      </c>
      <c r="H52" s="46">
        <f t="shared" si="3"/>
        <v>1.8210724093077033E-2</v>
      </c>
      <c r="I52" s="50">
        <f>SUM($G$7:G52)</f>
        <v>6804</v>
      </c>
      <c r="J52" s="48">
        <f t="shared" si="4"/>
        <v>0.98337910102615989</v>
      </c>
      <c r="K52" s="18"/>
      <c r="M52" s="1"/>
    </row>
    <row r="53" spans="1:13" ht="25" customHeight="1">
      <c r="A53" s="5"/>
      <c r="B53" s="17"/>
      <c r="C53" s="42">
        <v>4</v>
      </c>
      <c r="D53" s="43">
        <f t="shared" si="1"/>
        <v>36</v>
      </c>
      <c r="E53" s="43">
        <f t="shared" si="5"/>
        <v>9</v>
      </c>
      <c r="F53" s="44">
        <f t="shared" si="2"/>
        <v>1</v>
      </c>
      <c r="G53" s="45">
        <f>IF(D53=D52,"",_xlfn.IFNA(VLOOKUP(D53,'인원 입력 기능'!$AF$5:$AI$55,4,FALSE),0))</f>
        <v>30</v>
      </c>
      <c r="H53" s="46">
        <f t="shared" si="3"/>
        <v>4.3358866888278651E-3</v>
      </c>
      <c r="I53" s="50">
        <f>SUM($G$7:G53)</f>
        <v>6834</v>
      </c>
      <c r="J53" s="48">
        <f t="shared" si="4"/>
        <v>0.98771498771498767</v>
      </c>
      <c r="K53" s="18"/>
      <c r="M53" s="1"/>
    </row>
    <row r="54" spans="1:13" ht="25" customHeight="1">
      <c r="A54" s="5"/>
      <c r="B54" s="17"/>
      <c r="C54" s="49">
        <v>3</v>
      </c>
      <c r="D54" s="286">
        <f t="shared" si="1"/>
        <v>35</v>
      </c>
      <c r="E54" s="286">
        <f t="shared" si="5"/>
        <v>9</v>
      </c>
      <c r="F54" s="288">
        <f t="shared" si="2"/>
        <v>1</v>
      </c>
      <c r="G54" s="290">
        <f>IF(D54=D53,"",_xlfn.IFNA(VLOOKUP(D54,'인원 입력 기능'!$AF$5:$AI$55,4,FALSE),0))</f>
        <v>68</v>
      </c>
      <c r="H54" s="291">
        <f t="shared" si="3"/>
        <v>9.8280098280098278E-3</v>
      </c>
      <c r="I54" s="293">
        <f>SUM($G$7:G54)</f>
        <v>6902</v>
      </c>
      <c r="J54" s="295">
        <f t="shared" si="4"/>
        <v>0.99754299754299758</v>
      </c>
      <c r="K54" s="18"/>
      <c r="M54" s="1"/>
    </row>
    <row r="55" spans="1:13" ht="25" customHeight="1">
      <c r="A55" s="5"/>
      <c r="B55" s="17"/>
      <c r="C55" s="42">
        <v>2</v>
      </c>
      <c r="D55" s="285"/>
      <c r="E55" s="285"/>
      <c r="F55" s="287"/>
      <c r="G55" s="289"/>
      <c r="H55" s="292"/>
      <c r="I55" s="294"/>
      <c r="J55" s="296"/>
      <c r="K55" s="18"/>
      <c r="M55" s="1"/>
    </row>
    <row r="56" spans="1:13" ht="25" customHeight="1">
      <c r="A56" s="5"/>
      <c r="B56" s="17"/>
      <c r="C56" s="49">
        <v>1</v>
      </c>
      <c r="D56" s="111" t="s">
        <v>31</v>
      </c>
      <c r="E56" s="112"/>
      <c r="F56" s="112"/>
      <c r="G56" s="112"/>
      <c r="H56" s="112"/>
      <c r="I56" s="112"/>
      <c r="J56" s="113"/>
      <c r="K56" s="18"/>
      <c r="M56" s="1"/>
    </row>
    <row r="57" spans="1:13" ht="25" customHeight="1" thickBot="1">
      <c r="A57" s="5"/>
      <c r="B57" s="17"/>
      <c r="C57" s="57">
        <v>0</v>
      </c>
      <c r="D57" s="58">
        <f>ROUND(10*(C57-$H$3)/$H$4+50,0)</f>
        <v>33</v>
      </c>
      <c r="E57" s="59">
        <f t="shared" si="5"/>
        <v>9</v>
      </c>
      <c r="F57" s="60">
        <f>IF(I55=0,ROUND(100*(1-(I54+I57)/2/$J$3),0),ROUND(100*(1-(I55+I57)/2/$J$3),0))</f>
        <v>0</v>
      </c>
      <c r="G57" s="61">
        <f>_xlfn.IFNA(VLOOKUP(D57,'인원 입력 기능'!$AF$5:$AI$55,4,FALSE),0)</f>
        <v>17</v>
      </c>
      <c r="H57" s="62">
        <f>G57/J3</f>
        <v>2.4570024570024569E-3</v>
      </c>
      <c r="I57" s="63">
        <f>SUM($G$7:G57)</f>
        <v>6919</v>
      </c>
      <c r="J57" s="64">
        <f>I57/J3</f>
        <v>1</v>
      </c>
      <c r="K57" s="18"/>
      <c r="M57" s="1"/>
    </row>
    <row r="58" spans="1:13" ht="6" customHeight="1">
      <c r="A58" s="5"/>
      <c r="B58" s="20"/>
      <c r="C58" s="21"/>
      <c r="D58" s="21"/>
      <c r="E58" s="21"/>
      <c r="F58" s="21"/>
      <c r="G58" s="21"/>
      <c r="H58" s="21"/>
      <c r="I58" s="21"/>
      <c r="J58" s="21"/>
      <c r="K58" s="22"/>
      <c r="M58" s="1"/>
    </row>
    <row r="59" spans="1:13">
      <c r="M59" s="1"/>
    </row>
    <row r="60" spans="1:13">
      <c r="M60" s="1"/>
    </row>
    <row r="61" spans="1:13">
      <c r="M61" s="1"/>
    </row>
    <row r="62" spans="1:13">
      <c r="M62" s="1"/>
    </row>
    <row r="63" spans="1:13">
      <c r="M63" s="1"/>
    </row>
    <row r="64" spans="1:13">
      <c r="M64" s="1"/>
    </row>
    <row r="65" spans="13:13">
      <c r="M65" s="1"/>
    </row>
    <row r="66" spans="13:13">
      <c r="M66" s="1"/>
    </row>
    <row r="67" spans="13:13">
      <c r="M67" s="1"/>
    </row>
    <row r="68" spans="13:13">
      <c r="M68" s="1"/>
    </row>
    <row r="69" spans="13:13">
      <c r="M69" s="1"/>
    </row>
    <row r="70" spans="13:13">
      <c r="M70" s="1"/>
    </row>
    <row r="71" spans="13:13">
      <c r="M71" s="1"/>
    </row>
    <row r="72" spans="13:13">
      <c r="M72" s="1"/>
    </row>
    <row r="73" spans="13:13">
      <c r="M73" s="1"/>
    </row>
    <row r="74" spans="13:13">
      <c r="M74" s="1"/>
    </row>
    <row r="75" spans="13:13">
      <c r="M75" s="1"/>
    </row>
    <row r="76" spans="13:13">
      <c r="M76" s="1"/>
    </row>
    <row r="77" spans="13:13">
      <c r="M77" s="1"/>
    </row>
    <row r="78" spans="13:13">
      <c r="M78" s="1"/>
    </row>
    <row r="79" spans="13:13">
      <c r="M79" s="1"/>
    </row>
    <row r="80" spans="13:13">
      <c r="M80" s="1"/>
    </row>
    <row r="81" spans="13:13">
      <c r="M81" s="1"/>
    </row>
    <row r="82" spans="13:13">
      <c r="M82" s="1"/>
    </row>
    <row r="83" spans="13:13">
      <c r="M83" s="1"/>
    </row>
    <row r="84" spans="13:13">
      <c r="M84" s="1"/>
    </row>
    <row r="85" spans="13:13">
      <c r="M85" s="1"/>
    </row>
    <row r="86" spans="13:13">
      <c r="M86" s="1"/>
    </row>
    <row r="87" spans="13:13">
      <c r="M87" s="1"/>
    </row>
    <row r="88" spans="13:13">
      <c r="M88" s="1"/>
    </row>
    <row r="89" spans="13:13">
      <c r="M89" s="1"/>
    </row>
    <row r="90" spans="13:13">
      <c r="M90" s="1"/>
    </row>
    <row r="91" spans="13:13">
      <c r="M91" s="1"/>
    </row>
    <row r="92" spans="13:13">
      <c r="M92" s="1"/>
    </row>
    <row r="93" spans="13:13">
      <c r="M93" s="1"/>
    </row>
    <row r="94" spans="13:13">
      <c r="M94" s="1"/>
    </row>
    <row r="95" spans="13:13">
      <c r="M95" s="1"/>
    </row>
    <row r="96" spans="13:13">
      <c r="M96" s="1"/>
    </row>
    <row r="97" spans="13:13">
      <c r="M97" s="1"/>
    </row>
    <row r="98" spans="13:13">
      <c r="M98" s="1"/>
    </row>
    <row r="99" spans="13:13">
      <c r="M99" s="1"/>
    </row>
    <row r="100" spans="13:13">
      <c r="M100" s="1"/>
    </row>
    <row r="101" spans="13:13">
      <c r="M101" s="1"/>
    </row>
    <row r="102" spans="13:13">
      <c r="M102" s="1"/>
    </row>
    <row r="103" spans="13:13">
      <c r="M103" s="1"/>
    </row>
    <row r="104" spans="13:13">
      <c r="M104" s="1"/>
    </row>
    <row r="105" spans="13:13">
      <c r="M105" s="1"/>
    </row>
  </sheetData>
  <mergeCells count="81">
    <mergeCell ref="I49:I50"/>
    <mergeCell ref="J49:J50"/>
    <mergeCell ref="D54:D55"/>
    <mergeCell ref="E54:E55"/>
    <mergeCell ref="F54:F55"/>
    <mergeCell ref="G54:G55"/>
    <mergeCell ref="H54:H55"/>
    <mergeCell ref="I54:I55"/>
    <mergeCell ref="J54:J55"/>
    <mergeCell ref="D49:D50"/>
    <mergeCell ref="E49:E50"/>
    <mergeCell ref="F49:F50"/>
    <mergeCell ref="G49:G50"/>
    <mergeCell ref="H49:H50"/>
    <mergeCell ref="I41:I42"/>
    <mergeCell ref="J41:J42"/>
    <mergeCell ref="D45:D46"/>
    <mergeCell ref="E45:E46"/>
    <mergeCell ref="F45:F46"/>
    <mergeCell ref="G45:G46"/>
    <mergeCell ref="H45:H46"/>
    <mergeCell ref="I45:I46"/>
    <mergeCell ref="J45:J46"/>
    <mergeCell ref="D41:D42"/>
    <mergeCell ref="E41:E42"/>
    <mergeCell ref="F41:F42"/>
    <mergeCell ref="G41:G42"/>
    <mergeCell ref="H41:H42"/>
    <mergeCell ref="I32:I33"/>
    <mergeCell ref="J32:J33"/>
    <mergeCell ref="D36:D37"/>
    <mergeCell ref="E36:E37"/>
    <mergeCell ref="F36:F37"/>
    <mergeCell ref="G36:G37"/>
    <mergeCell ref="H36:H37"/>
    <mergeCell ref="I36:I37"/>
    <mergeCell ref="J36:J37"/>
    <mergeCell ref="D32:D33"/>
    <mergeCell ref="E32:E33"/>
    <mergeCell ref="F32:F33"/>
    <mergeCell ref="G32:G33"/>
    <mergeCell ref="H32:H33"/>
    <mergeCell ref="I23:I24"/>
    <mergeCell ref="J23:J24"/>
    <mergeCell ref="D27:D28"/>
    <mergeCell ref="E27:E28"/>
    <mergeCell ref="F27:F28"/>
    <mergeCell ref="G27:G28"/>
    <mergeCell ref="H27:H28"/>
    <mergeCell ref="I27:I28"/>
    <mergeCell ref="J27:J28"/>
    <mergeCell ref="D23:D24"/>
    <mergeCell ref="E23:E24"/>
    <mergeCell ref="F23:F24"/>
    <mergeCell ref="G23:G24"/>
    <mergeCell ref="H23:H24"/>
    <mergeCell ref="I14:I15"/>
    <mergeCell ref="J14:J15"/>
    <mergeCell ref="D18:D19"/>
    <mergeCell ref="E18:E19"/>
    <mergeCell ref="F18:F19"/>
    <mergeCell ref="G18:G19"/>
    <mergeCell ref="H18:H19"/>
    <mergeCell ref="I18:I19"/>
    <mergeCell ref="J18:J19"/>
    <mergeCell ref="D3:F3"/>
    <mergeCell ref="D4:F4"/>
    <mergeCell ref="D56:J56"/>
    <mergeCell ref="D8:J8"/>
    <mergeCell ref="D9:D10"/>
    <mergeCell ref="E9:E10"/>
    <mergeCell ref="F9:F10"/>
    <mergeCell ref="G9:G10"/>
    <mergeCell ref="H9:H10"/>
    <mergeCell ref="I9:I10"/>
    <mergeCell ref="J9:J10"/>
    <mergeCell ref="D14:D15"/>
    <mergeCell ref="E14:E15"/>
    <mergeCell ref="F14:F15"/>
    <mergeCell ref="G14:G15"/>
    <mergeCell ref="H14:H15"/>
  </mergeCells>
  <phoneticPr fontId="1" type="noConversion"/>
  <conditionalFormatting sqref="D7:J7 D57:J57 D9:J9 D11:J14 D16:J18 D20:J23 D25:J27 D29:J32 D34:J36 D38:J41 D43:J45 D47:J49 D51:J54">
    <cfRule type="expression" dxfId="118" priority="7">
      <formula>OR($D7=$P$7:$P$14)</formula>
    </cfRule>
  </conditionalFormatting>
  <conditionalFormatting sqref="C7:C57">
    <cfRule type="expression" dxfId="117" priority="6">
      <formula>OR(AND($D7=0,OR($D6=$P$7:$P$14)),AND($D8&gt;0,OR($D7=$P$7:$P$14)))</formula>
    </cfRule>
  </conditionalFormatting>
  <conditionalFormatting sqref="D7 D57 D9 D11:D14 D16:D18 D20:D23 D25:D27 D29:D32 D34:D36 D38:D41 D43:D45 D47:D49 D51:D54">
    <cfRule type="expression" dxfId="116" priority="5">
      <formula>$D7=$D8</formula>
    </cfRule>
  </conditionalFormatting>
  <conditionalFormatting sqref="D56">
    <cfRule type="expression" dxfId="115" priority="4">
      <formula>OR($D56=$P$7:$P$14)</formula>
    </cfRule>
  </conditionalFormatting>
  <conditionalFormatting sqref="D56">
    <cfRule type="expression" dxfId="114" priority="3">
      <formula>$D56=$D57</formula>
    </cfRule>
  </conditionalFormatting>
  <conditionalFormatting sqref="D8">
    <cfRule type="expression" dxfId="113" priority="2">
      <formula>OR($D8=$P$7:$P$14)</formula>
    </cfRule>
  </conditionalFormatting>
  <conditionalFormatting sqref="D8">
    <cfRule type="expression" dxfId="112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C704-F3B3-4F9F-B31F-7545B24CEF85}">
  <sheetPr codeName="Sheet15"/>
  <dimension ref="A1:P105"/>
  <sheetViews>
    <sheetView zoomScaleNormal="100" workbookViewId="0">
      <selection activeCell="B2" sqref="B2:K58"/>
    </sheetView>
  </sheetViews>
  <sheetFormatPr defaultRowHeight="17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6">
      <c r="A1" s="5" t="s">
        <v>44</v>
      </c>
      <c r="C1" s="5"/>
      <c r="D1" s="5"/>
      <c r="E1" s="5"/>
      <c r="F1" s="5"/>
      <c r="G1" s="5"/>
      <c r="H1" s="5"/>
      <c r="I1" s="5"/>
      <c r="J1" s="5"/>
      <c r="K1" s="5"/>
    </row>
    <row r="2" spans="1:16" s="5" customFormat="1" ht="6" customHeight="1" thickBot="1">
      <c r="B2" s="15"/>
      <c r="C2" s="23"/>
      <c r="D2" s="23"/>
      <c r="E2" s="23"/>
      <c r="F2" s="23"/>
      <c r="G2" s="23"/>
      <c r="H2" s="23"/>
      <c r="I2" s="23"/>
      <c r="J2" s="23"/>
      <c r="K2" s="16"/>
    </row>
    <row r="3" spans="1:16" ht="25" customHeight="1" thickBot="1">
      <c r="A3" s="5"/>
      <c r="B3" s="17"/>
      <c r="C3" s="34" t="s">
        <v>47</v>
      </c>
      <c r="D3" s="105" t="s">
        <v>115</v>
      </c>
      <c r="E3" s="106"/>
      <c r="F3" s="107"/>
      <c r="G3" s="34" t="s">
        <v>48</v>
      </c>
      <c r="H3" s="101">
        <f>'통계 및 응시자 수 입력 기능'!D11</f>
        <v>24.44</v>
      </c>
      <c r="I3" s="103" t="s">
        <v>49</v>
      </c>
      <c r="J3" s="104">
        <f>'통계 및 응시자 수 입력 기능'!C11</f>
        <v>25967</v>
      </c>
      <c r="K3" s="18"/>
    </row>
    <row r="4" spans="1:16" ht="25" customHeight="1" thickBot="1">
      <c r="A4" s="5"/>
      <c r="B4" s="17"/>
      <c r="C4" s="35" t="s">
        <v>50</v>
      </c>
      <c r="D4" s="108" t="s">
        <v>66</v>
      </c>
      <c r="E4" s="109"/>
      <c r="F4" s="110"/>
      <c r="G4" s="36" t="s">
        <v>52</v>
      </c>
      <c r="H4" s="102">
        <f>'통계 및 응시자 수 입력 기능'!E11</f>
        <v>12.22</v>
      </c>
      <c r="I4" s="12"/>
      <c r="J4" s="12"/>
      <c r="K4" s="18"/>
    </row>
    <row r="5" spans="1:16" ht="25" customHeight="1" thickBot="1">
      <c r="A5" s="5"/>
      <c r="B5" s="17"/>
      <c r="C5" s="12"/>
      <c r="D5" s="12"/>
      <c r="E5" s="12"/>
      <c r="F5" s="12"/>
      <c r="G5" s="12"/>
      <c r="H5" s="19"/>
      <c r="I5" s="19"/>
      <c r="J5" s="19"/>
      <c r="K5" s="18"/>
    </row>
    <row r="6" spans="1:16" ht="25" customHeight="1" thickBot="1">
      <c r="A6" s="5"/>
      <c r="B6" s="17"/>
      <c r="C6" s="38" t="s">
        <v>73</v>
      </c>
      <c r="D6" s="39" t="s">
        <v>74</v>
      </c>
      <c r="E6" s="39" t="s">
        <v>75</v>
      </c>
      <c r="F6" s="39" t="s">
        <v>76</v>
      </c>
      <c r="G6" s="39" t="s">
        <v>77</v>
      </c>
      <c r="H6" s="40" t="s">
        <v>78</v>
      </c>
      <c r="I6" s="40" t="s">
        <v>79</v>
      </c>
      <c r="J6" s="41" t="s">
        <v>80</v>
      </c>
      <c r="K6" s="18"/>
      <c r="L6" s="3"/>
      <c r="M6" s="4"/>
    </row>
    <row r="7" spans="1:16" ht="25" customHeight="1">
      <c r="A7" s="5"/>
      <c r="B7" s="17"/>
      <c r="C7" s="42">
        <v>50</v>
      </c>
      <c r="D7" s="43">
        <f>ROUND(10*(C7-$H$3)/$H$4+50,0)</f>
        <v>71</v>
      </c>
      <c r="E7" s="43">
        <f t="shared" ref="E7:E38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44">
        <f>ROUND(100*(1-(0+I7)/2/$J$3),0)</f>
        <v>99</v>
      </c>
      <c r="G7" s="45">
        <f>_xlfn.IFNA(VLOOKUP(D7,'인원 입력 기능'!$AK$5:$AN$55,4,FALSE),0)</f>
        <v>297</v>
      </c>
      <c r="H7" s="46">
        <f>G7/J3</f>
        <v>1.1437593869141604E-2</v>
      </c>
      <c r="I7" s="47">
        <f>G7</f>
        <v>297</v>
      </c>
      <c r="J7" s="48">
        <f>I7/J3</f>
        <v>1.1437593869141604E-2</v>
      </c>
      <c r="K7" s="18"/>
      <c r="M7" s="1"/>
      <c r="O7" s="1">
        <v>1</v>
      </c>
      <c r="P7" s="1">
        <f>'표준점수 등급컷 입력기능'!K16</f>
        <v>68</v>
      </c>
    </row>
    <row r="8" spans="1:16" ht="25" customHeight="1">
      <c r="A8" s="5"/>
      <c r="B8" s="17"/>
      <c r="C8" s="49">
        <v>49</v>
      </c>
      <c r="D8" s="111" t="s">
        <v>31</v>
      </c>
      <c r="E8" s="112"/>
      <c r="F8" s="112"/>
      <c r="G8" s="112"/>
      <c r="H8" s="112"/>
      <c r="I8" s="112"/>
      <c r="J8" s="113"/>
      <c r="K8" s="18"/>
      <c r="M8" s="1"/>
      <c r="O8" s="1">
        <v>2</v>
      </c>
      <c r="P8" s="1">
        <f>'표준점수 등급컷 입력기능'!K17</f>
        <v>64</v>
      </c>
    </row>
    <row r="9" spans="1:16" ht="25" customHeight="1">
      <c r="A9" s="5"/>
      <c r="B9" s="17"/>
      <c r="C9" s="42">
        <v>48</v>
      </c>
      <c r="D9" s="43">
        <f>ROUND(10*(C9-$H$3)/$H$4+50,0)</f>
        <v>69</v>
      </c>
      <c r="E9" s="43">
        <f t="shared" si="0"/>
        <v>1</v>
      </c>
      <c r="F9" s="44">
        <f>IF(I8=0,ROUND(100*(1-(I7+I9)/2/$J$3),0),ROUND(100*(1-(I8+I9)/2/$J$3),0))</f>
        <v>98</v>
      </c>
      <c r="G9" s="45">
        <f>_xlfn.IFNA(VLOOKUP(D9,'인원 입력 기능'!$AK$5:$AN$55,4,FALSE),0)</f>
        <v>421</v>
      </c>
      <c r="H9" s="46">
        <f>G9/$J$3</f>
        <v>1.6212885585550892E-2</v>
      </c>
      <c r="I9" s="50">
        <f>SUM($G$7:G9)</f>
        <v>718</v>
      </c>
      <c r="J9" s="48">
        <f>I9/$J$3</f>
        <v>2.7650479454692494E-2</v>
      </c>
      <c r="K9" s="18"/>
      <c r="M9" s="1"/>
      <c r="O9" s="1">
        <v>3</v>
      </c>
      <c r="P9" s="1">
        <f>'표준점수 등급컷 입력기능'!K18</f>
        <v>59</v>
      </c>
    </row>
    <row r="10" spans="1:16" ht="25" customHeight="1">
      <c r="A10" s="5"/>
      <c r="B10" s="17"/>
      <c r="C10" s="49">
        <v>47</v>
      </c>
      <c r="D10" s="286">
        <f t="shared" ref="D10:D55" si="1">ROUND(10*(C10-$H$3)/$H$4+50,0)</f>
        <v>68</v>
      </c>
      <c r="E10" s="286">
        <f t="shared" si="0"/>
        <v>1</v>
      </c>
      <c r="F10" s="288">
        <f>IF(I9=0,ROUND(100*(1-(I8+I10)/2/$J$3),0),ROUND(100*(1-(I9+I10)/2/$J$3),0))</f>
        <v>96</v>
      </c>
      <c r="G10" s="290">
        <f>IF(D10=D9,"",_xlfn.IFNA(VLOOKUP(D10,'인원 입력 기능'!$AK$5:$AN$55,4,FALSE),0))</f>
        <v>484</v>
      </c>
      <c r="H10" s="291">
        <f t="shared" ref="H10:H55" si="2">G10/$J$3</f>
        <v>1.8639041860823352E-2</v>
      </c>
      <c r="I10" s="293">
        <f>SUM($G$7:G10)</f>
        <v>1202</v>
      </c>
      <c r="J10" s="295">
        <f t="shared" ref="J10:J55" si="3">I10/$J$3</f>
        <v>4.628952131551585E-2</v>
      </c>
      <c r="K10" s="18"/>
      <c r="M10" s="1"/>
      <c r="O10" s="1">
        <v>4</v>
      </c>
      <c r="P10" s="1">
        <f>'표준점수 등급컷 입력기능'!K19</f>
        <v>52</v>
      </c>
    </row>
    <row r="11" spans="1:16" ht="25" customHeight="1">
      <c r="A11" s="5"/>
      <c r="B11" s="17"/>
      <c r="C11" s="42">
        <v>46</v>
      </c>
      <c r="D11" s="285"/>
      <c r="E11" s="285"/>
      <c r="F11" s="287"/>
      <c r="G11" s="289"/>
      <c r="H11" s="292"/>
      <c r="I11" s="294"/>
      <c r="J11" s="296"/>
      <c r="K11" s="18"/>
      <c r="M11" s="1"/>
      <c r="O11" s="1">
        <v>5</v>
      </c>
      <c r="P11" s="1">
        <f>'표준점수 등급컷 입력기능'!K20</f>
        <v>46</v>
      </c>
    </row>
    <row r="12" spans="1:16" ht="25" customHeight="1">
      <c r="A12" s="5"/>
      <c r="B12" s="17"/>
      <c r="C12" s="49">
        <v>45</v>
      </c>
      <c r="D12" s="43">
        <f t="shared" si="1"/>
        <v>67</v>
      </c>
      <c r="E12" s="43">
        <f t="shared" si="0"/>
        <v>2</v>
      </c>
      <c r="F12" s="44">
        <f t="shared" ref="F11:F55" si="4">IF(I11=0,ROUND(100*(1-(I10+I12)/2/$J$3),0),ROUND(100*(1-(I11+I12)/2/$J$3),0))</f>
        <v>94</v>
      </c>
      <c r="G12" s="45">
        <f>IF(D12=D11,"",_xlfn.IFNA(VLOOKUP(D12,'인원 입력 기능'!$AK$5:$AN$55,4,FALSE),0))</f>
        <v>606</v>
      </c>
      <c r="H12" s="46">
        <f t="shared" si="2"/>
        <v>2.3337312743097006E-2</v>
      </c>
      <c r="I12" s="50">
        <f>SUM($G$7:G12)</f>
        <v>1808</v>
      </c>
      <c r="J12" s="48">
        <f t="shared" si="3"/>
        <v>6.9626834058612849E-2</v>
      </c>
      <c r="K12" s="18"/>
      <c r="M12" s="1"/>
      <c r="O12" s="1">
        <v>6</v>
      </c>
      <c r="P12" s="1">
        <f>'표준점수 등급컷 입력기능'!K21</f>
        <v>41</v>
      </c>
    </row>
    <row r="13" spans="1:16" ht="25" customHeight="1">
      <c r="A13" s="5"/>
      <c r="B13" s="17"/>
      <c r="C13" s="42">
        <v>44</v>
      </c>
      <c r="D13" s="43">
        <f t="shared" si="1"/>
        <v>66</v>
      </c>
      <c r="E13" s="43">
        <f t="shared" si="0"/>
        <v>2</v>
      </c>
      <c r="F13" s="44">
        <f t="shared" si="4"/>
        <v>93</v>
      </c>
      <c r="G13" s="45">
        <f>IF(D13=D12,"",_xlfn.IFNA(VLOOKUP(D13,'인원 입력 기능'!$AK$5:$AN$55,4,FALSE),0))</f>
        <v>208</v>
      </c>
      <c r="H13" s="46">
        <f t="shared" si="2"/>
        <v>8.0101667501059036E-3</v>
      </c>
      <c r="I13" s="50">
        <f>SUM($G$7:G13)</f>
        <v>2016</v>
      </c>
      <c r="J13" s="48">
        <f t="shared" si="3"/>
        <v>7.7637000808718756E-2</v>
      </c>
      <c r="K13" s="18"/>
      <c r="M13" s="1"/>
      <c r="O13" s="1">
        <v>7</v>
      </c>
      <c r="P13" s="1">
        <f>'표준점수 등급컷 입력기능'!K22</f>
        <v>37</v>
      </c>
    </row>
    <row r="14" spans="1:16" ht="25" customHeight="1">
      <c r="A14" s="5"/>
      <c r="B14" s="17"/>
      <c r="C14" s="49">
        <v>43</v>
      </c>
      <c r="D14" s="43">
        <f t="shared" si="1"/>
        <v>65</v>
      </c>
      <c r="E14" s="43">
        <f t="shared" si="0"/>
        <v>2</v>
      </c>
      <c r="F14" s="44">
        <f t="shared" si="4"/>
        <v>91</v>
      </c>
      <c r="G14" s="45">
        <f>IF(D14=D13,"",_xlfn.IFNA(VLOOKUP(D14,'인원 입력 기능'!$AK$5:$AN$55,4,FALSE),0))</f>
        <v>563</v>
      </c>
      <c r="H14" s="46">
        <f t="shared" si="2"/>
        <v>2.1681364809180884E-2</v>
      </c>
      <c r="I14" s="50">
        <f>SUM($G$7:G14)</f>
        <v>2579</v>
      </c>
      <c r="J14" s="48">
        <f t="shared" si="3"/>
        <v>9.931836561789964E-2</v>
      </c>
      <c r="K14" s="18"/>
      <c r="M14" s="1"/>
      <c r="O14" s="1">
        <v>8</v>
      </c>
      <c r="P14" s="1">
        <f>'표준점수 등급컷 입력기능'!K23</f>
        <v>36</v>
      </c>
    </row>
    <row r="15" spans="1:16" ht="25" customHeight="1">
      <c r="A15" s="5"/>
      <c r="B15" s="17"/>
      <c r="C15" s="42">
        <v>42</v>
      </c>
      <c r="D15" s="286">
        <f t="shared" si="1"/>
        <v>64</v>
      </c>
      <c r="E15" s="286">
        <f t="shared" si="0"/>
        <v>2</v>
      </c>
      <c r="F15" s="288">
        <f t="shared" si="4"/>
        <v>89</v>
      </c>
      <c r="G15" s="290">
        <f>IF(D15=D14,"",_xlfn.IFNA(VLOOKUP(D15,'인원 입력 기능'!$AK$5:$AN$55,4,FALSE),0))</f>
        <v>775</v>
      </c>
      <c r="H15" s="291">
        <f t="shared" si="2"/>
        <v>2.9845573227558056E-2</v>
      </c>
      <c r="I15" s="293">
        <f>SUM($G$7:G15)</f>
        <v>3354</v>
      </c>
      <c r="J15" s="295">
        <f t="shared" si="3"/>
        <v>0.12916393884545771</v>
      </c>
      <c r="K15" s="18"/>
      <c r="M15" s="1"/>
      <c r="O15" s="1">
        <v>9</v>
      </c>
      <c r="P15" s="1"/>
    </row>
    <row r="16" spans="1:16" ht="25" customHeight="1">
      <c r="A16" s="5"/>
      <c r="B16" s="17"/>
      <c r="C16" s="49">
        <v>41</v>
      </c>
      <c r="D16" s="285"/>
      <c r="E16" s="285"/>
      <c r="F16" s="287"/>
      <c r="G16" s="289"/>
      <c r="H16" s="292"/>
      <c r="I16" s="294"/>
      <c r="J16" s="296"/>
      <c r="K16" s="18"/>
      <c r="M16" s="1"/>
    </row>
    <row r="17" spans="1:16" ht="25" customHeight="1">
      <c r="A17" s="5"/>
      <c r="B17" s="17"/>
      <c r="C17" s="42">
        <v>40</v>
      </c>
      <c r="D17" s="43">
        <f t="shared" si="1"/>
        <v>63</v>
      </c>
      <c r="E17" s="43">
        <f t="shared" si="0"/>
        <v>3</v>
      </c>
      <c r="F17" s="44">
        <f t="shared" si="4"/>
        <v>86</v>
      </c>
      <c r="G17" s="45">
        <f>IF(D17=D16,"",_xlfn.IFNA(VLOOKUP(D17,'인원 입력 기능'!$AK$5:$AN$55,4,FALSE),0))</f>
        <v>595</v>
      </c>
      <c r="H17" s="46">
        <f t="shared" si="2"/>
        <v>2.2913698155351023E-2</v>
      </c>
      <c r="I17" s="50">
        <f>SUM($G$7:G17)</f>
        <v>3949</v>
      </c>
      <c r="J17" s="48">
        <f t="shared" si="3"/>
        <v>0.15207763700080873</v>
      </c>
      <c r="K17" s="18"/>
      <c r="M17" s="1"/>
      <c r="P17" s="1">
        <f>H3*H4*J3*P7*IFERROR(IF(J57=1, 1, 0), 0)</f>
        <v>527355036.54080003</v>
      </c>
    </row>
    <row r="18" spans="1:16" ht="25" customHeight="1">
      <c r="A18" s="5"/>
      <c r="B18" s="17"/>
      <c r="C18" s="49">
        <v>39</v>
      </c>
      <c r="D18" s="43">
        <f t="shared" si="1"/>
        <v>62</v>
      </c>
      <c r="E18" s="43">
        <f t="shared" si="0"/>
        <v>3</v>
      </c>
      <c r="F18" s="44">
        <f t="shared" si="4"/>
        <v>84</v>
      </c>
      <c r="G18" s="45">
        <f>IF(D18=D17,"",_xlfn.IFNA(VLOOKUP(D18,'인원 입력 기능'!$AK$5:$AN$55,4,FALSE),0))</f>
        <v>405</v>
      </c>
      <c r="H18" s="46">
        <f t="shared" si="2"/>
        <v>1.5596718912465822E-2</v>
      </c>
      <c r="I18" s="50">
        <f>SUM($G$7:G18)</f>
        <v>4354</v>
      </c>
      <c r="J18" s="48">
        <f t="shared" si="3"/>
        <v>0.16767435591327454</v>
      </c>
      <c r="K18" s="18"/>
      <c r="M18" s="1"/>
    </row>
    <row r="19" spans="1:16" ht="25" customHeight="1">
      <c r="A19" s="5"/>
      <c r="B19" s="17"/>
      <c r="C19" s="42">
        <v>38</v>
      </c>
      <c r="D19" s="43">
        <f t="shared" si="1"/>
        <v>61</v>
      </c>
      <c r="E19" s="43">
        <f t="shared" si="0"/>
        <v>3</v>
      </c>
      <c r="F19" s="44">
        <f t="shared" si="4"/>
        <v>82</v>
      </c>
      <c r="G19" s="45">
        <f>IF(D19=D18,"",_xlfn.IFNA(VLOOKUP(D19,'인원 입력 기능'!$AK$5:$AN$55,4,FALSE),0))</f>
        <v>491</v>
      </c>
      <c r="H19" s="46">
        <f t="shared" si="2"/>
        <v>1.890861478029807E-2</v>
      </c>
      <c r="I19" s="50">
        <f>SUM($G$7:G19)</f>
        <v>4845</v>
      </c>
      <c r="J19" s="48">
        <f t="shared" si="3"/>
        <v>0.1865829706935726</v>
      </c>
      <c r="K19" s="18"/>
      <c r="M19" s="1"/>
    </row>
    <row r="20" spans="1:16" ht="25" customHeight="1">
      <c r="A20" s="5"/>
      <c r="B20" s="17"/>
      <c r="C20" s="49">
        <v>37</v>
      </c>
      <c r="D20" s="43">
        <f t="shared" si="1"/>
        <v>60</v>
      </c>
      <c r="E20" s="43">
        <f t="shared" si="0"/>
        <v>3</v>
      </c>
      <c r="F20" s="44">
        <f t="shared" si="4"/>
        <v>80</v>
      </c>
      <c r="G20" s="45">
        <f>IF(D20=D19,"",_xlfn.IFNA(VLOOKUP(D20,'인원 입력 기능'!$AK$5:$AN$55,4,FALSE),0))</f>
        <v>515</v>
      </c>
      <c r="H20" s="46">
        <f t="shared" si="2"/>
        <v>1.9832864789925676E-2</v>
      </c>
      <c r="I20" s="50">
        <f>SUM($G$7:G20)</f>
        <v>5360</v>
      </c>
      <c r="J20" s="48">
        <f t="shared" si="3"/>
        <v>0.20641583548349829</v>
      </c>
      <c r="K20" s="18"/>
      <c r="M20" s="1"/>
    </row>
    <row r="21" spans="1:16" ht="25" customHeight="1">
      <c r="A21" s="5"/>
      <c r="B21" s="17"/>
      <c r="C21" s="51">
        <v>36</v>
      </c>
      <c r="D21" s="298">
        <f t="shared" si="1"/>
        <v>59</v>
      </c>
      <c r="E21" s="298">
        <f t="shared" si="0"/>
        <v>3</v>
      </c>
      <c r="F21" s="288">
        <f t="shared" si="4"/>
        <v>77</v>
      </c>
      <c r="G21" s="290">
        <f>IF(D21=D20,"",_xlfn.IFNA(VLOOKUP(D21,'인원 입력 기능'!$AK$5:$AN$55,4,FALSE),0))</f>
        <v>966</v>
      </c>
      <c r="H21" s="291">
        <f t="shared" si="2"/>
        <v>3.7201062887511072E-2</v>
      </c>
      <c r="I21" s="293">
        <f>SUM($G$7:G21)</f>
        <v>6326</v>
      </c>
      <c r="J21" s="295">
        <f t="shared" si="3"/>
        <v>0.24361689837100936</v>
      </c>
      <c r="K21" s="18"/>
      <c r="M21" s="1"/>
    </row>
    <row r="22" spans="1:16" ht="25" customHeight="1">
      <c r="A22" s="5"/>
      <c r="B22" s="17"/>
      <c r="C22" s="52">
        <v>35</v>
      </c>
      <c r="D22" s="297"/>
      <c r="E22" s="297"/>
      <c r="F22" s="287"/>
      <c r="G22" s="289"/>
      <c r="H22" s="292"/>
      <c r="I22" s="294"/>
      <c r="J22" s="296"/>
      <c r="K22" s="18"/>
      <c r="M22" s="1"/>
    </row>
    <row r="23" spans="1:16" ht="25" customHeight="1">
      <c r="A23" s="5"/>
      <c r="B23" s="17"/>
      <c r="C23" s="51">
        <v>34</v>
      </c>
      <c r="D23" s="53">
        <f t="shared" si="1"/>
        <v>58</v>
      </c>
      <c r="E23" s="53">
        <f t="shared" si="0"/>
        <v>4</v>
      </c>
      <c r="F23" s="44">
        <f t="shared" si="4"/>
        <v>75</v>
      </c>
      <c r="G23" s="45">
        <f>IF(D23=D22,"",_xlfn.IFNA(VLOOKUP(D23,'인원 입력 기능'!$AK$5:$AN$55,4,FALSE),0))</f>
        <v>486</v>
      </c>
      <c r="H23" s="46">
        <f t="shared" si="2"/>
        <v>1.8716062694958985E-2</v>
      </c>
      <c r="I23" s="50">
        <f>SUM($G$7:G23)</f>
        <v>6812</v>
      </c>
      <c r="J23" s="48">
        <f t="shared" si="3"/>
        <v>0.26233296106596832</v>
      </c>
      <c r="K23" s="18"/>
      <c r="M23" s="1"/>
    </row>
    <row r="24" spans="1:16" ht="25" customHeight="1">
      <c r="A24" s="5"/>
      <c r="B24" s="17"/>
      <c r="C24" s="52">
        <v>33</v>
      </c>
      <c r="D24" s="53">
        <f t="shared" si="1"/>
        <v>57</v>
      </c>
      <c r="E24" s="53">
        <f t="shared" si="0"/>
        <v>4</v>
      </c>
      <c r="F24" s="44">
        <f t="shared" si="4"/>
        <v>73</v>
      </c>
      <c r="G24" s="45">
        <f>IF(D24=D23,"",_xlfn.IFNA(VLOOKUP(D24,'인원 입력 기능'!$AK$5:$AN$55,4,FALSE),0))</f>
        <v>552</v>
      </c>
      <c r="H24" s="46">
        <f t="shared" si="2"/>
        <v>2.1257750221434897E-2</v>
      </c>
      <c r="I24" s="50">
        <f>SUM($G$7:G24)</f>
        <v>7364</v>
      </c>
      <c r="J24" s="48">
        <f t="shared" si="3"/>
        <v>0.28359071128740326</v>
      </c>
      <c r="K24" s="18"/>
      <c r="M24" s="1"/>
    </row>
    <row r="25" spans="1:16" ht="25" customHeight="1">
      <c r="A25" s="5"/>
      <c r="B25" s="17"/>
      <c r="C25" s="51">
        <v>32</v>
      </c>
      <c r="D25" s="53">
        <f t="shared" si="1"/>
        <v>56</v>
      </c>
      <c r="E25" s="53">
        <f t="shared" si="0"/>
        <v>4</v>
      </c>
      <c r="F25" s="44">
        <f t="shared" si="4"/>
        <v>70</v>
      </c>
      <c r="G25" s="45">
        <f>IF(D25=D24,"",_xlfn.IFNA(VLOOKUP(D25,'인원 입력 기능'!$AK$5:$AN$55,4,FALSE),0))</f>
        <v>625</v>
      </c>
      <c r="H25" s="46">
        <f t="shared" si="2"/>
        <v>2.4069010667385527E-2</v>
      </c>
      <c r="I25" s="50">
        <f>SUM($G$7:G25)</f>
        <v>7989</v>
      </c>
      <c r="J25" s="48">
        <f t="shared" si="3"/>
        <v>0.30765972195478875</v>
      </c>
      <c r="K25" s="18"/>
      <c r="M25" s="1"/>
    </row>
    <row r="26" spans="1:16" ht="25" customHeight="1">
      <c r="A26" s="5"/>
      <c r="B26" s="17"/>
      <c r="C26" s="52">
        <v>31</v>
      </c>
      <c r="D26" s="298">
        <f t="shared" si="1"/>
        <v>55</v>
      </c>
      <c r="E26" s="298">
        <f t="shared" si="0"/>
        <v>4</v>
      </c>
      <c r="F26" s="288">
        <f t="shared" si="4"/>
        <v>67</v>
      </c>
      <c r="G26" s="290">
        <f>IF(D26=D25,"",_xlfn.IFNA(VLOOKUP(D26,'인원 입력 기능'!$AK$5:$AN$55,4,FALSE),0))</f>
        <v>1218</v>
      </c>
      <c r="H26" s="291">
        <f t="shared" si="2"/>
        <v>4.6905687988600918E-2</v>
      </c>
      <c r="I26" s="293">
        <f>SUM($G$7:G26)</f>
        <v>9207</v>
      </c>
      <c r="J26" s="295">
        <f t="shared" si="3"/>
        <v>0.3545654099433897</v>
      </c>
      <c r="K26" s="18"/>
      <c r="M26" s="1"/>
    </row>
    <row r="27" spans="1:16" ht="25" customHeight="1">
      <c r="A27" s="5"/>
      <c r="B27" s="17"/>
      <c r="C27" s="51">
        <v>30</v>
      </c>
      <c r="D27" s="297"/>
      <c r="E27" s="297"/>
      <c r="F27" s="287"/>
      <c r="G27" s="289"/>
      <c r="H27" s="292"/>
      <c r="I27" s="294"/>
      <c r="J27" s="296"/>
      <c r="K27" s="18"/>
      <c r="M27" s="1"/>
    </row>
    <row r="28" spans="1:16" ht="25" customHeight="1">
      <c r="A28" s="5"/>
      <c r="B28" s="17"/>
      <c r="C28" s="52">
        <v>29</v>
      </c>
      <c r="D28" s="53">
        <f t="shared" si="1"/>
        <v>54</v>
      </c>
      <c r="E28" s="53">
        <f t="shared" si="0"/>
        <v>4</v>
      </c>
      <c r="F28" s="44">
        <f t="shared" si="4"/>
        <v>63</v>
      </c>
      <c r="G28" s="45">
        <f>IF(D28=D27,"",_xlfn.IFNA(VLOOKUP(D28,'인원 입력 기능'!$AK$5:$AN$55,4,FALSE),0))</f>
        <v>550</v>
      </c>
      <c r="H28" s="46">
        <f t="shared" si="2"/>
        <v>2.1180729387299264E-2</v>
      </c>
      <c r="I28" s="50">
        <f>SUM($G$7:G28)</f>
        <v>9757</v>
      </c>
      <c r="J28" s="48">
        <f t="shared" si="3"/>
        <v>0.37574613933068896</v>
      </c>
      <c r="K28" s="18"/>
      <c r="M28" s="1"/>
    </row>
    <row r="29" spans="1:16" ht="25" customHeight="1">
      <c r="A29" s="5"/>
      <c r="B29" s="17"/>
      <c r="C29" s="51">
        <v>28</v>
      </c>
      <c r="D29" s="53">
        <f t="shared" si="1"/>
        <v>53</v>
      </c>
      <c r="E29" s="53">
        <f t="shared" si="0"/>
        <v>4</v>
      </c>
      <c r="F29" s="44">
        <f t="shared" si="4"/>
        <v>61</v>
      </c>
      <c r="G29" s="45">
        <f>IF(D29=D28,"",_xlfn.IFNA(VLOOKUP(D29,'인원 입력 기능'!$AK$5:$AN$55,4,FALSE),0))</f>
        <v>617</v>
      </c>
      <c r="H29" s="46">
        <f t="shared" si="2"/>
        <v>2.3760927330842993E-2</v>
      </c>
      <c r="I29" s="50">
        <f>SUM($G$7:G29)</f>
        <v>10374</v>
      </c>
      <c r="J29" s="48">
        <f t="shared" si="3"/>
        <v>0.39950706666153196</v>
      </c>
      <c r="K29" s="18"/>
      <c r="M29" s="1"/>
    </row>
    <row r="30" spans="1:16" ht="25" customHeight="1">
      <c r="A30" s="5"/>
      <c r="B30" s="17"/>
      <c r="C30" s="52">
        <v>27</v>
      </c>
      <c r="D30" s="53">
        <f t="shared" si="1"/>
        <v>52</v>
      </c>
      <c r="E30" s="53">
        <f t="shared" si="0"/>
        <v>4</v>
      </c>
      <c r="F30" s="44">
        <f t="shared" si="4"/>
        <v>59</v>
      </c>
      <c r="G30" s="45">
        <f>IF(D30=D29,"",_xlfn.IFNA(VLOOKUP(D30,'인원 입력 기능'!$AK$5:$AN$55,4,FALSE),0))</f>
        <v>659</v>
      </c>
      <c r="H30" s="46">
        <f t="shared" si="2"/>
        <v>2.53783648476913E-2</v>
      </c>
      <c r="I30" s="50">
        <f>SUM($G$7:G30)</f>
        <v>11033</v>
      </c>
      <c r="J30" s="48">
        <f t="shared" si="3"/>
        <v>0.42488543150922325</v>
      </c>
      <c r="K30" s="18"/>
      <c r="M30" s="1"/>
    </row>
    <row r="31" spans="1:16" ht="25" customHeight="1">
      <c r="A31" s="5"/>
      <c r="B31" s="17"/>
      <c r="C31" s="51">
        <v>26</v>
      </c>
      <c r="D31" s="53">
        <f t="shared" si="1"/>
        <v>51</v>
      </c>
      <c r="E31" s="53">
        <f t="shared" si="0"/>
        <v>5</v>
      </c>
      <c r="F31" s="44">
        <f t="shared" si="4"/>
        <v>56</v>
      </c>
      <c r="G31" s="45">
        <f>IF(D31=D30,"",_xlfn.IFNA(VLOOKUP(D31,'인원 입력 기능'!$AK$5:$AN$55,4,FALSE),0))</f>
        <v>604</v>
      </c>
      <c r="H31" s="46">
        <f t="shared" si="2"/>
        <v>2.3260291908961374E-2</v>
      </c>
      <c r="I31" s="50">
        <f>SUM($G$7:G31)</f>
        <v>11637</v>
      </c>
      <c r="J31" s="48">
        <f t="shared" si="3"/>
        <v>0.44814572341818459</v>
      </c>
      <c r="K31" s="18"/>
      <c r="M31" s="1"/>
    </row>
    <row r="32" spans="1:16" ht="25" customHeight="1">
      <c r="A32" s="5"/>
      <c r="B32" s="17"/>
      <c r="C32" s="52">
        <v>25</v>
      </c>
      <c r="D32" s="298">
        <f t="shared" si="1"/>
        <v>50</v>
      </c>
      <c r="E32" s="298">
        <f t="shared" si="0"/>
        <v>5</v>
      </c>
      <c r="F32" s="288">
        <f t="shared" si="4"/>
        <v>53</v>
      </c>
      <c r="G32" s="290">
        <f>IF(D32=D31,"",_xlfn.IFNA(VLOOKUP(D32,'인원 입력 기능'!$AK$5:$AN$55,4,FALSE),0))</f>
        <v>1260</v>
      </c>
      <c r="H32" s="291">
        <f t="shared" si="2"/>
        <v>4.8523125505449224E-2</v>
      </c>
      <c r="I32" s="293">
        <f>SUM($G$7:G32)</f>
        <v>12897</v>
      </c>
      <c r="J32" s="295">
        <f t="shared" si="3"/>
        <v>0.49666884892363383</v>
      </c>
      <c r="K32" s="18"/>
      <c r="M32" s="1"/>
    </row>
    <row r="33" spans="1:13" ht="25" customHeight="1">
      <c r="A33" s="5"/>
      <c r="B33" s="17"/>
      <c r="C33" s="51">
        <v>24</v>
      </c>
      <c r="D33" s="297"/>
      <c r="E33" s="297"/>
      <c r="F33" s="287"/>
      <c r="G33" s="289"/>
      <c r="H33" s="292"/>
      <c r="I33" s="294"/>
      <c r="J33" s="296"/>
      <c r="K33" s="18"/>
      <c r="M33" s="1"/>
    </row>
    <row r="34" spans="1:13" ht="25" customHeight="1">
      <c r="A34" s="5"/>
      <c r="B34" s="17"/>
      <c r="C34" s="52">
        <v>23</v>
      </c>
      <c r="D34" s="53">
        <f t="shared" si="1"/>
        <v>49</v>
      </c>
      <c r="E34" s="53">
        <f t="shared" si="0"/>
        <v>5</v>
      </c>
      <c r="F34" s="44">
        <f t="shared" si="4"/>
        <v>49</v>
      </c>
      <c r="G34" s="45">
        <f>IF(D34=D33,"",_xlfn.IFNA(VLOOKUP(D34,'인원 입력 기능'!$AK$5:$AN$55,4,FALSE),0))</f>
        <v>576</v>
      </c>
      <c r="H34" s="46">
        <f t="shared" si="2"/>
        <v>2.2182000231062503E-2</v>
      </c>
      <c r="I34" s="50">
        <f>SUM($G$7:G34)</f>
        <v>13473</v>
      </c>
      <c r="J34" s="48">
        <f t="shared" si="3"/>
        <v>0.51885084915469637</v>
      </c>
      <c r="K34" s="18"/>
      <c r="M34" s="1"/>
    </row>
    <row r="35" spans="1:13" ht="25" customHeight="1">
      <c r="A35" s="5"/>
      <c r="B35" s="17"/>
      <c r="C35" s="51">
        <v>22</v>
      </c>
      <c r="D35" s="53">
        <f t="shared" si="1"/>
        <v>48</v>
      </c>
      <c r="E35" s="53">
        <f t="shared" si="0"/>
        <v>5</v>
      </c>
      <c r="F35" s="44">
        <f t="shared" si="4"/>
        <v>47</v>
      </c>
      <c r="G35" s="45">
        <f>IF(D35=D34,"",_xlfn.IFNA(VLOOKUP(D35,'인원 입력 기능'!$AK$5:$AN$55,4,FALSE),0))</f>
        <v>683</v>
      </c>
      <c r="H35" s="46">
        <f t="shared" si="2"/>
        <v>2.6302614857318905E-2</v>
      </c>
      <c r="I35" s="50">
        <f>SUM($G$7:G35)</f>
        <v>14156</v>
      </c>
      <c r="J35" s="48">
        <f t="shared" si="3"/>
        <v>0.54515346401201525</v>
      </c>
      <c r="K35" s="18"/>
      <c r="M35" s="1"/>
    </row>
    <row r="36" spans="1:13" ht="25" customHeight="1">
      <c r="A36" s="5"/>
      <c r="B36" s="17"/>
      <c r="C36" s="52">
        <v>21</v>
      </c>
      <c r="D36" s="53">
        <f t="shared" si="1"/>
        <v>47</v>
      </c>
      <c r="E36" s="53">
        <f t="shared" si="0"/>
        <v>5</v>
      </c>
      <c r="F36" s="44">
        <f t="shared" si="4"/>
        <v>44</v>
      </c>
      <c r="G36" s="45">
        <f>IF(D36=D35,"",_xlfn.IFNA(VLOOKUP(D36,'인원 입력 기능'!$AK$5:$AN$55,4,FALSE),0))</f>
        <v>589</v>
      </c>
      <c r="H36" s="46">
        <f t="shared" si="2"/>
        <v>2.2682635652944122E-2</v>
      </c>
      <c r="I36" s="50">
        <f>SUM($G$7:G36)</f>
        <v>14745</v>
      </c>
      <c r="J36" s="48">
        <f t="shared" si="3"/>
        <v>0.5678360996649594</v>
      </c>
      <c r="K36" s="18"/>
      <c r="M36" s="1"/>
    </row>
    <row r="37" spans="1:13" ht="25" customHeight="1">
      <c r="A37" s="5"/>
      <c r="B37" s="17"/>
      <c r="C37" s="51">
        <v>20</v>
      </c>
      <c r="D37" s="298">
        <f t="shared" si="1"/>
        <v>46</v>
      </c>
      <c r="E37" s="298">
        <f t="shared" si="0"/>
        <v>5</v>
      </c>
      <c r="F37" s="288">
        <f t="shared" si="4"/>
        <v>41</v>
      </c>
      <c r="G37" s="290">
        <f>IF(D37=D36,"",_xlfn.IFNA(VLOOKUP(D37,'인원 입력 기능'!$AK$5:$AN$55,4,FALSE),0))</f>
        <v>1309</v>
      </c>
      <c r="H37" s="291">
        <f t="shared" si="2"/>
        <v>5.0410135941772252E-2</v>
      </c>
      <c r="I37" s="293">
        <f>SUM($G$7:G37)</f>
        <v>16054</v>
      </c>
      <c r="J37" s="295">
        <f t="shared" si="3"/>
        <v>0.61824623560673164</v>
      </c>
      <c r="K37" s="18"/>
      <c r="M37" s="1"/>
    </row>
    <row r="38" spans="1:13" ht="25" customHeight="1">
      <c r="A38" s="5"/>
      <c r="B38" s="17"/>
      <c r="C38" s="52">
        <v>19</v>
      </c>
      <c r="D38" s="297"/>
      <c r="E38" s="297"/>
      <c r="F38" s="287"/>
      <c r="G38" s="289"/>
      <c r="H38" s="292"/>
      <c r="I38" s="294"/>
      <c r="J38" s="296"/>
      <c r="K38" s="18"/>
      <c r="M38" s="1"/>
    </row>
    <row r="39" spans="1:13" ht="25" customHeight="1">
      <c r="A39" s="5"/>
      <c r="B39" s="17"/>
      <c r="C39" s="51">
        <v>18</v>
      </c>
      <c r="D39" s="53">
        <f t="shared" si="1"/>
        <v>45</v>
      </c>
      <c r="E39" s="53">
        <f t="shared" ref="E39:E57" si="5">IF(ROUND(D39,0)&gt;=$P$7,1,IF(ROUND(D39,0)&gt;=$P$8,2,IF(ROUND(D39,0)&gt;=$P$9,3,IF(ROUND(D39,0)&gt;=$P$10,4,IF(ROUND(D39,0)&gt;=$P$11,5,IF(ROUND(D39,0)&gt;=$P$12,6,IF(ROUND(D39,0)&gt;=$P$13,7,IF(ROUND(D39,0)&gt;=$P$14,8,9))))))))</f>
        <v>6</v>
      </c>
      <c r="F39" s="44">
        <f t="shared" si="4"/>
        <v>37</v>
      </c>
      <c r="G39" s="45">
        <f>IF(D39=D38,"",_xlfn.IFNA(VLOOKUP(D39,'인원 입력 기능'!$AK$5:$AN$55,4,FALSE),0))</f>
        <v>565</v>
      </c>
      <c r="H39" s="46">
        <f t="shared" si="2"/>
        <v>2.1758385643316516E-2</v>
      </c>
      <c r="I39" s="50">
        <f>SUM($G$7:G39)</f>
        <v>16619</v>
      </c>
      <c r="J39" s="48">
        <f t="shared" si="3"/>
        <v>0.64000462125004809</v>
      </c>
      <c r="K39" s="18"/>
      <c r="M39" s="1"/>
    </row>
    <row r="40" spans="1:13" ht="25" customHeight="1">
      <c r="A40" s="5"/>
      <c r="B40" s="17"/>
      <c r="C40" s="52">
        <v>17</v>
      </c>
      <c r="D40" s="53">
        <f t="shared" si="1"/>
        <v>44</v>
      </c>
      <c r="E40" s="53">
        <f t="shared" si="5"/>
        <v>6</v>
      </c>
      <c r="F40" s="44">
        <f t="shared" si="4"/>
        <v>35</v>
      </c>
      <c r="G40" s="45">
        <f>IF(D40=D39,"",_xlfn.IFNA(VLOOKUP(D40,'인원 입력 기능'!$AK$5:$AN$55,4,FALSE),0))</f>
        <v>669</v>
      </c>
      <c r="H40" s="46">
        <f t="shared" si="2"/>
        <v>2.576346901836947E-2</v>
      </c>
      <c r="I40" s="50">
        <f>SUM($G$7:G40)</f>
        <v>17288</v>
      </c>
      <c r="J40" s="48">
        <f t="shared" si="3"/>
        <v>0.66576809026841766</v>
      </c>
      <c r="K40" s="18"/>
      <c r="M40" s="1"/>
    </row>
    <row r="41" spans="1:13" ht="25" customHeight="1">
      <c r="A41" s="5"/>
      <c r="B41" s="17"/>
      <c r="C41" s="51">
        <v>16</v>
      </c>
      <c r="D41" s="53">
        <f t="shared" si="1"/>
        <v>43</v>
      </c>
      <c r="E41" s="53">
        <f t="shared" si="5"/>
        <v>6</v>
      </c>
      <c r="F41" s="44">
        <f t="shared" si="4"/>
        <v>32</v>
      </c>
      <c r="G41" s="45">
        <f>IF(D41=D40,"",_xlfn.IFNA(VLOOKUP(D41,'인원 입력 기능'!$AK$5:$AN$55,4,FALSE),0))</f>
        <v>605</v>
      </c>
      <c r="H41" s="46">
        <f t="shared" si="2"/>
        <v>2.329880232602919E-2</v>
      </c>
      <c r="I41" s="50">
        <f>SUM($G$7:G41)</f>
        <v>17893</v>
      </c>
      <c r="J41" s="48">
        <f t="shared" si="3"/>
        <v>0.68906689259444676</v>
      </c>
      <c r="K41" s="18"/>
      <c r="M41" s="1"/>
    </row>
    <row r="42" spans="1:13" ht="25" customHeight="1">
      <c r="A42" s="5"/>
      <c r="B42" s="17"/>
      <c r="C42" s="52">
        <v>15</v>
      </c>
      <c r="D42" s="53">
        <f t="shared" si="1"/>
        <v>42</v>
      </c>
      <c r="E42" s="53">
        <f t="shared" si="5"/>
        <v>6</v>
      </c>
      <c r="F42" s="44">
        <f t="shared" si="4"/>
        <v>30</v>
      </c>
      <c r="G42" s="45">
        <f>IF(D42=D41,"",_xlfn.IFNA(VLOOKUP(D42,'인원 입력 기능'!$AK$5:$AN$55,4,FALSE),0))</f>
        <v>736</v>
      </c>
      <c r="H42" s="46">
        <f t="shared" si="2"/>
        <v>2.8343666961913198E-2</v>
      </c>
      <c r="I42" s="50">
        <f>SUM($G$7:G42)</f>
        <v>18629</v>
      </c>
      <c r="J42" s="48">
        <f t="shared" si="3"/>
        <v>0.71741055955636002</v>
      </c>
      <c r="K42" s="18"/>
      <c r="M42" s="1"/>
    </row>
    <row r="43" spans="1:13" ht="25" customHeight="1">
      <c r="A43" s="5"/>
      <c r="B43" s="17"/>
      <c r="C43" s="51">
        <v>14</v>
      </c>
      <c r="D43" s="298">
        <f t="shared" si="1"/>
        <v>41</v>
      </c>
      <c r="E43" s="298">
        <f t="shared" si="5"/>
        <v>6</v>
      </c>
      <c r="F43" s="288">
        <f t="shared" si="4"/>
        <v>24</v>
      </c>
      <c r="G43" s="290">
        <f>IF(D43=D42,"",_xlfn.IFNA(VLOOKUP(D43,'인원 입력 기능'!$AK$5:$AN$55,4,FALSE),0))</f>
        <v>2467</v>
      </c>
      <c r="H43" s="291">
        <f t="shared" si="2"/>
        <v>9.5005198906304156E-2</v>
      </c>
      <c r="I43" s="293">
        <f>SUM($G$7:G43)</f>
        <v>21096</v>
      </c>
      <c r="J43" s="295">
        <f t="shared" si="3"/>
        <v>0.81241575846266412</v>
      </c>
      <c r="K43" s="18"/>
      <c r="M43" s="1"/>
    </row>
    <row r="44" spans="1:13" ht="25" customHeight="1">
      <c r="A44" s="5"/>
      <c r="B44" s="17"/>
      <c r="C44" s="52">
        <v>13</v>
      </c>
      <c r="D44" s="297"/>
      <c r="E44" s="297"/>
      <c r="F44" s="287"/>
      <c r="G44" s="289"/>
      <c r="H44" s="292"/>
      <c r="I44" s="294"/>
      <c r="J44" s="296"/>
      <c r="K44" s="18"/>
      <c r="M44" s="1"/>
    </row>
    <row r="45" spans="1:13" ht="25" customHeight="1">
      <c r="A45" s="5"/>
      <c r="B45" s="17"/>
      <c r="C45" s="51">
        <v>12</v>
      </c>
      <c r="D45" s="53">
        <f t="shared" si="1"/>
        <v>40</v>
      </c>
      <c r="E45" s="53">
        <f t="shared" si="5"/>
        <v>7</v>
      </c>
      <c r="F45" s="44">
        <f t="shared" si="4"/>
        <v>17</v>
      </c>
      <c r="G45" s="45">
        <f>IF(D45=D44,"",_xlfn.IFNA(VLOOKUP(D45,'인원 입력 기능'!$AK$5:$AN$55,4,FALSE),0))</f>
        <v>661</v>
      </c>
      <c r="H45" s="46">
        <f t="shared" si="2"/>
        <v>2.5455385681826936E-2</v>
      </c>
      <c r="I45" s="50">
        <f>SUM($G$7:G45)</f>
        <v>21757</v>
      </c>
      <c r="J45" s="48">
        <f t="shared" si="3"/>
        <v>0.83787114414449104</v>
      </c>
      <c r="K45" s="18"/>
      <c r="M45" s="1"/>
    </row>
    <row r="46" spans="1:13" ht="25" customHeight="1">
      <c r="A46" s="5"/>
      <c r="B46" s="17"/>
      <c r="C46" s="52">
        <v>11</v>
      </c>
      <c r="D46" s="53">
        <f t="shared" si="1"/>
        <v>39</v>
      </c>
      <c r="E46" s="53">
        <f t="shared" si="5"/>
        <v>7</v>
      </c>
      <c r="F46" s="44">
        <f t="shared" si="4"/>
        <v>15</v>
      </c>
      <c r="G46" s="45">
        <f>IF(D46=D45,"",_xlfn.IFNA(VLOOKUP(D46,'인원 입력 기능'!$AK$5:$AN$55,4,FALSE),0))</f>
        <v>729</v>
      </c>
      <c r="H46" s="46">
        <f t="shared" si="2"/>
        <v>2.8074094042438481E-2</v>
      </c>
      <c r="I46" s="50">
        <f>SUM($G$7:G46)</f>
        <v>22486</v>
      </c>
      <c r="J46" s="48">
        <f t="shared" si="3"/>
        <v>0.86594523818692959</v>
      </c>
      <c r="K46" s="18"/>
      <c r="M46" s="1"/>
    </row>
    <row r="47" spans="1:13" ht="25" customHeight="1">
      <c r="A47" s="5"/>
      <c r="B47" s="17"/>
      <c r="C47" s="51">
        <v>10</v>
      </c>
      <c r="D47" s="53">
        <f t="shared" si="1"/>
        <v>38</v>
      </c>
      <c r="E47" s="53">
        <f t="shared" si="5"/>
        <v>7</v>
      </c>
      <c r="F47" s="44">
        <f t="shared" si="4"/>
        <v>12</v>
      </c>
      <c r="G47" s="45">
        <f>IF(D47=D46,"",_xlfn.IFNA(VLOOKUP(D47,'인원 입력 기능'!$AK$5:$AN$55,4,FALSE),0))</f>
        <v>549</v>
      </c>
      <c r="H47" s="46">
        <f t="shared" si="2"/>
        <v>2.1142218970231448E-2</v>
      </c>
      <c r="I47" s="50">
        <f>SUM($G$7:G47)</f>
        <v>23035</v>
      </c>
      <c r="J47" s="48">
        <f t="shared" si="3"/>
        <v>0.88708745715716097</v>
      </c>
      <c r="K47" s="18"/>
      <c r="M47" s="1"/>
    </row>
    <row r="48" spans="1:13" ht="25" customHeight="1">
      <c r="A48" s="5"/>
      <c r="B48" s="17"/>
      <c r="C48" s="52">
        <v>9</v>
      </c>
      <c r="D48" s="298">
        <f t="shared" si="1"/>
        <v>37</v>
      </c>
      <c r="E48" s="298">
        <f t="shared" si="5"/>
        <v>7</v>
      </c>
      <c r="F48" s="288">
        <f t="shared" si="4"/>
        <v>8</v>
      </c>
      <c r="G48" s="290">
        <f>IF(D48=D47,"",_xlfn.IFNA(VLOOKUP(D48,'인원 입력 기능'!$AK$5:$AN$55,4,FALSE),0))</f>
        <v>1783</v>
      </c>
      <c r="H48" s="291">
        <f t="shared" si="2"/>
        <v>6.8664073631917427E-2</v>
      </c>
      <c r="I48" s="293">
        <f>SUM($G$7:G48)</f>
        <v>24818</v>
      </c>
      <c r="J48" s="295">
        <f t="shared" si="3"/>
        <v>0.95575153078907849</v>
      </c>
      <c r="K48" s="18"/>
      <c r="M48" s="1"/>
    </row>
    <row r="49" spans="1:13" ht="25" customHeight="1">
      <c r="A49" s="5"/>
      <c r="B49" s="17"/>
      <c r="C49" s="51">
        <v>8</v>
      </c>
      <c r="D49" s="297"/>
      <c r="E49" s="297"/>
      <c r="F49" s="287"/>
      <c r="G49" s="289"/>
      <c r="H49" s="292"/>
      <c r="I49" s="294"/>
      <c r="J49" s="296"/>
      <c r="K49" s="18"/>
      <c r="M49" s="1"/>
    </row>
    <row r="50" spans="1:13" ht="25" customHeight="1">
      <c r="A50" s="5"/>
      <c r="B50" s="17"/>
      <c r="C50" s="52">
        <v>7</v>
      </c>
      <c r="D50" s="53">
        <f t="shared" si="1"/>
        <v>36</v>
      </c>
      <c r="E50" s="53">
        <f t="shared" si="5"/>
        <v>8</v>
      </c>
      <c r="F50" s="44">
        <f t="shared" si="4"/>
        <v>4</v>
      </c>
      <c r="G50" s="45">
        <f>IF(D50=D49,"",_xlfn.IFNA(VLOOKUP(D50,'인원 입력 기능'!$AK$5:$AN$55,4,FALSE),0))</f>
        <v>386</v>
      </c>
      <c r="H50" s="46">
        <f t="shared" si="2"/>
        <v>1.4865020988177302E-2</v>
      </c>
      <c r="I50" s="50">
        <f>SUM($G$7:G50)</f>
        <v>25204</v>
      </c>
      <c r="J50" s="48">
        <f t="shared" si="3"/>
        <v>0.9706165517772557</v>
      </c>
      <c r="K50" s="18"/>
      <c r="M50" s="1"/>
    </row>
    <row r="51" spans="1:13" ht="25" customHeight="1">
      <c r="A51" s="5"/>
      <c r="B51" s="17"/>
      <c r="C51" s="51">
        <v>6</v>
      </c>
      <c r="D51" s="53">
        <f t="shared" si="1"/>
        <v>35</v>
      </c>
      <c r="E51" s="53">
        <f t="shared" si="5"/>
        <v>9</v>
      </c>
      <c r="F51" s="44">
        <f t="shared" si="4"/>
        <v>3</v>
      </c>
      <c r="G51" s="45">
        <f>IF(D51=D50,"",_xlfn.IFNA(VLOOKUP(D51,'인원 입력 기능'!$AK$5:$AN$55,4,FALSE),0))</f>
        <v>198</v>
      </c>
      <c r="H51" s="46">
        <f t="shared" si="2"/>
        <v>7.6250625794277351E-3</v>
      </c>
      <c r="I51" s="50">
        <f>SUM($G$7:G51)</f>
        <v>25402</v>
      </c>
      <c r="J51" s="48">
        <f t="shared" si="3"/>
        <v>0.97824161435668344</v>
      </c>
      <c r="K51" s="18"/>
      <c r="M51" s="1"/>
    </row>
    <row r="52" spans="1:13" ht="25" customHeight="1">
      <c r="A52" s="5"/>
      <c r="B52" s="17"/>
      <c r="C52" s="52">
        <v>5</v>
      </c>
      <c r="D52" s="53">
        <f t="shared" si="1"/>
        <v>34</v>
      </c>
      <c r="E52" s="53">
        <f t="shared" si="5"/>
        <v>9</v>
      </c>
      <c r="F52" s="44">
        <f t="shared" si="4"/>
        <v>2</v>
      </c>
      <c r="G52" s="45">
        <f>IF(D52=D51,"",_xlfn.IFNA(VLOOKUP(D52,'인원 입력 기능'!$AK$5:$AN$55,4,FALSE),0))</f>
        <v>266</v>
      </c>
      <c r="H52" s="46">
        <f t="shared" si="2"/>
        <v>1.024377094003928E-2</v>
      </c>
      <c r="I52" s="50">
        <f>SUM($G$7:G52)</f>
        <v>25668</v>
      </c>
      <c r="J52" s="48">
        <f t="shared" si="3"/>
        <v>0.98848538529672281</v>
      </c>
      <c r="K52" s="18"/>
      <c r="M52" s="1"/>
    </row>
    <row r="53" spans="1:13" ht="25" customHeight="1">
      <c r="A53" s="5"/>
      <c r="B53" s="17"/>
      <c r="C53" s="42">
        <v>4</v>
      </c>
      <c r="D53" s="43">
        <f t="shared" si="1"/>
        <v>33</v>
      </c>
      <c r="E53" s="43">
        <f t="shared" si="5"/>
        <v>9</v>
      </c>
      <c r="F53" s="44">
        <f t="shared" si="4"/>
        <v>1</v>
      </c>
      <c r="G53" s="45">
        <f>IF(D53=D52,"",_xlfn.IFNA(VLOOKUP(D53,'인원 입력 기능'!$AK$5:$AN$55,4,FALSE),0))</f>
        <v>109</v>
      </c>
      <c r="H53" s="46">
        <f t="shared" si="2"/>
        <v>4.197635460392036E-3</v>
      </c>
      <c r="I53" s="50">
        <f>SUM($G$7:G53)</f>
        <v>25777</v>
      </c>
      <c r="J53" s="48">
        <f t="shared" si="3"/>
        <v>0.99268302075711479</v>
      </c>
      <c r="K53" s="18"/>
      <c r="M53" s="1"/>
    </row>
    <row r="54" spans="1:13" ht="25" customHeight="1">
      <c r="A54" s="5"/>
      <c r="B54" s="17"/>
      <c r="C54" s="49">
        <v>3</v>
      </c>
      <c r="D54" s="286">
        <f t="shared" si="1"/>
        <v>32</v>
      </c>
      <c r="E54" s="286">
        <f t="shared" si="5"/>
        <v>9</v>
      </c>
      <c r="F54" s="288">
        <f t="shared" si="4"/>
        <v>0</v>
      </c>
      <c r="G54" s="290">
        <f>IF(D54=D53,"",_xlfn.IFNA(VLOOKUP(D54,'인원 입력 기능'!$AK$5:$AN$55,4,FALSE),0))</f>
        <v>157</v>
      </c>
      <c r="H54" s="291">
        <f t="shared" si="2"/>
        <v>6.0461354796472449E-3</v>
      </c>
      <c r="I54" s="293">
        <f>SUM($G$7:G54)</f>
        <v>25934</v>
      </c>
      <c r="J54" s="295">
        <f t="shared" si="3"/>
        <v>0.99872915623676206</v>
      </c>
      <c r="K54" s="18"/>
      <c r="M54" s="1"/>
    </row>
    <row r="55" spans="1:13" ht="25" customHeight="1">
      <c r="A55" s="5"/>
      <c r="B55" s="17"/>
      <c r="C55" s="42">
        <v>2</v>
      </c>
      <c r="D55" s="285"/>
      <c r="E55" s="285"/>
      <c r="F55" s="287"/>
      <c r="G55" s="289"/>
      <c r="H55" s="292"/>
      <c r="I55" s="294"/>
      <c r="J55" s="296"/>
      <c r="K55" s="18"/>
      <c r="M55" s="1"/>
    </row>
    <row r="56" spans="1:13" ht="25" customHeight="1">
      <c r="A56" s="5"/>
      <c r="B56" s="17"/>
      <c r="C56" s="49">
        <v>1</v>
      </c>
      <c r="D56" s="111" t="s">
        <v>31</v>
      </c>
      <c r="E56" s="112"/>
      <c r="F56" s="112"/>
      <c r="G56" s="112"/>
      <c r="H56" s="112"/>
      <c r="I56" s="112"/>
      <c r="J56" s="113"/>
      <c r="K56" s="18"/>
      <c r="M56" s="1"/>
    </row>
    <row r="57" spans="1:13" ht="25" customHeight="1" thickBot="1">
      <c r="A57" s="5"/>
      <c r="B57" s="17"/>
      <c r="C57" s="57">
        <v>0</v>
      </c>
      <c r="D57" s="58">
        <f>ROUND(10*(C57-$H$3)/$H$4+50,0)</f>
        <v>30</v>
      </c>
      <c r="E57" s="59">
        <f t="shared" si="5"/>
        <v>9</v>
      </c>
      <c r="F57" s="60">
        <f>IF(I55=0,ROUND(100*(1-(I54+I57)/2/$J$3),0),ROUND(100*(1-(I55+I57)/2/$J$3),0))</f>
        <v>0</v>
      </c>
      <c r="G57" s="61">
        <f>_xlfn.IFNA(VLOOKUP(D57,'인원 입력 기능'!$AK$5:$AN$55,4,FALSE),0)</f>
        <v>33</v>
      </c>
      <c r="H57" s="62">
        <f>G57/J3</f>
        <v>1.2708437632379559E-3</v>
      </c>
      <c r="I57" s="63">
        <f>SUM($G$7:G57)</f>
        <v>25967</v>
      </c>
      <c r="J57" s="64">
        <f>I57/J3</f>
        <v>1</v>
      </c>
      <c r="K57" s="18"/>
      <c r="M57" s="1"/>
    </row>
    <row r="58" spans="1:13" ht="6" customHeight="1">
      <c r="A58" s="5"/>
      <c r="B58" s="20"/>
      <c r="C58" s="21"/>
      <c r="D58" s="21"/>
      <c r="E58" s="21"/>
      <c r="F58" s="21"/>
      <c r="G58" s="21"/>
      <c r="H58" s="21"/>
      <c r="I58" s="21"/>
      <c r="J58" s="21"/>
      <c r="K58" s="22"/>
      <c r="M58" s="1"/>
    </row>
    <row r="59" spans="1:13">
      <c r="M59" s="1"/>
    </row>
    <row r="60" spans="1:13">
      <c r="M60" s="1"/>
    </row>
    <row r="61" spans="1:13">
      <c r="M61" s="1"/>
    </row>
    <row r="62" spans="1:13">
      <c r="M62" s="1"/>
    </row>
    <row r="63" spans="1:13">
      <c r="M63" s="1"/>
    </row>
    <row r="64" spans="1:13">
      <c r="M64" s="1"/>
    </row>
    <row r="65" spans="13:13">
      <c r="M65" s="1"/>
    </row>
    <row r="66" spans="13:13">
      <c r="M66" s="1"/>
    </row>
    <row r="67" spans="13:13">
      <c r="M67" s="1"/>
    </row>
    <row r="68" spans="13:13">
      <c r="M68" s="1"/>
    </row>
    <row r="69" spans="13:13">
      <c r="M69" s="1"/>
    </row>
    <row r="70" spans="13:13">
      <c r="M70" s="1"/>
    </row>
    <row r="71" spans="13:13">
      <c r="M71" s="1"/>
    </row>
    <row r="72" spans="13:13">
      <c r="M72" s="1"/>
    </row>
    <row r="73" spans="13:13">
      <c r="M73" s="1"/>
    </row>
    <row r="74" spans="13:13">
      <c r="M74" s="1"/>
    </row>
    <row r="75" spans="13:13">
      <c r="M75" s="1"/>
    </row>
    <row r="76" spans="13:13">
      <c r="M76" s="1"/>
    </row>
    <row r="77" spans="13:13">
      <c r="M77" s="1"/>
    </row>
    <row r="78" spans="13:13">
      <c r="M78" s="1"/>
    </row>
    <row r="79" spans="13:13">
      <c r="M79" s="1"/>
    </row>
    <row r="80" spans="13:13">
      <c r="M80" s="1"/>
    </row>
    <row r="81" spans="13:13">
      <c r="M81" s="1"/>
    </row>
    <row r="82" spans="13:13">
      <c r="M82" s="1"/>
    </row>
    <row r="83" spans="13:13">
      <c r="M83" s="1"/>
    </row>
    <row r="84" spans="13:13">
      <c r="M84" s="1"/>
    </row>
    <row r="85" spans="13:13">
      <c r="M85" s="1"/>
    </row>
    <row r="86" spans="13:13">
      <c r="M86" s="1"/>
    </row>
    <row r="87" spans="13:13">
      <c r="M87" s="1"/>
    </row>
    <row r="88" spans="13:13">
      <c r="M88" s="1"/>
    </row>
    <row r="89" spans="13:13">
      <c r="M89" s="1"/>
    </row>
    <row r="90" spans="13:13">
      <c r="M90" s="1"/>
    </row>
    <row r="91" spans="13:13">
      <c r="M91" s="1"/>
    </row>
    <row r="92" spans="13:13">
      <c r="M92" s="1"/>
    </row>
    <row r="93" spans="13:13">
      <c r="M93" s="1"/>
    </row>
    <row r="94" spans="13:13">
      <c r="M94" s="1"/>
    </row>
    <row r="95" spans="13:13">
      <c r="M95" s="1"/>
    </row>
    <row r="96" spans="13:13">
      <c r="M96" s="1"/>
    </row>
    <row r="97" spans="13:13">
      <c r="M97" s="1"/>
    </row>
    <row r="98" spans="13:13">
      <c r="M98" s="1"/>
    </row>
    <row r="99" spans="13:13">
      <c r="M99" s="1"/>
    </row>
    <row r="100" spans="13:13">
      <c r="M100" s="1"/>
    </row>
    <row r="101" spans="13:13">
      <c r="M101" s="1"/>
    </row>
    <row r="102" spans="13:13">
      <c r="M102" s="1"/>
    </row>
    <row r="103" spans="13:13">
      <c r="M103" s="1"/>
    </row>
    <row r="104" spans="13:13">
      <c r="M104" s="1"/>
    </row>
    <row r="105" spans="13:13">
      <c r="M105" s="1"/>
    </row>
  </sheetData>
  <mergeCells count="67">
    <mergeCell ref="I48:I49"/>
    <mergeCell ref="J48:J49"/>
    <mergeCell ref="D54:D55"/>
    <mergeCell ref="E54:E55"/>
    <mergeCell ref="F54:F55"/>
    <mergeCell ref="G54:G55"/>
    <mergeCell ref="H54:H55"/>
    <mergeCell ref="I54:I55"/>
    <mergeCell ref="J54:J55"/>
    <mergeCell ref="D48:D49"/>
    <mergeCell ref="E48:E49"/>
    <mergeCell ref="F48:F49"/>
    <mergeCell ref="G48:G49"/>
    <mergeCell ref="H48:H49"/>
    <mergeCell ref="I37:I38"/>
    <mergeCell ref="J37:J38"/>
    <mergeCell ref="D43:D44"/>
    <mergeCell ref="E43:E44"/>
    <mergeCell ref="F43:F44"/>
    <mergeCell ref="G43:G44"/>
    <mergeCell ref="H43:H44"/>
    <mergeCell ref="I43:I44"/>
    <mergeCell ref="J43:J44"/>
    <mergeCell ref="D37:D38"/>
    <mergeCell ref="E37:E38"/>
    <mergeCell ref="F37:F38"/>
    <mergeCell ref="G37:G38"/>
    <mergeCell ref="H37:H38"/>
    <mergeCell ref="I26:I27"/>
    <mergeCell ref="J26:J27"/>
    <mergeCell ref="D32:D33"/>
    <mergeCell ref="E32:E33"/>
    <mergeCell ref="F32:F33"/>
    <mergeCell ref="G32:G33"/>
    <mergeCell ref="H32:H33"/>
    <mergeCell ref="I32:I33"/>
    <mergeCell ref="J32:J33"/>
    <mergeCell ref="D26:D27"/>
    <mergeCell ref="E26:E27"/>
    <mergeCell ref="F26:F27"/>
    <mergeCell ref="G26:G27"/>
    <mergeCell ref="H26:H27"/>
    <mergeCell ref="I15:I16"/>
    <mergeCell ref="J15:J16"/>
    <mergeCell ref="D21:D22"/>
    <mergeCell ref="E21:E22"/>
    <mergeCell ref="F21:F22"/>
    <mergeCell ref="G21:G22"/>
    <mergeCell ref="H21:H22"/>
    <mergeCell ref="I21:I22"/>
    <mergeCell ref="J21:J22"/>
    <mergeCell ref="D3:F3"/>
    <mergeCell ref="D4:F4"/>
    <mergeCell ref="D56:J56"/>
    <mergeCell ref="D8:J8"/>
    <mergeCell ref="D10:D11"/>
    <mergeCell ref="E10:E11"/>
    <mergeCell ref="F10:F11"/>
    <mergeCell ref="G10:G11"/>
    <mergeCell ref="H10:H11"/>
    <mergeCell ref="I10:I11"/>
    <mergeCell ref="J10:J11"/>
    <mergeCell ref="D15:D16"/>
    <mergeCell ref="E15:E16"/>
    <mergeCell ref="F15:F16"/>
    <mergeCell ref="G15:G16"/>
    <mergeCell ref="H15:H16"/>
  </mergeCells>
  <phoneticPr fontId="1" type="noConversion"/>
  <conditionalFormatting sqref="D7:J7 D57:J57 D9:J10 D12:J15 D17:J21 D23:J26 D28:J32 D34:J37 D39:J43 D45:J48 D50:J54">
    <cfRule type="expression" dxfId="111" priority="7">
      <formula>OR($D7=$P$7:$P$14)</formula>
    </cfRule>
  </conditionalFormatting>
  <conditionalFormatting sqref="C7:C57">
    <cfRule type="expression" dxfId="110" priority="6">
      <formula>OR(AND($D7=0,OR($D6=$P$7:$P$14)),AND($D8&gt;0,OR($D7=$P$7:$P$14)))</formula>
    </cfRule>
  </conditionalFormatting>
  <conditionalFormatting sqref="D7 D57 D9:D10 D12:D15 D17:D21 D23:D26 D28:D32 D34:D37 D39:D43 D45:D48 D50:D54">
    <cfRule type="expression" dxfId="109" priority="5">
      <formula>$D7=$D8</formula>
    </cfRule>
  </conditionalFormatting>
  <conditionalFormatting sqref="D56">
    <cfRule type="expression" dxfId="108" priority="4">
      <formula>OR($D56=$P$7:$P$14)</formula>
    </cfRule>
  </conditionalFormatting>
  <conditionalFormatting sqref="D56">
    <cfRule type="expression" dxfId="107" priority="3">
      <formula>$D56=$D57</formula>
    </cfRule>
  </conditionalFormatting>
  <conditionalFormatting sqref="D8">
    <cfRule type="expression" dxfId="106" priority="2">
      <formula>OR($D8=$P$7:$P$14)</formula>
    </cfRule>
  </conditionalFormatting>
  <conditionalFormatting sqref="D8">
    <cfRule type="expression" dxfId="105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ED3DB-AFEE-440A-A9DD-88DC15649F11}">
  <sheetPr codeName="Sheet16"/>
  <dimension ref="A1:P105"/>
  <sheetViews>
    <sheetView zoomScaleNormal="100" workbookViewId="0">
      <selection activeCell="B2" sqref="B2:K58"/>
    </sheetView>
  </sheetViews>
  <sheetFormatPr defaultRowHeight="17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6">
      <c r="A1" s="5" t="s">
        <v>44</v>
      </c>
      <c r="C1" s="5"/>
      <c r="D1" s="5"/>
      <c r="E1" s="5"/>
      <c r="F1" s="5"/>
      <c r="G1" s="5"/>
      <c r="H1" s="5"/>
      <c r="I1" s="5"/>
      <c r="J1" s="5"/>
      <c r="K1" s="5"/>
    </row>
    <row r="2" spans="1:16" s="5" customFormat="1" ht="6" customHeight="1" thickBot="1">
      <c r="B2" s="15"/>
      <c r="C2" s="23"/>
      <c r="D2" s="23"/>
      <c r="E2" s="23"/>
      <c r="F2" s="23"/>
      <c r="G2" s="23"/>
      <c r="H2" s="23"/>
      <c r="I2" s="23"/>
      <c r="J2" s="23"/>
      <c r="K2" s="16"/>
    </row>
    <row r="3" spans="1:16" ht="25" customHeight="1" thickBot="1">
      <c r="A3" s="5"/>
      <c r="B3" s="17"/>
      <c r="C3" s="34" t="s">
        <v>47</v>
      </c>
      <c r="D3" s="105" t="s">
        <v>115</v>
      </c>
      <c r="E3" s="106"/>
      <c r="F3" s="107"/>
      <c r="G3" s="34" t="s">
        <v>48</v>
      </c>
      <c r="H3" s="101">
        <f>'통계 및 응시자 수 입력 기능'!D12</f>
        <v>23.16</v>
      </c>
      <c r="I3" s="103" t="s">
        <v>49</v>
      </c>
      <c r="J3" s="104">
        <f>'통계 및 응시자 수 입력 기능'!C12</f>
        <v>120581</v>
      </c>
      <c r="K3" s="18"/>
    </row>
    <row r="4" spans="1:16" ht="25" customHeight="1" thickBot="1">
      <c r="A4" s="5"/>
      <c r="B4" s="17"/>
      <c r="C4" s="35" t="s">
        <v>50</v>
      </c>
      <c r="D4" s="108" t="s">
        <v>65</v>
      </c>
      <c r="E4" s="109"/>
      <c r="F4" s="110"/>
      <c r="G4" s="36" t="s">
        <v>52</v>
      </c>
      <c r="H4" s="102">
        <f>'통계 및 응시자 수 입력 기능'!E12</f>
        <v>12.54</v>
      </c>
      <c r="I4" s="12"/>
      <c r="J4" s="12"/>
      <c r="K4" s="18"/>
    </row>
    <row r="5" spans="1:16" ht="25" customHeight="1" thickBot="1">
      <c r="A5" s="5"/>
      <c r="B5" s="17"/>
      <c r="C5" s="12"/>
      <c r="D5" s="12"/>
      <c r="E5" s="12"/>
      <c r="F5" s="12"/>
      <c r="G5" s="12"/>
      <c r="H5" s="19"/>
      <c r="I5" s="19"/>
      <c r="J5" s="19"/>
      <c r="K5" s="18"/>
    </row>
    <row r="6" spans="1:16" ht="25" customHeight="1" thickBot="1">
      <c r="A6" s="5"/>
      <c r="B6" s="17"/>
      <c r="C6" s="38" t="s">
        <v>73</v>
      </c>
      <c r="D6" s="39" t="s">
        <v>74</v>
      </c>
      <c r="E6" s="39" t="s">
        <v>75</v>
      </c>
      <c r="F6" s="39" t="s">
        <v>76</v>
      </c>
      <c r="G6" s="39" t="s">
        <v>77</v>
      </c>
      <c r="H6" s="40" t="s">
        <v>78</v>
      </c>
      <c r="I6" s="40" t="s">
        <v>79</v>
      </c>
      <c r="J6" s="41" t="s">
        <v>80</v>
      </c>
      <c r="K6" s="18"/>
      <c r="L6" s="3"/>
      <c r="M6" s="4"/>
    </row>
    <row r="7" spans="1:16" ht="25" customHeight="1">
      <c r="A7" s="5"/>
      <c r="B7" s="17"/>
      <c r="C7" s="42">
        <v>50</v>
      </c>
      <c r="D7" s="43">
        <f>ROUND(10*(C7-$H$3)/$H$4+50,0)</f>
        <v>71</v>
      </c>
      <c r="E7" s="43">
        <f t="shared" ref="E7:E38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44">
        <f>ROUND(100*(1-(0+I7)/2/$J$3),0)</f>
        <v>99</v>
      </c>
      <c r="G7" s="45">
        <f>_xlfn.IFNA(VLOOKUP(D7,'인원 입력 기능'!$AP$5:$AS$55,4,FALSE),0)</f>
        <v>2505</v>
      </c>
      <c r="H7" s="46">
        <f>G7/J3</f>
        <v>2.0774417196739121E-2</v>
      </c>
      <c r="I7" s="47">
        <f>G7</f>
        <v>2505</v>
      </c>
      <c r="J7" s="48">
        <f>I7/J3</f>
        <v>2.0774417196739121E-2</v>
      </c>
      <c r="K7" s="18"/>
      <c r="M7" s="1"/>
      <c r="O7" s="1">
        <v>1</v>
      </c>
      <c r="P7" s="1">
        <f>'표준점수 등급컷 입력기능'!B28</f>
        <v>69</v>
      </c>
    </row>
    <row r="8" spans="1:16" ht="25" customHeight="1">
      <c r="A8" s="5"/>
      <c r="B8" s="17"/>
      <c r="C8" s="49">
        <v>49</v>
      </c>
      <c r="D8" s="111" t="s">
        <v>31</v>
      </c>
      <c r="E8" s="112"/>
      <c r="F8" s="112"/>
      <c r="G8" s="112"/>
      <c r="H8" s="112"/>
      <c r="I8" s="112"/>
      <c r="J8" s="113"/>
      <c r="K8" s="18"/>
      <c r="M8" s="1"/>
      <c r="O8" s="1">
        <v>2</v>
      </c>
      <c r="P8" s="1">
        <f>'표준점수 등급컷 입력기능'!B29</f>
        <v>64</v>
      </c>
    </row>
    <row r="9" spans="1:16" ht="25" customHeight="1">
      <c r="A9" s="5"/>
      <c r="B9" s="17"/>
      <c r="C9" s="42">
        <v>48</v>
      </c>
      <c r="D9" s="43">
        <f>ROUND(10*(C9-$H$3)/$H$4+50,0)</f>
        <v>70</v>
      </c>
      <c r="E9" s="43">
        <f t="shared" si="0"/>
        <v>1</v>
      </c>
      <c r="F9" s="44">
        <f>IF(I8=0,ROUND(100*(1-(I7+I9)/2/$J$3),0),ROUND(100*(1-(I8+I9)/2/$J$3),0))</f>
        <v>98</v>
      </c>
      <c r="G9" s="45">
        <f>_xlfn.IFNA(VLOOKUP(D9,'인원 입력 기능'!$AP$5:$AS$55,4,FALSE),0)</f>
        <v>806</v>
      </c>
      <c r="H9" s="46">
        <f>G9/$J$3</f>
        <v>6.6843034972342242E-3</v>
      </c>
      <c r="I9" s="50">
        <f>SUM($G$7:G9)</f>
        <v>3311</v>
      </c>
      <c r="J9" s="48">
        <f>I9/$J$3</f>
        <v>2.7458720693973346E-2</v>
      </c>
      <c r="K9" s="18"/>
      <c r="M9" s="1"/>
      <c r="O9" s="1">
        <v>3</v>
      </c>
      <c r="P9" s="1">
        <f>'표준점수 등급컷 입력기능'!B30</f>
        <v>59</v>
      </c>
    </row>
    <row r="10" spans="1:16" ht="25" customHeight="1">
      <c r="A10" s="5"/>
      <c r="B10" s="17"/>
      <c r="C10" s="49">
        <v>47</v>
      </c>
      <c r="D10" s="43">
        <f t="shared" ref="D10:D55" si="1">ROUND(10*(C10-$H$3)/$H$4+50,0)</f>
        <v>69</v>
      </c>
      <c r="E10" s="43">
        <f t="shared" si="0"/>
        <v>1</v>
      </c>
      <c r="F10" s="44">
        <f>IF(I9=0,ROUND(100*(1-(I8+I10)/2/$J$3),0),ROUND(100*(1-(I9+I10)/2/$J$3),0))</f>
        <v>96</v>
      </c>
      <c r="G10" s="45">
        <f>IF(D10=D9,"",_xlfn.IFNA(VLOOKUP(D10,'인원 입력 기능'!$AP$5:$AS$55,4,FALSE),0))</f>
        <v>2814</v>
      </c>
      <c r="H10" s="46">
        <f t="shared" ref="H10:H55" si="2">G10/$J$3</f>
        <v>2.3337009976696164E-2</v>
      </c>
      <c r="I10" s="50">
        <f>SUM($G$7:G10)</f>
        <v>6125</v>
      </c>
      <c r="J10" s="48">
        <f t="shared" ref="J10:J55" si="3">I10/$J$3</f>
        <v>5.079573067066951E-2</v>
      </c>
      <c r="K10" s="18"/>
      <c r="M10" s="1"/>
      <c r="O10" s="1">
        <v>4</v>
      </c>
      <c r="P10" s="1">
        <f>'표준점수 등급컷 입력기능'!B31</f>
        <v>51</v>
      </c>
    </row>
    <row r="11" spans="1:16" ht="25" customHeight="1">
      <c r="A11" s="5"/>
      <c r="B11" s="17"/>
      <c r="C11" s="42">
        <v>46</v>
      </c>
      <c r="D11" s="43">
        <f t="shared" si="1"/>
        <v>68</v>
      </c>
      <c r="E11" s="43">
        <f t="shared" si="0"/>
        <v>2</v>
      </c>
      <c r="F11" s="44">
        <f t="shared" ref="F11:F55" si="4">IF(I10=0,ROUND(100*(1-(I9+I11)/2/$J$3),0),ROUND(100*(1-(I10+I11)/2/$J$3),0))</f>
        <v>95</v>
      </c>
      <c r="G11" s="45">
        <f>IF(D11=D10,"",_xlfn.IFNA(VLOOKUP(D11,'인원 입력 기능'!$AP$5:$AS$55,4,FALSE),0))</f>
        <v>175</v>
      </c>
      <c r="H11" s="46">
        <f t="shared" si="2"/>
        <v>1.4513065905905574E-3</v>
      </c>
      <c r="I11" s="50">
        <f>SUM($G$7:G11)</f>
        <v>6300</v>
      </c>
      <c r="J11" s="48">
        <f t="shared" si="3"/>
        <v>5.2247037261260065E-2</v>
      </c>
      <c r="K11" s="18"/>
      <c r="M11" s="1"/>
      <c r="O11" s="1">
        <v>5</v>
      </c>
      <c r="P11" s="1">
        <f>'표준점수 등급컷 입력기능'!B32</f>
        <v>45</v>
      </c>
    </row>
    <row r="12" spans="1:16" ht="25" customHeight="1">
      <c r="A12" s="5"/>
      <c r="B12" s="17"/>
      <c r="C12" s="49">
        <v>45</v>
      </c>
      <c r="D12" s="286">
        <f t="shared" si="1"/>
        <v>67</v>
      </c>
      <c r="E12" s="286">
        <f t="shared" si="0"/>
        <v>2</v>
      </c>
      <c r="F12" s="288">
        <f t="shared" si="4"/>
        <v>93</v>
      </c>
      <c r="G12" s="290">
        <f>IF(D12=D11,"",_xlfn.IFNA(VLOOKUP(D12,'인원 입력 기능'!$AP$5:$AS$55,4,FALSE),0))</f>
        <v>4058</v>
      </c>
      <c r="H12" s="291">
        <f t="shared" si="2"/>
        <v>3.3653726540665611E-2</v>
      </c>
      <c r="I12" s="293">
        <f>SUM($G$7:G12)</f>
        <v>10358</v>
      </c>
      <c r="J12" s="295">
        <f t="shared" si="3"/>
        <v>8.590076380192567E-2</v>
      </c>
      <c r="K12" s="18"/>
      <c r="M12" s="1"/>
      <c r="O12" s="1">
        <v>6</v>
      </c>
      <c r="P12" s="1">
        <f>'표준점수 등급컷 입력기능'!B33</f>
        <v>41</v>
      </c>
    </row>
    <row r="13" spans="1:16" ht="25" customHeight="1">
      <c r="A13" s="5"/>
      <c r="B13" s="17"/>
      <c r="C13" s="42">
        <v>44</v>
      </c>
      <c r="D13" s="285"/>
      <c r="E13" s="285"/>
      <c r="F13" s="287"/>
      <c r="G13" s="289"/>
      <c r="H13" s="292"/>
      <c r="I13" s="294"/>
      <c r="J13" s="296"/>
      <c r="K13" s="18"/>
      <c r="M13" s="1"/>
      <c r="O13" s="1">
        <v>7</v>
      </c>
      <c r="P13" s="1">
        <f>'표준점수 등급컷 입력기능'!B34</f>
        <v>39</v>
      </c>
    </row>
    <row r="14" spans="1:16" ht="25" customHeight="1">
      <c r="A14" s="5"/>
      <c r="B14" s="17"/>
      <c r="C14" s="49">
        <v>43</v>
      </c>
      <c r="D14" s="43">
        <f t="shared" si="1"/>
        <v>66</v>
      </c>
      <c r="E14" s="43">
        <f t="shared" si="0"/>
        <v>2</v>
      </c>
      <c r="F14" s="44">
        <f t="shared" si="4"/>
        <v>91</v>
      </c>
      <c r="G14" s="45">
        <f>IF(D14=D13,"",_xlfn.IFNA(VLOOKUP(D14,'인원 입력 기능'!$AP$5:$AS$55,4,FALSE),0))</f>
        <v>622</v>
      </c>
      <c r="H14" s="46">
        <f t="shared" si="2"/>
        <v>5.1583582819847238E-3</v>
      </c>
      <c r="I14" s="50">
        <f>SUM($G$7:G14)</f>
        <v>10980</v>
      </c>
      <c r="J14" s="48">
        <f t="shared" si="3"/>
        <v>9.1059122083910399E-2</v>
      </c>
      <c r="K14" s="18"/>
      <c r="M14" s="1"/>
      <c r="O14" s="1">
        <v>8</v>
      </c>
      <c r="P14" s="1">
        <f>'표준점수 등급컷 입력기능'!B35</f>
        <v>36</v>
      </c>
    </row>
    <row r="15" spans="1:16" ht="25" customHeight="1">
      <c r="A15" s="5"/>
      <c r="B15" s="17"/>
      <c r="C15" s="42">
        <v>42</v>
      </c>
      <c r="D15" s="43">
        <f t="shared" si="1"/>
        <v>65</v>
      </c>
      <c r="E15" s="43">
        <f t="shared" si="0"/>
        <v>2</v>
      </c>
      <c r="F15" s="44">
        <f t="shared" si="4"/>
        <v>90</v>
      </c>
      <c r="G15" s="45">
        <f>IF(D15=D14,"",_xlfn.IFNA(VLOOKUP(D15,'인원 입력 기능'!$AP$5:$AS$55,4,FALSE),0))</f>
        <v>2119</v>
      </c>
      <c r="H15" s="46">
        <f t="shared" si="2"/>
        <v>1.7573249516922233E-2</v>
      </c>
      <c r="I15" s="50">
        <f>SUM($G$7:G15)</f>
        <v>13099</v>
      </c>
      <c r="J15" s="48">
        <f t="shared" si="3"/>
        <v>0.10863237160083264</v>
      </c>
      <c r="K15" s="18"/>
      <c r="M15" s="1"/>
      <c r="O15" s="1">
        <v>9</v>
      </c>
      <c r="P15" s="1"/>
    </row>
    <row r="16" spans="1:16" ht="25" customHeight="1">
      <c r="A16" s="5"/>
      <c r="B16" s="17"/>
      <c r="C16" s="49">
        <v>41</v>
      </c>
      <c r="D16" s="43">
        <f t="shared" si="1"/>
        <v>64</v>
      </c>
      <c r="E16" s="43">
        <f t="shared" si="0"/>
        <v>2</v>
      </c>
      <c r="F16" s="44">
        <f t="shared" si="4"/>
        <v>88</v>
      </c>
      <c r="G16" s="45">
        <f>IF(D16=D15,"",_xlfn.IFNA(VLOOKUP(D16,'인원 입력 기능'!$AP$5:$AS$55,4,FALSE),0))</f>
        <v>2119</v>
      </c>
      <c r="H16" s="46">
        <f t="shared" si="2"/>
        <v>1.7573249516922233E-2</v>
      </c>
      <c r="I16" s="50">
        <f>SUM($G$7:G16)</f>
        <v>15218</v>
      </c>
      <c r="J16" s="48">
        <f t="shared" si="3"/>
        <v>0.12620562111775488</v>
      </c>
      <c r="K16" s="18"/>
      <c r="M16" s="1"/>
    </row>
    <row r="17" spans="1:16" ht="25" customHeight="1">
      <c r="A17" s="5"/>
      <c r="B17" s="17"/>
      <c r="C17" s="42">
        <v>40</v>
      </c>
      <c r="D17" s="286">
        <f t="shared" si="1"/>
        <v>63</v>
      </c>
      <c r="E17" s="286">
        <f t="shared" si="0"/>
        <v>3</v>
      </c>
      <c r="F17" s="288">
        <f t="shared" si="4"/>
        <v>86</v>
      </c>
      <c r="G17" s="290">
        <f>IF(D17=D16,"",_xlfn.IFNA(VLOOKUP(D17,'인원 입력 기능'!$AP$5:$AS$55,4,FALSE),0))</f>
        <v>3592</v>
      </c>
      <c r="H17" s="291">
        <f t="shared" si="2"/>
        <v>2.9789104419435899E-2</v>
      </c>
      <c r="I17" s="293">
        <f>SUM($G$7:G17)</f>
        <v>18810</v>
      </c>
      <c r="J17" s="295">
        <f t="shared" si="3"/>
        <v>0.15599472553719076</v>
      </c>
      <c r="K17" s="18"/>
      <c r="M17" s="1"/>
      <c r="P17" s="1">
        <f>H3*H4*J3*P7*IFERROR(IF(J57=1, 1, 0), 0)</f>
        <v>2416373495.9495997</v>
      </c>
    </row>
    <row r="18" spans="1:16" ht="25" customHeight="1">
      <c r="A18" s="5"/>
      <c r="B18" s="17"/>
      <c r="C18" s="49">
        <v>39</v>
      </c>
      <c r="D18" s="285"/>
      <c r="E18" s="285"/>
      <c r="F18" s="287"/>
      <c r="G18" s="289"/>
      <c r="H18" s="292"/>
      <c r="I18" s="294"/>
      <c r="J18" s="296"/>
      <c r="K18" s="18"/>
      <c r="M18" s="1"/>
    </row>
    <row r="19" spans="1:16" ht="25" customHeight="1">
      <c r="A19" s="5"/>
      <c r="B19" s="17"/>
      <c r="C19" s="42">
        <v>38</v>
      </c>
      <c r="D19" s="43">
        <f t="shared" si="1"/>
        <v>62</v>
      </c>
      <c r="E19" s="43">
        <f t="shared" si="0"/>
        <v>3</v>
      </c>
      <c r="F19" s="44">
        <f t="shared" si="4"/>
        <v>84</v>
      </c>
      <c r="G19" s="45">
        <f>IF(D19=D18,"",_xlfn.IFNA(VLOOKUP(D19,'인원 입력 기능'!$AP$5:$AS$55,4,FALSE),0))</f>
        <v>1831</v>
      </c>
      <c r="H19" s="46">
        <f t="shared" si="2"/>
        <v>1.518481352783606E-2</v>
      </c>
      <c r="I19" s="50">
        <f>SUM($G$7:G19)</f>
        <v>20641</v>
      </c>
      <c r="J19" s="48">
        <f t="shared" si="3"/>
        <v>0.17117953906502684</v>
      </c>
      <c r="K19" s="18"/>
      <c r="M19" s="1"/>
    </row>
    <row r="20" spans="1:16" ht="25" customHeight="1">
      <c r="A20" s="5"/>
      <c r="B20" s="17"/>
      <c r="C20" s="49">
        <v>37</v>
      </c>
      <c r="D20" s="43">
        <f t="shared" si="1"/>
        <v>61</v>
      </c>
      <c r="E20" s="43">
        <f t="shared" si="0"/>
        <v>3</v>
      </c>
      <c r="F20" s="44">
        <f t="shared" si="4"/>
        <v>82</v>
      </c>
      <c r="G20" s="45">
        <f>IF(D20=D19,"",_xlfn.IFNA(VLOOKUP(D20,'인원 입력 기능'!$AP$5:$AS$55,4,FALSE),0))</f>
        <v>1879</v>
      </c>
      <c r="H20" s="46">
        <f t="shared" si="2"/>
        <v>1.5582886192683757E-2</v>
      </c>
      <c r="I20" s="50">
        <f>SUM($G$7:G20)</f>
        <v>22520</v>
      </c>
      <c r="J20" s="48">
        <f t="shared" si="3"/>
        <v>0.18676242525771058</v>
      </c>
      <c r="K20" s="18"/>
      <c r="M20" s="1"/>
    </row>
    <row r="21" spans="1:16" ht="25" customHeight="1">
      <c r="A21" s="5"/>
      <c r="B21" s="17"/>
      <c r="C21" s="51">
        <v>36</v>
      </c>
      <c r="D21" s="53">
        <f t="shared" si="1"/>
        <v>60</v>
      </c>
      <c r="E21" s="53">
        <f t="shared" si="0"/>
        <v>3</v>
      </c>
      <c r="F21" s="44">
        <f t="shared" si="4"/>
        <v>80</v>
      </c>
      <c r="G21" s="45">
        <f>IF(D21=D20,"",_xlfn.IFNA(VLOOKUP(D21,'인원 입력 기능'!$AP$5:$AS$55,4,FALSE),0))</f>
        <v>2287</v>
      </c>
      <c r="H21" s="46">
        <f t="shared" si="2"/>
        <v>1.8966503843889169E-2</v>
      </c>
      <c r="I21" s="50">
        <f>SUM($G$7:G21)</f>
        <v>24807</v>
      </c>
      <c r="J21" s="48">
        <f t="shared" si="3"/>
        <v>0.20572892910159976</v>
      </c>
      <c r="K21" s="18"/>
      <c r="M21" s="1"/>
    </row>
    <row r="22" spans="1:16" ht="25" customHeight="1">
      <c r="A22" s="5"/>
      <c r="B22" s="17"/>
      <c r="C22" s="52">
        <v>35</v>
      </c>
      <c r="D22" s="298">
        <f t="shared" si="1"/>
        <v>59</v>
      </c>
      <c r="E22" s="298">
        <f t="shared" si="0"/>
        <v>3</v>
      </c>
      <c r="F22" s="288">
        <f t="shared" si="4"/>
        <v>78</v>
      </c>
      <c r="G22" s="290">
        <f>IF(D22=D21,"",_xlfn.IFNA(VLOOKUP(D22,'인원 입력 기능'!$AP$5:$AS$55,4,FALSE),0))</f>
        <v>4181</v>
      </c>
      <c r="H22" s="291">
        <f t="shared" si="2"/>
        <v>3.4673787744337832E-2</v>
      </c>
      <c r="I22" s="293">
        <f>SUM($G$7:G22)</f>
        <v>28988</v>
      </c>
      <c r="J22" s="295">
        <f t="shared" si="3"/>
        <v>0.24040271684593759</v>
      </c>
      <c r="K22" s="18"/>
      <c r="M22" s="1"/>
    </row>
    <row r="23" spans="1:16" ht="25" customHeight="1">
      <c r="A23" s="5"/>
      <c r="B23" s="17"/>
      <c r="C23" s="51">
        <v>34</v>
      </c>
      <c r="D23" s="297"/>
      <c r="E23" s="297"/>
      <c r="F23" s="287"/>
      <c r="G23" s="289"/>
      <c r="H23" s="292"/>
      <c r="I23" s="294"/>
      <c r="J23" s="296"/>
      <c r="K23" s="18"/>
      <c r="M23" s="1"/>
    </row>
    <row r="24" spans="1:16" ht="25" customHeight="1">
      <c r="A24" s="5"/>
      <c r="B24" s="17"/>
      <c r="C24" s="52">
        <v>33</v>
      </c>
      <c r="D24" s="53">
        <f t="shared" si="1"/>
        <v>58</v>
      </c>
      <c r="E24" s="53">
        <f t="shared" si="0"/>
        <v>4</v>
      </c>
      <c r="F24" s="44">
        <f t="shared" si="4"/>
        <v>75</v>
      </c>
      <c r="G24" s="45">
        <f>IF(D24=D23,"",_xlfn.IFNA(VLOOKUP(D24,'인원 입력 기능'!$AP$5:$AS$55,4,FALSE),0))</f>
        <v>2142</v>
      </c>
      <c r="H24" s="46">
        <f t="shared" si="2"/>
        <v>1.7763992668828422E-2</v>
      </c>
      <c r="I24" s="50">
        <f>SUM($G$7:G24)</f>
        <v>31130</v>
      </c>
      <c r="J24" s="48">
        <f t="shared" si="3"/>
        <v>0.258166709514766</v>
      </c>
      <c r="K24" s="18"/>
      <c r="M24" s="1"/>
    </row>
    <row r="25" spans="1:16" ht="25" customHeight="1">
      <c r="A25" s="5"/>
      <c r="B25" s="17"/>
      <c r="C25" s="51">
        <v>32</v>
      </c>
      <c r="D25" s="53">
        <f t="shared" si="1"/>
        <v>57</v>
      </c>
      <c r="E25" s="53">
        <f t="shared" si="0"/>
        <v>4</v>
      </c>
      <c r="F25" s="44">
        <f t="shared" si="4"/>
        <v>73</v>
      </c>
      <c r="G25" s="45">
        <f>IF(D25=D24,"",_xlfn.IFNA(VLOOKUP(D25,'인원 입력 기능'!$AP$5:$AS$55,4,FALSE),0))</f>
        <v>2197</v>
      </c>
      <c r="H25" s="46">
        <f t="shared" si="2"/>
        <v>1.8220117597299742E-2</v>
      </c>
      <c r="I25" s="50">
        <f>SUM($G$7:G25)</f>
        <v>33327</v>
      </c>
      <c r="J25" s="48">
        <f t="shared" si="3"/>
        <v>0.27638682711206575</v>
      </c>
      <c r="K25" s="18"/>
      <c r="M25" s="1"/>
    </row>
    <row r="26" spans="1:16" ht="25" customHeight="1">
      <c r="A26" s="5"/>
      <c r="B26" s="17"/>
      <c r="C26" s="52">
        <v>31</v>
      </c>
      <c r="D26" s="53">
        <f t="shared" si="1"/>
        <v>56</v>
      </c>
      <c r="E26" s="53">
        <f t="shared" si="0"/>
        <v>4</v>
      </c>
      <c r="F26" s="44">
        <f t="shared" si="4"/>
        <v>71</v>
      </c>
      <c r="G26" s="45">
        <f>IF(D26=D25,"",_xlfn.IFNA(VLOOKUP(D26,'인원 입력 기능'!$AP$5:$AS$55,4,FALSE),0))</f>
        <v>2437</v>
      </c>
      <c r="H26" s="46">
        <f t="shared" si="2"/>
        <v>2.021048092153822E-2</v>
      </c>
      <c r="I26" s="50">
        <f>SUM($G$7:G26)</f>
        <v>35764</v>
      </c>
      <c r="J26" s="48">
        <f t="shared" si="3"/>
        <v>0.29659730803360396</v>
      </c>
      <c r="K26" s="18"/>
      <c r="M26" s="1"/>
    </row>
    <row r="27" spans="1:16" ht="25" customHeight="1">
      <c r="A27" s="5"/>
      <c r="B27" s="17"/>
      <c r="C27" s="51">
        <v>30</v>
      </c>
      <c r="D27" s="298">
        <f t="shared" si="1"/>
        <v>55</v>
      </c>
      <c r="E27" s="298">
        <f t="shared" si="0"/>
        <v>4</v>
      </c>
      <c r="F27" s="288">
        <f t="shared" si="4"/>
        <v>68</v>
      </c>
      <c r="G27" s="290">
        <f>IF(D27=D26,"",_xlfn.IFNA(VLOOKUP(D27,'인원 입력 기능'!$AP$5:$AS$55,4,FALSE),0))</f>
        <v>4539</v>
      </c>
      <c r="H27" s="291">
        <f t="shared" si="2"/>
        <v>3.7642746369660231E-2</v>
      </c>
      <c r="I27" s="293">
        <f>SUM($G$7:G27)</f>
        <v>40303</v>
      </c>
      <c r="J27" s="295">
        <f t="shared" si="3"/>
        <v>0.33424005440326421</v>
      </c>
      <c r="K27" s="18"/>
      <c r="M27" s="1"/>
    </row>
    <row r="28" spans="1:16" ht="25" customHeight="1">
      <c r="A28" s="5"/>
      <c r="B28" s="17"/>
      <c r="C28" s="52">
        <v>29</v>
      </c>
      <c r="D28" s="297"/>
      <c r="E28" s="297"/>
      <c r="F28" s="287"/>
      <c r="G28" s="289"/>
      <c r="H28" s="292"/>
      <c r="I28" s="294"/>
      <c r="J28" s="296"/>
      <c r="K28" s="18"/>
      <c r="M28" s="1"/>
    </row>
    <row r="29" spans="1:16" ht="25" customHeight="1">
      <c r="A29" s="5"/>
      <c r="B29" s="17"/>
      <c r="C29" s="51">
        <v>28</v>
      </c>
      <c r="D29" s="53">
        <f t="shared" si="1"/>
        <v>54</v>
      </c>
      <c r="E29" s="53">
        <f t="shared" si="0"/>
        <v>4</v>
      </c>
      <c r="F29" s="44">
        <f t="shared" si="4"/>
        <v>66</v>
      </c>
      <c r="G29" s="45">
        <f>IF(D29=D28,"",_xlfn.IFNA(VLOOKUP(D29,'인원 입력 기능'!$AP$5:$AS$55,4,FALSE),0))</f>
        <v>2411</v>
      </c>
      <c r="H29" s="46">
        <f t="shared" si="2"/>
        <v>1.9994858228079049E-2</v>
      </c>
      <c r="I29" s="50">
        <f>SUM($G$7:G29)</f>
        <v>42714</v>
      </c>
      <c r="J29" s="48">
        <f t="shared" si="3"/>
        <v>0.35423491263134327</v>
      </c>
      <c r="K29" s="18"/>
      <c r="M29" s="1"/>
    </row>
    <row r="30" spans="1:16" ht="25" customHeight="1">
      <c r="A30" s="5"/>
      <c r="B30" s="17"/>
      <c r="C30" s="52">
        <v>27</v>
      </c>
      <c r="D30" s="53">
        <f t="shared" si="1"/>
        <v>53</v>
      </c>
      <c r="E30" s="53">
        <f t="shared" si="0"/>
        <v>4</v>
      </c>
      <c r="F30" s="44">
        <f t="shared" si="4"/>
        <v>64</v>
      </c>
      <c r="G30" s="45">
        <f>IF(D30=D29,"",_xlfn.IFNA(VLOOKUP(D30,'인원 입력 기능'!$AP$5:$AS$55,4,FALSE),0))</f>
        <v>2375</v>
      </c>
      <c r="H30" s="46">
        <f t="shared" si="2"/>
        <v>1.9696303729443278E-2</v>
      </c>
      <c r="I30" s="50">
        <f>SUM($G$7:G30)</f>
        <v>45089</v>
      </c>
      <c r="J30" s="48">
        <f t="shared" si="3"/>
        <v>0.37393121636078652</v>
      </c>
      <c r="K30" s="18"/>
      <c r="M30" s="1"/>
    </row>
    <row r="31" spans="1:16" ht="25" customHeight="1">
      <c r="A31" s="5"/>
      <c r="B31" s="17"/>
      <c r="C31" s="51">
        <v>26</v>
      </c>
      <c r="D31" s="53">
        <f t="shared" si="1"/>
        <v>52</v>
      </c>
      <c r="E31" s="53">
        <f t="shared" si="0"/>
        <v>4</v>
      </c>
      <c r="F31" s="44">
        <f t="shared" si="4"/>
        <v>62</v>
      </c>
      <c r="G31" s="45">
        <f>IF(D31=D30,"",_xlfn.IFNA(VLOOKUP(D31,'인원 입력 기능'!$AP$5:$AS$55,4,FALSE),0))</f>
        <v>2570</v>
      </c>
      <c r="H31" s="46">
        <f t="shared" si="2"/>
        <v>2.1313473930387041E-2</v>
      </c>
      <c r="I31" s="50">
        <f>SUM($G$7:G31)</f>
        <v>47659</v>
      </c>
      <c r="J31" s="48">
        <f t="shared" si="3"/>
        <v>0.39524469029117359</v>
      </c>
      <c r="K31" s="18"/>
      <c r="M31" s="1"/>
    </row>
    <row r="32" spans="1:16" ht="25" customHeight="1">
      <c r="A32" s="5"/>
      <c r="B32" s="17"/>
      <c r="C32" s="52">
        <v>25</v>
      </c>
      <c r="D32" s="298">
        <f t="shared" si="1"/>
        <v>51</v>
      </c>
      <c r="E32" s="298">
        <f t="shared" si="0"/>
        <v>4</v>
      </c>
      <c r="F32" s="288">
        <f t="shared" si="4"/>
        <v>58</v>
      </c>
      <c r="G32" s="290">
        <f>IF(D32=D31,"",_xlfn.IFNA(VLOOKUP(D32,'인원 입력 기능'!$AP$5:$AS$55,4,FALSE),0))</f>
        <v>5098</v>
      </c>
      <c r="H32" s="291">
        <f t="shared" si="2"/>
        <v>4.2278634279032348E-2</v>
      </c>
      <c r="I32" s="293">
        <f>SUM($G$7:G32)</f>
        <v>52757</v>
      </c>
      <c r="J32" s="295">
        <f t="shared" si="3"/>
        <v>0.43752332457020593</v>
      </c>
      <c r="K32" s="18"/>
      <c r="M32" s="1"/>
    </row>
    <row r="33" spans="1:13" ht="25" customHeight="1">
      <c r="A33" s="5"/>
      <c r="B33" s="17"/>
      <c r="C33" s="51">
        <v>24</v>
      </c>
      <c r="D33" s="297"/>
      <c r="E33" s="297"/>
      <c r="F33" s="287"/>
      <c r="G33" s="289"/>
      <c r="H33" s="292"/>
      <c r="I33" s="294"/>
      <c r="J33" s="296"/>
      <c r="K33" s="18"/>
      <c r="M33" s="1"/>
    </row>
    <row r="34" spans="1:13" ht="25" customHeight="1">
      <c r="A34" s="5"/>
      <c r="B34" s="17"/>
      <c r="C34" s="52">
        <v>23</v>
      </c>
      <c r="D34" s="53">
        <f t="shared" si="1"/>
        <v>50</v>
      </c>
      <c r="E34" s="53">
        <f t="shared" si="0"/>
        <v>5</v>
      </c>
      <c r="F34" s="44">
        <f t="shared" si="4"/>
        <v>55</v>
      </c>
      <c r="G34" s="45">
        <f>IF(D34=D33,"",_xlfn.IFNA(VLOOKUP(D34,'인원 입력 기능'!$AP$5:$AS$55,4,FALSE),0))</f>
        <v>2568</v>
      </c>
      <c r="H34" s="46">
        <f t="shared" si="2"/>
        <v>2.1296887569351722E-2</v>
      </c>
      <c r="I34" s="50">
        <f>SUM($G$7:G34)</f>
        <v>55325</v>
      </c>
      <c r="J34" s="48">
        <f t="shared" si="3"/>
        <v>0.45882021213955765</v>
      </c>
      <c r="K34" s="18"/>
      <c r="M34" s="1"/>
    </row>
    <row r="35" spans="1:13" ht="25" customHeight="1">
      <c r="A35" s="5"/>
      <c r="B35" s="17"/>
      <c r="C35" s="51">
        <v>22</v>
      </c>
      <c r="D35" s="53">
        <f t="shared" si="1"/>
        <v>49</v>
      </c>
      <c r="E35" s="53">
        <f t="shared" si="0"/>
        <v>5</v>
      </c>
      <c r="F35" s="44">
        <f t="shared" si="4"/>
        <v>53</v>
      </c>
      <c r="G35" s="45">
        <f>IF(D35=D34,"",_xlfn.IFNA(VLOOKUP(D35,'인원 입력 기능'!$AP$5:$AS$55,4,FALSE),0))</f>
        <v>2723</v>
      </c>
      <c r="H35" s="46">
        <f t="shared" si="2"/>
        <v>2.2582330549589073E-2</v>
      </c>
      <c r="I35" s="50">
        <f>SUM($G$7:G35)</f>
        <v>58048</v>
      </c>
      <c r="J35" s="48">
        <f t="shared" si="3"/>
        <v>0.48140254268914673</v>
      </c>
      <c r="K35" s="18"/>
      <c r="M35" s="1"/>
    </row>
    <row r="36" spans="1:13" ht="25" customHeight="1">
      <c r="A36" s="5"/>
      <c r="B36" s="17"/>
      <c r="C36" s="52">
        <v>21</v>
      </c>
      <c r="D36" s="53">
        <f t="shared" si="1"/>
        <v>48</v>
      </c>
      <c r="E36" s="53">
        <f t="shared" si="0"/>
        <v>5</v>
      </c>
      <c r="F36" s="44">
        <f t="shared" si="4"/>
        <v>51</v>
      </c>
      <c r="G36" s="45">
        <f>IF(D36=D35,"",_xlfn.IFNA(VLOOKUP(D36,'인원 입력 기능'!$AP$5:$AS$55,4,FALSE),0))</f>
        <v>2908</v>
      </c>
      <c r="H36" s="46">
        <f t="shared" si="2"/>
        <v>2.4116568945356232E-2</v>
      </c>
      <c r="I36" s="50">
        <f>SUM($G$7:G36)</f>
        <v>60956</v>
      </c>
      <c r="J36" s="48">
        <f t="shared" si="3"/>
        <v>0.50551911163450292</v>
      </c>
      <c r="K36" s="18"/>
      <c r="M36" s="1"/>
    </row>
    <row r="37" spans="1:13" ht="25" customHeight="1">
      <c r="A37" s="5"/>
      <c r="B37" s="17"/>
      <c r="C37" s="51">
        <v>20</v>
      </c>
      <c r="D37" s="298">
        <f t="shared" si="1"/>
        <v>47</v>
      </c>
      <c r="E37" s="298">
        <f t="shared" si="0"/>
        <v>5</v>
      </c>
      <c r="F37" s="288">
        <f t="shared" si="4"/>
        <v>47</v>
      </c>
      <c r="G37" s="290">
        <f>IF(D37=D36,"",_xlfn.IFNA(VLOOKUP(D37,'인원 입력 기능'!$AP$5:$AS$55,4,FALSE),0))</f>
        <v>6104</v>
      </c>
      <c r="H37" s="291">
        <f t="shared" si="2"/>
        <v>5.062157387979864E-2</v>
      </c>
      <c r="I37" s="293">
        <f>SUM($G$7:G37)</f>
        <v>67060</v>
      </c>
      <c r="J37" s="295">
        <f t="shared" si="3"/>
        <v>0.55614068551430162</v>
      </c>
      <c r="K37" s="18"/>
      <c r="M37" s="1"/>
    </row>
    <row r="38" spans="1:13" ht="25" customHeight="1">
      <c r="A38" s="5"/>
      <c r="B38" s="17"/>
      <c r="C38" s="52">
        <v>19</v>
      </c>
      <c r="D38" s="297"/>
      <c r="E38" s="297"/>
      <c r="F38" s="287"/>
      <c r="G38" s="289"/>
      <c r="H38" s="292"/>
      <c r="I38" s="294"/>
      <c r="J38" s="296"/>
      <c r="K38" s="18"/>
      <c r="M38" s="1"/>
    </row>
    <row r="39" spans="1:13" ht="25" customHeight="1">
      <c r="A39" s="5"/>
      <c r="B39" s="17"/>
      <c r="C39" s="51">
        <v>18</v>
      </c>
      <c r="D39" s="53">
        <f t="shared" si="1"/>
        <v>46</v>
      </c>
      <c r="E39" s="53">
        <f t="shared" ref="E39:E57" si="5">IF(ROUND(D39,0)&gt;=$P$7,1,IF(ROUND(D39,0)&gt;=$P$8,2,IF(ROUND(D39,0)&gt;=$P$9,3,IF(ROUND(D39,0)&gt;=$P$10,4,IF(ROUND(D39,0)&gt;=$P$11,5,IF(ROUND(D39,0)&gt;=$P$12,6,IF(ROUND(D39,0)&gt;=$P$13,7,IF(ROUND(D39,0)&gt;=$P$14,8,9))))))))</f>
        <v>5</v>
      </c>
      <c r="F39" s="44">
        <f t="shared" si="4"/>
        <v>43</v>
      </c>
      <c r="G39" s="45">
        <f>IF(D39=D38,"",_xlfn.IFNA(VLOOKUP(D39,'인원 입력 기능'!$AP$5:$AS$55,4,FALSE),0))</f>
        <v>3097</v>
      </c>
      <c r="H39" s="46">
        <f t="shared" si="2"/>
        <v>2.5683980063194035E-2</v>
      </c>
      <c r="I39" s="50">
        <f>SUM($G$7:G39)</f>
        <v>70157</v>
      </c>
      <c r="J39" s="48">
        <f t="shared" si="3"/>
        <v>0.58182466557749557</v>
      </c>
      <c r="K39" s="18"/>
      <c r="M39" s="1"/>
    </row>
    <row r="40" spans="1:13" ht="25" customHeight="1">
      <c r="A40" s="5"/>
      <c r="B40" s="17"/>
      <c r="C40" s="52">
        <v>17</v>
      </c>
      <c r="D40" s="53">
        <f t="shared" si="1"/>
        <v>45</v>
      </c>
      <c r="E40" s="53">
        <f t="shared" si="5"/>
        <v>5</v>
      </c>
      <c r="F40" s="44">
        <f t="shared" si="4"/>
        <v>40</v>
      </c>
      <c r="G40" s="45">
        <f>IF(D40=D39,"",_xlfn.IFNA(VLOOKUP(D40,'인원 입력 기능'!$AP$5:$AS$55,4,FALSE),0))</f>
        <v>3548</v>
      </c>
      <c r="H40" s="46">
        <f t="shared" si="2"/>
        <v>2.9424204476658843E-2</v>
      </c>
      <c r="I40" s="50">
        <f>SUM($G$7:G40)</f>
        <v>73705</v>
      </c>
      <c r="J40" s="48">
        <f t="shared" si="3"/>
        <v>0.61124887005415451</v>
      </c>
      <c r="K40" s="18"/>
      <c r="M40" s="1"/>
    </row>
    <row r="41" spans="1:13" ht="25" customHeight="1">
      <c r="A41" s="5"/>
      <c r="B41" s="17"/>
      <c r="C41" s="51">
        <v>16</v>
      </c>
      <c r="D41" s="53">
        <f t="shared" si="1"/>
        <v>44</v>
      </c>
      <c r="E41" s="53">
        <f t="shared" si="5"/>
        <v>6</v>
      </c>
      <c r="F41" s="44">
        <f t="shared" si="4"/>
        <v>37</v>
      </c>
      <c r="G41" s="45">
        <f>IF(D41=D40,"",_xlfn.IFNA(VLOOKUP(D41,'인원 입력 기능'!$AP$5:$AS$55,4,FALSE),0))</f>
        <v>3476</v>
      </c>
      <c r="H41" s="46">
        <f t="shared" si="2"/>
        <v>2.8827095479387301E-2</v>
      </c>
      <c r="I41" s="50">
        <f>SUM($G$7:G41)</f>
        <v>77181</v>
      </c>
      <c r="J41" s="48">
        <f t="shared" si="3"/>
        <v>0.64007596553354174</v>
      </c>
      <c r="K41" s="18"/>
      <c r="M41" s="1"/>
    </row>
    <row r="42" spans="1:13" ht="25" customHeight="1">
      <c r="A42" s="5"/>
      <c r="B42" s="17"/>
      <c r="C42" s="52">
        <v>15</v>
      </c>
      <c r="D42" s="298">
        <f t="shared" si="1"/>
        <v>43</v>
      </c>
      <c r="E42" s="298">
        <f t="shared" si="5"/>
        <v>6</v>
      </c>
      <c r="F42" s="288">
        <f t="shared" si="4"/>
        <v>33</v>
      </c>
      <c r="G42" s="290">
        <f>IF(D42=D41,"",_xlfn.IFNA(VLOOKUP(D42,'인원 입력 기능'!$AP$5:$AS$55,4,FALSE),0))</f>
        <v>7310</v>
      </c>
      <c r="H42" s="291">
        <f t="shared" si="2"/>
        <v>6.0623149584096994E-2</v>
      </c>
      <c r="I42" s="293">
        <f>SUM($G$7:G42)</f>
        <v>84491</v>
      </c>
      <c r="J42" s="295">
        <f t="shared" si="3"/>
        <v>0.70069911511763872</v>
      </c>
      <c r="K42" s="18"/>
      <c r="M42" s="1"/>
    </row>
    <row r="43" spans="1:13" ht="25" customHeight="1">
      <c r="A43" s="5"/>
      <c r="B43" s="17"/>
      <c r="C43" s="51">
        <v>14</v>
      </c>
      <c r="D43" s="297"/>
      <c r="E43" s="297"/>
      <c r="F43" s="287"/>
      <c r="G43" s="289"/>
      <c r="H43" s="292"/>
      <c r="I43" s="294"/>
      <c r="J43" s="296"/>
      <c r="K43" s="18"/>
      <c r="M43" s="1"/>
    </row>
    <row r="44" spans="1:13" ht="25" customHeight="1">
      <c r="A44" s="5"/>
      <c r="B44" s="17"/>
      <c r="C44" s="52">
        <v>13</v>
      </c>
      <c r="D44" s="53">
        <f t="shared" si="1"/>
        <v>42</v>
      </c>
      <c r="E44" s="53">
        <f t="shared" si="5"/>
        <v>6</v>
      </c>
      <c r="F44" s="44">
        <f t="shared" si="4"/>
        <v>28</v>
      </c>
      <c r="G44" s="45">
        <f>IF(D44=D43,"",_xlfn.IFNA(VLOOKUP(D44,'인원 입력 기능'!$AP$5:$AS$55,4,FALSE),0))</f>
        <v>3683</v>
      </c>
      <c r="H44" s="46">
        <f t="shared" si="2"/>
        <v>3.0543783846542986E-2</v>
      </c>
      <c r="I44" s="50">
        <f>SUM($G$7:G44)</f>
        <v>88174</v>
      </c>
      <c r="J44" s="48">
        <f t="shared" si="3"/>
        <v>0.73124289896418171</v>
      </c>
      <c r="K44" s="18"/>
      <c r="M44" s="1"/>
    </row>
    <row r="45" spans="1:13" ht="25" customHeight="1">
      <c r="A45" s="5"/>
      <c r="B45" s="17"/>
      <c r="C45" s="51">
        <v>12</v>
      </c>
      <c r="D45" s="53">
        <f t="shared" si="1"/>
        <v>41</v>
      </c>
      <c r="E45" s="53">
        <f t="shared" si="5"/>
        <v>6</v>
      </c>
      <c r="F45" s="44">
        <f t="shared" si="4"/>
        <v>23</v>
      </c>
      <c r="G45" s="45">
        <f>IF(D45=D44,"",_xlfn.IFNA(VLOOKUP(D45,'인원 입력 기능'!$AP$5:$AS$55,4,FALSE),0))</f>
        <v>8193</v>
      </c>
      <c r="H45" s="46">
        <f t="shared" si="2"/>
        <v>6.7946027981191065E-2</v>
      </c>
      <c r="I45" s="50">
        <f>SUM($G$7:G45)</f>
        <v>96367</v>
      </c>
      <c r="J45" s="48">
        <f t="shared" si="3"/>
        <v>0.7991889269453728</v>
      </c>
      <c r="K45" s="18"/>
      <c r="M45" s="1"/>
    </row>
    <row r="46" spans="1:13" ht="25" customHeight="1">
      <c r="A46" s="5"/>
      <c r="B46" s="17"/>
      <c r="C46" s="52">
        <v>11</v>
      </c>
      <c r="D46" s="298">
        <f t="shared" si="1"/>
        <v>40</v>
      </c>
      <c r="E46" s="298">
        <f t="shared" si="5"/>
        <v>7</v>
      </c>
      <c r="F46" s="288">
        <f t="shared" si="4"/>
        <v>16</v>
      </c>
      <c r="G46" s="290">
        <f>IF(D46=D45,"",_xlfn.IFNA(VLOOKUP(D46,'인원 입력 기능'!$AP$5:$AS$55,4,FALSE),0))</f>
        <v>10581</v>
      </c>
      <c r="H46" s="291">
        <f t="shared" si="2"/>
        <v>8.7750143057363936E-2</v>
      </c>
      <c r="I46" s="293">
        <f>SUM($G$7:G46)</f>
        <v>106948</v>
      </c>
      <c r="J46" s="295">
        <f t="shared" si="3"/>
        <v>0.88693907000273675</v>
      </c>
      <c r="K46" s="18"/>
      <c r="M46" s="1"/>
    </row>
    <row r="47" spans="1:13" ht="25" customHeight="1">
      <c r="A47" s="5"/>
      <c r="B47" s="17"/>
      <c r="C47" s="51">
        <v>10</v>
      </c>
      <c r="D47" s="297"/>
      <c r="E47" s="297"/>
      <c r="F47" s="287"/>
      <c r="G47" s="289"/>
      <c r="H47" s="292"/>
      <c r="I47" s="294"/>
      <c r="J47" s="296"/>
      <c r="K47" s="18"/>
      <c r="M47" s="1"/>
    </row>
    <row r="48" spans="1:13" ht="25" customHeight="1">
      <c r="A48" s="5"/>
      <c r="B48" s="17"/>
      <c r="C48" s="52">
        <v>9</v>
      </c>
      <c r="D48" s="53">
        <f t="shared" si="1"/>
        <v>39</v>
      </c>
      <c r="E48" s="53">
        <f t="shared" si="5"/>
        <v>7</v>
      </c>
      <c r="F48" s="44">
        <f t="shared" si="4"/>
        <v>10</v>
      </c>
      <c r="G48" s="45">
        <f>IF(D48=D47,"",_xlfn.IFNA(VLOOKUP(D48,'인원 입력 기능'!$AP$5:$AS$55,4,FALSE),0))</f>
        <v>3039</v>
      </c>
      <c r="H48" s="46">
        <f t="shared" si="2"/>
        <v>2.5202975593169738E-2</v>
      </c>
      <c r="I48" s="50">
        <f>SUM($G$7:G48)</f>
        <v>109987</v>
      </c>
      <c r="J48" s="48">
        <f t="shared" si="3"/>
        <v>0.9121420455959065</v>
      </c>
      <c r="K48" s="18"/>
      <c r="M48" s="1"/>
    </row>
    <row r="49" spans="1:13" ht="25" customHeight="1">
      <c r="A49" s="5"/>
      <c r="B49" s="17"/>
      <c r="C49" s="51">
        <v>8</v>
      </c>
      <c r="D49" s="53">
        <f t="shared" si="1"/>
        <v>38</v>
      </c>
      <c r="E49" s="53">
        <f t="shared" si="5"/>
        <v>8</v>
      </c>
      <c r="F49" s="44">
        <f t="shared" si="4"/>
        <v>7</v>
      </c>
      <c r="G49" s="45">
        <f>IF(D49=D48,"",_xlfn.IFNA(VLOOKUP(D49,'인원 입력 기능'!$AP$5:$AS$55,4,FALSE),0))</f>
        <v>3109</v>
      </c>
      <c r="H49" s="46">
        <f t="shared" si="2"/>
        <v>2.5783498229405958E-2</v>
      </c>
      <c r="I49" s="50">
        <f>SUM($G$7:G49)</f>
        <v>113096</v>
      </c>
      <c r="J49" s="48">
        <f t="shared" si="3"/>
        <v>0.93792554382531246</v>
      </c>
      <c r="K49" s="18"/>
      <c r="M49" s="1"/>
    </row>
    <row r="50" spans="1:13" ht="25" customHeight="1">
      <c r="A50" s="5"/>
      <c r="B50" s="17"/>
      <c r="C50" s="52">
        <v>7</v>
      </c>
      <c r="D50" s="53">
        <f t="shared" si="1"/>
        <v>37</v>
      </c>
      <c r="E50" s="53">
        <f t="shared" si="5"/>
        <v>8</v>
      </c>
      <c r="F50" s="44">
        <f t="shared" si="4"/>
        <v>5</v>
      </c>
      <c r="G50" s="45">
        <f>IF(D50=D49,"",_xlfn.IFNA(VLOOKUP(D50,'인원 입력 기능'!$AP$5:$AS$55,4,FALSE),0))</f>
        <v>2551</v>
      </c>
      <c r="H50" s="46">
        <f t="shared" si="2"/>
        <v>2.1155903500551496E-2</v>
      </c>
      <c r="I50" s="50">
        <f>SUM($G$7:G50)</f>
        <v>115647</v>
      </c>
      <c r="J50" s="48">
        <f t="shared" si="3"/>
        <v>0.95908144732586398</v>
      </c>
      <c r="K50" s="18"/>
      <c r="M50" s="1"/>
    </row>
    <row r="51" spans="1:13" ht="25" customHeight="1">
      <c r="A51" s="5"/>
      <c r="B51" s="17"/>
      <c r="C51" s="51">
        <v>6</v>
      </c>
      <c r="D51" s="298">
        <f t="shared" si="1"/>
        <v>36</v>
      </c>
      <c r="E51" s="298">
        <f t="shared" si="5"/>
        <v>8</v>
      </c>
      <c r="F51" s="288">
        <f t="shared" si="4"/>
        <v>3</v>
      </c>
      <c r="G51" s="290">
        <f>IF(D51=D50,"",_xlfn.IFNA(VLOOKUP(D51,'인원 입력 기능'!$AP$5:$AS$55,4,FALSE),0))</f>
        <v>2798</v>
      </c>
      <c r="H51" s="291">
        <f t="shared" si="2"/>
        <v>2.3204319088413597E-2</v>
      </c>
      <c r="I51" s="293">
        <f>SUM($G$7:G51)</f>
        <v>118445</v>
      </c>
      <c r="J51" s="295">
        <f t="shared" si="3"/>
        <v>0.98228576641427756</v>
      </c>
      <c r="K51" s="18"/>
      <c r="M51" s="1"/>
    </row>
    <row r="52" spans="1:13" ht="25" customHeight="1">
      <c r="A52" s="5"/>
      <c r="B52" s="17"/>
      <c r="C52" s="52">
        <v>5</v>
      </c>
      <c r="D52" s="297"/>
      <c r="E52" s="297"/>
      <c r="F52" s="287"/>
      <c r="G52" s="289"/>
      <c r="H52" s="292"/>
      <c r="I52" s="294"/>
      <c r="J52" s="296"/>
      <c r="K52" s="18"/>
      <c r="M52" s="1"/>
    </row>
    <row r="53" spans="1:13" ht="25" customHeight="1">
      <c r="A53" s="5"/>
      <c r="B53" s="17"/>
      <c r="C53" s="42">
        <v>4</v>
      </c>
      <c r="D53" s="43">
        <f t="shared" si="1"/>
        <v>35</v>
      </c>
      <c r="E53" s="43">
        <f t="shared" si="5"/>
        <v>9</v>
      </c>
      <c r="F53" s="44">
        <f t="shared" si="4"/>
        <v>1</v>
      </c>
      <c r="G53" s="45">
        <f>IF(D53=D52,"",_xlfn.IFNA(VLOOKUP(D53,'인원 입력 기능'!$AP$5:$AS$55,4,FALSE),0))</f>
        <v>823</v>
      </c>
      <c r="H53" s="46">
        <f t="shared" si="2"/>
        <v>6.8252875660344495E-3</v>
      </c>
      <c r="I53" s="50">
        <f>SUM($G$7:G53)</f>
        <v>119268</v>
      </c>
      <c r="J53" s="48">
        <f t="shared" si="3"/>
        <v>0.98911105398031196</v>
      </c>
      <c r="K53" s="18"/>
      <c r="M53" s="1"/>
    </row>
    <row r="54" spans="1:13" ht="25" customHeight="1">
      <c r="A54" s="5"/>
      <c r="B54" s="17"/>
      <c r="C54" s="49">
        <v>3</v>
      </c>
      <c r="D54" s="43">
        <f t="shared" si="1"/>
        <v>34</v>
      </c>
      <c r="E54" s="43">
        <f t="shared" si="5"/>
        <v>9</v>
      </c>
      <c r="F54" s="44">
        <f t="shared" si="4"/>
        <v>1</v>
      </c>
      <c r="G54" s="45">
        <f>IF(D54=D53,"",_xlfn.IFNA(VLOOKUP(D54,'인원 입력 기능'!$AP$5:$AS$55,4,FALSE),0))</f>
        <v>441</v>
      </c>
      <c r="H54" s="46">
        <f t="shared" si="2"/>
        <v>3.6572926082882045E-3</v>
      </c>
      <c r="I54" s="50">
        <f>SUM($G$7:G54)</f>
        <v>119709</v>
      </c>
      <c r="J54" s="48">
        <f t="shared" si="3"/>
        <v>0.99276834658860025</v>
      </c>
      <c r="K54" s="18"/>
      <c r="M54" s="1"/>
    </row>
    <row r="55" spans="1:13" ht="25" customHeight="1">
      <c r="A55" s="5"/>
      <c r="B55" s="17"/>
      <c r="C55" s="42">
        <v>2</v>
      </c>
      <c r="D55" s="43">
        <f t="shared" si="1"/>
        <v>33</v>
      </c>
      <c r="E55" s="43">
        <f t="shared" si="5"/>
        <v>9</v>
      </c>
      <c r="F55" s="44">
        <f t="shared" si="4"/>
        <v>0</v>
      </c>
      <c r="G55" s="45">
        <f>IF(D55=D54,"",_xlfn.IFNA(VLOOKUP(D55,'인원 입력 기능'!$AP$5:$AS$55,4,FALSE),0))</f>
        <v>672</v>
      </c>
      <c r="H55" s="46">
        <f t="shared" si="2"/>
        <v>5.5730173078677404E-3</v>
      </c>
      <c r="I55" s="50">
        <f>SUM($G$7:G55)</f>
        <v>120381</v>
      </c>
      <c r="J55" s="48">
        <f t="shared" si="3"/>
        <v>0.99834136389646788</v>
      </c>
      <c r="K55" s="18"/>
      <c r="M55" s="1"/>
    </row>
    <row r="56" spans="1:13" ht="25" customHeight="1">
      <c r="A56" s="5"/>
      <c r="B56" s="17"/>
      <c r="C56" s="49">
        <v>1</v>
      </c>
      <c r="D56" s="111" t="s">
        <v>31</v>
      </c>
      <c r="E56" s="112"/>
      <c r="F56" s="112"/>
      <c r="G56" s="112"/>
      <c r="H56" s="112"/>
      <c r="I56" s="112"/>
      <c r="J56" s="113"/>
      <c r="K56" s="18"/>
      <c r="M56" s="1"/>
    </row>
    <row r="57" spans="1:13" ht="25" customHeight="1" thickBot="1">
      <c r="A57" s="5"/>
      <c r="B57" s="17"/>
      <c r="C57" s="57">
        <v>0</v>
      </c>
      <c r="D57" s="58">
        <f>ROUND(10*(C57-$H$3)/$H$4+50,0)</f>
        <v>32</v>
      </c>
      <c r="E57" s="59">
        <f t="shared" si="5"/>
        <v>9</v>
      </c>
      <c r="F57" s="60">
        <f>IF(I55=0,ROUND(100*(1-(I54+I57)/2/$J$3),0),ROUND(100*(1-(I55+I57)/2/$J$3),0))</f>
        <v>0</v>
      </c>
      <c r="G57" s="61">
        <f>_xlfn.IFNA(VLOOKUP(D57,'인원 입력 기능'!$AP$5:$AS$55,4,FALSE),0)</f>
        <v>200</v>
      </c>
      <c r="H57" s="62">
        <f>G57/J3</f>
        <v>1.6586361035320655E-3</v>
      </c>
      <c r="I57" s="63">
        <f>SUM($G$7:G57)</f>
        <v>120581</v>
      </c>
      <c r="J57" s="64">
        <f>I57/J3</f>
        <v>1</v>
      </c>
      <c r="K57" s="18"/>
      <c r="M57" s="1"/>
    </row>
    <row r="58" spans="1:13" ht="6" customHeight="1">
      <c r="A58" s="5"/>
      <c r="B58" s="20"/>
      <c r="C58" s="21"/>
      <c r="D58" s="21"/>
      <c r="E58" s="21"/>
      <c r="F58" s="21"/>
      <c r="G58" s="21"/>
      <c r="H58" s="21"/>
      <c r="I58" s="21"/>
      <c r="J58" s="21"/>
      <c r="K58" s="22"/>
      <c r="M58" s="1"/>
    </row>
    <row r="59" spans="1:13">
      <c r="M59" s="1"/>
    </row>
    <row r="60" spans="1:13">
      <c r="M60" s="1"/>
    </row>
    <row r="61" spans="1:13">
      <c r="M61" s="1"/>
    </row>
    <row r="62" spans="1:13">
      <c r="M62" s="1"/>
    </row>
    <row r="63" spans="1:13">
      <c r="M63" s="1"/>
    </row>
    <row r="64" spans="1:13">
      <c r="M64" s="1"/>
    </row>
    <row r="65" spans="13:13">
      <c r="M65" s="1"/>
    </row>
    <row r="66" spans="13:13">
      <c r="M66" s="1"/>
    </row>
    <row r="67" spans="13:13">
      <c r="M67" s="1"/>
    </row>
    <row r="68" spans="13:13">
      <c r="M68" s="1"/>
    </row>
    <row r="69" spans="13:13">
      <c r="M69" s="1"/>
    </row>
    <row r="70" spans="13:13">
      <c r="M70" s="1"/>
    </row>
    <row r="71" spans="13:13">
      <c r="M71" s="1"/>
    </row>
    <row r="72" spans="13:13">
      <c r="M72" s="1"/>
    </row>
    <row r="73" spans="13:13">
      <c r="M73" s="1"/>
    </row>
    <row r="74" spans="13:13">
      <c r="M74" s="1"/>
    </row>
    <row r="75" spans="13:13">
      <c r="M75" s="1"/>
    </row>
    <row r="76" spans="13:13">
      <c r="M76" s="1"/>
    </row>
    <row r="77" spans="13:13">
      <c r="M77" s="1"/>
    </row>
    <row r="78" spans="13:13">
      <c r="M78" s="1"/>
    </row>
    <row r="79" spans="13:13">
      <c r="M79" s="1"/>
    </row>
    <row r="80" spans="13:13">
      <c r="M80" s="1"/>
    </row>
    <row r="81" spans="13:13">
      <c r="M81" s="1"/>
    </row>
    <row r="82" spans="13:13">
      <c r="M82" s="1"/>
    </row>
    <row r="83" spans="13:13">
      <c r="M83" s="1"/>
    </row>
    <row r="84" spans="13:13">
      <c r="M84" s="1"/>
    </row>
    <row r="85" spans="13:13">
      <c r="M85" s="1"/>
    </row>
    <row r="86" spans="13:13">
      <c r="M86" s="1"/>
    </row>
    <row r="87" spans="13:13">
      <c r="M87" s="1"/>
    </row>
    <row r="88" spans="13:13">
      <c r="M88" s="1"/>
    </row>
    <row r="89" spans="13:13">
      <c r="M89" s="1"/>
    </row>
    <row r="90" spans="13:13">
      <c r="M90" s="1"/>
    </row>
    <row r="91" spans="13:13">
      <c r="M91" s="1"/>
    </row>
    <row r="92" spans="13:13">
      <c r="M92" s="1"/>
    </row>
    <row r="93" spans="13:13">
      <c r="M93" s="1"/>
    </row>
    <row r="94" spans="13:13">
      <c r="M94" s="1"/>
    </row>
    <row r="95" spans="13:13">
      <c r="M95" s="1"/>
    </row>
    <row r="96" spans="13:13">
      <c r="M96" s="1"/>
    </row>
    <row r="97" spans="13:13">
      <c r="M97" s="1"/>
    </row>
    <row r="98" spans="13:13">
      <c r="M98" s="1"/>
    </row>
    <row r="99" spans="13:13">
      <c r="M99" s="1"/>
    </row>
    <row r="100" spans="13:13">
      <c r="M100" s="1"/>
    </row>
    <row r="101" spans="13:13">
      <c r="M101" s="1"/>
    </row>
    <row r="102" spans="13:13">
      <c r="M102" s="1"/>
    </row>
    <row r="103" spans="13:13">
      <c r="M103" s="1"/>
    </row>
    <row r="104" spans="13:13">
      <c r="M104" s="1"/>
    </row>
    <row r="105" spans="13:13">
      <c r="M105" s="1"/>
    </row>
  </sheetData>
  <mergeCells count="67">
    <mergeCell ref="I46:I47"/>
    <mergeCell ref="J46:J47"/>
    <mergeCell ref="D51:D52"/>
    <mergeCell ref="E51:E52"/>
    <mergeCell ref="F51:F52"/>
    <mergeCell ref="G51:G52"/>
    <mergeCell ref="H51:H52"/>
    <mergeCell ref="I51:I52"/>
    <mergeCell ref="J51:J52"/>
    <mergeCell ref="D46:D47"/>
    <mergeCell ref="E46:E47"/>
    <mergeCell ref="F46:F47"/>
    <mergeCell ref="G46:G47"/>
    <mergeCell ref="H46:H47"/>
    <mergeCell ref="I37:I38"/>
    <mergeCell ref="J37:J38"/>
    <mergeCell ref="D42:D43"/>
    <mergeCell ref="E42:E43"/>
    <mergeCell ref="F42:F43"/>
    <mergeCell ref="G42:G43"/>
    <mergeCell ref="H42:H43"/>
    <mergeCell ref="I42:I43"/>
    <mergeCell ref="J42:J43"/>
    <mergeCell ref="D37:D38"/>
    <mergeCell ref="E37:E38"/>
    <mergeCell ref="F37:F38"/>
    <mergeCell ref="G37:G38"/>
    <mergeCell ref="H37:H38"/>
    <mergeCell ref="I27:I28"/>
    <mergeCell ref="J27:J28"/>
    <mergeCell ref="D32:D33"/>
    <mergeCell ref="E32:E33"/>
    <mergeCell ref="F32:F33"/>
    <mergeCell ref="G32:G33"/>
    <mergeCell ref="H32:H33"/>
    <mergeCell ref="I32:I33"/>
    <mergeCell ref="J32:J33"/>
    <mergeCell ref="D27:D28"/>
    <mergeCell ref="E27:E28"/>
    <mergeCell ref="F27:F28"/>
    <mergeCell ref="G27:G28"/>
    <mergeCell ref="H27:H28"/>
    <mergeCell ref="I17:I18"/>
    <mergeCell ref="J17:J18"/>
    <mergeCell ref="D22:D23"/>
    <mergeCell ref="E22:E23"/>
    <mergeCell ref="F22:F23"/>
    <mergeCell ref="G22:G23"/>
    <mergeCell ref="H22:H23"/>
    <mergeCell ref="I22:I23"/>
    <mergeCell ref="J22:J23"/>
    <mergeCell ref="D3:F3"/>
    <mergeCell ref="D4:F4"/>
    <mergeCell ref="D56:J56"/>
    <mergeCell ref="D8:J8"/>
    <mergeCell ref="D12:D13"/>
    <mergeCell ref="E12:E13"/>
    <mergeCell ref="F12:F13"/>
    <mergeCell ref="G12:G13"/>
    <mergeCell ref="H12:H13"/>
    <mergeCell ref="I12:I13"/>
    <mergeCell ref="J12:J13"/>
    <mergeCell ref="D17:D18"/>
    <mergeCell ref="E17:E18"/>
    <mergeCell ref="F17:F18"/>
    <mergeCell ref="G17:G18"/>
    <mergeCell ref="H17:H18"/>
  </mergeCells>
  <phoneticPr fontId="1" type="noConversion"/>
  <conditionalFormatting sqref="D7:J7 D57:J57 D9:J12 D14:J17 D19:J22 D24:J27 D29:J32 D34:J37 D39:J42 D44:J46 D48:J51 D53:J55">
    <cfRule type="expression" dxfId="104" priority="7">
      <formula>OR($D7=$P$7:$P$14)</formula>
    </cfRule>
  </conditionalFormatting>
  <conditionalFormatting sqref="C7:C57">
    <cfRule type="expression" dxfId="103" priority="6">
      <formula>OR(AND($D7=0,OR($D6=$P$7:$P$14)),AND($D8&gt;0,OR($D7=$P$7:$P$14)))</formula>
    </cfRule>
  </conditionalFormatting>
  <conditionalFormatting sqref="D7 D57 D9:D12 D14:D17 D19:D22 D24:D27 D29:D32 D34:D37 D39:D42 D44:D46 D48:D51 D53:D55">
    <cfRule type="expression" dxfId="102" priority="5">
      <formula>$D7=$D8</formula>
    </cfRule>
  </conditionalFormatting>
  <conditionalFormatting sqref="D56">
    <cfRule type="expression" dxfId="101" priority="4">
      <formula>OR($D56=$P$7:$P$14)</formula>
    </cfRule>
  </conditionalFormatting>
  <conditionalFormatting sqref="D56">
    <cfRule type="expression" dxfId="100" priority="3">
      <formula>$D56=$D57</formula>
    </cfRule>
  </conditionalFormatting>
  <conditionalFormatting sqref="D8">
    <cfRule type="expression" dxfId="99" priority="2">
      <formula>OR($D8=$P$7:$P$14)</formula>
    </cfRule>
  </conditionalFormatting>
  <conditionalFormatting sqref="D8">
    <cfRule type="expression" dxfId="98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30A4B-4E11-46F3-A11B-285051ABE31F}">
  <sheetPr codeName="Sheet17"/>
  <dimension ref="A1:P105"/>
  <sheetViews>
    <sheetView zoomScaleNormal="100" workbookViewId="0">
      <selection activeCell="B2" sqref="B2:K58"/>
    </sheetView>
  </sheetViews>
  <sheetFormatPr defaultRowHeight="17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6">
      <c r="A1" s="5" t="s">
        <v>44</v>
      </c>
      <c r="C1" s="5"/>
      <c r="D1" s="5"/>
      <c r="E1" s="5"/>
      <c r="F1" s="5"/>
      <c r="G1" s="5"/>
      <c r="H1" s="5"/>
      <c r="I1" s="5"/>
      <c r="J1" s="5"/>
      <c r="K1" s="5"/>
    </row>
    <row r="2" spans="1:16" s="5" customFormat="1" ht="6" customHeight="1" thickBot="1">
      <c r="B2" s="15"/>
      <c r="C2" s="23"/>
      <c r="D2" s="23"/>
      <c r="E2" s="23"/>
      <c r="F2" s="23"/>
      <c r="G2" s="23"/>
      <c r="H2" s="23"/>
      <c r="I2" s="23"/>
      <c r="J2" s="23"/>
      <c r="K2" s="16"/>
    </row>
    <row r="3" spans="1:16" ht="25" customHeight="1" thickBot="1">
      <c r="A3" s="5"/>
      <c r="B3" s="17"/>
      <c r="C3" s="34" t="s">
        <v>47</v>
      </c>
      <c r="D3" s="105" t="s">
        <v>115</v>
      </c>
      <c r="E3" s="106"/>
      <c r="F3" s="107"/>
      <c r="G3" s="34" t="s">
        <v>48</v>
      </c>
      <c r="H3" s="101">
        <f>'통계 및 응시자 수 입력 기능'!D13</f>
        <v>21.44</v>
      </c>
      <c r="I3" s="103" t="s">
        <v>49</v>
      </c>
      <c r="J3" s="104">
        <f>'통계 및 응시자 수 입력 기능'!C13</f>
        <v>54697</v>
      </c>
      <c r="K3" s="18"/>
    </row>
    <row r="4" spans="1:16" ht="25" customHeight="1" thickBot="1">
      <c r="A4" s="5"/>
      <c r="B4" s="17"/>
      <c r="C4" s="35" t="s">
        <v>50</v>
      </c>
      <c r="D4" s="108" t="s">
        <v>64</v>
      </c>
      <c r="E4" s="109"/>
      <c r="F4" s="110"/>
      <c r="G4" s="36" t="s">
        <v>52</v>
      </c>
      <c r="H4" s="102">
        <f>'통계 및 응시자 수 입력 기능'!E13</f>
        <v>10.31</v>
      </c>
      <c r="I4" s="12"/>
      <c r="J4" s="12"/>
      <c r="K4" s="18"/>
    </row>
    <row r="5" spans="1:16" ht="25" customHeight="1" thickBot="1">
      <c r="A5" s="5"/>
      <c r="B5" s="17"/>
      <c r="C5" s="12"/>
      <c r="D5" s="12"/>
      <c r="E5" s="12"/>
      <c r="F5" s="12"/>
      <c r="G5" s="12"/>
      <c r="H5" s="19"/>
      <c r="I5" s="19"/>
      <c r="J5" s="19"/>
      <c r="K5" s="18"/>
    </row>
    <row r="6" spans="1:16" ht="25" customHeight="1" thickBot="1">
      <c r="A6" s="5"/>
      <c r="B6" s="17"/>
      <c r="C6" s="38" t="s">
        <v>73</v>
      </c>
      <c r="D6" s="39" t="s">
        <v>74</v>
      </c>
      <c r="E6" s="39" t="s">
        <v>75</v>
      </c>
      <c r="F6" s="39" t="s">
        <v>76</v>
      </c>
      <c r="G6" s="39" t="s">
        <v>77</v>
      </c>
      <c r="H6" s="40" t="s">
        <v>78</v>
      </c>
      <c r="I6" s="40" t="s">
        <v>79</v>
      </c>
      <c r="J6" s="41" t="s">
        <v>80</v>
      </c>
      <c r="K6" s="18"/>
      <c r="L6" s="3"/>
      <c r="M6" s="4"/>
    </row>
    <row r="7" spans="1:16" ht="25" customHeight="1">
      <c r="A7" s="5"/>
      <c r="B7" s="17"/>
      <c r="C7" s="42">
        <v>50</v>
      </c>
      <c r="D7" s="43">
        <f>ROUND(10*(C7-$H$3)/$H$4+50,0)</f>
        <v>78</v>
      </c>
      <c r="E7" s="43">
        <f t="shared" ref="E7:E38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44">
        <f>ROUND(100*(1-(0+I7)/2/$J$3),0)</f>
        <v>100</v>
      </c>
      <c r="G7" s="45">
        <f>_xlfn.IFNA(VLOOKUP(D7,'인원 입력 기능'!$AU$5:$AX$55,4,FALSE),0)</f>
        <v>297</v>
      </c>
      <c r="H7" s="46">
        <f>G7/J3</f>
        <v>5.4299138892443827E-3</v>
      </c>
      <c r="I7" s="47">
        <f>G7</f>
        <v>297</v>
      </c>
      <c r="J7" s="48">
        <f>I7/J3</f>
        <v>5.4299138892443827E-3</v>
      </c>
      <c r="K7" s="18"/>
      <c r="M7" s="1"/>
      <c r="O7" s="1">
        <v>1</v>
      </c>
      <c r="P7" s="1">
        <f>'표준점수 등급컷 입력기능'!B42</f>
        <v>70</v>
      </c>
    </row>
    <row r="8" spans="1:16" ht="25" customHeight="1">
      <c r="A8" s="5"/>
      <c r="B8" s="17"/>
      <c r="C8" s="49">
        <v>49</v>
      </c>
      <c r="D8" s="111" t="s">
        <v>31</v>
      </c>
      <c r="E8" s="112"/>
      <c r="F8" s="112"/>
      <c r="G8" s="112"/>
      <c r="H8" s="112"/>
      <c r="I8" s="112"/>
      <c r="J8" s="113"/>
      <c r="K8" s="18"/>
      <c r="M8" s="1"/>
      <c r="O8" s="1">
        <v>2</v>
      </c>
      <c r="P8" s="1">
        <f>'표준점수 등급컷 입력기능'!B43</f>
        <v>63</v>
      </c>
    </row>
    <row r="9" spans="1:16" ht="25" customHeight="1">
      <c r="A9" s="5"/>
      <c r="B9" s="17"/>
      <c r="C9" s="42">
        <v>48</v>
      </c>
      <c r="D9" s="43">
        <f>ROUND(10*(C9-$H$3)/$H$4+50,0)</f>
        <v>76</v>
      </c>
      <c r="E9" s="43">
        <f t="shared" si="0"/>
        <v>1</v>
      </c>
      <c r="F9" s="44">
        <f>IF(I8=0,ROUND(100*(1-(I7+I9)/2/$J$3),0),ROUND(100*(1-(I8+I9)/2/$J$3),0))</f>
        <v>99</v>
      </c>
      <c r="G9" s="45">
        <f>_xlfn.IFNA(VLOOKUP(D9,'인원 입력 기능'!$AU$5:$AX$55,4,FALSE),0)</f>
        <v>187</v>
      </c>
      <c r="H9" s="46">
        <f>G9/$J$3</f>
        <v>3.4188346710057223E-3</v>
      </c>
      <c r="I9" s="50">
        <f>SUM($G$7:G9)</f>
        <v>484</v>
      </c>
      <c r="J9" s="48">
        <f>I9/$J$3</f>
        <v>8.848748560250105E-3</v>
      </c>
      <c r="K9" s="18"/>
      <c r="M9" s="1"/>
      <c r="O9" s="1">
        <v>3</v>
      </c>
      <c r="P9" s="1">
        <f>'표준점수 등급컷 입력기능'!B44</f>
        <v>57</v>
      </c>
    </row>
    <row r="10" spans="1:16" ht="25" customHeight="1">
      <c r="A10" s="5"/>
      <c r="B10" s="17"/>
      <c r="C10" s="49">
        <v>47</v>
      </c>
      <c r="D10" s="43">
        <f t="shared" ref="D10:D55" si="1">ROUND(10*(C10-$H$3)/$H$4+50,0)</f>
        <v>75</v>
      </c>
      <c r="E10" s="43">
        <f t="shared" si="0"/>
        <v>1</v>
      </c>
      <c r="F10" s="44">
        <f>IF(I9=0,ROUND(100*(1-(I8+I10)/2/$J$3),0),ROUND(100*(1-(I9+I10)/2/$J$3),0))</f>
        <v>99</v>
      </c>
      <c r="G10" s="45">
        <f>IF(D10=D9,"",_xlfn.IFNA(VLOOKUP(D10,'인원 입력 기능'!$AU$5:$AX$55,4,FALSE),0))</f>
        <v>287</v>
      </c>
      <c r="H10" s="46">
        <f t="shared" ref="H10:H55" si="2">G10/$J$3</f>
        <v>5.2470885057681405E-3</v>
      </c>
      <c r="I10" s="50">
        <f>SUM($G$7:G10)</f>
        <v>771</v>
      </c>
      <c r="J10" s="48">
        <f t="shared" ref="J10:J55" si="3">I10/$J$3</f>
        <v>1.4095837066018246E-2</v>
      </c>
      <c r="K10" s="18"/>
      <c r="M10" s="1"/>
      <c r="O10" s="1">
        <v>4</v>
      </c>
      <c r="P10" s="1">
        <f>'표준점수 등급컷 입력기능'!B45</f>
        <v>52</v>
      </c>
    </row>
    <row r="11" spans="1:16" ht="25" customHeight="1">
      <c r="A11" s="5"/>
      <c r="B11" s="17"/>
      <c r="C11" s="42">
        <v>46</v>
      </c>
      <c r="D11" s="43">
        <f t="shared" si="1"/>
        <v>74</v>
      </c>
      <c r="E11" s="43">
        <f t="shared" si="0"/>
        <v>1</v>
      </c>
      <c r="F11" s="44">
        <f t="shared" ref="F11:F55" si="4">IF(I10=0,ROUND(100*(1-(I9+I11)/2/$J$3),0),ROUND(100*(1-(I10+I11)/2/$J$3),0))</f>
        <v>98</v>
      </c>
      <c r="G11" s="45">
        <f>IF(D11=D10,"",_xlfn.IFNA(VLOOKUP(D11,'인원 입력 기능'!$AU$5:$AX$55,4,FALSE),0))</f>
        <v>107</v>
      </c>
      <c r="H11" s="46">
        <f t="shared" si="2"/>
        <v>1.9562316031957877E-3</v>
      </c>
      <c r="I11" s="50">
        <f>SUM($G$7:G11)</f>
        <v>878</v>
      </c>
      <c r="J11" s="48">
        <f t="shared" si="3"/>
        <v>1.6052068669214034E-2</v>
      </c>
      <c r="K11" s="18"/>
      <c r="M11" s="1"/>
      <c r="O11" s="1">
        <v>5</v>
      </c>
      <c r="P11" s="1">
        <f>'표준점수 등급컷 입력기능'!B46</f>
        <v>46</v>
      </c>
    </row>
    <row r="12" spans="1:16" ht="25" customHeight="1">
      <c r="A12" s="5"/>
      <c r="B12" s="17"/>
      <c r="C12" s="49">
        <v>45</v>
      </c>
      <c r="D12" s="43">
        <f t="shared" si="1"/>
        <v>73</v>
      </c>
      <c r="E12" s="43">
        <f t="shared" si="0"/>
        <v>1</v>
      </c>
      <c r="F12" s="44">
        <f t="shared" si="4"/>
        <v>98</v>
      </c>
      <c r="G12" s="45">
        <f>IF(D12=D11,"",_xlfn.IFNA(VLOOKUP(D12,'인원 입력 기능'!$AU$5:$AX$55,4,FALSE),0))</f>
        <v>428</v>
      </c>
      <c r="H12" s="46">
        <f t="shared" si="2"/>
        <v>7.8249264127831508E-3</v>
      </c>
      <c r="I12" s="50">
        <f>SUM($G$7:G12)</f>
        <v>1306</v>
      </c>
      <c r="J12" s="48">
        <f t="shared" si="3"/>
        <v>2.3876995081997185E-2</v>
      </c>
      <c r="K12" s="18"/>
      <c r="M12" s="1"/>
      <c r="O12" s="1">
        <v>6</v>
      </c>
      <c r="P12" s="1">
        <f>'표준점수 등급컷 입력기능'!B47</f>
        <v>42</v>
      </c>
    </row>
    <row r="13" spans="1:16" ht="25" customHeight="1">
      <c r="A13" s="5"/>
      <c r="B13" s="17"/>
      <c r="C13" s="42">
        <v>44</v>
      </c>
      <c r="D13" s="43">
        <f t="shared" si="1"/>
        <v>72</v>
      </c>
      <c r="E13" s="43">
        <f t="shared" si="0"/>
        <v>1</v>
      </c>
      <c r="F13" s="44">
        <f t="shared" si="4"/>
        <v>97</v>
      </c>
      <c r="G13" s="45">
        <f>IF(D13=D12,"",_xlfn.IFNA(VLOOKUP(D13,'인원 입력 기능'!$AU$5:$AX$55,4,FALSE),0))</f>
        <v>312</v>
      </c>
      <c r="H13" s="46">
        <f t="shared" si="2"/>
        <v>5.7041519644587457E-3</v>
      </c>
      <c r="I13" s="50">
        <f>SUM($G$7:G13)</f>
        <v>1618</v>
      </c>
      <c r="J13" s="48">
        <f t="shared" si="3"/>
        <v>2.9581147046455931E-2</v>
      </c>
      <c r="K13" s="18"/>
      <c r="M13" s="1"/>
      <c r="O13" s="1">
        <v>7</v>
      </c>
      <c r="P13" s="1">
        <f>'표준점수 등급컷 입력기능'!B48</f>
        <v>39</v>
      </c>
    </row>
    <row r="14" spans="1:16" ht="25" customHeight="1">
      <c r="A14" s="5"/>
      <c r="B14" s="17"/>
      <c r="C14" s="52">
        <v>43</v>
      </c>
      <c r="D14" s="65">
        <f t="shared" si="1"/>
        <v>71</v>
      </c>
      <c r="E14" s="65">
        <f t="shared" si="0"/>
        <v>1</v>
      </c>
      <c r="F14" s="44">
        <f t="shared" si="4"/>
        <v>97</v>
      </c>
      <c r="G14" s="45">
        <f>IF(D14=D13,"",_xlfn.IFNA(VLOOKUP(D14,'인원 입력 기능'!$AU$5:$AX$55,4,FALSE),0))</f>
        <v>281</v>
      </c>
      <c r="H14" s="46">
        <f t="shared" si="2"/>
        <v>5.1373932756823958E-3</v>
      </c>
      <c r="I14" s="50">
        <f>SUM($G$7:G14)</f>
        <v>1899</v>
      </c>
      <c r="J14" s="48">
        <f t="shared" si="3"/>
        <v>3.4718540322138329E-2</v>
      </c>
      <c r="K14" s="18"/>
      <c r="M14" s="1"/>
      <c r="O14" s="1">
        <v>8</v>
      </c>
      <c r="P14" s="1">
        <f>'표준점수 등급컷 입력기능'!B49</f>
        <v>36</v>
      </c>
    </row>
    <row r="15" spans="1:16" ht="25" customHeight="1">
      <c r="A15" s="5"/>
      <c r="B15" s="17"/>
      <c r="C15" s="42">
        <v>42</v>
      </c>
      <c r="D15" s="65">
        <f t="shared" ref="D15" si="5">ROUND(10*(C15-$H$3)/$H$4+50,0)</f>
        <v>70</v>
      </c>
      <c r="E15" s="65">
        <f t="shared" si="0"/>
        <v>1</v>
      </c>
      <c r="F15" s="44">
        <f t="shared" si="4"/>
        <v>96</v>
      </c>
      <c r="G15" s="45">
        <f>IF(D15=D14,"",_xlfn.IFNA(VLOOKUP(D15,'인원 입력 기능'!$AU$5:$AX$55,4,FALSE),0))</f>
        <v>552</v>
      </c>
      <c r="H15" s="46">
        <f t="shared" si="2"/>
        <v>1.009196116788855E-2</v>
      </c>
      <c r="I15" s="50">
        <f>SUM($G$7:G15)</f>
        <v>2451</v>
      </c>
      <c r="J15" s="48">
        <f t="shared" si="3"/>
        <v>4.4810501490026876E-2</v>
      </c>
      <c r="K15" s="18"/>
      <c r="M15" s="1"/>
      <c r="O15" s="1">
        <v>9</v>
      </c>
      <c r="P15" s="1"/>
    </row>
    <row r="16" spans="1:16" ht="25" customHeight="1">
      <c r="A16" s="5"/>
      <c r="B16" s="17"/>
      <c r="C16" s="49">
        <v>41</v>
      </c>
      <c r="D16" s="43">
        <f t="shared" si="1"/>
        <v>69</v>
      </c>
      <c r="E16" s="43">
        <f t="shared" si="0"/>
        <v>2</v>
      </c>
      <c r="F16" s="44">
        <f t="shared" si="4"/>
        <v>95</v>
      </c>
      <c r="G16" s="45">
        <f>IF(D16=D15,"",_xlfn.IFNA(VLOOKUP(D16,'인원 입력 기능'!$AU$5:$AX$55,4,FALSE),0))</f>
        <v>354</v>
      </c>
      <c r="H16" s="46">
        <f t="shared" si="2"/>
        <v>6.4720185750589609E-3</v>
      </c>
      <c r="I16" s="50">
        <f>SUM($G$7:G16)</f>
        <v>2805</v>
      </c>
      <c r="J16" s="48">
        <f t="shared" si="3"/>
        <v>5.1282520065085838E-2</v>
      </c>
      <c r="K16" s="18"/>
      <c r="M16" s="1"/>
    </row>
    <row r="17" spans="1:16" ht="25" customHeight="1">
      <c r="A17" s="5"/>
      <c r="B17" s="17"/>
      <c r="C17" s="42">
        <v>40</v>
      </c>
      <c r="D17" s="43">
        <f t="shared" si="1"/>
        <v>68</v>
      </c>
      <c r="E17" s="43">
        <f t="shared" si="0"/>
        <v>2</v>
      </c>
      <c r="F17" s="44">
        <f t="shared" si="4"/>
        <v>94</v>
      </c>
      <c r="G17" s="45">
        <f>IF(D17=D16,"",_xlfn.IFNA(VLOOKUP(D17,'인원 입력 기능'!$AU$5:$AX$55,4,FALSE),0))</f>
        <v>540</v>
      </c>
      <c r="H17" s="46">
        <f t="shared" si="2"/>
        <v>9.8725707077170592E-3</v>
      </c>
      <c r="I17" s="50">
        <f>SUM($G$7:G17)</f>
        <v>3345</v>
      </c>
      <c r="J17" s="48">
        <f t="shared" si="3"/>
        <v>6.1155090772802893E-2</v>
      </c>
      <c r="K17" s="18"/>
      <c r="M17" s="1"/>
      <c r="P17" s="1">
        <f>H3*H4*J3*P7*IFERROR(IF(J57=1, 1, 0), 0)</f>
        <v>846340245.85600019</v>
      </c>
    </row>
    <row r="18" spans="1:16" ht="25" customHeight="1">
      <c r="A18" s="5"/>
      <c r="B18" s="17"/>
      <c r="C18" s="49">
        <v>39</v>
      </c>
      <c r="D18" s="43">
        <f t="shared" si="1"/>
        <v>67</v>
      </c>
      <c r="E18" s="43">
        <f t="shared" si="0"/>
        <v>2</v>
      </c>
      <c r="F18" s="44">
        <f t="shared" si="4"/>
        <v>93</v>
      </c>
      <c r="G18" s="45">
        <f>IF(D18=D17,"",_xlfn.IFNA(VLOOKUP(D18,'인원 입력 기능'!$AU$5:$AX$55,4,FALSE),0))</f>
        <v>620</v>
      </c>
      <c r="H18" s="46">
        <f t="shared" si="2"/>
        <v>1.1335173775526994E-2</v>
      </c>
      <c r="I18" s="50">
        <f>SUM($G$7:G18)</f>
        <v>3965</v>
      </c>
      <c r="J18" s="48">
        <f t="shared" si="3"/>
        <v>7.2490264548329894E-2</v>
      </c>
      <c r="K18" s="18"/>
      <c r="M18" s="1"/>
    </row>
    <row r="19" spans="1:16" ht="25" customHeight="1">
      <c r="A19" s="5"/>
      <c r="B19" s="17"/>
      <c r="C19" s="42">
        <v>38</v>
      </c>
      <c r="D19" s="43">
        <f t="shared" si="1"/>
        <v>66</v>
      </c>
      <c r="E19" s="43">
        <f t="shared" si="0"/>
        <v>2</v>
      </c>
      <c r="F19" s="44">
        <f t="shared" si="4"/>
        <v>92</v>
      </c>
      <c r="G19" s="45">
        <f>IF(D19=D18,"",_xlfn.IFNA(VLOOKUP(D19,'인원 입력 기능'!$AU$5:$AX$55,4,FALSE),0))</f>
        <v>476</v>
      </c>
      <c r="H19" s="46">
        <f t="shared" si="2"/>
        <v>8.7024882534691116E-3</v>
      </c>
      <c r="I19" s="50">
        <f>SUM($G$7:G19)</f>
        <v>4441</v>
      </c>
      <c r="J19" s="48">
        <f t="shared" si="3"/>
        <v>8.1192752801798995E-2</v>
      </c>
      <c r="K19" s="18"/>
      <c r="M19" s="1"/>
    </row>
    <row r="20" spans="1:16" ht="25" customHeight="1">
      <c r="A20" s="5"/>
      <c r="B20" s="17"/>
      <c r="C20" s="49">
        <v>37</v>
      </c>
      <c r="D20" s="43">
        <f t="shared" si="1"/>
        <v>65</v>
      </c>
      <c r="E20" s="43">
        <f t="shared" si="0"/>
        <v>2</v>
      </c>
      <c r="F20" s="44">
        <f t="shared" si="4"/>
        <v>91</v>
      </c>
      <c r="G20" s="45">
        <f>IF(D20=D19,"",_xlfn.IFNA(VLOOKUP(D20,'인원 입력 기능'!$AU$5:$AX$55,4,FALSE),0))</f>
        <v>826</v>
      </c>
      <c r="H20" s="46">
        <f t="shared" si="2"/>
        <v>1.5101376675137576E-2</v>
      </c>
      <c r="I20" s="50">
        <f>SUM($G$7:G20)</f>
        <v>5267</v>
      </c>
      <c r="J20" s="48">
        <f t="shared" si="3"/>
        <v>9.629412947693658E-2</v>
      </c>
      <c r="K20" s="18"/>
      <c r="M20" s="1"/>
    </row>
    <row r="21" spans="1:16" ht="25" customHeight="1">
      <c r="A21" s="5"/>
      <c r="B21" s="17"/>
      <c r="C21" s="51">
        <v>36</v>
      </c>
      <c r="D21" s="53">
        <f t="shared" si="1"/>
        <v>64</v>
      </c>
      <c r="E21" s="53">
        <f t="shared" si="0"/>
        <v>2</v>
      </c>
      <c r="F21" s="44">
        <f t="shared" si="4"/>
        <v>90</v>
      </c>
      <c r="G21" s="45">
        <f>IF(D21=D20,"",_xlfn.IFNA(VLOOKUP(D21,'인원 입력 기능'!$AU$5:$AX$55,4,FALSE),0))</f>
        <v>700</v>
      </c>
      <c r="H21" s="46">
        <f t="shared" si="2"/>
        <v>1.2797776843336928E-2</v>
      </c>
      <c r="I21" s="50">
        <f>SUM($G$7:G21)</f>
        <v>5967</v>
      </c>
      <c r="J21" s="48">
        <f t="shared" si="3"/>
        <v>0.1090919063202735</v>
      </c>
      <c r="K21" s="18"/>
      <c r="M21" s="1"/>
    </row>
    <row r="22" spans="1:16" ht="25" customHeight="1">
      <c r="A22" s="5"/>
      <c r="B22" s="17"/>
      <c r="C22" s="52">
        <v>35</v>
      </c>
      <c r="D22" s="53">
        <f t="shared" si="1"/>
        <v>63</v>
      </c>
      <c r="E22" s="53">
        <f t="shared" si="0"/>
        <v>2</v>
      </c>
      <c r="F22" s="44">
        <f t="shared" si="4"/>
        <v>88</v>
      </c>
      <c r="G22" s="45">
        <f>IF(D22=D21,"",_xlfn.IFNA(VLOOKUP(D22,'인원 입력 기능'!$AU$5:$AX$55,4,FALSE),0))</f>
        <v>792</v>
      </c>
      <c r="H22" s="46">
        <f t="shared" si="2"/>
        <v>1.4479770371318354E-2</v>
      </c>
      <c r="I22" s="50">
        <f>SUM($G$7:G22)</f>
        <v>6759</v>
      </c>
      <c r="J22" s="48">
        <f t="shared" si="3"/>
        <v>0.12357167669159186</v>
      </c>
      <c r="K22" s="18"/>
      <c r="M22" s="1"/>
    </row>
    <row r="23" spans="1:16" ht="25" customHeight="1">
      <c r="A23" s="5"/>
      <c r="B23" s="17"/>
      <c r="C23" s="51">
        <v>34</v>
      </c>
      <c r="D23" s="53">
        <f t="shared" si="1"/>
        <v>62</v>
      </c>
      <c r="E23" s="53">
        <f t="shared" si="0"/>
        <v>3</v>
      </c>
      <c r="F23" s="44">
        <f t="shared" si="4"/>
        <v>87</v>
      </c>
      <c r="G23" s="45">
        <f>IF(D23=D22,"",_xlfn.IFNA(VLOOKUP(D23,'인원 입력 기능'!$AU$5:$AX$55,4,FALSE),0))</f>
        <v>1051</v>
      </c>
      <c r="H23" s="46">
        <f t="shared" si="2"/>
        <v>1.9214947803353019E-2</v>
      </c>
      <c r="I23" s="50">
        <f>SUM($G$7:G23)</f>
        <v>7810</v>
      </c>
      <c r="J23" s="48">
        <f t="shared" si="3"/>
        <v>0.14278662449494489</v>
      </c>
      <c r="K23" s="18"/>
      <c r="M23" s="1"/>
    </row>
    <row r="24" spans="1:16" ht="25" customHeight="1">
      <c r="A24" s="5"/>
      <c r="B24" s="17"/>
      <c r="C24" s="52">
        <v>33</v>
      </c>
      <c r="D24" s="53">
        <f t="shared" si="1"/>
        <v>61</v>
      </c>
      <c r="E24" s="53">
        <f t="shared" si="0"/>
        <v>3</v>
      </c>
      <c r="F24" s="44">
        <f t="shared" si="4"/>
        <v>85</v>
      </c>
      <c r="G24" s="45">
        <f>IF(D24=D23,"",_xlfn.IFNA(VLOOKUP(D24,'인원 입력 기능'!$AU$5:$AX$55,4,FALSE),0))</f>
        <v>798</v>
      </c>
      <c r="H24" s="46">
        <f t="shared" si="2"/>
        <v>1.45894656014041E-2</v>
      </c>
      <c r="I24" s="50">
        <f>SUM($G$7:G24)</f>
        <v>8608</v>
      </c>
      <c r="J24" s="48">
        <f t="shared" si="3"/>
        <v>0.15737609009634898</v>
      </c>
      <c r="K24" s="18"/>
      <c r="M24" s="1"/>
    </row>
    <row r="25" spans="1:16" ht="25" customHeight="1">
      <c r="A25" s="5"/>
      <c r="B25" s="17"/>
      <c r="C25" s="51">
        <v>32</v>
      </c>
      <c r="D25" s="53">
        <f t="shared" si="1"/>
        <v>60</v>
      </c>
      <c r="E25" s="53">
        <f t="shared" si="0"/>
        <v>3</v>
      </c>
      <c r="F25" s="44">
        <f t="shared" si="4"/>
        <v>83</v>
      </c>
      <c r="G25" s="45">
        <f>IF(D25=D24,"",_xlfn.IFNA(VLOOKUP(D25,'인원 입력 기능'!$AU$5:$AX$55,4,FALSE),0))</f>
        <v>1267</v>
      </c>
      <c r="H25" s="46">
        <f t="shared" si="2"/>
        <v>2.3163976086439841E-2</v>
      </c>
      <c r="I25" s="50">
        <f>SUM($G$7:G25)</f>
        <v>9875</v>
      </c>
      <c r="J25" s="48">
        <f t="shared" si="3"/>
        <v>0.18054006618278881</v>
      </c>
      <c r="K25" s="18"/>
      <c r="M25" s="1"/>
    </row>
    <row r="26" spans="1:16" ht="25" customHeight="1">
      <c r="A26" s="5"/>
      <c r="B26" s="17"/>
      <c r="C26" s="52">
        <v>31</v>
      </c>
      <c r="D26" s="53">
        <f t="shared" si="1"/>
        <v>59</v>
      </c>
      <c r="E26" s="53">
        <f t="shared" si="0"/>
        <v>3</v>
      </c>
      <c r="F26" s="44">
        <f t="shared" si="4"/>
        <v>81</v>
      </c>
      <c r="G26" s="45">
        <f>IF(D26=D25,"",_xlfn.IFNA(VLOOKUP(D26,'인원 입력 기능'!$AU$5:$AX$55,4,FALSE),0))</f>
        <v>1077</v>
      </c>
      <c r="H26" s="46">
        <f t="shared" si="2"/>
        <v>1.9690293800391247E-2</v>
      </c>
      <c r="I26" s="50">
        <f>SUM($G$7:G26)</f>
        <v>10952</v>
      </c>
      <c r="J26" s="48">
        <f t="shared" si="3"/>
        <v>0.20023035998318006</v>
      </c>
      <c r="K26" s="18"/>
      <c r="M26" s="1"/>
    </row>
    <row r="27" spans="1:16" ht="25" customHeight="1">
      <c r="A27" s="5"/>
      <c r="B27" s="17"/>
      <c r="C27" s="51">
        <v>30</v>
      </c>
      <c r="D27" s="53">
        <f t="shared" si="1"/>
        <v>58</v>
      </c>
      <c r="E27" s="53">
        <f t="shared" si="0"/>
        <v>3</v>
      </c>
      <c r="F27" s="44">
        <f t="shared" si="4"/>
        <v>79</v>
      </c>
      <c r="G27" s="45">
        <f>IF(D27=D26,"",_xlfn.IFNA(VLOOKUP(D27,'인원 입력 기능'!$AU$5:$AX$55,4,FALSE),0))</f>
        <v>1177</v>
      </c>
      <c r="H27" s="46">
        <f t="shared" si="2"/>
        <v>2.1518547635153665E-2</v>
      </c>
      <c r="I27" s="50">
        <f>SUM($G$7:G27)</f>
        <v>12129</v>
      </c>
      <c r="J27" s="48">
        <f t="shared" si="3"/>
        <v>0.22174890761833374</v>
      </c>
      <c r="K27" s="18"/>
      <c r="M27" s="1"/>
    </row>
    <row r="28" spans="1:16" ht="25" customHeight="1">
      <c r="A28" s="5"/>
      <c r="B28" s="17"/>
      <c r="C28" s="52">
        <v>29</v>
      </c>
      <c r="D28" s="53">
        <f t="shared" si="1"/>
        <v>57</v>
      </c>
      <c r="E28" s="53">
        <f t="shared" si="0"/>
        <v>3</v>
      </c>
      <c r="F28" s="44">
        <f t="shared" si="4"/>
        <v>77</v>
      </c>
      <c r="G28" s="45">
        <f>IF(D28=D27,"",_xlfn.IFNA(VLOOKUP(D28,'인원 입력 기능'!$AU$5:$AX$55,4,FALSE),0))</f>
        <v>1402</v>
      </c>
      <c r="H28" s="46">
        <f t="shared" si="2"/>
        <v>2.5632118763369106E-2</v>
      </c>
      <c r="I28" s="50">
        <f>SUM($G$7:G28)</f>
        <v>13531</v>
      </c>
      <c r="J28" s="48">
        <f t="shared" si="3"/>
        <v>0.24738102638170284</v>
      </c>
      <c r="K28" s="18"/>
      <c r="M28" s="1"/>
    </row>
    <row r="29" spans="1:16" ht="25" customHeight="1">
      <c r="A29" s="5"/>
      <c r="B29" s="17"/>
      <c r="C29" s="51">
        <v>28</v>
      </c>
      <c r="D29" s="53">
        <f t="shared" si="1"/>
        <v>56</v>
      </c>
      <c r="E29" s="53">
        <f t="shared" si="0"/>
        <v>4</v>
      </c>
      <c r="F29" s="44">
        <f t="shared" si="4"/>
        <v>74</v>
      </c>
      <c r="G29" s="45">
        <f>IF(D29=D28,"",_xlfn.IFNA(VLOOKUP(D29,'인원 입력 기능'!$AU$5:$AX$55,4,FALSE),0))</f>
        <v>1139</v>
      </c>
      <c r="H29" s="46">
        <f t="shared" si="2"/>
        <v>2.0823811177943945E-2</v>
      </c>
      <c r="I29" s="50">
        <f>SUM($G$7:G29)</f>
        <v>14670</v>
      </c>
      <c r="J29" s="48">
        <f t="shared" si="3"/>
        <v>0.2682048375596468</v>
      </c>
      <c r="K29" s="18"/>
      <c r="M29" s="1"/>
    </row>
    <row r="30" spans="1:16" ht="25" customHeight="1">
      <c r="A30" s="5"/>
      <c r="B30" s="17"/>
      <c r="C30" s="52">
        <v>27</v>
      </c>
      <c r="D30" s="53">
        <f t="shared" si="1"/>
        <v>55</v>
      </c>
      <c r="E30" s="53">
        <f t="shared" si="0"/>
        <v>4</v>
      </c>
      <c r="F30" s="44">
        <f t="shared" si="4"/>
        <v>72</v>
      </c>
      <c r="G30" s="45">
        <f>IF(D30=D29,"",_xlfn.IFNA(VLOOKUP(D30,'인원 입력 기능'!$AU$5:$AX$55,4,FALSE),0))</f>
        <v>1546</v>
      </c>
      <c r="H30" s="46">
        <f t="shared" si="2"/>
        <v>2.8264804285426989E-2</v>
      </c>
      <c r="I30" s="50">
        <f>SUM($G$7:G30)</f>
        <v>16216</v>
      </c>
      <c r="J30" s="48">
        <f t="shared" si="3"/>
        <v>0.29646964184507379</v>
      </c>
      <c r="K30" s="18"/>
      <c r="M30" s="1"/>
    </row>
    <row r="31" spans="1:16" ht="25" customHeight="1">
      <c r="A31" s="5"/>
      <c r="B31" s="17"/>
      <c r="C31" s="51">
        <v>26</v>
      </c>
      <c r="D31" s="53">
        <f t="shared" si="1"/>
        <v>54</v>
      </c>
      <c r="E31" s="53">
        <f t="shared" si="0"/>
        <v>4</v>
      </c>
      <c r="F31" s="44">
        <f t="shared" si="4"/>
        <v>69</v>
      </c>
      <c r="G31" s="45">
        <f>IF(D31=D30,"",_xlfn.IFNA(VLOOKUP(D31,'인원 입력 기능'!$AU$5:$AX$55,4,FALSE),0))</f>
        <v>1486</v>
      </c>
      <c r="H31" s="46">
        <f t="shared" si="2"/>
        <v>2.7167851984569537E-2</v>
      </c>
      <c r="I31" s="50">
        <f>SUM($G$7:G31)</f>
        <v>17702</v>
      </c>
      <c r="J31" s="48">
        <f t="shared" si="3"/>
        <v>0.3236374938296433</v>
      </c>
      <c r="K31" s="18"/>
      <c r="M31" s="1"/>
    </row>
    <row r="32" spans="1:16" ht="25" customHeight="1">
      <c r="A32" s="5"/>
      <c r="B32" s="17"/>
      <c r="C32" s="52">
        <v>25</v>
      </c>
      <c r="D32" s="53">
        <f t="shared" si="1"/>
        <v>53</v>
      </c>
      <c r="E32" s="53">
        <f t="shared" si="0"/>
        <v>4</v>
      </c>
      <c r="F32" s="44">
        <f t="shared" si="4"/>
        <v>66</v>
      </c>
      <c r="G32" s="45">
        <f>IF(D32=D31,"",_xlfn.IFNA(VLOOKUP(D32,'인원 입력 기능'!$AU$5:$AX$55,4,FALSE),0))</f>
        <v>1490</v>
      </c>
      <c r="H32" s="46">
        <f t="shared" si="2"/>
        <v>2.7240982137960033E-2</v>
      </c>
      <c r="I32" s="50">
        <f>SUM($G$7:G32)</f>
        <v>19192</v>
      </c>
      <c r="J32" s="48">
        <f t="shared" si="3"/>
        <v>0.35087847596760335</v>
      </c>
      <c r="K32" s="18"/>
      <c r="M32" s="1"/>
    </row>
    <row r="33" spans="1:13" ht="25" customHeight="1">
      <c r="A33" s="5"/>
      <c r="B33" s="17"/>
      <c r="C33" s="51">
        <v>24</v>
      </c>
      <c r="D33" s="298">
        <f t="shared" si="1"/>
        <v>52</v>
      </c>
      <c r="E33" s="298">
        <f t="shared" si="0"/>
        <v>4</v>
      </c>
      <c r="F33" s="288">
        <f t="shared" si="4"/>
        <v>62</v>
      </c>
      <c r="G33" s="290">
        <f>IF(D33=D32,"",_xlfn.IFNA(VLOOKUP(D33,'인원 입력 기능'!$AU$5:$AX$55,4,FALSE),0))</f>
        <v>3347</v>
      </c>
      <c r="H33" s="291">
        <f t="shared" si="2"/>
        <v>6.1191655849498143E-2</v>
      </c>
      <c r="I33" s="293">
        <f>SUM($G$7:G33)</f>
        <v>22539</v>
      </c>
      <c r="J33" s="295">
        <f t="shared" si="3"/>
        <v>0.4120701318171015</v>
      </c>
      <c r="K33" s="18"/>
      <c r="M33" s="1"/>
    </row>
    <row r="34" spans="1:13" ht="25" customHeight="1">
      <c r="A34" s="5"/>
      <c r="B34" s="17"/>
      <c r="C34" s="52">
        <v>23</v>
      </c>
      <c r="D34" s="297"/>
      <c r="E34" s="297"/>
      <c r="F34" s="287"/>
      <c r="G34" s="289"/>
      <c r="H34" s="292"/>
      <c r="I34" s="294"/>
      <c r="J34" s="296"/>
      <c r="K34" s="18"/>
      <c r="M34" s="1"/>
    </row>
    <row r="35" spans="1:13" ht="25" customHeight="1">
      <c r="A35" s="5"/>
      <c r="B35" s="17"/>
      <c r="C35" s="51">
        <v>22</v>
      </c>
      <c r="D35" s="53">
        <f t="shared" si="1"/>
        <v>51</v>
      </c>
      <c r="E35" s="53">
        <f t="shared" si="0"/>
        <v>5</v>
      </c>
      <c r="F35" s="44">
        <f t="shared" si="4"/>
        <v>57</v>
      </c>
      <c r="G35" s="45">
        <f>IF(D35=D34,"",_xlfn.IFNA(VLOOKUP(D35,'인원 입력 기능'!$AU$5:$AX$55,4,FALSE),0))</f>
        <v>1876</v>
      </c>
      <c r="H35" s="46">
        <f t="shared" si="2"/>
        <v>3.4298041940142972E-2</v>
      </c>
      <c r="I35" s="50">
        <f>SUM($G$7:G35)</f>
        <v>24415</v>
      </c>
      <c r="J35" s="48">
        <f t="shared" si="3"/>
        <v>0.44636817375724447</v>
      </c>
      <c r="K35" s="18"/>
      <c r="M35" s="1"/>
    </row>
    <row r="36" spans="1:13" ht="25" customHeight="1">
      <c r="A36" s="5"/>
      <c r="B36" s="17"/>
      <c r="C36" s="52">
        <v>21</v>
      </c>
      <c r="D36" s="53">
        <f t="shared" si="1"/>
        <v>50</v>
      </c>
      <c r="E36" s="53">
        <f t="shared" si="0"/>
        <v>5</v>
      </c>
      <c r="F36" s="44">
        <f t="shared" si="4"/>
        <v>54</v>
      </c>
      <c r="G36" s="45">
        <f>IF(D36=D35,"",_xlfn.IFNA(VLOOKUP(D36,'인원 입력 기능'!$AU$5:$AX$55,4,FALSE),0))</f>
        <v>1906</v>
      </c>
      <c r="H36" s="46">
        <f t="shared" si="2"/>
        <v>3.4846518090571696E-2</v>
      </c>
      <c r="I36" s="50">
        <f>SUM($G$7:G36)</f>
        <v>26321</v>
      </c>
      <c r="J36" s="48">
        <f t="shared" si="3"/>
        <v>0.48121469184781618</v>
      </c>
      <c r="K36" s="18"/>
      <c r="M36" s="1"/>
    </row>
    <row r="37" spans="1:13" ht="25" customHeight="1">
      <c r="A37" s="5"/>
      <c r="B37" s="17"/>
      <c r="C37" s="51">
        <v>20</v>
      </c>
      <c r="D37" s="53">
        <f t="shared" si="1"/>
        <v>49</v>
      </c>
      <c r="E37" s="53">
        <f t="shared" si="0"/>
        <v>5</v>
      </c>
      <c r="F37" s="44">
        <f t="shared" si="4"/>
        <v>50</v>
      </c>
      <c r="G37" s="45">
        <f>IF(D37=D36,"",_xlfn.IFNA(VLOOKUP(D37,'인원 입력 기능'!$AU$5:$AX$55,4,FALSE),0))</f>
        <v>1795</v>
      </c>
      <c r="H37" s="46">
        <f t="shared" si="2"/>
        <v>3.2817156333985409E-2</v>
      </c>
      <c r="I37" s="50">
        <f>SUM($G$7:G37)</f>
        <v>28116</v>
      </c>
      <c r="J37" s="48">
        <f t="shared" si="3"/>
        <v>0.51403184818180159</v>
      </c>
      <c r="K37" s="18"/>
      <c r="M37" s="1"/>
    </row>
    <row r="38" spans="1:13" ht="25" customHeight="1">
      <c r="A38" s="5"/>
      <c r="B38" s="17"/>
      <c r="C38" s="52">
        <v>19</v>
      </c>
      <c r="D38" s="53">
        <f t="shared" si="1"/>
        <v>48</v>
      </c>
      <c r="E38" s="53">
        <f t="shared" si="0"/>
        <v>5</v>
      </c>
      <c r="F38" s="44">
        <f t="shared" si="4"/>
        <v>47</v>
      </c>
      <c r="G38" s="45">
        <f>IF(D38=D37,"",_xlfn.IFNA(VLOOKUP(D38,'인원 입력 기능'!$AU$5:$AX$55,4,FALSE),0))</f>
        <v>2245</v>
      </c>
      <c r="H38" s="46">
        <f t="shared" si="2"/>
        <v>4.1044298590416292E-2</v>
      </c>
      <c r="I38" s="50">
        <f>SUM($G$7:G38)</f>
        <v>30361</v>
      </c>
      <c r="J38" s="48">
        <f t="shared" si="3"/>
        <v>0.55507614677221784</v>
      </c>
      <c r="K38" s="18"/>
      <c r="M38" s="1"/>
    </row>
    <row r="39" spans="1:13" ht="25" customHeight="1">
      <c r="A39" s="5"/>
      <c r="B39" s="17"/>
      <c r="C39" s="51">
        <v>18</v>
      </c>
      <c r="D39" s="53">
        <f t="shared" si="1"/>
        <v>47</v>
      </c>
      <c r="E39" s="53">
        <f t="shared" ref="E39:E57" si="6">IF(ROUND(D39,0)&gt;=$P$7,1,IF(ROUND(D39,0)&gt;=$P$8,2,IF(ROUND(D39,0)&gt;=$P$9,3,IF(ROUND(D39,0)&gt;=$P$10,4,IF(ROUND(D39,0)&gt;=$P$11,5,IF(ROUND(D39,0)&gt;=$P$12,6,IF(ROUND(D39,0)&gt;=$P$13,7,IF(ROUND(D39,0)&gt;=$P$14,8,9))))))))</f>
        <v>5</v>
      </c>
      <c r="F39" s="44">
        <f t="shared" si="4"/>
        <v>43</v>
      </c>
      <c r="G39" s="45">
        <f>IF(D39=D38,"",_xlfn.IFNA(VLOOKUP(D39,'인원 입력 기능'!$AU$5:$AX$55,4,FALSE),0))</f>
        <v>1895</v>
      </c>
      <c r="H39" s="46">
        <f t="shared" si="2"/>
        <v>3.464541016874783E-2</v>
      </c>
      <c r="I39" s="50">
        <f>SUM($G$7:G39)</f>
        <v>32256</v>
      </c>
      <c r="J39" s="48">
        <f t="shared" si="3"/>
        <v>0.58972155694096573</v>
      </c>
      <c r="K39" s="18"/>
      <c r="M39" s="1"/>
    </row>
    <row r="40" spans="1:13" ht="25" customHeight="1">
      <c r="A40" s="5"/>
      <c r="B40" s="17"/>
      <c r="C40" s="52">
        <v>17</v>
      </c>
      <c r="D40" s="53">
        <f t="shared" si="1"/>
        <v>46</v>
      </c>
      <c r="E40" s="53">
        <f t="shared" si="6"/>
        <v>5</v>
      </c>
      <c r="F40" s="44">
        <f t="shared" si="4"/>
        <v>39</v>
      </c>
      <c r="G40" s="45">
        <f>IF(D40=D39,"",_xlfn.IFNA(VLOOKUP(D40,'인원 입력 기능'!$AU$5:$AX$55,4,FALSE),0))</f>
        <v>2214</v>
      </c>
      <c r="H40" s="46">
        <f t="shared" si="2"/>
        <v>4.0477539901639943E-2</v>
      </c>
      <c r="I40" s="50">
        <f>SUM($G$7:G40)</f>
        <v>34470</v>
      </c>
      <c r="J40" s="48">
        <f t="shared" si="3"/>
        <v>0.63019909684260567</v>
      </c>
      <c r="K40" s="18"/>
      <c r="M40" s="1"/>
    </row>
    <row r="41" spans="1:13" ht="25" customHeight="1">
      <c r="A41" s="5"/>
      <c r="B41" s="17"/>
      <c r="C41" s="51">
        <v>16</v>
      </c>
      <c r="D41" s="53">
        <f t="shared" si="1"/>
        <v>45</v>
      </c>
      <c r="E41" s="53">
        <f t="shared" si="6"/>
        <v>6</v>
      </c>
      <c r="F41" s="44">
        <f t="shared" si="4"/>
        <v>35</v>
      </c>
      <c r="G41" s="45">
        <f>IF(D41=D40,"",_xlfn.IFNA(VLOOKUP(D41,'인원 입력 기능'!$AU$5:$AX$55,4,FALSE),0))</f>
        <v>2010</v>
      </c>
      <c r="H41" s="46">
        <f t="shared" si="2"/>
        <v>3.6747902078724609E-2</v>
      </c>
      <c r="I41" s="50">
        <f>SUM($G$7:G41)</f>
        <v>36480</v>
      </c>
      <c r="J41" s="48">
        <f t="shared" si="3"/>
        <v>0.66694699892133025</v>
      </c>
      <c r="K41" s="18"/>
      <c r="M41" s="1"/>
    </row>
    <row r="42" spans="1:13" ht="25" customHeight="1">
      <c r="A42" s="5"/>
      <c r="B42" s="17"/>
      <c r="C42" s="52">
        <v>15</v>
      </c>
      <c r="D42" s="53">
        <f t="shared" si="1"/>
        <v>44</v>
      </c>
      <c r="E42" s="53">
        <f t="shared" si="6"/>
        <v>6</v>
      </c>
      <c r="F42" s="44">
        <f t="shared" si="4"/>
        <v>31</v>
      </c>
      <c r="G42" s="45">
        <f>IF(D42=D41,"",_xlfn.IFNA(VLOOKUP(D42,'인원 입력 기능'!$AU$5:$AX$55,4,FALSE),0))</f>
        <v>2091</v>
      </c>
      <c r="H42" s="46">
        <f t="shared" si="2"/>
        <v>3.8228787684882172E-2</v>
      </c>
      <c r="I42" s="50">
        <f>SUM($G$7:G42)</f>
        <v>38571</v>
      </c>
      <c r="J42" s="48">
        <f t="shared" si="3"/>
        <v>0.70517578660621238</v>
      </c>
      <c r="K42" s="18"/>
      <c r="M42" s="1"/>
    </row>
    <row r="43" spans="1:13" ht="25" customHeight="1">
      <c r="A43" s="5"/>
      <c r="B43" s="17"/>
      <c r="C43" s="51">
        <v>14</v>
      </c>
      <c r="D43" s="53">
        <f t="shared" si="1"/>
        <v>43</v>
      </c>
      <c r="E43" s="53">
        <f t="shared" si="6"/>
        <v>6</v>
      </c>
      <c r="F43" s="44">
        <f t="shared" si="4"/>
        <v>27</v>
      </c>
      <c r="G43" s="45">
        <f>IF(D43=D42,"",_xlfn.IFNA(VLOOKUP(D43,'인원 입력 기능'!$AU$5:$AX$55,4,FALSE),0))</f>
        <v>2196</v>
      </c>
      <c r="H43" s="46">
        <f t="shared" si="2"/>
        <v>4.014845421138271E-2</v>
      </c>
      <c r="I43" s="50">
        <f>SUM($G$7:G43)</f>
        <v>40767</v>
      </c>
      <c r="J43" s="48">
        <f t="shared" si="3"/>
        <v>0.74532424081759507</v>
      </c>
      <c r="K43" s="18"/>
      <c r="M43" s="1"/>
    </row>
    <row r="44" spans="1:13" ht="25" customHeight="1">
      <c r="A44" s="5"/>
      <c r="B44" s="17"/>
      <c r="C44" s="52">
        <v>13</v>
      </c>
      <c r="D44" s="53">
        <f t="shared" si="1"/>
        <v>42</v>
      </c>
      <c r="E44" s="53">
        <f t="shared" si="6"/>
        <v>6</v>
      </c>
      <c r="F44" s="44">
        <f t="shared" si="4"/>
        <v>24</v>
      </c>
      <c r="G44" s="45">
        <f>IF(D44=D43,"",_xlfn.IFNA(VLOOKUP(D44,'인원 입력 기능'!$AU$5:$AX$55,4,FALSE),0))</f>
        <v>1724</v>
      </c>
      <c r="H44" s="46">
        <f t="shared" si="2"/>
        <v>3.1519096111304094E-2</v>
      </c>
      <c r="I44" s="50">
        <f>SUM($G$7:G44)</f>
        <v>42491</v>
      </c>
      <c r="J44" s="48">
        <f t="shared" si="3"/>
        <v>0.77684333692889918</v>
      </c>
      <c r="K44" s="18"/>
      <c r="M44" s="1"/>
    </row>
    <row r="45" spans="1:13" ht="25" customHeight="1">
      <c r="A45" s="5"/>
      <c r="B45" s="17"/>
      <c r="C45" s="51">
        <v>12</v>
      </c>
      <c r="D45" s="53">
        <f t="shared" si="1"/>
        <v>41</v>
      </c>
      <c r="E45" s="53">
        <f t="shared" si="6"/>
        <v>7</v>
      </c>
      <c r="F45" s="44">
        <f t="shared" si="4"/>
        <v>20</v>
      </c>
      <c r="G45" s="45">
        <f>IF(D45=D44,"",_xlfn.IFNA(VLOOKUP(D45,'인원 입력 기능'!$AU$5:$AX$55,4,FALSE),0))</f>
        <v>2270</v>
      </c>
      <c r="H45" s="46">
        <f t="shared" si="2"/>
        <v>4.1501362049106899E-2</v>
      </c>
      <c r="I45" s="50">
        <f>SUM($G$7:G45)</f>
        <v>44761</v>
      </c>
      <c r="J45" s="48">
        <f t="shared" si="3"/>
        <v>0.8183446989780061</v>
      </c>
      <c r="K45" s="18"/>
      <c r="M45" s="1"/>
    </row>
    <row r="46" spans="1:13" ht="25" customHeight="1">
      <c r="A46" s="5"/>
      <c r="B46" s="17"/>
      <c r="C46" s="52">
        <v>11</v>
      </c>
      <c r="D46" s="53">
        <f t="shared" si="1"/>
        <v>40</v>
      </c>
      <c r="E46" s="53">
        <f t="shared" si="6"/>
        <v>7</v>
      </c>
      <c r="F46" s="44">
        <f t="shared" si="4"/>
        <v>17</v>
      </c>
      <c r="G46" s="45">
        <f>IF(D46=D45,"",_xlfn.IFNA(VLOOKUP(D46,'인원 입력 기능'!$AU$5:$AX$55,4,FALSE),0))</f>
        <v>1800</v>
      </c>
      <c r="H46" s="46">
        <f t="shared" si="2"/>
        <v>3.2908569025723533E-2</v>
      </c>
      <c r="I46" s="50">
        <f>SUM($G$7:G46)</f>
        <v>46561</v>
      </c>
      <c r="J46" s="48">
        <f t="shared" si="3"/>
        <v>0.85125326800372969</v>
      </c>
      <c r="K46" s="18"/>
      <c r="M46" s="1"/>
    </row>
    <row r="47" spans="1:13" ht="25" customHeight="1">
      <c r="A47" s="5"/>
      <c r="B47" s="17"/>
      <c r="C47" s="51">
        <v>10</v>
      </c>
      <c r="D47" s="53">
        <f t="shared" si="1"/>
        <v>39</v>
      </c>
      <c r="E47" s="53">
        <f t="shared" si="6"/>
        <v>7</v>
      </c>
      <c r="F47" s="44">
        <f t="shared" si="4"/>
        <v>12</v>
      </c>
      <c r="G47" s="45">
        <f>IF(D47=D46,"",_xlfn.IFNA(VLOOKUP(D47,'인원 입력 기능'!$AU$5:$AX$55,4,FALSE),0))</f>
        <v>2987</v>
      </c>
      <c r="H47" s="46">
        <f t="shared" si="2"/>
        <v>5.4609942044353439E-2</v>
      </c>
      <c r="I47" s="50">
        <f>SUM($G$7:G47)</f>
        <v>49548</v>
      </c>
      <c r="J47" s="48">
        <f t="shared" si="3"/>
        <v>0.90586321004808312</v>
      </c>
      <c r="K47" s="18"/>
      <c r="M47" s="1"/>
    </row>
    <row r="48" spans="1:13" ht="25" customHeight="1">
      <c r="A48" s="5"/>
      <c r="B48" s="17"/>
      <c r="C48" s="52">
        <v>9</v>
      </c>
      <c r="D48" s="53">
        <f t="shared" si="1"/>
        <v>38</v>
      </c>
      <c r="E48" s="53">
        <f t="shared" si="6"/>
        <v>8</v>
      </c>
      <c r="F48" s="44">
        <f t="shared" si="4"/>
        <v>8</v>
      </c>
      <c r="G48" s="45">
        <f>IF(D48=D47,"",_xlfn.IFNA(VLOOKUP(D48,'인원 입력 기능'!$AU$5:$AX$55,4,FALSE),0))</f>
        <v>1406</v>
      </c>
      <c r="H48" s="46">
        <f t="shared" si="2"/>
        <v>2.5705248916759602E-2</v>
      </c>
      <c r="I48" s="50">
        <f>SUM($G$7:G48)</f>
        <v>50954</v>
      </c>
      <c r="J48" s="48">
        <f t="shared" si="3"/>
        <v>0.93156845896484264</v>
      </c>
      <c r="K48" s="18"/>
      <c r="M48" s="1"/>
    </row>
    <row r="49" spans="1:13" ht="25" customHeight="1">
      <c r="A49" s="5"/>
      <c r="B49" s="17"/>
      <c r="C49" s="51">
        <v>8</v>
      </c>
      <c r="D49" s="53">
        <f t="shared" si="1"/>
        <v>37</v>
      </c>
      <c r="E49" s="53">
        <f t="shared" si="6"/>
        <v>8</v>
      </c>
      <c r="F49" s="44">
        <f t="shared" si="4"/>
        <v>6</v>
      </c>
      <c r="G49" s="45">
        <f>IF(D49=D48,"",_xlfn.IFNA(VLOOKUP(D49,'인원 입력 기능'!$AU$5:$AX$55,4,FALSE),0))</f>
        <v>1082</v>
      </c>
      <c r="H49" s="46">
        <f t="shared" si="2"/>
        <v>1.9781706492129368E-2</v>
      </c>
      <c r="I49" s="50">
        <f>SUM($G$7:G49)</f>
        <v>52036</v>
      </c>
      <c r="J49" s="48">
        <f t="shared" si="3"/>
        <v>0.95135016545697204</v>
      </c>
      <c r="K49" s="18"/>
      <c r="M49" s="1"/>
    </row>
    <row r="50" spans="1:13" ht="25" customHeight="1">
      <c r="A50" s="5"/>
      <c r="B50" s="17"/>
      <c r="C50" s="52">
        <v>7</v>
      </c>
      <c r="D50" s="53">
        <f t="shared" si="1"/>
        <v>36</v>
      </c>
      <c r="E50" s="53">
        <f t="shared" si="6"/>
        <v>8</v>
      </c>
      <c r="F50" s="44">
        <f t="shared" si="4"/>
        <v>4</v>
      </c>
      <c r="G50" s="45">
        <f>IF(D50=D49,"",_xlfn.IFNA(VLOOKUP(D50,'인원 입력 기능'!$AU$5:$AX$55,4,FALSE),0))</f>
        <v>1056</v>
      </c>
      <c r="H50" s="46">
        <f t="shared" si="2"/>
        <v>1.930636049509114E-2</v>
      </c>
      <c r="I50" s="50">
        <f>SUM($G$7:G50)</f>
        <v>53092</v>
      </c>
      <c r="J50" s="48">
        <f t="shared" si="3"/>
        <v>0.9706565259520632</v>
      </c>
      <c r="K50" s="18"/>
      <c r="M50" s="1"/>
    </row>
    <row r="51" spans="1:13" ht="25" customHeight="1">
      <c r="A51" s="5"/>
      <c r="B51" s="17"/>
      <c r="C51" s="51">
        <v>6</v>
      </c>
      <c r="D51" s="53">
        <f t="shared" si="1"/>
        <v>35</v>
      </c>
      <c r="E51" s="53">
        <f t="shared" si="6"/>
        <v>9</v>
      </c>
      <c r="F51" s="44">
        <f t="shared" si="4"/>
        <v>2</v>
      </c>
      <c r="G51" s="45">
        <f>IF(D51=D50,"",_xlfn.IFNA(VLOOKUP(D51,'인원 입력 기능'!$AU$5:$AX$55,4,FALSE),0))</f>
        <v>482</v>
      </c>
      <c r="H51" s="46">
        <f t="shared" si="2"/>
        <v>8.8121834835548571E-3</v>
      </c>
      <c r="I51" s="50">
        <f>SUM($G$7:G51)</f>
        <v>53574</v>
      </c>
      <c r="J51" s="48">
        <f t="shared" si="3"/>
        <v>0.97946870943561803</v>
      </c>
      <c r="K51" s="18"/>
      <c r="M51" s="1"/>
    </row>
    <row r="52" spans="1:13" ht="25" customHeight="1">
      <c r="A52" s="5"/>
      <c r="B52" s="17"/>
      <c r="C52" s="52">
        <v>5</v>
      </c>
      <c r="D52" s="53">
        <f t="shared" si="1"/>
        <v>34</v>
      </c>
      <c r="E52" s="53">
        <f t="shared" si="6"/>
        <v>9</v>
      </c>
      <c r="F52" s="44">
        <f t="shared" si="4"/>
        <v>2</v>
      </c>
      <c r="G52" s="45">
        <f>IF(D52=D51,"",_xlfn.IFNA(VLOOKUP(D52,'인원 입력 기능'!$AU$5:$AX$55,4,FALSE),0))</f>
        <v>504</v>
      </c>
      <c r="H52" s="46">
        <f t="shared" si="2"/>
        <v>9.2143993272025895E-3</v>
      </c>
      <c r="I52" s="50">
        <f>SUM($G$7:G52)</f>
        <v>54078</v>
      </c>
      <c r="J52" s="48">
        <f t="shared" si="3"/>
        <v>0.98868310876282062</v>
      </c>
      <c r="K52" s="18"/>
      <c r="M52" s="1"/>
    </row>
    <row r="53" spans="1:13" ht="25" customHeight="1">
      <c r="A53" s="5"/>
      <c r="B53" s="17"/>
      <c r="C53" s="51">
        <v>4</v>
      </c>
      <c r="D53" s="43">
        <f t="shared" si="1"/>
        <v>33</v>
      </c>
      <c r="E53" s="43">
        <f t="shared" si="6"/>
        <v>9</v>
      </c>
      <c r="F53" s="44">
        <f t="shared" si="4"/>
        <v>1</v>
      </c>
      <c r="G53" s="45">
        <f>IF(D53=D52,"",_xlfn.IFNA(VLOOKUP(D53,'인원 입력 기능'!$AU$5:$AX$55,4,FALSE),0))</f>
        <v>316</v>
      </c>
      <c r="H53" s="46">
        <f t="shared" si="2"/>
        <v>5.7772821178492424E-3</v>
      </c>
      <c r="I53" s="50">
        <f>SUM($G$7:G53)</f>
        <v>54394</v>
      </c>
      <c r="J53" s="48">
        <f t="shared" si="3"/>
        <v>0.99446039088066984</v>
      </c>
      <c r="K53" s="18"/>
      <c r="M53" s="1"/>
    </row>
    <row r="54" spans="1:13" ht="25" customHeight="1">
      <c r="A54" s="5"/>
      <c r="B54" s="17"/>
      <c r="C54" s="49">
        <v>3</v>
      </c>
      <c r="D54" s="43">
        <f t="shared" si="1"/>
        <v>32</v>
      </c>
      <c r="E54" s="43">
        <f t="shared" si="6"/>
        <v>9</v>
      </c>
      <c r="F54" s="44">
        <f t="shared" si="4"/>
        <v>0</v>
      </c>
      <c r="G54" s="45">
        <f>IF(D54=D53,"",_xlfn.IFNA(VLOOKUP(D54,'인원 입력 기능'!$AU$5:$AX$55,4,FALSE),0))</f>
        <v>114</v>
      </c>
      <c r="H54" s="46">
        <f t="shared" si="2"/>
        <v>2.0842093716291572E-3</v>
      </c>
      <c r="I54" s="50">
        <f>SUM($G$7:G54)</f>
        <v>54508</v>
      </c>
      <c r="J54" s="48">
        <f t="shared" si="3"/>
        <v>0.99654460025229907</v>
      </c>
      <c r="K54" s="18"/>
      <c r="M54" s="1"/>
    </row>
    <row r="55" spans="1:13" ht="25" customHeight="1">
      <c r="A55" s="5"/>
      <c r="B55" s="17"/>
      <c r="C55" s="42">
        <v>2</v>
      </c>
      <c r="D55" s="43">
        <f t="shared" si="1"/>
        <v>31</v>
      </c>
      <c r="E55" s="43">
        <f t="shared" si="6"/>
        <v>9</v>
      </c>
      <c r="F55" s="44">
        <f t="shared" si="4"/>
        <v>0</v>
      </c>
      <c r="G55" s="45">
        <f>IF(D55=D54,"",_xlfn.IFNA(VLOOKUP(D55,'인원 입력 기능'!$AU$5:$AX$55,4,FALSE),0))</f>
        <v>145</v>
      </c>
      <c r="H55" s="46">
        <f t="shared" si="2"/>
        <v>2.6509680604055066E-3</v>
      </c>
      <c r="I55" s="50">
        <f>SUM($G$7:G55)</f>
        <v>54653</v>
      </c>
      <c r="J55" s="48">
        <f t="shared" si="3"/>
        <v>0.99919556831270451</v>
      </c>
      <c r="K55" s="18"/>
      <c r="M55" s="1"/>
    </row>
    <row r="56" spans="1:13" ht="25" customHeight="1">
      <c r="A56" s="5"/>
      <c r="B56" s="17"/>
      <c r="C56" s="49">
        <v>1</v>
      </c>
      <c r="D56" s="111" t="s">
        <v>31</v>
      </c>
      <c r="E56" s="112"/>
      <c r="F56" s="112"/>
      <c r="G56" s="112"/>
      <c r="H56" s="112"/>
      <c r="I56" s="112"/>
      <c r="J56" s="113"/>
      <c r="K56" s="18"/>
      <c r="M56" s="1"/>
    </row>
    <row r="57" spans="1:13" ht="25" customHeight="1" thickBot="1">
      <c r="A57" s="5"/>
      <c r="B57" s="17"/>
      <c r="C57" s="57">
        <v>0</v>
      </c>
      <c r="D57" s="58">
        <f>ROUND(10*(C57-$H$3)/$H$4+50,0)</f>
        <v>29</v>
      </c>
      <c r="E57" s="59">
        <f t="shared" si="6"/>
        <v>9</v>
      </c>
      <c r="F57" s="60">
        <f>IF(I55=0,ROUND(100*(1-(I54+I57)/2/$J$3),0),ROUND(100*(1-(I55+I57)/2/$J$3),0))</f>
        <v>0</v>
      </c>
      <c r="G57" s="61">
        <f>_xlfn.IFNA(VLOOKUP(D57,'인원 입력 기능'!$AU$5:$AX$55,4,FALSE),0)</f>
        <v>44</v>
      </c>
      <c r="H57" s="62">
        <f>G57/J3</f>
        <v>8.0443168729546412E-4</v>
      </c>
      <c r="I57" s="63">
        <f>SUM($G$7:G57)</f>
        <v>54697</v>
      </c>
      <c r="J57" s="64">
        <f>I57/J3</f>
        <v>1</v>
      </c>
      <c r="K57" s="18"/>
      <c r="M57" s="1"/>
    </row>
    <row r="58" spans="1:13" ht="6" customHeight="1">
      <c r="A58" s="5"/>
      <c r="B58" s="20"/>
      <c r="C58" s="21"/>
      <c r="D58" s="21"/>
      <c r="E58" s="21"/>
      <c r="F58" s="21"/>
      <c r="G58" s="21"/>
      <c r="H58" s="21"/>
      <c r="I58" s="21"/>
      <c r="J58" s="21"/>
      <c r="K58" s="22"/>
      <c r="M58" s="1"/>
    </row>
    <row r="59" spans="1:13">
      <c r="M59" s="1"/>
    </row>
    <row r="60" spans="1:13">
      <c r="M60" s="1"/>
    </row>
    <row r="61" spans="1:13">
      <c r="M61" s="1"/>
    </row>
    <row r="62" spans="1:13">
      <c r="M62" s="1"/>
    </row>
    <row r="63" spans="1:13">
      <c r="M63" s="1"/>
    </row>
    <row r="64" spans="1:13">
      <c r="M64" s="1"/>
    </row>
    <row r="65" spans="13:13">
      <c r="M65" s="1"/>
    </row>
    <row r="66" spans="13:13">
      <c r="M66" s="1"/>
    </row>
    <row r="67" spans="13:13">
      <c r="M67" s="1"/>
    </row>
    <row r="68" spans="13:13">
      <c r="M68" s="1"/>
    </row>
    <row r="69" spans="13:13">
      <c r="M69" s="1"/>
    </row>
    <row r="70" spans="13:13">
      <c r="M70" s="1"/>
    </row>
    <row r="71" spans="13:13">
      <c r="M71" s="1"/>
    </row>
    <row r="72" spans="13:13">
      <c r="M72" s="1"/>
    </row>
    <row r="73" spans="13:13">
      <c r="M73" s="1"/>
    </row>
    <row r="74" spans="13:13">
      <c r="M74" s="1"/>
    </row>
    <row r="75" spans="13:13">
      <c r="M75" s="1"/>
    </row>
    <row r="76" spans="13:13">
      <c r="M76" s="1"/>
    </row>
    <row r="77" spans="13:13">
      <c r="M77" s="1"/>
    </row>
    <row r="78" spans="13:13">
      <c r="M78" s="1"/>
    </row>
    <row r="79" spans="13:13">
      <c r="M79" s="1"/>
    </row>
    <row r="80" spans="13:13">
      <c r="M80" s="1"/>
    </row>
    <row r="81" spans="13:13">
      <c r="M81" s="1"/>
    </row>
    <row r="82" spans="13:13">
      <c r="M82" s="1"/>
    </row>
    <row r="83" spans="13:13">
      <c r="M83" s="1"/>
    </row>
    <row r="84" spans="13:13">
      <c r="M84" s="1"/>
    </row>
    <row r="85" spans="13:13">
      <c r="M85" s="1"/>
    </row>
    <row r="86" spans="13:13">
      <c r="M86" s="1"/>
    </row>
    <row r="87" spans="13:13">
      <c r="M87" s="1"/>
    </row>
    <row r="88" spans="13:13">
      <c r="M88" s="1"/>
    </row>
    <row r="89" spans="13:13">
      <c r="M89" s="1"/>
    </row>
    <row r="90" spans="13:13">
      <c r="M90" s="1"/>
    </row>
    <row r="91" spans="13:13">
      <c r="M91" s="1"/>
    </row>
    <row r="92" spans="13:13">
      <c r="M92" s="1"/>
    </row>
    <row r="93" spans="13:13">
      <c r="M93" s="1"/>
    </row>
    <row r="94" spans="13:13">
      <c r="M94" s="1"/>
    </row>
    <row r="95" spans="13:13">
      <c r="M95" s="1"/>
    </row>
    <row r="96" spans="13:13">
      <c r="M96" s="1"/>
    </row>
    <row r="97" spans="13:13">
      <c r="M97" s="1"/>
    </row>
    <row r="98" spans="13:13">
      <c r="M98" s="1"/>
    </row>
    <row r="99" spans="13:13">
      <c r="M99" s="1"/>
    </row>
    <row r="100" spans="13:13">
      <c r="M100" s="1"/>
    </row>
    <row r="101" spans="13:13">
      <c r="M101" s="1"/>
    </row>
    <row r="102" spans="13:13">
      <c r="M102" s="1"/>
    </row>
    <row r="103" spans="13:13">
      <c r="M103" s="1"/>
    </row>
    <row r="104" spans="13:13">
      <c r="M104" s="1"/>
    </row>
    <row r="105" spans="13:13">
      <c r="M105" s="1"/>
    </row>
  </sheetData>
  <mergeCells count="11">
    <mergeCell ref="D3:F3"/>
    <mergeCell ref="D4:F4"/>
    <mergeCell ref="D56:J56"/>
    <mergeCell ref="D8:J8"/>
    <mergeCell ref="D33:D34"/>
    <mergeCell ref="E33:E34"/>
    <mergeCell ref="F33:F34"/>
    <mergeCell ref="G33:G34"/>
    <mergeCell ref="H33:H34"/>
    <mergeCell ref="I33:I34"/>
    <mergeCell ref="J33:J34"/>
  </mergeCells>
  <phoneticPr fontId="1" type="noConversion"/>
  <conditionalFormatting sqref="D7:J7 D57:J57 D9:J33 D35:J55">
    <cfRule type="expression" dxfId="97" priority="7">
      <formula>OR($D7=$P$7:$P$14)</formula>
    </cfRule>
  </conditionalFormatting>
  <conditionalFormatting sqref="C7:C57">
    <cfRule type="expression" dxfId="96" priority="6">
      <formula>OR(AND($D7=0,OR($D6=$P$7:$P$14)),AND($D8&gt;0,OR($D7=$P$7:$P$14)))</formula>
    </cfRule>
  </conditionalFormatting>
  <conditionalFormatting sqref="D7 D57 D9:D33 D35:D55">
    <cfRule type="expression" dxfId="95" priority="5">
      <formula>$D7=$D8</formula>
    </cfRule>
  </conditionalFormatting>
  <conditionalFormatting sqref="D56">
    <cfRule type="expression" dxfId="94" priority="4">
      <formula>OR($D56=$P$7:$P$14)</formula>
    </cfRule>
  </conditionalFormatting>
  <conditionalFormatting sqref="D56">
    <cfRule type="expression" dxfId="93" priority="3">
      <formula>$D56=$D57</formula>
    </cfRule>
  </conditionalFormatting>
  <conditionalFormatting sqref="D8">
    <cfRule type="expression" dxfId="92" priority="2">
      <formula>OR($D8=$P$7:$P$14)</formula>
    </cfRule>
  </conditionalFormatting>
  <conditionalFormatting sqref="D8">
    <cfRule type="expression" dxfId="91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68BF7-AFD5-474A-95FA-3D74AEB9D3B3}">
  <sheetPr codeName="Sheet18"/>
  <dimension ref="A1:P105"/>
  <sheetViews>
    <sheetView zoomScaleNormal="100" workbookViewId="0">
      <selection activeCell="B2" sqref="B2:K58"/>
    </sheetView>
  </sheetViews>
  <sheetFormatPr defaultRowHeight="17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6">
      <c r="A1" s="5" t="s">
        <v>44</v>
      </c>
      <c r="C1" s="5"/>
      <c r="D1" s="5"/>
      <c r="E1" s="5"/>
      <c r="F1" s="5"/>
      <c r="G1" s="5"/>
      <c r="H1" s="5"/>
      <c r="I1" s="5"/>
      <c r="J1" s="5"/>
      <c r="K1" s="5"/>
    </row>
    <row r="2" spans="1:16" s="5" customFormat="1" ht="6" customHeight="1" thickBot="1">
      <c r="B2" s="15"/>
      <c r="C2" s="23"/>
      <c r="D2" s="23"/>
      <c r="E2" s="23"/>
      <c r="F2" s="23"/>
      <c r="G2" s="23"/>
      <c r="H2" s="23"/>
      <c r="I2" s="23"/>
      <c r="J2" s="23"/>
      <c r="K2" s="16"/>
    </row>
    <row r="3" spans="1:16" ht="25" customHeight="1" thickBot="1">
      <c r="A3" s="5"/>
      <c r="B3" s="17"/>
      <c r="C3" s="34" t="s">
        <v>47</v>
      </c>
      <c r="D3" s="105" t="s">
        <v>115</v>
      </c>
      <c r="E3" s="106"/>
      <c r="F3" s="107"/>
      <c r="G3" s="34" t="s">
        <v>48</v>
      </c>
      <c r="H3" s="101">
        <f>'통계 및 응시자 수 입력 기능'!D14</f>
        <v>26.75</v>
      </c>
      <c r="I3" s="103" t="s">
        <v>49</v>
      </c>
      <c r="J3" s="104">
        <f>'통계 및 응시자 수 입력 기능'!C14</f>
        <v>64919</v>
      </c>
      <c r="K3" s="18"/>
    </row>
    <row r="4" spans="1:16" ht="25" customHeight="1" thickBot="1">
      <c r="A4" s="5"/>
      <c r="B4" s="17"/>
      <c r="C4" s="35" t="s">
        <v>50</v>
      </c>
      <c r="D4" s="108" t="s">
        <v>63</v>
      </c>
      <c r="E4" s="109"/>
      <c r="F4" s="110"/>
      <c r="G4" s="36" t="s">
        <v>52</v>
      </c>
      <c r="H4" s="102">
        <f>'통계 및 응시자 수 입력 기능'!E14</f>
        <v>11.96</v>
      </c>
      <c r="I4" s="12"/>
      <c r="J4" s="12"/>
      <c r="K4" s="18"/>
    </row>
    <row r="5" spans="1:16" ht="25" customHeight="1" thickBot="1">
      <c r="A5" s="5"/>
      <c r="B5" s="17"/>
      <c r="C5" s="12"/>
      <c r="D5" s="12"/>
      <c r="E5" s="12"/>
      <c r="F5" s="12"/>
      <c r="G5" s="12"/>
      <c r="H5" s="19"/>
      <c r="I5" s="19"/>
      <c r="J5" s="19"/>
      <c r="K5" s="18"/>
    </row>
    <row r="6" spans="1:16" ht="25" customHeight="1" thickBot="1">
      <c r="A6" s="5"/>
      <c r="B6" s="17"/>
      <c r="C6" s="38" t="s">
        <v>73</v>
      </c>
      <c r="D6" s="39" t="s">
        <v>74</v>
      </c>
      <c r="E6" s="39" t="s">
        <v>75</v>
      </c>
      <c r="F6" s="39" t="s">
        <v>76</v>
      </c>
      <c r="G6" s="39" t="s">
        <v>77</v>
      </c>
      <c r="H6" s="40" t="s">
        <v>78</v>
      </c>
      <c r="I6" s="40" t="s">
        <v>79</v>
      </c>
      <c r="J6" s="41" t="s">
        <v>80</v>
      </c>
      <c r="K6" s="18"/>
      <c r="L6" s="3"/>
      <c r="M6" s="4"/>
    </row>
    <row r="7" spans="1:16" ht="25" customHeight="1">
      <c r="A7" s="5"/>
      <c r="B7" s="17"/>
      <c r="C7" s="42">
        <v>50</v>
      </c>
      <c r="D7" s="43">
        <f>ROUND(10*(C7-$H$3)/$H$4+50,0)</f>
        <v>69</v>
      </c>
      <c r="E7" s="43">
        <f t="shared" ref="E7:E38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44">
        <f>ROUND(100*(1-(0+I7)/2/$J$3),0)</f>
        <v>99</v>
      </c>
      <c r="G7" s="45">
        <f>_xlfn.IFNA(VLOOKUP(D7,'인원 입력 기능'!$AZ$5:$BC$55,4,FALSE),0)</f>
        <v>817</v>
      </c>
      <c r="H7" s="46">
        <f>G7/J3</f>
        <v>1.2584913507601781E-2</v>
      </c>
      <c r="I7" s="47">
        <f>G7</f>
        <v>817</v>
      </c>
      <c r="J7" s="48">
        <f>I7/J3</f>
        <v>1.2584913507601781E-2</v>
      </c>
      <c r="K7" s="18"/>
      <c r="M7" s="1"/>
      <c r="O7" s="1">
        <v>1</v>
      </c>
      <c r="P7" s="1">
        <f>'표준점수 등급컷 입력기능'!E42</f>
        <v>67</v>
      </c>
    </row>
    <row r="8" spans="1:16" ht="25" customHeight="1">
      <c r="A8" s="5"/>
      <c r="B8" s="17"/>
      <c r="C8" s="49">
        <v>49</v>
      </c>
      <c r="D8" s="111" t="s">
        <v>31</v>
      </c>
      <c r="E8" s="112"/>
      <c r="F8" s="112"/>
      <c r="G8" s="112"/>
      <c r="H8" s="112"/>
      <c r="I8" s="112"/>
      <c r="J8" s="113"/>
      <c r="K8" s="18"/>
      <c r="M8" s="1"/>
      <c r="O8" s="1">
        <v>2</v>
      </c>
      <c r="P8" s="1">
        <f>'표준점수 등급컷 입력기능'!E43</f>
        <v>63</v>
      </c>
    </row>
    <row r="9" spans="1:16" ht="25" customHeight="1">
      <c r="A9" s="5"/>
      <c r="B9" s="17"/>
      <c r="C9" s="42">
        <v>48</v>
      </c>
      <c r="D9" s="43">
        <f>ROUND(10*(C9-$H$3)/$H$4+50,0)</f>
        <v>68</v>
      </c>
      <c r="E9" s="43">
        <f t="shared" si="0"/>
        <v>1</v>
      </c>
      <c r="F9" s="44">
        <f>IF(I8=0,ROUND(100*(1-(I7+I9)/2/$J$3),0),ROUND(100*(1-(I8+I9)/2/$J$3),0))</f>
        <v>98</v>
      </c>
      <c r="G9" s="45">
        <f>_xlfn.IFNA(VLOOKUP(D9,'인원 입력 기능'!$AZ$5:$BC$55,4,FALSE),0)</f>
        <v>606</v>
      </c>
      <c r="H9" s="46">
        <f>G9/$J$3</f>
        <v>9.3347094071073184E-3</v>
      </c>
      <c r="I9" s="50">
        <f>SUM($G$7:G9)</f>
        <v>1423</v>
      </c>
      <c r="J9" s="48">
        <f>I9/$J$3</f>
        <v>2.19196229147091E-2</v>
      </c>
      <c r="K9" s="18"/>
      <c r="M9" s="1"/>
      <c r="O9" s="1">
        <v>3</v>
      </c>
      <c r="P9" s="1">
        <f>'표준점수 등급컷 입력기능'!E44</f>
        <v>59</v>
      </c>
    </row>
    <row r="10" spans="1:16" ht="25" customHeight="1">
      <c r="A10" s="5"/>
      <c r="B10" s="17"/>
      <c r="C10" s="49">
        <v>47</v>
      </c>
      <c r="D10" s="43">
        <f t="shared" ref="D10:D55" si="1">ROUND(10*(C10-$H$3)/$H$4+50,0)</f>
        <v>67</v>
      </c>
      <c r="E10" s="43">
        <f t="shared" si="0"/>
        <v>1</v>
      </c>
      <c r="F10" s="44">
        <f>IF(I9=0,ROUND(100*(1-(I8+I10)/2/$J$3),0),ROUND(100*(1-(I9+I10)/2/$J$3),0))</f>
        <v>97</v>
      </c>
      <c r="G10" s="45">
        <f>IF(D10=D9,"",_xlfn.IFNA(VLOOKUP(D10,'인원 입력 기능'!$AZ$5:$BC$55,4,FALSE),0))</f>
        <v>1340</v>
      </c>
      <c r="H10" s="46">
        <f t="shared" ref="H10:H55" si="2">G10/$J$3</f>
        <v>2.0641106609775257E-2</v>
      </c>
      <c r="I10" s="50">
        <f>SUM($G$7:G10)</f>
        <v>2763</v>
      </c>
      <c r="J10" s="48">
        <f t="shared" ref="J10:J55" si="3">I10/$J$3</f>
        <v>4.2560729524484357E-2</v>
      </c>
      <c r="K10" s="18"/>
      <c r="M10" s="1"/>
      <c r="O10" s="1">
        <v>4</v>
      </c>
      <c r="P10" s="1">
        <f>'표준점수 등급컷 입력기능'!E45</f>
        <v>54</v>
      </c>
    </row>
    <row r="11" spans="1:16" ht="25" customHeight="1">
      <c r="A11" s="5"/>
      <c r="B11" s="17"/>
      <c r="C11" s="42">
        <v>46</v>
      </c>
      <c r="D11" s="43">
        <f t="shared" si="1"/>
        <v>66</v>
      </c>
      <c r="E11" s="43">
        <f t="shared" si="0"/>
        <v>2</v>
      </c>
      <c r="F11" s="44">
        <f t="shared" ref="F11:F55" si="4">IF(I10=0,ROUND(100*(1-(I9+I11)/2/$J$3),0),ROUND(100*(1-(I10+I11)/2/$J$3),0))</f>
        <v>96</v>
      </c>
      <c r="G11" s="45">
        <f>IF(D11=D10,"",_xlfn.IFNA(VLOOKUP(D11,'인원 입력 기능'!$AZ$5:$BC$55,4,FALSE),0))</f>
        <v>120</v>
      </c>
      <c r="H11" s="46">
        <f t="shared" si="2"/>
        <v>1.8484573083380829E-3</v>
      </c>
      <c r="I11" s="50">
        <f>SUM($G$7:G11)</f>
        <v>2883</v>
      </c>
      <c r="J11" s="48">
        <f t="shared" si="3"/>
        <v>4.4409186832822439E-2</v>
      </c>
      <c r="K11" s="18"/>
      <c r="M11" s="1"/>
      <c r="O11" s="1">
        <v>5</v>
      </c>
      <c r="P11" s="1">
        <f>'표준점수 등급컷 입력기능'!E46</f>
        <v>46</v>
      </c>
    </row>
    <row r="12" spans="1:16" ht="25" customHeight="1">
      <c r="A12" s="5"/>
      <c r="B12" s="17"/>
      <c r="C12" s="49">
        <v>45</v>
      </c>
      <c r="D12" s="43">
        <f t="shared" si="1"/>
        <v>65</v>
      </c>
      <c r="E12" s="43">
        <f t="shared" si="0"/>
        <v>2</v>
      </c>
      <c r="F12" s="44">
        <f t="shared" si="4"/>
        <v>94</v>
      </c>
      <c r="G12" s="45">
        <f>IF(D12=D11,"",_xlfn.IFNA(VLOOKUP(D12,'인원 입력 기능'!$AZ$5:$BC$55,4,FALSE),0))</f>
        <v>1909</v>
      </c>
      <c r="H12" s="46">
        <f t="shared" si="2"/>
        <v>2.9405875013478334E-2</v>
      </c>
      <c r="I12" s="50">
        <f>SUM($G$7:G12)</f>
        <v>4792</v>
      </c>
      <c r="J12" s="48">
        <f t="shared" si="3"/>
        <v>7.3815061846300781E-2</v>
      </c>
      <c r="K12" s="18"/>
      <c r="M12" s="1"/>
      <c r="O12" s="1">
        <v>6</v>
      </c>
      <c r="P12" s="1">
        <f>'표준점수 등급컷 입력기능'!E47</f>
        <v>41</v>
      </c>
    </row>
    <row r="13" spans="1:16" ht="25" customHeight="1">
      <c r="A13" s="5"/>
      <c r="B13" s="17"/>
      <c r="C13" s="42">
        <v>44</v>
      </c>
      <c r="D13" s="286">
        <f t="shared" si="1"/>
        <v>64</v>
      </c>
      <c r="E13" s="286">
        <f t="shared" si="0"/>
        <v>2</v>
      </c>
      <c r="F13" s="288">
        <f t="shared" si="4"/>
        <v>91</v>
      </c>
      <c r="G13" s="290">
        <f>IF(D13=D12,"",_xlfn.IFNA(VLOOKUP(D13,'인원 입력 기능'!$AZ$5:$BC$55,4,FALSE),0))</f>
        <v>1995</v>
      </c>
      <c r="H13" s="291">
        <f t="shared" si="2"/>
        <v>3.0730602751120627E-2</v>
      </c>
      <c r="I13" s="293">
        <f>SUM($G$7:G13)</f>
        <v>6787</v>
      </c>
      <c r="J13" s="295">
        <f t="shared" si="3"/>
        <v>0.1045456645974214</v>
      </c>
      <c r="K13" s="18"/>
      <c r="M13" s="1"/>
      <c r="O13" s="1">
        <v>7</v>
      </c>
      <c r="P13" s="1">
        <f>'표준점수 등급컷 입력기능'!E48</f>
        <v>38</v>
      </c>
    </row>
    <row r="14" spans="1:16" ht="25" customHeight="1">
      <c r="A14" s="5"/>
      <c r="B14" s="17"/>
      <c r="C14" s="49">
        <v>43</v>
      </c>
      <c r="D14" s="285"/>
      <c r="E14" s="285"/>
      <c r="F14" s="287"/>
      <c r="G14" s="289"/>
      <c r="H14" s="292"/>
      <c r="I14" s="294"/>
      <c r="J14" s="296"/>
      <c r="K14" s="18"/>
      <c r="M14" s="1"/>
      <c r="O14" s="1">
        <v>8</v>
      </c>
      <c r="P14" s="1">
        <f>'표준점수 등급컷 입력기능'!E49</f>
        <v>35</v>
      </c>
    </row>
    <row r="15" spans="1:16" ht="25" customHeight="1">
      <c r="A15" s="5"/>
      <c r="B15" s="17"/>
      <c r="C15" s="42">
        <v>42</v>
      </c>
      <c r="D15" s="43">
        <f t="shared" si="1"/>
        <v>63</v>
      </c>
      <c r="E15" s="43">
        <f t="shared" si="0"/>
        <v>2</v>
      </c>
      <c r="F15" s="44">
        <f t="shared" si="4"/>
        <v>88</v>
      </c>
      <c r="G15" s="45">
        <f>IF(D15=D14,"",_xlfn.IFNA(VLOOKUP(D15,'인원 입력 기능'!$AZ$5:$BC$55,4,FALSE),0))</f>
        <v>2626</v>
      </c>
      <c r="H15" s="46">
        <f t="shared" si="2"/>
        <v>4.0450407430798377E-2</v>
      </c>
      <c r="I15" s="50">
        <f>SUM($G$7:G15)</f>
        <v>9413</v>
      </c>
      <c r="J15" s="48">
        <f t="shared" si="3"/>
        <v>0.14499607202821979</v>
      </c>
      <c r="K15" s="18"/>
      <c r="M15" s="1"/>
      <c r="O15" s="1">
        <v>9</v>
      </c>
      <c r="P15" s="1"/>
    </row>
    <row r="16" spans="1:16" ht="25" customHeight="1">
      <c r="A16" s="5"/>
      <c r="B16" s="17"/>
      <c r="C16" s="49">
        <v>41</v>
      </c>
      <c r="D16" s="43">
        <f t="shared" si="1"/>
        <v>62</v>
      </c>
      <c r="E16" s="43">
        <f t="shared" si="0"/>
        <v>3</v>
      </c>
      <c r="F16" s="44">
        <f t="shared" si="4"/>
        <v>85</v>
      </c>
      <c r="G16" s="45">
        <f>IF(D16=D15,"",_xlfn.IFNA(VLOOKUP(D16,'인원 입력 기능'!$AZ$5:$BC$55,4,FALSE),0))</f>
        <v>1097</v>
      </c>
      <c r="H16" s="46">
        <f t="shared" si="2"/>
        <v>1.689798056039064E-2</v>
      </c>
      <c r="I16" s="50">
        <f>SUM($G$7:G16)</f>
        <v>10510</v>
      </c>
      <c r="J16" s="48">
        <f t="shared" si="3"/>
        <v>0.16189405258861042</v>
      </c>
      <c r="K16" s="18"/>
      <c r="M16" s="1"/>
    </row>
    <row r="17" spans="1:16" ht="25" customHeight="1">
      <c r="A17" s="5"/>
      <c r="B17" s="17"/>
      <c r="C17" s="42">
        <v>40</v>
      </c>
      <c r="D17" s="43">
        <f t="shared" si="1"/>
        <v>61</v>
      </c>
      <c r="E17" s="43">
        <f t="shared" si="0"/>
        <v>3</v>
      </c>
      <c r="F17" s="44">
        <f t="shared" si="4"/>
        <v>83</v>
      </c>
      <c r="G17" s="45">
        <f>IF(D17=D16,"",_xlfn.IFNA(VLOOKUP(D17,'인원 입력 기능'!$AZ$5:$BC$55,4,FALSE),0))</f>
        <v>1429</v>
      </c>
      <c r="H17" s="46">
        <f t="shared" si="2"/>
        <v>2.2012045780126003E-2</v>
      </c>
      <c r="I17" s="50">
        <f>SUM($G$7:G17)</f>
        <v>11939</v>
      </c>
      <c r="J17" s="48">
        <f t="shared" si="3"/>
        <v>0.18390609836873642</v>
      </c>
      <c r="K17" s="18"/>
      <c r="M17" s="1"/>
      <c r="P17" s="1">
        <f>H3*H4*J3*P7*IFERROR(IF(J57=1, 1, 0), 0)</f>
        <v>1391558889.8900001</v>
      </c>
    </row>
    <row r="18" spans="1:16" ht="25" customHeight="1">
      <c r="A18" s="5"/>
      <c r="B18" s="17"/>
      <c r="C18" s="49">
        <v>39</v>
      </c>
      <c r="D18" s="43">
        <f t="shared" si="1"/>
        <v>60</v>
      </c>
      <c r="E18" s="43">
        <f t="shared" si="0"/>
        <v>3</v>
      </c>
      <c r="F18" s="44">
        <f t="shared" si="4"/>
        <v>80</v>
      </c>
      <c r="G18" s="45">
        <f>IF(D18=D17,"",_xlfn.IFNA(VLOOKUP(D18,'인원 입력 기능'!$AZ$5:$BC$55,4,FALSE),0))</f>
        <v>2354</v>
      </c>
      <c r="H18" s="46">
        <f t="shared" si="2"/>
        <v>3.6260570865232059E-2</v>
      </c>
      <c r="I18" s="50">
        <f>SUM($G$7:G18)</f>
        <v>14293</v>
      </c>
      <c r="J18" s="48">
        <f t="shared" si="3"/>
        <v>0.22016666923396849</v>
      </c>
      <c r="K18" s="18"/>
      <c r="M18" s="1"/>
    </row>
    <row r="19" spans="1:16" ht="25" customHeight="1">
      <c r="A19" s="5"/>
      <c r="B19" s="17"/>
      <c r="C19" s="42">
        <v>38</v>
      </c>
      <c r="D19" s="286">
        <f t="shared" si="1"/>
        <v>59</v>
      </c>
      <c r="E19" s="286">
        <f t="shared" si="0"/>
        <v>3</v>
      </c>
      <c r="F19" s="288">
        <f t="shared" si="4"/>
        <v>76</v>
      </c>
      <c r="G19" s="290">
        <f>IF(D19=D18,"",_xlfn.IFNA(VLOOKUP(D19,'인원 입력 기능'!$AZ$5:$BC$55,4,FALSE),0))</f>
        <v>2809</v>
      </c>
      <c r="H19" s="291">
        <f t="shared" si="2"/>
        <v>4.3269304826013953E-2</v>
      </c>
      <c r="I19" s="293">
        <f>SUM($G$7:G19)</f>
        <v>17102</v>
      </c>
      <c r="J19" s="295">
        <f t="shared" si="3"/>
        <v>0.26343597405998243</v>
      </c>
      <c r="K19" s="18"/>
      <c r="M19" s="1"/>
    </row>
    <row r="20" spans="1:16" ht="25" customHeight="1">
      <c r="A20" s="5"/>
      <c r="B20" s="17"/>
      <c r="C20" s="49">
        <v>37</v>
      </c>
      <c r="D20" s="285"/>
      <c r="E20" s="285"/>
      <c r="F20" s="287"/>
      <c r="G20" s="289"/>
      <c r="H20" s="292"/>
      <c r="I20" s="294"/>
      <c r="J20" s="296"/>
      <c r="K20" s="18"/>
      <c r="M20" s="1"/>
    </row>
    <row r="21" spans="1:16" ht="25" customHeight="1">
      <c r="A21" s="5"/>
      <c r="B21" s="17"/>
      <c r="C21" s="51">
        <v>36</v>
      </c>
      <c r="D21" s="53">
        <f t="shared" si="1"/>
        <v>58</v>
      </c>
      <c r="E21" s="53">
        <f t="shared" si="0"/>
        <v>4</v>
      </c>
      <c r="F21" s="44">
        <f t="shared" si="4"/>
        <v>72</v>
      </c>
      <c r="G21" s="45">
        <f>IF(D21=D20,"",_xlfn.IFNA(VLOOKUP(D21,'인원 입력 기능'!$AZ$5:$BC$55,4,FALSE),0))</f>
        <v>1855</v>
      </c>
      <c r="H21" s="46">
        <f t="shared" si="2"/>
        <v>2.8574069224726197E-2</v>
      </c>
      <c r="I21" s="50">
        <f>SUM($G$7:G21)</f>
        <v>18957</v>
      </c>
      <c r="J21" s="48">
        <f t="shared" si="3"/>
        <v>0.29201004328470864</v>
      </c>
      <c r="K21" s="18"/>
      <c r="M21" s="1"/>
    </row>
    <row r="22" spans="1:16" ht="25" customHeight="1">
      <c r="A22" s="5"/>
      <c r="B22" s="17"/>
      <c r="C22" s="52">
        <v>35</v>
      </c>
      <c r="D22" s="53">
        <f t="shared" si="1"/>
        <v>57</v>
      </c>
      <c r="E22" s="53">
        <f t="shared" si="0"/>
        <v>4</v>
      </c>
      <c r="F22" s="44">
        <f t="shared" si="4"/>
        <v>70</v>
      </c>
      <c r="G22" s="45">
        <f>IF(D22=D21,"",_xlfn.IFNA(VLOOKUP(D22,'인원 입력 기능'!$AZ$5:$BC$55,4,FALSE),0))</f>
        <v>1165</v>
      </c>
      <c r="H22" s="46">
        <f t="shared" si="2"/>
        <v>1.794543970178222E-2</v>
      </c>
      <c r="I22" s="50">
        <f>SUM($G$7:G22)</f>
        <v>20122</v>
      </c>
      <c r="J22" s="48">
        <f t="shared" si="3"/>
        <v>0.30995548298649084</v>
      </c>
      <c r="K22" s="18"/>
      <c r="M22" s="1"/>
    </row>
    <row r="23" spans="1:16" ht="25" customHeight="1">
      <c r="A23" s="5"/>
      <c r="B23" s="17"/>
      <c r="C23" s="51">
        <v>34</v>
      </c>
      <c r="D23" s="53">
        <f t="shared" si="1"/>
        <v>56</v>
      </c>
      <c r="E23" s="53">
        <f t="shared" si="0"/>
        <v>4</v>
      </c>
      <c r="F23" s="44">
        <f t="shared" si="4"/>
        <v>68</v>
      </c>
      <c r="G23" s="45">
        <f>IF(D23=D22,"",_xlfn.IFNA(VLOOKUP(D23,'인원 입력 기능'!$AZ$5:$BC$55,4,FALSE),0))</f>
        <v>1777</v>
      </c>
      <c r="H23" s="46">
        <f t="shared" si="2"/>
        <v>2.7372571974306443E-2</v>
      </c>
      <c r="I23" s="50">
        <f>SUM($G$7:G23)</f>
        <v>21899</v>
      </c>
      <c r="J23" s="48">
        <f t="shared" si="3"/>
        <v>0.33732805496079732</v>
      </c>
      <c r="K23" s="18"/>
      <c r="M23" s="1"/>
    </row>
    <row r="24" spans="1:16" ht="25" customHeight="1">
      <c r="A24" s="5"/>
      <c r="B24" s="17"/>
      <c r="C24" s="52">
        <v>33</v>
      </c>
      <c r="D24" s="53">
        <f t="shared" si="1"/>
        <v>55</v>
      </c>
      <c r="E24" s="53">
        <f t="shared" si="0"/>
        <v>4</v>
      </c>
      <c r="F24" s="44">
        <f t="shared" si="4"/>
        <v>65</v>
      </c>
      <c r="G24" s="45">
        <f>IF(D24=D23,"",_xlfn.IFNA(VLOOKUP(D24,'인원 입력 기능'!$AZ$5:$BC$55,4,FALSE),0))</f>
        <v>1429</v>
      </c>
      <c r="H24" s="46">
        <f t="shared" si="2"/>
        <v>2.2012045780126003E-2</v>
      </c>
      <c r="I24" s="50">
        <f>SUM($G$7:G24)</f>
        <v>23328</v>
      </c>
      <c r="J24" s="48">
        <f t="shared" si="3"/>
        <v>0.35934010074092332</v>
      </c>
      <c r="K24" s="18"/>
      <c r="M24" s="1"/>
    </row>
    <row r="25" spans="1:16" ht="25" customHeight="1">
      <c r="A25" s="5"/>
      <c r="B25" s="17"/>
      <c r="C25" s="51">
        <v>32</v>
      </c>
      <c r="D25" s="298">
        <f t="shared" si="1"/>
        <v>54</v>
      </c>
      <c r="E25" s="298">
        <f t="shared" si="0"/>
        <v>4</v>
      </c>
      <c r="F25" s="288">
        <f t="shared" si="4"/>
        <v>62</v>
      </c>
      <c r="G25" s="290">
        <f>IF(D25=D24,"",_xlfn.IFNA(VLOOKUP(D25,'인원 입력 기능'!$AZ$5:$BC$55,4,FALSE),0))</f>
        <v>2991</v>
      </c>
      <c r="H25" s="291">
        <f t="shared" si="2"/>
        <v>4.6072798410326715E-2</v>
      </c>
      <c r="I25" s="293">
        <f>SUM($G$7:G25)</f>
        <v>26319</v>
      </c>
      <c r="J25" s="295">
        <f t="shared" si="3"/>
        <v>0.40541289915125001</v>
      </c>
      <c r="K25" s="18"/>
      <c r="M25" s="1"/>
    </row>
    <row r="26" spans="1:16" ht="25" customHeight="1">
      <c r="A26" s="5"/>
      <c r="B26" s="17"/>
      <c r="C26" s="52">
        <v>31</v>
      </c>
      <c r="D26" s="297"/>
      <c r="E26" s="297"/>
      <c r="F26" s="287"/>
      <c r="G26" s="289"/>
      <c r="H26" s="292"/>
      <c r="I26" s="294"/>
      <c r="J26" s="296"/>
      <c r="K26" s="18"/>
      <c r="M26" s="1"/>
    </row>
    <row r="27" spans="1:16" ht="25" customHeight="1">
      <c r="A27" s="5"/>
      <c r="B27" s="17"/>
      <c r="C27" s="51">
        <v>30</v>
      </c>
      <c r="D27" s="53">
        <f t="shared" si="1"/>
        <v>53</v>
      </c>
      <c r="E27" s="53">
        <f t="shared" si="0"/>
        <v>5</v>
      </c>
      <c r="F27" s="44">
        <f t="shared" si="4"/>
        <v>59</v>
      </c>
      <c r="G27" s="45">
        <f>IF(D27=D26,"",_xlfn.IFNA(VLOOKUP(D27,'인원 입력 기능'!$AZ$5:$BC$55,4,FALSE),0))</f>
        <v>1238</v>
      </c>
      <c r="H27" s="46">
        <f t="shared" si="2"/>
        <v>1.9069917897687888E-2</v>
      </c>
      <c r="I27" s="50">
        <f>SUM($G$7:G27)</f>
        <v>27557</v>
      </c>
      <c r="J27" s="48">
        <f t="shared" si="3"/>
        <v>0.42448281704893792</v>
      </c>
      <c r="K27" s="18"/>
      <c r="M27" s="1"/>
    </row>
    <row r="28" spans="1:16" ht="25" customHeight="1">
      <c r="A28" s="5"/>
      <c r="B28" s="17"/>
      <c r="C28" s="52">
        <v>29</v>
      </c>
      <c r="D28" s="53">
        <f t="shared" si="1"/>
        <v>52</v>
      </c>
      <c r="E28" s="53">
        <f t="shared" si="0"/>
        <v>5</v>
      </c>
      <c r="F28" s="44">
        <f t="shared" si="4"/>
        <v>56</v>
      </c>
      <c r="G28" s="45">
        <f>IF(D28=D27,"",_xlfn.IFNA(VLOOKUP(D28,'인원 입력 기능'!$AZ$5:$BC$55,4,FALSE),0))</f>
        <v>1575</v>
      </c>
      <c r="H28" s="46">
        <f t="shared" si="2"/>
        <v>2.4261002171937336E-2</v>
      </c>
      <c r="I28" s="50">
        <f>SUM($G$7:G28)</f>
        <v>29132</v>
      </c>
      <c r="J28" s="48">
        <f t="shared" si="3"/>
        <v>0.44874381922087525</v>
      </c>
      <c r="K28" s="18"/>
      <c r="M28" s="1"/>
    </row>
    <row r="29" spans="1:16" ht="25" customHeight="1">
      <c r="A29" s="5"/>
      <c r="B29" s="17"/>
      <c r="C29" s="51">
        <v>28</v>
      </c>
      <c r="D29" s="53">
        <f t="shared" si="1"/>
        <v>51</v>
      </c>
      <c r="E29" s="53">
        <f t="shared" si="0"/>
        <v>5</v>
      </c>
      <c r="F29" s="44">
        <f t="shared" si="4"/>
        <v>54</v>
      </c>
      <c r="G29" s="45">
        <f>IF(D29=D28,"",_xlfn.IFNA(VLOOKUP(D29,'인원 입력 기능'!$AZ$5:$BC$55,4,FALSE),0))</f>
        <v>1427</v>
      </c>
      <c r="H29" s="46">
        <f t="shared" si="2"/>
        <v>2.1981238158320367E-2</v>
      </c>
      <c r="I29" s="50">
        <f>SUM($G$7:G29)</f>
        <v>30559</v>
      </c>
      <c r="J29" s="48">
        <f t="shared" si="3"/>
        <v>0.47072505737919562</v>
      </c>
      <c r="K29" s="18"/>
      <c r="M29" s="1"/>
    </row>
    <row r="30" spans="1:16" ht="25" customHeight="1">
      <c r="A30" s="5"/>
      <c r="B30" s="17"/>
      <c r="C30" s="52">
        <v>27</v>
      </c>
      <c r="D30" s="53">
        <f t="shared" si="1"/>
        <v>50</v>
      </c>
      <c r="E30" s="53">
        <f t="shared" si="0"/>
        <v>5</v>
      </c>
      <c r="F30" s="44">
        <f t="shared" si="4"/>
        <v>52</v>
      </c>
      <c r="G30" s="45">
        <f>IF(D30=D29,"",_xlfn.IFNA(VLOOKUP(D30,'인원 입력 기능'!$AZ$5:$BC$55,4,FALSE),0))</f>
        <v>1418</v>
      </c>
      <c r="H30" s="46">
        <f t="shared" si="2"/>
        <v>2.1842603860195011E-2</v>
      </c>
      <c r="I30" s="50">
        <f>SUM($G$7:G30)</f>
        <v>31977</v>
      </c>
      <c r="J30" s="48">
        <f t="shared" si="3"/>
        <v>0.49256766123939061</v>
      </c>
      <c r="K30" s="18"/>
      <c r="M30" s="1"/>
    </row>
    <row r="31" spans="1:16" ht="25" customHeight="1">
      <c r="A31" s="5"/>
      <c r="B31" s="17"/>
      <c r="C31" s="51">
        <v>26</v>
      </c>
      <c r="D31" s="298">
        <f t="shared" si="1"/>
        <v>49</v>
      </c>
      <c r="E31" s="298">
        <f t="shared" si="0"/>
        <v>5</v>
      </c>
      <c r="F31" s="288">
        <f t="shared" si="4"/>
        <v>48</v>
      </c>
      <c r="G31" s="290">
        <f>IF(D31=D30,"",_xlfn.IFNA(VLOOKUP(D31,'인원 입력 기능'!$AZ$5:$BC$55,4,FALSE),0))</f>
        <v>2916</v>
      </c>
      <c r="H31" s="291">
        <f t="shared" si="2"/>
        <v>4.4917512592615415E-2</v>
      </c>
      <c r="I31" s="293">
        <f>SUM($G$7:G31)</f>
        <v>34893</v>
      </c>
      <c r="J31" s="295">
        <f t="shared" si="3"/>
        <v>0.537485173832006</v>
      </c>
      <c r="K31" s="18"/>
      <c r="M31" s="1"/>
    </row>
    <row r="32" spans="1:16" ht="25" customHeight="1">
      <c r="A32" s="5"/>
      <c r="B32" s="17"/>
      <c r="C32" s="52">
        <v>25</v>
      </c>
      <c r="D32" s="297"/>
      <c r="E32" s="297"/>
      <c r="F32" s="287"/>
      <c r="G32" s="289"/>
      <c r="H32" s="292"/>
      <c r="I32" s="294"/>
      <c r="J32" s="296"/>
      <c r="K32" s="18"/>
      <c r="M32" s="1"/>
    </row>
    <row r="33" spans="1:13" ht="25" customHeight="1">
      <c r="A33" s="5"/>
      <c r="B33" s="17"/>
      <c r="C33" s="51">
        <v>24</v>
      </c>
      <c r="D33" s="53">
        <f t="shared" si="1"/>
        <v>48</v>
      </c>
      <c r="E33" s="53">
        <f t="shared" si="0"/>
        <v>5</v>
      </c>
      <c r="F33" s="44">
        <f t="shared" si="4"/>
        <v>45</v>
      </c>
      <c r="G33" s="45">
        <f>IF(D33=D32,"",_xlfn.IFNA(VLOOKUP(D33,'인원 입력 기능'!$AZ$5:$BC$55,4,FALSE),0))</f>
        <v>1652</v>
      </c>
      <c r="H33" s="46">
        <f t="shared" si="2"/>
        <v>2.5447095611454272E-2</v>
      </c>
      <c r="I33" s="50">
        <f>SUM($G$7:G33)</f>
        <v>36545</v>
      </c>
      <c r="J33" s="48">
        <f t="shared" si="3"/>
        <v>0.56293226944346031</v>
      </c>
      <c r="K33" s="18"/>
      <c r="M33" s="1"/>
    </row>
    <row r="34" spans="1:13" ht="25" customHeight="1">
      <c r="A34" s="5"/>
      <c r="B34" s="17"/>
      <c r="C34" s="52">
        <v>23</v>
      </c>
      <c r="D34" s="53">
        <f t="shared" si="1"/>
        <v>47</v>
      </c>
      <c r="E34" s="53">
        <f t="shared" si="0"/>
        <v>5</v>
      </c>
      <c r="F34" s="44">
        <f t="shared" si="4"/>
        <v>43</v>
      </c>
      <c r="G34" s="45">
        <f>IF(D34=D33,"",_xlfn.IFNA(VLOOKUP(D34,'인원 입력 기능'!$AZ$5:$BC$55,4,FALSE),0))</f>
        <v>1545</v>
      </c>
      <c r="H34" s="46">
        <f t="shared" si="2"/>
        <v>2.3798887844852817E-2</v>
      </c>
      <c r="I34" s="50">
        <f>SUM($G$7:G34)</f>
        <v>38090</v>
      </c>
      <c r="J34" s="48">
        <f t="shared" si="3"/>
        <v>0.58673115728831315</v>
      </c>
      <c r="K34" s="18"/>
      <c r="M34" s="1"/>
    </row>
    <row r="35" spans="1:13" ht="25" customHeight="1">
      <c r="A35" s="5"/>
      <c r="B35" s="17"/>
      <c r="C35" s="51">
        <v>22</v>
      </c>
      <c r="D35" s="53">
        <f t="shared" si="1"/>
        <v>46</v>
      </c>
      <c r="E35" s="53">
        <f t="shared" si="0"/>
        <v>5</v>
      </c>
      <c r="F35" s="44">
        <f t="shared" si="4"/>
        <v>40</v>
      </c>
      <c r="G35" s="45">
        <f>IF(D35=D34,"",_xlfn.IFNA(VLOOKUP(D35,'인원 입력 기능'!$AZ$5:$BC$55,4,FALSE),0))</f>
        <v>1595</v>
      </c>
      <c r="H35" s="46">
        <f t="shared" si="2"/>
        <v>2.4569078389993684E-2</v>
      </c>
      <c r="I35" s="50">
        <f>SUM($G$7:G35)</f>
        <v>39685</v>
      </c>
      <c r="J35" s="48">
        <f t="shared" si="3"/>
        <v>0.61130023567830682</v>
      </c>
      <c r="K35" s="18"/>
      <c r="M35" s="1"/>
    </row>
    <row r="36" spans="1:13" ht="25" customHeight="1">
      <c r="A36" s="5"/>
      <c r="B36" s="17"/>
      <c r="C36" s="52">
        <v>21</v>
      </c>
      <c r="D36" s="53">
        <f t="shared" si="1"/>
        <v>45</v>
      </c>
      <c r="E36" s="53">
        <f t="shared" si="0"/>
        <v>6</v>
      </c>
      <c r="F36" s="44">
        <f t="shared" si="4"/>
        <v>37</v>
      </c>
      <c r="G36" s="45">
        <f>IF(D36=D35,"",_xlfn.IFNA(VLOOKUP(D36,'인원 입력 기능'!$AZ$5:$BC$55,4,FALSE),0))</f>
        <v>1785</v>
      </c>
      <c r="H36" s="46">
        <f t="shared" si="2"/>
        <v>2.7495802461528981E-2</v>
      </c>
      <c r="I36" s="50">
        <f>SUM($G$7:G36)</f>
        <v>41470</v>
      </c>
      <c r="J36" s="48">
        <f t="shared" si="3"/>
        <v>0.63879603813983576</v>
      </c>
      <c r="K36" s="18"/>
      <c r="M36" s="1"/>
    </row>
    <row r="37" spans="1:13" ht="25" customHeight="1">
      <c r="A37" s="5"/>
      <c r="B37" s="17"/>
      <c r="C37" s="51">
        <v>20</v>
      </c>
      <c r="D37" s="298">
        <f t="shared" si="1"/>
        <v>44</v>
      </c>
      <c r="E37" s="298">
        <f t="shared" si="0"/>
        <v>6</v>
      </c>
      <c r="F37" s="288">
        <f t="shared" si="4"/>
        <v>33</v>
      </c>
      <c r="G37" s="290">
        <f>IF(D37=D36,"",_xlfn.IFNA(VLOOKUP(D37,'인원 입력 기능'!$AZ$5:$BC$55,4,FALSE),0))</f>
        <v>3406</v>
      </c>
      <c r="H37" s="291">
        <f t="shared" si="2"/>
        <v>5.246537993499592E-2</v>
      </c>
      <c r="I37" s="293">
        <f>SUM($G$7:G37)</f>
        <v>44876</v>
      </c>
      <c r="J37" s="295">
        <f t="shared" si="3"/>
        <v>0.69126141807483177</v>
      </c>
      <c r="K37" s="18"/>
      <c r="M37" s="1"/>
    </row>
    <row r="38" spans="1:13" ht="25" customHeight="1">
      <c r="A38" s="5"/>
      <c r="B38" s="17"/>
      <c r="C38" s="52">
        <v>19</v>
      </c>
      <c r="D38" s="297"/>
      <c r="E38" s="297"/>
      <c r="F38" s="287"/>
      <c r="G38" s="289"/>
      <c r="H38" s="292"/>
      <c r="I38" s="294"/>
      <c r="J38" s="296"/>
      <c r="K38" s="18"/>
      <c r="M38" s="1"/>
    </row>
    <row r="39" spans="1:13" ht="25" customHeight="1">
      <c r="A39" s="5"/>
      <c r="B39" s="17"/>
      <c r="C39" s="51">
        <v>18</v>
      </c>
      <c r="D39" s="53">
        <f t="shared" si="1"/>
        <v>43</v>
      </c>
      <c r="E39" s="53">
        <f t="shared" ref="E39:E57" si="5">IF(ROUND(D39,0)&gt;=$P$7,1,IF(ROUND(D39,0)&gt;=$P$8,2,IF(ROUND(D39,0)&gt;=$P$9,3,IF(ROUND(D39,0)&gt;=$P$10,4,IF(ROUND(D39,0)&gt;=$P$11,5,IF(ROUND(D39,0)&gt;=$P$12,6,IF(ROUND(D39,0)&gt;=$P$13,7,IF(ROUND(D39,0)&gt;=$P$14,8,9))))))))</f>
        <v>6</v>
      </c>
      <c r="F39" s="44">
        <f t="shared" si="4"/>
        <v>30</v>
      </c>
      <c r="G39" s="45">
        <f>IF(D39=D38,"",_xlfn.IFNA(VLOOKUP(D39,'인원 입력 기능'!$AZ$5:$BC$55,4,FALSE),0))</f>
        <v>1689</v>
      </c>
      <c r="H39" s="46">
        <f t="shared" si="2"/>
        <v>2.6017036614858515E-2</v>
      </c>
      <c r="I39" s="50">
        <f>SUM($G$7:G39)</f>
        <v>46565</v>
      </c>
      <c r="J39" s="48">
        <f t="shared" si="3"/>
        <v>0.7172784546896902</v>
      </c>
      <c r="K39" s="18"/>
      <c r="M39" s="1"/>
    </row>
    <row r="40" spans="1:13" ht="25" customHeight="1">
      <c r="A40" s="5"/>
      <c r="B40" s="17"/>
      <c r="C40" s="52">
        <v>17</v>
      </c>
      <c r="D40" s="53">
        <f t="shared" si="1"/>
        <v>42</v>
      </c>
      <c r="E40" s="53">
        <f t="shared" si="5"/>
        <v>6</v>
      </c>
      <c r="F40" s="44">
        <f t="shared" si="4"/>
        <v>27</v>
      </c>
      <c r="G40" s="45">
        <f>IF(D40=D39,"",_xlfn.IFNA(VLOOKUP(D40,'인원 입력 기능'!$AZ$5:$BC$55,4,FALSE),0))</f>
        <v>1725</v>
      </c>
      <c r="H40" s="46">
        <f t="shared" si="2"/>
        <v>2.657157380735994E-2</v>
      </c>
      <c r="I40" s="50">
        <f>SUM($G$7:G40)</f>
        <v>48290</v>
      </c>
      <c r="J40" s="48">
        <f t="shared" si="3"/>
        <v>0.74385002849705018</v>
      </c>
      <c r="K40" s="18"/>
      <c r="M40" s="1"/>
    </row>
    <row r="41" spans="1:13" ht="25" customHeight="1">
      <c r="A41" s="5"/>
      <c r="B41" s="17"/>
      <c r="C41" s="51">
        <v>16</v>
      </c>
      <c r="D41" s="53">
        <f t="shared" si="1"/>
        <v>41</v>
      </c>
      <c r="E41" s="53">
        <f t="shared" si="5"/>
        <v>6</v>
      </c>
      <c r="F41" s="44">
        <f t="shared" si="4"/>
        <v>24</v>
      </c>
      <c r="G41" s="45">
        <f>IF(D41=D40,"",_xlfn.IFNA(VLOOKUP(D41,'인원 입력 기능'!$AZ$5:$BC$55,4,FALSE),0))</f>
        <v>1982</v>
      </c>
      <c r="H41" s="46">
        <f t="shared" si="2"/>
        <v>3.0530353209384003E-2</v>
      </c>
      <c r="I41" s="50">
        <f>SUM($G$7:G41)</f>
        <v>50272</v>
      </c>
      <c r="J41" s="48">
        <f t="shared" si="3"/>
        <v>0.7743803817064342</v>
      </c>
      <c r="K41" s="18"/>
      <c r="M41" s="1"/>
    </row>
    <row r="42" spans="1:13" ht="25" customHeight="1">
      <c r="A42" s="5"/>
      <c r="B42" s="17"/>
      <c r="C42" s="52">
        <v>15</v>
      </c>
      <c r="D42" s="53">
        <f t="shared" si="1"/>
        <v>40</v>
      </c>
      <c r="E42" s="53">
        <f t="shared" si="5"/>
        <v>7</v>
      </c>
      <c r="F42" s="44">
        <f t="shared" si="4"/>
        <v>21</v>
      </c>
      <c r="G42" s="45">
        <f>IF(D42=D41,"",_xlfn.IFNA(VLOOKUP(D42,'인원 입력 기능'!$AZ$5:$BC$55,4,FALSE),0))</f>
        <v>1618</v>
      </c>
      <c r="H42" s="46">
        <f t="shared" si="2"/>
        <v>2.4923366040758482E-2</v>
      </c>
      <c r="I42" s="50">
        <f>SUM($G$7:G42)</f>
        <v>51890</v>
      </c>
      <c r="J42" s="48">
        <f t="shared" si="3"/>
        <v>0.79930374774719271</v>
      </c>
      <c r="K42" s="18"/>
      <c r="M42" s="1"/>
    </row>
    <row r="43" spans="1:13" ht="25" customHeight="1">
      <c r="A43" s="5"/>
      <c r="B43" s="17"/>
      <c r="C43" s="51">
        <v>14</v>
      </c>
      <c r="D43" s="298">
        <f t="shared" si="1"/>
        <v>39</v>
      </c>
      <c r="E43" s="298">
        <f t="shared" si="5"/>
        <v>7</v>
      </c>
      <c r="F43" s="288">
        <f t="shared" si="4"/>
        <v>17</v>
      </c>
      <c r="G43" s="290">
        <f>IF(D43=D42,"",_xlfn.IFNA(VLOOKUP(D43,'인원 입력 기능'!$AZ$5:$BC$55,4,FALSE),0))</f>
        <v>3663</v>
      </c>
      <c r="H43" s="291">
        <f t="shared" si="2"/>
        <v>5.6424159337019976E-2</v>
      </c>
      <c r="I43" s="293">
        <f>SUM($G$7:G43)</f>
        <v>55553</v>
      </c>
      <c r="J43" s="295">
        <f t="shared" si="3"/>
        <v>0.85572790708421265</v>
      </c>
      <c r="K43" s="18"/>
      <c r="M43" s="1"/>
    </row>
    <row r="44" spans="1:13" ht="25" customHeight="1">
      <c r="A44" s="5"/>
      <c r="B44" s="17"/>
      <c r="C44" s="52">
        <v>13</v>
      </c>
      <c r="D44" s="297"/>
      <c r="E44" s="297"/>
      <c r="F44" s="287"/>
      <c r="G44" s="289"/>
      <c r="H44" s="292"/>
      <c r="I44" s="294"/>
      <c r="J44" s="296"/>
      <c r="K44" s="18"/>
      <c r="M44" s="1"/>
    </row>
    <row r="45" spans="1:13" ht="25" customHeight="1">
      <c r="A45" s="5"/>
      <c r="B45" s="17"/>
      <c r="C45" s="51">
        <v>12</v>
      </c>
      <c r="D45" s="53">
        <f t="shared" si="1"/>
        <v>38</v>
      </c>
      <c r="E45" s="53">
        <f t="shared" si="5"/>
        <v>7</v>
      </c>
      <c r="F45" s="44">
        <f t="shared" si="4"/>
        <v>12</v>
      </c>
      <c r="G45" s="45">
        <f>IF(D45=D44,"",_xlfn.IFNA(VLOOKUP(D45,'인원 입력 기능'!$AZ$5:$BC$55,4,FALSE),0))</f>
        <v>2589</v>
      </c>
      <c r="H45" s="46">
        <f t="shared" si="2"/>
        <v>3.9880466427394137E-2</v>
      </c>
      <c r="I45" s="50">
        <f>SUM($G$7:G45)</f>
        <v>58142</v>
      </c>
      <c r="J45" s="48">
        <f t="shared" si="3"/>
        <v>0.89560837351160683</v>
      </c>
      <c r="K45" s="18"/>
      <c r="M45" s="1"/>
    </row>
    <row r="46" spans="1:13" ht="25" customHeight="1">
      <c r="A46" s="5"/>
      <c r="B46" s="17"/>
      <c r="C46" s="52">
        <v>11</v>
      </c>
      <c r="D46" s="53">
        <f t="shared" si="1"/>
        <v>37</v>
      </c>
      <c r="E46" s="53">
        <f t="shared" si="5"/>
        <v>8</v>
      </c>
      <c r="F46" s="44">
        <f t="shared" si="4"/>
        <v>9</v>
      </c>
      <c r="G46" s="45">
        <f>IF(D46=D45,"",_xlfn.IFNA(VLOOKUP(D46,'인원 입력 기능'!$AZ$5:$BC$55,4,FALSE),0))</f>
        <v>1401</v>
      </c>
      <c r="H46" s="46">
        <f t="shared" si="2"/>
        <v>2.1580739074847116E-2</v>
      </c>
      <c r="I46" s="50">
        <f>SUM($G$7:G46)</f>
        <v>59543</v>
      </c>
      <c r="J46" s="48">
        <f t="shared" si="3"/>
        <v>0.91718911258645386</v>
      </c>
      <c r="K46" s="18"/>
      <c r="M46" s="1"/>
    </row>
    <row r="47" spans="1:13" ht="25" customHeight="1">
      <c r="A47" s="5"/>
      <c r="B47" s="17"/>
      <c r="C47" s="51">
        <v>10</v>
      </c>
      <c r="D47" s="53">
        <f t="shared" si="1"/>
        <v>36</v>
      </c>
      <c r="E47" s="53">
        <f t="shared" si="5"/>
        <v>8</v>
      </c>
      <c r="F47" s="44">
        <f t="shared" si="4"/>
        <v>7</v>
      </c>
      <c r="G47" s="45">
        <f>IF(D47=D46,"",_xlfn.IFNA(VLOOKUP(D47,'인원 입력 기능'!$AZ$5:$BC$55,4,FALSE),0))</f>
        <v>1794</v>
      </c>
      <c r="H47" s="46">
        <f t="shared" si="2"/>
        <v>2.7634436759654338E-2</v>
      </c>
      <c r="I47" s="50">
        <f>SUM($G$7:G47)</f>
        <v>61337</v>
      </c>
      <c r="J47" s="48">
        <f t="shared" si="3"/>
        <v>0.94482354934610824</v>
      </c>
      <c r="K47" s="18"/>
      <c r="M47" s="1"/>
    </row>
    <row r="48" spans="1:13" ht="25" customHeight="1">
      <c r="A48" s="5"/>
      <c r="B48" s="17"/>
      <c r="C48" s="52">
        <v>9</v>
      </c>
      <c r="D48" s="53">
        <f t="shared" si="1"/>
        <v>35</v>
      </c>
      <c r="E48" s="53">
        <f t="shared" si="5"/>
        <v>8</v>
      </c>
      <c r="F48" s="44">
        <f t="shared" si="4"/>
        <v>5</v>
      </c>
      <c r="G48" s="45">
        <f>IF(D48=D47,"",_xlfn.IFNA(VLOOKUP(D48,'인원 입력 기능'!$AZ$5:$BC$55,4,FALSE),0))</f>
        <v>1078</v>
      </c>
      <c r="H48" s="46">
        <f t="shared" si="2"/>
        <v>1.660530815323711E-2</v>
      </c>
      <c r="I48" s="50">
        <f>SUM($G$7:G48)</f>
        <v>62415</v>
      </c>
      <c r="J48" s="48">
        <f t="shared" si="3"/>
        <v>0.96142885749934537</v>
      </c>
      <c r="K48" s="18"/>
      <c r="M48" s="1"/>
    </row>
    <row r="49" spans="1:13" ht="25" customHeight="1">
      <c r="A49" s="5"/>
      <c r="B49" s="17"/>
      <c r="C49" s="51">
        <v>8</v>
      </c>
      <c r="D49" s="53">
        <f t="shared" si="1"/>
        <v>34</v>
      </c>
      <c r="E49" s="53">
        <f t="shared" si="5"/>
        <v>9</v>
      </c>
      <c r="F49" s="44">
        <f t="shared" si="4"/>
        <v>3</v>
      </c>
      <c r="G49" s="45">
        <f>IF(D49=D48,"",_xlfn.IFNA(VLOOKUP(D49,'인원 입력 기능'!$AZ$5:$BC$55,4,FALSE),0))</f>
        <v>769</v>
      </c>
      <c r="H49" s="46">
        <f t="shared" si="2"/>
        <v>1.1845530584266548E-2</v>
      </c>
      <c r="I49" s="50">
        <f>SUM($G$7:G49)</f>
        <v>63184</v>
      </c>
      <c r="J49" s="48">
        <f t="shared" si="3"/>
        <v>0.97327438808361189</v>
      </c>
      <c r="K49" s="18"/>
      <c r="M49" s="1"/>
    </row>
    <row r="50" spans="1:13" ht="25" customHeight="1">
      <c r="A50" s="5"/>
      <c r="B50" s="17"/>
      <c r="C50" s="52">
        <v>7</v>
      </c>
      <c r="D50" s="298">
        <f t="shared" si="1"/>
        <v>33</v>
      </c>
      <c r="E50" s="298">
        <f t="shared" si="5"/>
        <v>9</v>
      </c>
      <c r="F50" s="288">
        <f t="shared" si="4"/>
        <v>2</v>
      </c>
      <c r="G50" s="290">
        <f>IF(D50=D49,"",_xlfn.IFNA(VLOOKUP(D50,'인원 입력 기능'!$AZ$5:$BC$55,4,FALSE),0))</f>
        <v>1036</v>
      </c>
      <c r="H50" s="291">
        <f t="shared" si="2"/>
        <v>1.5958348095318781E-2</v>
      </c>
      <c r="I50" s="293">
        <f>SUM($G$7:G50)</f>
        <v>64220</v>
      </c>
      <c r="J50" s="295">
        <f t="shared" si="3"/>
        <v>0.9892327361789307</v>
      </c>
      <c r="K50" s="18"/>
      <c r="M50" s="1"/>
    </row>
    <row r="51" spans="1:13" ht="25" customHeight="1">
      <c r="A51" s="5"/>
      <c r="B51" s="17"/>
      <c r="C51" s="51">
        <v>6</v>
      </c>
      <c r="D51" s="297"/>
      <c r="E51" s="297"/>
      <c r="F51" s="287"/>
      <c r="G51" s="289"/>
      <c r="H51" s="292"/>
      <c r="I51" s="294"/>
      <c r="J51" s="296"/>
      <c r="K51" s="18"/>
      <c r="M51" s="1"/>
    </row>
    <row r="52" spans="1:13" ht="25" customHeight="1">
      <c r="A52" s="5"/>
      <c r="B52" s="17"/>
      <c r="C52" s="52">
        <v>5</v>
      </c>
      <c r="D52" s="53">
        <f t="shared" si="1"/>
        <v>32</v>
      </c>
      <c r="E52" s="53">
        <f t="shared" si="5"/>
        <v>9</v>
      </c>
      <c r="F52" s="44">
        <f t="shared" si="4"/>
        <v>1</v>
      </c>
      <c r="G52" s="45">
        <f>IF(D52=D51,"",_xlfn.IFNA(VLOOKUP(D52,'인원 입력 기능'!$AZ$5:$BC$55,4,FALSE),0))</f>
        <v>267</v>
      </c>
      <c r="H52" s="46">
        <f t="shared" si="2"/>
        <v>4.1128175110522339E-3</v>
      </c>
      <c r="I52" s="50">
        <f>SUM($G$7:G52)</f>
        <v>64487</v>
      </c>
      <c r="J52" s="48">
        <f t="shared" si="3"/>
        <v>0.9933455536899829</v>
      </c>
      <c r="K52" s="18"/>
      <c r="M52" s="1"/>
    </row>
    <row r="53" spans="1:13" ht="25" customHeight="1">
      <c r="A53" s="5"/>
      <c r="B53" s="17"/>
      <c r="C53" s="42">
        <v>4</v>
      </c>
      <c r="D53" s="43">
        <f t="shared" si="1"/>
        <v>31</v>
      </c>
      <c r="E53" s="43">
        <f t="shared" si="5"/>
        <v>9</v>
      </c>
      <c r="F53" s="44">
        <f t="shared" si="4"/>
        <v>0</v>
      </c>
      <c r="G53" s="45">
        <f>IF(D53=D52,"",_xlfn.IFNA(VLOOKUP(D53,'인원 입력 기능'!$AZ$5:$BC$55,4,FALSE),0))</f>
        <v>238</v>
      </c>
      <c r="H53" s="46">
        <f t="shared" si="2"/>
        <v>3.6661069948705311E-3</v>
      </c>
      <c r="I53" s="50">
        <f>SUM($G$7:G53)</f>
        <v>64725</v>
      </c>
      <c r="J53" s="48">
        <f t="shared" si="3"/>
        <v>0.99701166068485347</v>
      </c>
      <c r="K53" s="18"/>
      <c r="M53" s="1"/>
    </row>
    <row r="54" spans="1:13" ht="25" customHeight="1">
      <c r="A54" s="5"/>
      <c r="B54" s="17"/>
      <c r="C54" s="49">
        <v>3</v>
      </c>
      <c r="D54" s="43">
        <f t="shared" si="1"/>
        <v>30</v>
      </c>
      <c r="E54" s="43">
        <f t="shared" si="5"/>
        <v>9</v>
      </c>
      <c r="F54" s="44">
        <f t="shared" si="4"/>
        <v>0</v>
      </c>
      <c r="G54" s="45">
        <f>IF(D54=D53,"",_xlfn.IFNA(VLOOKUP(D54,'인원 입력 기능'!$AZ$5:$BC$55,4,FALSE),0))</f>
        <v>60</v>
      </c>
      <c r="H54" s="46">
        <f t="shared" si="2"/>
        <v>9.2422865416904145E-4</v>
      </c>
      <c r="I54" s="50">
        <f>SUM($G$7:G54)</f>
        <v>64785</v>
      </c>
      <c r="J54" s="48">
        <f t="shared" si="3"/>
        <v>0.99793588933902244</v>
      </c>
      <c r="K54" s="18"/>
      <c r="M54" s="1"/>
    </row>
    <row r="55" spans="1:13" ht="25" customHeight="1">
      <c r="A55" s="5"/>
      <c r="B55" s="17"/>
      <c r="C55" s="42">
        <v>2</v>
      </c>
      <c r="D55" s="43">
        <f t="shared" si="1"/>
        <v>29</v>
      </c>
      <c r="E55" s="43">
        <f t="shared" si="5"/>
        <v>9</v>
      </c>
      <c r="F55" s="44">
        <f t="shared" si="4"/>
        <v>0</v>
      </c>
      <c r="G55" s="45">
        <f>IF(D55=D54,"",_xlfn.IFNA(VLOOKUP(D55,'인원 입력 기능'!$AZ$5:$BC$55,4,FALSE),0))</f>
        <v>99</v>
      </c>
      <c r="H55" s="46">
        <f t="shared" si="2"/>
        <v>1.5249772793789183E-3</v>
      </c>
      <c r="I55" s="50">
        <f>SUM($G$7:G55)</f>
        <v>64884</v>
      </c>
      <c r="J55" s="48">
        <f t="shared" si="3"/>
        <v>0.99946086661840139</v>
      </c>
      <c r="K55" s="18"/>
      <c r="M55" s="1"/>
    </row>
    <row r="56" spans="1:13" ht="25" customHeight="1">
      <c r="A56" s="5"/>
      <c r="B56" s="17"/>
      <c r="C56" s="49">
        <v>1</v>
      </c>
      <c r="D56" s="111" t="s">
        <v>31</v>
      </c>
      <c r="E56" s="112"/>
      <c r="F56" s="112"/>
      <c r="G56" s="112"/>
      <c r="H56" s="112"/>
      <c r="I56" s="112"/>
      <c r="J56" s="113"/>
      <c r="K56" s="18"/>
      <c r="M56" s="1"/>
    </row>
    <row r="57" spans="1:13" ht="25" customHeight="1" thickBot="1">
      <c r="A57" s="5"/>
      <c r="B57" s="17"/>
      <c r="C57" s="57">
        <v>0</v>
      </c>
      <c r="D57" s="58">
        <f>ROUND(10*(C57-$H$3)/$H$4+50,0)</f>
        <v>28</v>
      </c>
      <c r="E57" s="59">
        <f t="shared" si="5"/>
        <v>9</v>
      </c>
      <c r="F57" s="60">
        <f>IF(I55=0,ROUND(100*(1-(I54+I57)/2/$J$3),0),ROUND(100*(1-(I55+I57)/2/$J$3),0))</f>
        <v>0</v>
      </c>
      <c r="G57" s="61">
        <f>_xlfn.IFNA(VLOOKUP(D57,'인원 입력 기능'!$AZ$5:$BC$55,4,FALSE),0)</f>
        <v>35</v>
      </c>
      <c r="H57" s="62">
        <f>G57/J3</f>
        <v>5.3913338159860755E-4</v>
      </c>
      <c r="I57" s="63">
        <f>SUM($G$7:G57)</f>
        <v>64919</v>
      </c>
      <c r="J57" s="64">
        <f>I57/J3</f>
        <v>1</v>
      </c>
      <c r="K57" s="18"/>
      <c r="M57" s="1"/>
    </row>
    <row r="58" spans="1:13" ht="6" customHeight="1">
      <c r="A58" s="5"/>
      <c r="B58" s="20"/>
      <c r="C58" s="21"/>
      <c r="D58" s="21"/>
      <c r="E58" s="21"/>
      <c r="F58" s="21"/>
      <c r="G58" s="21"/>
      <c r="H58" s="21"/>
      <c r="I58" s="21"/>
      <c r="J58" s="21"/>
      <c r="K58" s="22"/>
      <c r="M58" s="1"/>
    </row>
    <row r="59" spans="1:13">
      <c r="M59" s="1"/>
    </row>
    <row r="60" spans="1:13">
      <c r="M60" s="1"/>
    </row>
    <row r="61" spans="1:13">
      <c r="M61" s="1"/>
    </row>
    <row r="62" spans="1:13">
      <c r="M62" s="1"/>
    </row>
    <row r="63" spans="1:13">
      <c r="M63" s="1"/>
    </row>
    <row r="64" spans="1:13">
      <c r="M64" s="1"/>
    </row>
    <row r="65" spans="13:13">
      <c r="M65" s="1"/>
    </row>
    <row r="66" spans="13:13">
      <c r="M66" s="1"/>
    </row>
    <row r="67" spans="13:13">
      <c r="M67" s="1"/>
    </row>
    <row r="68" spans="13:13">
      <c r="M68" s="1"/>
    </row>
    <row r="69" spans="13:13">
      <c r="M69" s="1"/>
    </row>
    <row r="70" spans="13:13">
      <c r="M70" s="1"/>
    </row>
    <row r="71" spans="13:13">
      <c r="M71" s="1"/>
    </row>
    <row r="72" spans="13:13">
      <c r="M72" s="1"/>
    </row>
    <row r="73" spans="13:13">
      <c r="M73" s="1"/>
    </row>
    <row r="74" spans="13:13">
      <c r="M74" s="1"/>
    </row>
    <row r="75" spans="13:13">
      <c r="M75" s="1"/>
    </row>
    <row r="76" spans="13:13">
      <c r="M76" s="1"/>
    </row>
    <row r="77" spans="13:13">
      <c r="M77" s="1"/>
    </row>
    <row r="78" spans="13:13">
      <c r="M78" s="1"/>
    </row>
    <row r="79" spans="13:13">
      <c r="M79" s="1"/>
    </row>
    <row r="80" spans="13:13">
      <c r="M80" s="1"/>
    </row>
    <row r="81" spans="13:13">
      <c r="M81" s="1"/>
    </row>
    <row r="82" spans="13:13">
      <c r="M82" s="1"/>
    </row>
    <row r="83" spans="13:13">
      <c r="M83" s="1"/>
    </row>
    <row r="84" spans="13:13">
      <c r="M84" s="1"/>
    </row>
    <row r="85" spans="13:13">
      <c r="M85" s="1"/>
    </row>
    <row r="86" spans="13:13">
      <c r="M86" s="1"/>
    </row>
    <row r="87" spans="13:13">
      <c r="M87" s="1"/>
    </row>
    <row r="88" spans="13:13">
      <c r="M88" s="1"/>
    </row>
    <row r="89" spans="13:13">
      <c r="M89" s="1"/>
    </row>
    <row r="90" spans="13:13">
      <c r="M90" s="1"/>
    </row>
    <row r="91" spans="13:13">
      <c r="M91" s="1"/>
    </row>
    <row r="92" spans="13:13">
      <c r="M92" s="1"/>
    </row>
    <row r="93" spans="13:13">
      <c r="M93" s="1"/>
    </row>
    <row r="94" spans="13:13">
      <c r="M94" s="1"/>
    </row>
    <row r="95" spans="13:13">
      <c r="M95" s="1"/>
    </row>
    <row r="96" spans="13:13">
      <c r="M96" s="1"/>
    </row>
    <row r="97" spans="13:13">
      <c r="M97" s="1"/>
    </row>
    <row r="98" spans="13:13">
      <c r="M98" s="1"/>
    </row>
    <row r="99" spans="13:13">
      <c r="M99" s="1"/>
    </row>
    <row r="100" spans="13:13">
      <c r="M100" s="1"/>
    </row>
    <row r="101" spans="13:13">
      <c r="M101" s="1"/>
    </row>
    <row r="102" spans="13:13">
      <c r="M102" s="1"/>
    </row>
    <row r="103" spans="13:13">
      <c r="M103" s="1"/>
    </row>
    <row r="104" spans="13:13">
      <c r="M104" s="1"/>
    </row>
    <row r="105" spans="13:13">
      <c r="M105" s="1"/>
    </row>
  </sheetData>
  <mergeCells count="53">
    <mergeCell ref="I43:I44"/>
    <mergeCell ref="J43:J44"/>
    <mergeCell ref="D50:D51"/>
    <mergeCell ref="E50:E51"/>
    <mergeCell ref="F50:F51"/>
    <mergeCell ref="G50:G51"/>
    <mergeCell ref="H50:H51"/>
    <mergeCell ref="I50:I51"/>
    <mergeCell ref="J50:J51"/>
    <mergeCell ref="D43:D44"/>
    <mergeCell ref="E43:E44"/>
    <mergeCell ref="F43:F44"/>
    <mergeCell ref="G43:G44"/>
    <mergeCell ref="H43:H44"/>
    <mergeCell ref="I31:I32"/>
    <mergeCell ref="J31:J32"/>
    <mergeCell ref="D37:D38"/>
    <mergeCell ref="E37:E38"/>
    <mergeCell ref="F37:F38"/>
    <mergeCell ref="G37:G38"/>
    <mergeCell ref="H37:H38"/>
    <mergeCell ref="I37:I38"/>
    <mergeCell ref="J37:J38"/>
    <mergeCell ref="D31:D32"/>
    <mergeCell ref="E31:E32"/>
    <mergeCell ref="F31:F32"/>
    <mergeCell ref="G31:G32"/>
    <mergeCell ref="H31:H32"/>
    <mergeCell ref="I19:I20"/>
    <mergeCell ref="J19:J20"/>
    <mergeCell ref="D25:D26"/>
    <mergeCell ref="E25:E26"/>
    <mergeCell ref="F25:F26"/>
    <mergeCell ref="G25:G26"/>
    <mergeCell ref="H25:H26"/>
    <mergeCell ref="I25:I26"/>
    <mergeCell ref="J25:J26"/>
    <mergeCell ref="D3:F3"/>
    <mergeCell ref="D4:F4"/>
    <mergeCell ref="D56:J56"/>
    <mergeCell ref="D8:J8"/>
    <mergeCell ref="D13:D14"/>
    <mergeCell ref="E13:E14"/>
    <mergeCell ref="F13:F14"/>
    <mergeCell ref="G13:G14"/>
    <mergeCell ref="H13:H14"/>
    <mergeCell ref="I13:I14"/>
    <mergeCell ref="J13:J14"/>
    <mergeCell ref="D19:D20"/>
    <mergeCell ref="E19:E20"/>
    <mergeCell ref="F19:F20"/>
    <mergeCell ref="G19:G20"/>
    <mergeCell ref="H19:H20"/>
  </mergeCells>
  <phoneticPr fontId="1" type="noConversion"/>
  <conditionalFormatting sqref="D7:J7 D57:J57 D9:J13 D15:J19 D21:J25 D27:J31 D33:J37 D39:J43 D45:J50 D52:J55">
    <cfRule type="expression" dxfId="90" priority="7">
      <formula>OR($D7=$P$7:$P$14)</formula>
    </cfRule>
  </conditionalFormatting>
  <conditionalFormatting sqref="C7:C57">
    <cfRule type="expression" dxfId="89" priority="6">
      <formula>OR(AND($D7=0,OR($D6=$P$7:$P$14)),AND($D8&gt;0,OR($D7=$P$7:$P$14)))</formula>
    </cfRule>
  </conditionalFormatting>
  <conditionalFormatting sqref="D7 D57 D9:D13 D15:D19 D21:D25 D27:D31 D33:D37 D39:D43 D45:D50 D52:D55">
    <cfRule type="expression" dxfId="88" priority="5">
      <formula>$D7=$D8</formula>
    </cfRule>
  </conditionalFormatting>
  <conditionalFormatting sqref="D56">
    <cfRule type="expression" dxfId="87" priority="4">
      <formula>OR($D56=$P$7:$P$14)</formula>
    </cfRule>
  </conditionalFormatting>
  <conditionalFormatting sqref="D56">
    <cfRule type="expression" dxfId="86" priority="3">
      <formula>$D56=$D57</formula>
    </cfRule>
  </conditionalFormatting>
  <conditionalFormatting sqref="D8">
    <cfRule type="expression" dxfId="85" priority="2">
      <formula>OR($D8=$P$7:$P$14)</formula>
    </cfRule>
  </conditionalFormatting>
  <conditionalFormatting sqref="D8">
    <cfRule type="expression" dxfId="84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0621C-2B94-40D9-B1DB-0AF1E77398CC}">
  <sheetPr codeName="Sheet19"/>
  <dimension ref="A1:P105"/>
  <sheetViews>
    <sheetView zoomScaleNormal="100" workbookViewId="0">
      <selection activeCell="B2" sqref="B2:K58"/>
    </sheetView>
  </sheetViews>
  <sheetFormatPr defaultRowHeight="17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6">
      <c r="A1" s="5" t="s">
        <v>44</v>
      </c>
      <c r="C1" s="5"/>
      <c r="D1" s="5"/>
      <c r="E1" s="5"/>
      <c r="F1" s="5"/>
      <c r="G1" s="5"/>
      <c r="H1" s="5"/>
      <c r="I1" s="5"/>
      <c r="J1" s="5"/>
      <c r="K1" s="5"/>
    </row>
    <row r="2" spans="1:16" s="5" customFormat="1" ht="6" customHeight="1" thickBot="1">
      <c r="B2" s="15"/>
      <c r="C2" s="23"/>
      <c r="D2" s="23"/>
      <c r="E2" s="23"/>
      <c r="F2" s="23"/>
      <c r="G2" s="23"/>
      <c r="H2" s="23"/>
      <c r="I2" s="23"/>
      <c r="J2" s="23"/>
      <c r="K2" s="16"/>
    </row>
    <row r="3" spans="1:16" ht="25" customHeight="1" thickBot="1">
      <c r="A3" s="5"/>
      <c r="B3" s="17"/>
      <c r="C3" s="34" t="s">
        <v>47</v>
      </c>
      <c r="D3" s="105" t="s">
        <v>115</v>
      </c>
      <c r="E3" s="106"/>
      <c r="F3" s="107"/>
      <c r="G3" s="34" t="s">
        <v>48</v>
      </c>
      <c r="H3" s="101">
        <f>'통계 및 응시자 수 입력 기능'!D15</f>
        <v>27</v>
      </c>
      <c r="I3" s="103" t="s">
        <v>49</v>
      </c>
      <c r="J3" s="104">
        <f>'통계 및 응시자 수 입력 기능'!C15</f>
        <v>113076</v>
      </c>
      <c r="K3" s="18"/>
    </row>
    <row r="4" spans="1:16" ht="25" customHeight="1" thickBot="1">
      <c r="A4" s="5"/>
      <c r="B4" s="17"/>
      <c r="C4" s="35" t="s">
        <v>50</v>
      </c>
      <c r="D4" s="108" t="s">
        <v>62</v>
      </c>
      <c r="E4" s="109"/>
      <c r="F4" s="110"/>
      <c r="G4" s="36" t="s">
        <v>52</v>
      </c>
      <c r="H4" s="102">
        <f>'통계 및 응시자 수 입력 기능'!E15</f>
        <v>11.25</v>
      </c>
      <c r="I4" s="12"/>
      <c r="J4" s="12"/>
      <c r="K4" s="18"/>
    </row>
    <row r="5" spans="1:16" ht="25" customHeight="1" thickBot="1">
      <c r="A5" s="5"/>
      <c r="B5" s="17"/>
      <c r="C5" s="12"/>
      <c r="D5" s="12"/>
      <c r="E5" s="12"/>
      <c r="F5" s="12"/>
      <c r="G5" s="12"/>
      <c r="H5" s="19"/>
      <c r="I5" s="19"/>
      <c r="J5" s="19"/>
      <c r="K5" s="18"/>
    </row>
    <row r="6" spans="1:16" ht="25" customHeight="1" thickBot="1">
      <c r="A6" s="5"/>
      <c r="B6" s="17"/>
      <c r="C6" s="38" t="s">
        <v>73</v>
      </c>
      <c r="D6" s="39" t="s">
        <v>74</v>
      </c>
      <c r="E6" s="39" t="s">
        <v>75</v>
      </c>
      <c r="F6" s="39" t="s">
        <v>76</v>
      </c>
      <c r="G6" s="39" t="s">
        <v>77</v>
      </c>
      <c r="H6" s="40" t="s">
        <v>78</v>
      </c>
      <c r="I6" s="40" t="s">
        <v>79</v>
      </c>
      <c r="J6" s="41" t="s">
        <v>80</v>
      </c>
      <c r="K6" s="18"/>
      <c r="L6" s="3"/>
      <c r="M6" s="4"/>
    </row>
    <row r="7" spans="1:16" ht="25" customHeight="1">
      <c r="A7" s="5"/>
      <c r="B7" s="17"/>
      <c r="C7" s="42">
        <v>50</v>
      </c>
      <c r="D7" s="43">
        <f>ROUND(10*(C7-$H$3)/$H$4+50,0)</f>
        <v>70</v>
      </c>
      <c r="E7" s="43">
        <f t="shared" ref="E7:E38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44">
        <f>ROUND(100*(1-(0+I7)/2/$J$3),0)</f>
        <v>100</v>
      </c>
      <c r="G7" s="45">
        <f>_xlfn.IFNA(VLOOKUP(D7,'인원 입력 기능'!$BE$5:$BH$55,4,FALSE),0)</f>
        <v>578</v>
      </c>
      <c r="H7" s="46">
        <f>G7/J3</f>
        <v>5.1116063532491421E-3</v>
      </c>
      <c r="I7" s="47">
        <f>G7</f>
        <v>578</v>
      </c>
      <c r="J7" s="48">
        <f>I7/J3</f>
        <v>5.1116063532491421E-3</v>
      </c>
      <c r="K7" s="18"/>
      <c r="M7" s="1"/>
      <c r="O7" s="1">
        <v>1</v>
      </c>
      <c r="P7" s="1">
        <f>'표준점수 등급컷 입력기능'!H42</f>
        <v>66</v>
      </c>
    </row>
    <row r="8" spans="1:16" ht="25" customHeight="1">
      <c r="A8" s="5"/>
      <c r="B8" s="17"/>
      <c r="C8" s="49">
        <v>49</v>
      </c>
      <c r="D8" s="111" t="s">
        <v>31</v>
      </c>
      <c r="E8" s="112"/>
      <c r="F8" s="112"/>
      <c r="G8" s="112"/>
      <c r="H8" s="112"/>
      <c r="I8" s="112"/>
      <c r="J8" s="113"/>
      <c r="K8" s="18"/>
      <c r="M8" s="1"/>
      <c r="O8" s="1">
        <v>2</v>
      </c>
      <c r="P8" s="1">
        <f>'표준점수 등급컷 입력기능'!H43</f>
        <v>63</v>
      </c>
    </row>
    <row r="9" spans="1:16" ht="25" customHeight="1">
      <c r="A9" s="5"/>
      <c r="B9" s="17"/>
      <c r="C9" s="42">
        <v>48</v>
      </c>
      <c r="D9" s="43">
        <f>ROUND(10*(C9-$H$3)/$H$4+50,0)</f>
        <v>69</v>
      </c>
      <c r="E9" s="43">
        <f t="shared" si="0"/>
        <v>1</v>
      </c>
      <c r="F9" s="44">
        <f>IF(I8=0,ROUND(100*(1-(I7+I9)/2/$J$3),0),ROUND(100*(1-(I8+I9)/2/$J$3),0))</f>
        <v>99</v>
      </c>
      <c r="G9" s="45">
        <f>_xlfn.IFNA(VLOOKUP(D9,'인원 입력 기능'!$BE$5:$BH$55,4,FALSE),0)</f>
        <v>447</v>
      </c>
      <c r="H9" s="46">
        <f>G9/$J$3</f>
        <v>3.9530934946407723E-3</v>
      </c>
      <c r="I9" s="50">
        <f>SUM($G$7:G9)</f>
        <v>1025</v>
      </c>
      <c r="J9" s="48">
        <f>I9/$J$3</f>
        <v>9.0646998478899152E-3</v>
      </c>
      <c r="K9" s="18"/>
      <c r="M9" s="1"/>
      <c r="O9" s="1">
        <v>3</v>
      </c>
      <c r="P9" s="1">
        <f>'표준점수 등급컷 입력기능'!H44</f>
        <v>59</v>
      </c>
    </row>
    <row r="10" spans="1:16" ht="25" customHeight="1">
      <c r="A10" s="5"/>
      <c r="B10" s="17"/>
      <c r="C10" s="49">
        <v>47</v>
      </c>
      <c r="D10" s="43">
        <f t="shared" ref="D10:D55" si="1">ROUND(10*(C10-$H$3)/$H$4+50,0)</f>
        <v>68</v>
      </c>
      <c r="E10" s="43">
        <f t="shared" si="0"/>
        <v>1</v>
      </c>
      <c r="F10" s="44">
        <f>IF(I9=0,ROUND(100*(1-(I8+I10)/2/$J$3),0),ROUND(100*(1-(I9+I10)/2/$J$3),0))</f>
        <v>98</v>
      </c>
      <c r="G10" s="45">
        <f>IF(D10=D9,"",_xlfn.IFNA(VLOOKUP(D10,'인원 입력 기능'!$BE$5:$BH$55,4,FALSE),0))</f>
        <v>1766</v>
      </c>
      <c r="H10" s="46">
        <f t="shared" ref="H10:H55" si="2">G10/$J$3</f>
        <v>1.5617814567193746E-2</v>
      </c>
      <c r="I10" s="50">
        <f>SUM($G$7:G10)</f>
        <v>2791</v>
      </c>
      <c r="J10" s="48">
        <f t="shared" ref="J10:J55" si="3">I10/$J$3</f>
        <v>2.4682514415083661E-2</v>
      </c>
      <c r="K10" s="18"/>
      <c r="M10" s="1"/>
      <c r="O10" s="1">
        <v>4</v>
      </c>
      <c r="P10" s="1">
        <f>'표준점수 등급컷 입력기능'!H45</f>
        <v>54</v>
      </c>
    </row>
    <row r="11" spans="1:16" ht="25" customHeight="1">
      <c r="A11" s="5"/>
      <c r="B11" s="17"/>
      <c r="C11" s="42">
        <v>46</v>
      </c>
      <c r="D11" s="43">
        <f t="shared" si="1"/>
        <v>67</v>
      </c>
      <c r="E11" s="43">
        <f t="shared" si="0"/>
        <v>1</v>
      </c>
      <c r="F11" s="44">
        <f t="shared" ref="F11:F55" si="4">IF(I10=0,ROUND(100*(1-(I9+I11)/2/$J$3),0),ROUND(100*(1-(I10+I11)/2/$J$3),0))</f>
        <v>97</v>
      </c>
      <c r="G11" s="45">
        <f>IF(D11=D10,"",_xlfn.IFNA(VLOOKUP(D11,'인원 입력 기능'!$BE$5:$BH$55,4,FALSE),0))</f>
        <v>117</v>
      </c>
      <c r="H11" s="46">
        <f t="shared" si="2"/>
        <v>1.0347023241006048E-3</v>
      </c>
      <c r="I11" s="50">
        <f>SUM($G$7:G11)</f>
        <v>2908</v>
      </c>
      <c r="J11" s="48">
        <f t="shared" si="3"/>
        <v>2.5717216739184267E-2</v>
      </c>
      <c r="K11" s="18"/>
      <c r="M11" s="1"/>
      <c r="O11" s="1">
        <v>5</v>
      </c>
      <c r="P11" s="1">
        <f>'표준점수 등급컷 입력기능'!H46</f>
        <v>46</v>
      </c>
    </row>
    <row r="12" spans="1:16" ht="25" customHeight="1">
      <c r="A12" s="5"/>
      <c r="B12" s="17"/>
      <c r="C12" s="49">
        <v>45</v>
      </c>
      <c r="D12" s="43">
        <f t="shared" si="1"/>
        <v>66</v>
      </c>
      <c r="E12" s="43">
        <f t="shared" si="0"/>
        <v>1</v>
      </c>
      <c r="F12" s="44">
        <f t="shared" si="4"/>
        <v>97</v>
      </c>
      <c r="G12" s="45">
        <f>IF(D12=D11,"",_xlfn.IFNA(VLOOKUP(D12,'인원 입력 기능'!$BE$5:$BH$55,4,FALSE),0))</f>
        <v>1949</v>
      </c>
      <c r="H12" s="46">
        <f t="shared" si="2"/>
        <v>1.7236195125402386E-2</v>
      </c>
      <c r="I12" s="50">
        <f>SUM($G$7:G12)</f>
        <v>4857</v>
      </c>
      <c r="J12" s="48">
        <f t="shared" si="3"/>
        <v>4.2953411864586649E-2</v>
      </c>
      <c r="K12" s="18"/>
      <c r="M12" s="1"/>
      <c r="O12" s="1">
        <v>6</v>
      </c>
      <c r="P12" s="1">
        <f>'표준점수 등급컷 입력기능'!H47</f>
        <v>41</v>
      </c>
    </row>
    <row r="13" spans="1:16" ht="25" customHeight="1">
      <c r="A13" s="5"/>
      <c r="B13" s="17"/>
      <c r="C13" s="42">
        <v>44</v>
      </c>
      <c r="D13" s="43">
        <f t="shared" si="1"/>
        <v>65</v>
      </c>
      <c r="E13" s="43">
        <f t="shared" si="0"/>
        <v>2</v>
      </c>
      <c r="F13" s="44">
        <f t="shared" si="4"/>
        <v>94</v>
      </c>
      <c r="G13" s="45">
        <f>IF(D13=D12,"",_xlfn.IFNA(VLOOKUP(D13,'인원 입력 기능'!$BE$5:$BH$55,4,FALSE),0))</f>
        <v>2984</v>
      </c>
      <c r="H13" s="46">
        <f t="shared" si="2"/>
        <v>2.6389331069369273E-2</v>
      </c>
      <c r="I13" s="50">
        <f>SUM($G$7:G13)</f>
        <v>7841</v>
      </c>
      <c r="J13" s="48">
        <f t="shared" si="3"/>
        <v>6.9342742933955925E-2</v>
      </c>
      <c r="K13" s="18"/>
      <c r="M13" s="1"/>
      <c r="O13" s="1">
        <v>7</v>
      </c>
      <c r="P13" s="1">
        <f>'표준점수 등급컷 입력기능'!H48</f>
        <v>37</v>
      </c>
    </row>
    <row r="14" spans="1:16" ht="25" customHeight="1">
      <c r="A14" s="5"/>
      <c r="B14" s="17"/>
      <c r="C14" s="49">
        <v>43</v>
      </c>
      <c r="D14" s="43">
        <f t="shared" si="1"/>
        <v>64</v>
      </c>
      <c r="E14" s="43">
        <f t="shared" si="0"/>
        <v>2</v>
      </c>
      <c r="F14" s="44">
        <f t="shared" si="4"/>
        <v>93</v>
      </c>
      <c r="G14" s="45">
        <f>IF(D14=D13,"",_xlfn.IFNA(VLOOKUP(D14,'인원 입력 기능'!$BE$5:$BH$55,4,FALSE),0))</f>
        <v>781</v>
      </c>
      <c r="H14" s="46">
        <f t="shared" si="2"/>
        <v>6.9068591036117299E-3</v>
      </c>
      <c r="I14" s="50">
        <f>SUM($G$7:G14)</f>
        <v>8622</v>
      </c>
      <c r="J14" s="48">
        <f t="shared" si="3"/>
        <v>7.6249602037567657E-2</v>
      </c>
      <c r="K14" s="18"/>
      <c r="M14" s="1"/>
      <c r="O14" s="1">
        <v>8</v>
      </c>
      <c r="P14" s="1">
        <f>'표준점수 등급컷 입력기능'!H49</f>
        <v>34</v>
      </c>
    </row>
    <row r="15" spans="1:16" ht="25" customHeight="1">
      <c r="A15" s="5"/>
      <c r="B15" s="17"/>
      <c r="C15" s="42">
        <v>42</v>
      </c>
      <c r="D15" s="43">
        <f t="shared" si="1"/>
        <v>63</v>
      </c>
      <c r="E15" s="43">
        <f t="shared" si="0"/>
        <v>2</v>
      </c>
      <c r="F15" s="44">
        <f t="shared" si="4"/>
        <v>91</v>
      </c>
      <c r="G15" s="45">
        <f>IF(D15=D14,"",_xlfn.IFNA(VLOOKUP(D15,'인원 입력 기능'!$BE$5:$BH$55,4,FALSE),0))</f>
        <v>3968</v>
      </c>
      <c r="H15" s="46">
        <f t="shared" si="2"/>
        <v>3.509144292334359E-2</v>
      </c>
      <c r="I15" s="50">
        <f>SUM($G$7:G15)</f>
        <v>12590</v>
      </c>
      <c r="J15" s="48">
        <f t="shared" si="3"/>
        <v>0.11134104496091124</v>
      </c>
      <c r="K15" s="18"/>
      <c r="M15" s="1"/>
      <c r="O15" s="1">
        <v>9</v>
      </c>
      <c r="P15" s="1"/>
    </row>
    <row r="16" spans="1:16" ht="25" customHeight="1">
      <c r="A16" s="5"/>
      <c r="B16" s="17"/>
      <c r="C16" s="49">
        <v>41</v>
      </c>
      <c r="D16" s="286">
        <f t="shared" si="1"/>
        <v>62</v>
      </c>
      <c r="E16" s="286">
        <f t="shared" si="0"/>
        <v>3</v>
      </c>
      <c r="F16" s="288">
        <f t="shared" si="4"/>
        <v>87</v>
      </c>
      <c r="G16" s="290">
        <f>IF(D16=D15,"",_xlfn.IFNA(VLOOKUP(D16,'인원 입력 기능'!$BE$5:$BH$55,4,FALSE),0))</f>
        <v>5064</v>
      </c>
      <c r="H16" s="291">
        <f t="shared" si="2"/>
        <v>4.4784039053380027E-2</v>
      </c>
      <c r="I16" s="293">
        <f>SUM($G$7:G16)</f>
        <v>17654</v>
      </c>
      <c r="J16" s="295">
        <f t="shared" si="3"/>
        <v>0.15612508401429126</v>
      </c>
      <c r="K16" s="18"/>
      <c r="M16" s="1"/>
    </row>
    <row r="17" spans="1:16" ht="25" customHeight="1">
      <c r="A17" s="5"/>
      <c r="B17" s="17"/>
      <c r="C17" s="42">
        <v>40</v>
      </c>
      <c r="D17" s="285"/>
      <c r="E17" s="285"/>
      <c r="F17" s="287"/>
      <c r="G17" s="289"/>
      <c r="H17" s="292"/>
      <c r="I17" s="294"/>
      <c r="J17" s="296"/>
      <c r="K17" s="18"/>
      <c r="M17" s="1"/>
      <c r="P17" s="1">
        <f>H3*H4*J3*P7*IFERROR(IF(J57=1, 1, 0), 0)</f>
        <v>2266891110</v>
      </c>
    </row>
    <row r="18" spans="1:16" ht="25" customHeight="1">
      <c r="A18" s="5"/>
      <c r="B18" s="17"/>
      <c r="C18" s="49">
        <v>39</v>
      </c>
      <c r="D18" s="43">
        <f t="shared" si="1"/>
        <v>61</v>
      </c>
      <c r="E18" s="43">
        <f t="shared" si="0"/>
        <v>3</v>
      </c>
      <c r="F18" s="44">
        <f t="shared" si="4"/>
        <v>82</v>
      </c>
      <c r="G18" s="45">
        <f>IF(D18=D17,"",_xlfn.IFNA(VLOOKUP(D18,'인원 입력 기능'!$BE$5:$BH$55,4,FALSE),0))</f>
        <v>4591</v>
      </c>
      <c r="H18" s="46">
        <f t="shared" si="2"/>
        <v>4.0601011708939122E-2</v>
      </c>
      <c r="I18" s="50">
        <f>SUM($G$7:G18)</f>
        <v>22245</v>
      </c>
      <c r="J18" s="48">
        <f t="shared" si="3"/>
        <v>0.19672609572323038</v>
      </c>
      <c r="K18" s="18"/>
      <c r="M18" s="1"/>
    </row>
    <row r="19" spans="1:16" ht="25" customHeight="1">
      <c r="A19" s="5"/>
      <c r="B19" s="17"/>
      <c r="C19" s="42">
        <v>38</v>
      </c>
      <c r="D19" s="43">
        <f t="shared" si="1"/>
        <v>60</v>
      </c>
      <c r="E19" s="43">
        <f t="shared" si="0"/>
        <v>3</v>
      </c>
      <c r="F19" s="44">
        <f t="shared" si="4"/>
        <v>79</v>
      </c>
      <c r="G19" s="45">
        <f>IF(D19=D18,"",_xlfn.IFNA(VLOOKUP(D19,'인원 입력 기능'!$BE$5:$BH$55,4,FALSE),0))</f>
        <v>2094</v>
      </c>
      <c r="H19" s="46">
        <f t="shared" si="2"/>
        <v>1.8518518518518517E-2</v>
      </c>
      <c r="I19" s="50">
        <f>SUM($G$7:G19)</f>
        <v>24339</v>
      </c>
      <c r="J19" s="48">
        <f t="shared" si="3"/>
        <v>0.2152446142417489</v>
      </c>
      <c r="K19" s="18"/>
      <c r="M19" s="1"/>
    </row>
    <row r="20" spans="1:16" ht="25" customHeight="1">
      <c r="A20" s="5"/>
      <c r="B20" s="17"/>
      <c r="C20" s="49">
        <v>37</v>
      </c>
      <c r="D20" s="43">
        <f t="shared" si="1"/>
        <v>59</v>
      </c>
      <c r="E20" s="43">
        <f t="shared" si="0"/>
        <v>3</v>
      </c>
      <c r="F20" s="44">
        <f t="shared" si="4"/>
        <v>77</v>
      </c>
      <c r="G20" s="45">
        <f>IF(D20=D19,"",_xlfn.IFNA(VLOOKUP(D20,'인원 입력 기능'!$BE$5:$BH$55,4,FALSE),0))</f>
        <v>3988</v>
      </c>
      <c r="H20" s="46">
        <f t="shared" si="2"/>
        <v>3.5268315115497544E-2</v>
      </c>
      <c r="I20" s="50">
        <f>SUM($G$7:G20)</f>
        <v>28327</v>
      </c>
      <c r="J20" s="48">
        <f t="shared" si="3"/>
        <v>0.25051292935724645</v>
      </c>
      <c r="K20" s="18"/>
      <c r="M20" s="1"/>
    </row>
    <row r="21" spans="1:16" ht="25" customHeight="1">
      <c r="A21" s="5"/>
      <c r="B21" s="17"/>
      <c r="C21" s="51">
        <v>36</v>
      </c>
      <c r="D21" s="53">
        <f t="shared" si="1"/>
        <v>58</v>
      </c>
      <c r="E21" s="53">
        <f t="shared" si="0"/>
        <v>4</v>
      </c>
      <c r="F21" s="44">
        <f t="shared" si="4"/>
        <v>73</v>
      </c>
      <c r="G21" s="45">
        <f>IF(D21=D20,"",_xlfn.IFNA(VLOOKUP(D21,'인원 입력 기능'!$BE$5:$BH$55,4,FALSE),0))</f>
        <v>3391</v>
      </c>
      <c r="H21" s="46">
        <f t="shared" si="2"/>
        <v>2.9988680179702146E-2</v>
      </c>
      <c r="I21" s="50">
        <f>SUM($G$7:G21)</f>
        <v>31718</v>
      </c>
      <c r="J21" s="48">
        <f t="shared" si="3"/>
        <v>0.28050160953694858</v>
      </c>
      <c r="K21" s="18"/>
      <c r="M21" s="1"/>
    </row>
    <row r="22" spans="1:16" ht="25" customHeight="1">
      <c r="A22" s="5"/>
      <c r="B22" s="17"/>
      <c r="C22" s="52">
        <v>35</v>
      </c>
      <c r="D22" s="53">
        <f t="shared" si="1"/>
        <v>57</v>
      </c>
      <c r="E22" s="53">
        <f t="shared" si="0"/>
        <v>4</v>
      </c>
      <c r="F22" s="44">
        <f t="shared" si="4"/>
        <v>71</v>
      </c>
      <c r="G22" s="45">
        <f>IF(D22=D21,"",_xlfn.IFNA(VLOOKUP(D22,'인원 입력 기능'!$BE$5:$BH$55,4,FALSE),0))</f>
        <v>2582</v>
      </c>
      <c r="H22" s="46">
        <f t="shared" si="2"/>
        <v>2.2834200007074888E-2</v>
      </c>
      <c r="I22" s="50">
        <f>SUM($G$7:G22)</f>
        <v>34300</v>
      </c>
      <c r="J22" s="48">
        <f t="shared" si="3"/>
        <v>0.3033358095440235</v>
      </c>
      <c r="K22" s="18"/>
      <c r="M22" s="1"/>
    </row>
    <row r="23" spans="1:16" ht="25" customHeight="1">
      <c r="A23" s="5"/>
      <c r="B23" s="17"/>
      <c r="C23" s="51">
        <v>34</v>
      </c>
      <c r="D23" s="53">
        <f t="shared" si="1"/>
        <v>56</v>
      </c>
      <c r="E23" s="53">
        <f t="shared" si="0"/>
        <v>4</v>
      </c>
      <c r="F23" s="44">
        <f t="shared" si="4"/>
        <v>68</v>
      </c>
      <c r="G23" s="45">
        <f>IF(D23=D22,"",_xlfn.IFNA(VLOOKUP(D23,'인원 입력 기능'!$BE$5:$BH$55,4,FALSE),0))</f>
        <v>3975</v>
      </c>
      <c r="H23" s="46">
        <f t="shared" si="2"/>
        <v>3.5153348190597476E-2</v>
      </c>
      <c r="I23" s="50">
        <f>SUM($G$7:G23)</f>
        <v>38275</v>
      </c>
      <c r="J23" s="48">
        <f t="shared" si="3"/>
        <v>0.33848915773462096</v>
      </c>
      <c r="K23" s="18"/>
      <c r="M23" s="1"/>
    </row>
    <row r="24" spans="1:16" ht="25" customHeight="1">
      <c r="A24" s="5"/>
      <c r="B24" s="17"/>
      <c r="C24" s="52">
        <v>33</v>
      </c>
      <c r="D24" s="53">
        <f t="shared" si="1"/>
        <v>55</v>
      </c>
      <c r="E24" s="53">
        <f t="shared" si="0"/>
        <v>4</v>
      </c>
      <c r="F24" s="44">
        <f t="shared" si="4"/>
        <v>65</v>
      </c>
      <c r="G24" s="45">
        <f>IF(D24=D23,"",_xlfn.IFNA(VLOOKUP(D24,'인원 입력 기능'!$BE$5:$BH$55,4,FALSE),0))</f>
        <v>2536</v>
      </c>
      <c r="H24" s="46">
        <f t="shared" si="2"/>
        <v>2.2427393965120803E-2</v>
      </c>
      <c r="I24" s="50">
        <f>SUM($G$7:G24)</f>
        <v>40811</v>
      </c>
      <c r="J24" s="48">
        <f t="shared" si="3"/>
        <v>0.36091655169974174</v>
      </c>
      <c r="K24" s="18"/>
      <c r="M24" s="1"/>
    </row>
    <row r="25" spans="1:16" ht="25" customHeight="1">
      <c r="A25" s="5"/>
      <c r="B25" s="17"/>
      <c r="C25" s="51">
        <v>32</v>
      </c>
      <c r="D25" s="298">
        <f t="shared" si="1"/>
        <v>54</v>
      </c>
      <c r="E25" s="298">
        <f t="shared" si="0"/>
        <v>4</v>
      </c>
      <c r="F25" s="288">
        <f t="shared" si="4"/>
        <v>61</v>
      </c>
      <c r="G25" s="290">
        <f>IF(D25=D24,"",_xlfn.IFNA(VLOOKUP(D25,'인원 입력 기능'!$BE$5:$BH$55,4,FALSE),0))</f>
        <v>6299</v>
      </c>
      <c r="H25" s="291">
        <f t="shared" si="2"/>
        <v>5.5705896918886416E-2</v>
      </c>
      <c r="I25" s="293">
        <f>SUM($G$7:G25)</f>
        <v>47110</v>
      </c>
      <c r="J25" s="295">
        <f t="shared" si="3"/>
        <v>0.41662244861862818</v>
      </c>
      <c r="K25" s="18"/>
      <c r="M25" s="1"/>
    </row>
    <row r="26" spans="1:16" ht="25" customHeight="1">
      <c r="A26" s="5"/>
      <c r="B26" s="17"/>
      <c r="C26" s="52">
        <v>31</v>
      </c>
      <c r="D26" s="297"/>
      <c r="E26" s="297"/>
      <c r="F26" s="287"/>
      <c r="G26" s="289"/>
      <c r="H26" s="292"/>
      <c r="I26" s="294"/>
      <c r="J26" s="296"/>
      <c r="K26" s="18"/>
      <c r="M26" s="1"/>
    </row>
    <row r="27" spans="1:16" ht="25" customHeight="1">
      <c r="A27" s="5"/>
      <c r="B27" s="17"/>
      <c r="C27" s="51">
        <v>30</v>
      </c>
      <c r="D27" s="53">
        <f t="shared" si="1"/>
        <v>53</v>
      </c>
      <c r="E27" s="53">
        <f t="shared" si="0"/>
        <v>5</v>
      </c>
      <c r="F27" s="44">
        <f t="shared" si="4"/>
        <v>57</v>
      </c>
      <c r="G27" s="45">
        <f>IF(D27=D26,"",_xlfn.IFNA(VLOOKUP(D27,'인원 입력 기능'!$BE$5:$BH$55,4,FALSE),0))</f>
        <v>2456</v>
      </c>
      <c r="H27" s="46">
        <f t="shared" si="2"/>
        <v>2.1719905196505004E-2</v>
      </c>
      <c r="I27" s="50">
        <f>SUM($G$7:G27)</f>
        <v>49566</v>
      </c>
      <c r="J27" s="48">
        <f t="shared" si="3"/>
        <v>0.4383423538151332</v>
      </c>
      <c r="K27" s="18"/>
      <c r="M27" s="1"/>
    </row>
    <row r="28" spans="1:16" ht="25" customHeight="1">
      <c r="A28" s="5"/>
      <c r="B28" s="17"/>
      <c r="C28" s="52">
        <v>29</v>
      </c>
      <c r="D28" s="53">
        <f t="shared" si="1"/>
        <v>52</v>
      </c>
      <c r="E28" s="53">
        <f t="shared" si="0"/>
        <v>5</v>
      </c>
      <c r="F28" s="44">
        <f t="shared" si="4"/>
        <v>55</v>
      </c>
      <c r="G28" s="45">
        <f>IF(D28=D27,"",_xlfn.IFNA(VLOOKUP(D28,'인원 입력 기능'!$BE$5:$BH$55,4,FALSE),0))</f>
        <v>3324</v>
      </c>
      <c r="H28" s="46">
        <f t="shared" si="2"/>
        <v>2.9396158335986418E-2</v>
      </c>
      <c r="I28" s="50">
        <f>SUM($G$7:G28)</f>
        <v>52890</v>
      </c>
      <c r="J28" s="48">
        <f t="shared" si="3"/>
        <v>0.46773851215111961</v>
      </c>
      <c r="K28" s="18"/>
      <c r="M28" s="1"/>
    </row>
    <row r="29" spans="1:16" ht="25" customHeight="1">
      <c r="A29" s="5"/>
      <c r="B29" s="17"/>
      <c r="C29" s="51">
        <v>28</v>
      </c>
      <c r="D29" s="53">
        <f t="shared" si="1"/>
        <v>51</v>
      </c>
      <c r="E29" s="53">
        <f t="shared" si="0"/>
        <v>5</v>
      </c>
      <c r="F29" s="44">
        <f t="shared" si="4"/>
        <v>52</v>
      </c>
      <c r="G29" s="45">
        <f>IF(D29=D28,"",_xlfn.IFNA(VLOOKUP(D29,'인원 입력 기능'!$BE$5:$BH$55,4,FALSE),0))</f>
        <v>2703</v>
      </c>
      <c r="H29" s="46">
        <f t="shared" si="2"/>
        <v>2.3904276769606284E-2</v>
      </c>
      <c r="I29" s="50">
        <f>SUM($G$7:G29)</f>
        <v>55593</v>
      </c>
      <c r="J29" s="48">
        <f t="shared" si="3"/>
        <v>0.49164278892072588</v>
      </c>
      <c r="K29" s="18"/>
      <c r="M29" s="1"/>
    </row>
    <row r="30" spans="1:16" ht="25" customHeight="1">
      <c r="A30" s="5"/>
      <c r="B30" s="17"/>
      <c r="C30" s="52">
        <v>27</v>
      </c>
      <c r="D30" s="53">
        <f t="shared" si="1"/>
        <v>50</v>
      </c>
      <c r="E30" s="53">
        <f t="shared" si="0"/>
        <v>5</v>
      </c>
      <c r="F30" s="44">
        <f t="shared" si="4"/>
        <v>50</v>
      </c>
      <c r="G30" s="45">
        <f>IF(D30=D29,"",_xlfn.IFNA(VLOOKUP(D30,'인원 입력 기능'!$BE$5:$BH$55,4,FALSE),0))</f>
        <v>2859</v>
      </c>
      <c r="H30" s="46">
        <f t="shared" si="2"/>
        <v>2.5283879868407088E-2</v>
      </c>
      <c r="I30" s="50">
        <f>SUM($G$7:G30)</f>
        <v>58452</v>
      </c>
      <c r="J30" s="48">
        <f t="shared" si="3"/>
        <v>0.51692666878913296</v>
      </c>
      <c r="K30" s="18"/>
      <c r="M30" s="1"/>
    </row>
    <row r="31" spans="1:16" ht="25" customHeight="1">
      <c r="A31" s="5"/>
      <c r="B31" s="17"/>
      <c r="C31" s="51">
        <v>26</v>
      </c>
      <c r="D31" s="53">
        <f t="shared" si="1"/>
        <v>49</v>
      </c>
      <c r="E31" s="53">
        <f t="shared" si="0"/>
        <v>5</v>
      </c>
      <c r="F31" s="44">
        <f t="shared" si="4"/>
        <v>47</v>
      </c>
      <c r="G31" s="45">
        <f>IF(D31=D30,"",_xlfn.IFNA(VLOOKUP(D31,'인원 입력 기능'!$BE$5:$BH$55,4,FALSE),0))</f>
        <v>3090</v>
      </c>
      <c r="H31" s="46">
        <f t="shared" si="2"/>
        <v>2.7326753687785206E-2</v>
      </c>
      <c r="I31" s="50">
        <f>SUM($G$7:G31)</f>
        <v>61542</v>
      </c>
      <c r="J31" s="48">
        <f t="shared" si="3"/>
        <v>0.54425342247691821</v>
      </c>
      <c r="K31" s="18"/>
      <c r="M31" s="1"/>
    </row>
    <row r="32" spans="1:16" ht="25" customHeight="1">
      <c r="A32" s="5"/>
      <c r="B32" s="17"/>
      <c r="C32" s="52">
        <v>25</v>
      </c>
      <c r="D32" s="53">
        <f t="shared" si="1"/>
        <v>48</v>
      </c>
      <c r="E32" s="53">
        <f t="shared" si="0"/>
        <v>5</v>
      </c>
      <c r="F32" s="44">
        <f t="shared" si="4"/>
        <v>44</v>
      </c>
      <c r="G32" s="45">
        <f>IF(D32=D31,"",_xlfn.IFNA(VLOOKUP(D32,'인원 입력 기능'!$BE$5:$BH$55,4,FALSE),0))</f>
        <v>2563</v>
      </c>
      <c r="H32" s="46">
        <f t="shared" si="2"/>
        <v>2.2666171424528637E-2</v>
      </c>
      <c r="I32" s="50">
        <f>SUM($G$7:G32)</f>
        <v>64105</v>
      </c>
      <c r="J32" s="48">
        <f t="shared" si="3"/>
        <v>0.56691959390144686</v>
      </c>
      <c r="K32" s="18"/>
      <c r="M32" s="1"/>
    </row>
    <row r="33" spans="1:13" ht="25" customHeight="1">
      <c r="A33" s="5"/>
      <c r="B33" s="17"/>
      <c r="C33" s="51">
        <v>24</v>
      </c>
      <c r="D33" s="53">
        <f t="shared" si="1"/>
        <v>47</v>
      </c>
      <c r="E33" s="53">
        <f t="shared" si="0"/>
        <v>5</v>
      </c>
      <c r="F33" s="44">
        <f t="shared" si="4"/>
        <v>42</v>
      </c>
      <c r="G33" s="45">
        <f>IF(D33=D32,"",_xlfn.IFNA(VLOOKUP(D33,'인원 입력 기능'!$BE$5:$BH$55,4,FALSE),0))</f>
        <v>3134</v>
      </c>
      <c r="H33" s="46">
        <f t="shared" si="2"/>
        <v>2.7715872510523896E-2</v>
      </c>
      <c r="I33" s="50">
        <f>SUM($G$7:G33)</f>
        <v>67239</v>
      </c>
      <c r="J33" s="48">
        <f t="shared" si="3"/>
        <v>0.59463546641197074</v>
      </c>
      <c r="K33" s="18"/>
      <c r="M33" s="1"/>
    </row>
    <row r="34" spans="1:13" ht="25" customHeight="1">
      <c r="A34" s="5"/>
      <c r="B34" s="17"/>
      <c r="C34" s="52">
        <v>23</v>
      </c>
      <c r="D34" s="298">
        <f t="shared" si="1"/>
        <v>46</v>
      </c>
      <c r="E34" s="298">
        <f t="shared" si="0"/>
        <v>5</v>
      </c>
      <c r="F34" s="288">
        <f t="shared" si="4"/>
        <v>38</v>
      </c>
      <c r="G34" s="290">
        <f>IF(D34=D33,"",_xlfn.IFNA(VLOOKUP(D34,'인원 입력 기능'!$BE$5:$BH$55,4,FALSE),0))</f>
        <v>5924</v>
      </c>
      <c r="H34" s="291">
        <f t="shared" si="2"/>
        <v>5.2389543315999862E-2</v>
      </c>
      <c r="I34" s="293">
        <f>SUM($G$7:G34)</f>
        <v>73163</v>
      </c>
      <c r="J34" s="295">
        <f t="shared" si="3"/>
        <v>0.64702500972797061</v>
      </c>
      <c r="K34" s="18"/>
      <c r="M34" s="1"/>
    </row>
    <row r="35" spans="1:13" ht="25" customHeight="1">
      <c r="A35" s="5"/>
      <c r="B35" s="17"/>
      <c r="C35" s="51">
        <v>22</v>
      </c>
      <c r="D35" s="297"/>
      <c r="E35" s="297"/>
      <c r="F35" s="287"/>
      <c r="G35" s="289"/>
      <c r="H35" s="292"/>
      <c r="I35" s="294"/>
      <c r="J35" s="296"/>
      <c r="K35" s="18"/>
      <c r="M35" s="1"/>
    </row>
    <row r="36" spans="1:13" ht="25" customHeight="1">
      <c r="A36" s="5"/>
      <c r="B36" s="17"/>
      <c r="C36" s="52">
        <v>21</v>
      </c>
      <c r="D36" s="53">
        <f t="shared" si="1"/>
        <v>45</v>
      </c>
      <c r="E36" s="53">
        <f t="shared" si="0"/>
        <v>6</v>
      </c>
      <c r="F36" s="44">
        <f t="shared" si="4"/>
        <v>34</v>
      </c>
      <c r="G36" s="45">
        <f>IF(D36=D35,"",_xlfn.IFNA(VLOOKUP(D36,'인원 입력 기능'!$BE$5:$BH$55,4,FALSE),0))</f>
        <v>3259</v>
      </c>
      <c r="H36" s="46">
        <f t="shared" si="2"/>
        <v>2.8821323711486081E-2</v>
      </c>
      <c r="I36" s="50">
        <f>SUM($G$7:G36)</f>
        <v>76422</v>
      </c>
      <c r="J36" s="48">
        <f t="shared" si="3"/>
        <v>0.67584633343945666</v>
      </c>
      <c r="K36" s="18"/>
      <c r="M36" s="1"/>
    </row>
    <row r="37" spans="1:13" ht="25" customHeight="1">
      <c r="A37" s="5"/>
      <c r="B37" s="17"/>
      <c r="C37" s="51">
        <v>20</v>
      </c>
      <c r="D37" s="53">
        <f t="shared" si="1"/>
        <v>44</v>
      </c>
      <c r="E37" s="53">
        <f t="shared" si="0"/>
        <v>6</v>
      </c>
      <c r="F37" s="44">
        <f t="shared" si="4"/>
        <v>31</v>
      </c>
      <c r="G37" s="45">
        <f>IF(D37=D36,"",_xlfn.IFNA(VLOOKUP(D37,'인원 입력 기능'!$BE$5:$BH$55,4,FALSE),0))</f>
        <v>2910</v>
      </c>
      <c r="H37" s="46">
        <f t="shared" si="2"/>
        <v>2.5734903958399662E-2</v>
      </c>
      <c r="I37" s="50">
        <f>SUM($G$7:G37)</f>
        <v>79332</v>
      </c>
      <c r="J37" s="48">
        <f t="shared" si="3"/>
        <v>0.70158123739785627</v>
      </c>
      <c r="K37" s="18"/>
      <c r="M37" s="1"/>
    </row>
    <row r="38" spans="1:13" ht="25" customHeight="1">
      <c r="A38" s="5"/>
      <c r="B38" s="17"/>
      <c r="C38" s="52">
        <v>19</v>
      </c>
      <c r="D38" s="53">
        <f t="shared" si="1"/>
        <v>43</v>
      </c>
      <c r="E38" s="53">
        <f t="shared" si="0"/>
        <v>6</v>
      </c>
      <c r="F38" s="44">
        <f t="shared" si="4"/>
        <v>28</v>
      </c>
      <c r="G38" s="45">
        <f>IF(D38=D37,"",_xlfn.IFNA(VLOOKUP(D38,'인원 입력 기능'!$BE$5:$BH$55,4,FALSE),0))</f>
        <v>3156</v>
      </c>
      <c r="H38" s="46">
        <f t="shared" si="2"/>
        <v>2.7910431921893238E-2</v>
      </c>
      <c r="I38" s="50">
        <f>SUM($G$7:G38)</f>
        <v>82488</v>
      </c>
      <c r="J38" s="48">
        <f t="shared" si="3"/>
        <v>0.72949166931974951</v>
      </c>
      <c r="K38" s="18"/>
      <c r="M38" s="1"/>
    </row>
    <row r="39" spans="1:13" ht="25" customHeight="1">
      <c r="A39" s="5"/>
      <c r="B39" s="17"/>
      <c r="C39" s="51">
        <v>18</v>
      </c>
      <c r="D39" s="53">
        <f t="shared" si="1"/>
        <v>42</v>
      </c>
      <c r="E39" s="53">
        <f t="shared" ref="E39:E57" si="5">IF(ROUND(D39,0)&gt;=$P$7,1,IF(ROUND(D39,0)&gt;=$P$8,2,IF(ROUND(D39,0)&gt;=$P$9,3,IF(ROUND(D39,0)&gt;=$P$10,4,IF(ROUND(D39,0)&gt;=$P$11,5,IF(ROUND(D39,0)&gt;=$P$12,6,IF(ROUND(D39,0)&gt;=$P$13,7,IF(ROUND(D39,0)&gt;=$P$14,8,9))))))))</f>
        <v>6</v>
      </c>
      <c r="F39" s="44">
        <f t="shared" si="4"/>
        <v>26</v>
      </c>
      <c r="G39" s="45">
        <f>IF(D39=D38,"",_xlfn.IFNA(VLOOKUP(D39,'인원 입력 기능'!$BE$5:$BH$55,4,FALSE),0))</f>
        <v>2874</v>
      </c>
      <c r="H39" s="46">
        <f t="shared" si="2"/>
        <v>2.541653401252255E-2</v>
      </c>
      <c r="I39" s="50">
        <f>SUM($G$7:G39)</f>
        <v>85362</v>
      </c>
      <c r="J39" s="48">
        <f t="shared" si="3"/>
        <v>0.75490820333227215</v>
      </c>
      <c r="K39" s="18"/>
      <c r="M39" s="1"/>
    </row>
    <row r="40" spans="1:13" ht="25" customHeight="1">
      <c r="A40" s="5"/>
      <c r="B40" s="17"/>
      <c r="C40" s="52">
        <v>17</v>
      </c>
      <c r="D40" s="53">
        <f t="shared" si="1"/>
        <v>41</v>
      </c>
      <c r="E40" s="53">
        <f t="shared" si="5"/>
        <v>6</v>
      </c>
      <c r="F40" s="44">
        <f t="shared" si="4"/>
        <v>23</v>
      </c>
      <c r="G40" s="45">
        <f>IF(D40=D39,"",_xlfn.IFNA(VLOOKUP(D40,'인원 입력 기능'!$BE$5:$BH$55,4,FALSE),0))</f>
        <v>2934</v>
      </c>
      <c r="H40" s="46">
        <f t="shared" si="2"/>
        <v>2.5947150588984402E-2</v>
      </c>
      <c r="I40" s="50">
        <f>SUM($G$7:G40)</f>
        <v>88296</v>
      </c>
      <c r="J40" s="48">
        <f t="shared" si="3"/>
        <v>0.78085535392125649</v>
      </c>
      <c r="K40" s="18"/>
      <c r="M40" s="1"/>
    </row>
    <row r="41" spans="1:13" ht="25" customHeight="1">
      <c r="A41" s="5"/>
      <c r="B41" s="17"/>
      <c r="C41" s="51">
        <v>16</v>
      </c>
      <c r="D41" s="53">
        <f t="shared" si="1"/>
        <v>40</v>
      </c>
      <c r="E41" s="53">
        <f t="shared" si="5"/>
        <v>7</v>
      </c>
      <c r="F41" s="44">
        <f t="shared" si="4"/>
        <v>21</v>
      </c>
      <c r="G41" s="45">
        <f>IF(D41=D40,"",_xlfn.IFNA(VLOOKUP(D41,'인원 입력 기능'!$BE$5:$BH$55,4,FALSE),0))</f>
        <v>2949</v>
      </c>
      <c r="H41" s="46">
        <f t="shared" si="2"/>
        <v>2.6079804733099864E-2</v>
      </c>
      <c r="I41" s="50">
        <f>SUM($G$7:G41)</f>
        <v>91245</v>
      </c>
      <c r="J41" s="48">
        <f t="shared" si="3"/>
        <v>0.80693515865435639</v>
      </c>
      <c r="K41" s="18"/>
      <c r="M41" s="1"/>
    </row>
    <row r="42" spans="1:13" ht="25" customHeight="1">
      <c r="A42" s="5"/>
      <c r="B42" s="17"/>
      <c r="C42" s="52">
        <v>15</v>
      </c>
      <c r="D42" s="53">
        <f t="shared" si="1"/>
        <v>39</v>
      </c>
      <c r="E42" s="53">
        <f t="shared" si="5"/>
        <v>7</v>
      </c>
      <c r="F42" s="44">
        <f t="shared" si="4"/>
        <v>18</v>
      </c>
      <c r="G42" s="45">
        <f>IF(D42=D41,"",_xlfn.IFNA(VLOOKUP(D42,'인원 입력 기능'!$BE$5:$BH$55,4,FALSE),0))</f>
        <v>2537</v>
      </c>
      <c r="H42" s="46">
        <f t="shared" si="2"/>
        <v>2.2436237574728502E-2</v>
      </c>
      <c r="I42" s="50">
        <f>SUM($G$7:G42)</f>
        <v>93782</v>
      </c>
      <c r="J42" s="48">
        <f t="shared" si="3"/>
        <v>0.82937139622908485</v>
      </c>
      <c r="K42" s="18"/>
      <c r="M42" s="1"/>
    </row>
    <row r="43" spans="1:13" ht="25" customHeight="1">
      <c r="A43" s="5"/>
      <c r="B43" s="17"/>
      <c r="C43" s="51">
        <v>14</v>
      </c>
      <c r="D43" s="298">
        <f t="shared" si="1"/>
        <v>38</v>
      </c>
      <c r="E43" s="298">
        <f t="shared" si="5"/>
        <v>7</v>
      </c>
      <c r="F43" s="288">
        <f t="shared" si="4"/>
        <v>14</v>
      </c>
      <c r="G43" s="290">
        <f>IF(D43=D42,"",_xlfn.IFNA(VLOOKUP(D43,'인원 입력 기능'!$BE$5:$BH$55,4,FALSE),0))</f>
        <v>5996</v>
      </c>
      <c r="H43" s="291">
        <f t="shared" si="2"/>
        <v>5.3026283207754078E-2</v>
      </c>
      <c r="I43" s="293">
        <f>SUM($G$7:G43)</f>
        <v>99778</v>
      </c>
      <c r="J43" s="295">
        <f t="shared" si="3"/>
        <v>0.88239767943683889</v>
      </c>
      <c r="K43" s="18"/>
      <c r="M43" s="1"/>
    </row>
    <row r="44" spans="1:13" ht="25" customHeight="1">
      <c r="A44" s="5"/>
      <c r="B44" s="17"/>
      <c r="C44" s="52">
        <v>13</v>
      </c>
      <c r="D44" s="297"/>
      <c r="E44" s="297"/>
      <c r="F44" s="287"/>
      <c r="G44" s="289"/>
      <c r="H44" s="292"/>
      <c r="I44" s="294"/>
      <c r="J44" s="296"/>
      <c r="K44" s="18"/>
      <c r="M44" s="1"/>
    </row>
    <row r="45" spans="1:13" ht="25" customHeight="1">
      <c r="A45" s="5"/>
      <c r="B45" s="17"/>
      <c r="C45" s="51">
        <v>12</v>
      </c>
      <c r="D45" s="53">
        <f t="shared" si="1"/>
        <v>37</v>
      </c>
      <c r="E45" s="53">
        <f t="shared" si="5"/>
        <v>7</v>
      </c>
      <c r="F45" s="44">
        <f t="shared" si="4"/>
        <v>11</v>
      </c>
      <c r="G45" s="45">
        <f>IF(D45=D44,"",_xlfn.IFNA(VLOOKUP(D45,'인원 입력 기능'!$BE$5:$BH$55,4,FALSE),0))</f>
        <v>2474</v>
      </c>
      <c r="H45" s="46">
        <f t="shared" si="2"/>
        <v>2.187909016944356E-2</v>
      </c>
      <c r="I45" s="50">
        <f>SUM($G$7:G45)</f>
        <v>102252</v>
      </c>
      <c r="J45" s="48">
        <f t="shared" si="3"/>
        <v>0.90427676960628245</v>
      </c>
      <c r="K45" s="18"/>
      <c r="M45" s="1"/>
    </row>
    <row r="46" spans="1:13" ht="25" customHeight="1">
      <c r="A46" s="5"/>
      <c r="B46" s="17"/>
      <c r="C46" s="52">
        <v>11</v>
      </c>
      <c r="D46" s="53">
        <f t="shared" si="1"/>
        <v>36</v>
      </c>
      <c r="E46" s="53">
        <f t="shared" si="5"/>
        <v>8</v>
      </c>
      <c r="F46" s="44">
        <f t="shared" si="4"/>
        <v>9</v>
      </c>
      <c r="G46" s="45">
        <f>IF(D46=D45,"",_xlfn.IFNA(VLOOKUP(D46,'인원 입력 기능'!$BE$5:$BH$55,4,FALSE),0))</f>
        <v>2057</v>
      </c>
      <c r="H46" s="46">
        <f t="shared" si="2"/>
        <v>1.819130496303371E-2</v>
      </c>
      <c r="I46" s="50">
        <f>SUM($G$7:G46)</f>
        <v>104309</v>
      </c>
      <c r="J46" s="48">
        <f t="shared" si="3"/>
        <v>0.92246807456931623</v>
      </c>
      <c r="K46" s="18"/>
      <c r="M46" s="1"/>
    </row>
    <row r="47" spans="1:13" ht="25" customHeight="1">
      <c r="A47" s="5"/>
      <c r="B47" s="17"/>
      <c r="C47" s="51">
        <v>10</v>
      </c>
      <c r="D47" s="53">
        <f t="shared" si="1"/>
        <v>35</v>
      </c>
      <c r="E47" s="53">
        <f t="shared" si="5"/>
        <v>8</v>
      </c>
      <c r="F47" s="44">
        <f t="shared" si="4"/>
        <v>7</v>
      </c>
      <c r="G47" s="45">
        <f>IF(D47=D46,"",_xlfn.IFNA(VLOOKUP(D47,'인원 입력 기능'!$BE$5:$BH$55,4,FALSE),0))</f>
        <v>1521</v>
      </c>
      <c r="H47" s="46">
        <f t="shared" si="2"/>
        <v>1.3451130213307863E-2</v>
      </c>
      <c r="I47" s="50">
        <f>SUM($G$7:G47)</f>
        <v>105830</v>
      </c>
      <c r="J47" s="48">
        <f t="shared" si="3"/>
        <v>0.93591920478262403</v>
      </c>
      <c r="K47" s="18"/>
      <c r="M47" s="1"/>
    </row>
    <row r="48" spans="1:13" ht="25" customHeight="1">
      <c r="A48" s="5"/>
      <c r="B48" s="17"/>
      <c r="C48" s="52">
        <v>9</v>
      </c>
      <c r="D48" s="53">
        <f t="shared" si="1"/>
        <v>34</v>
      </c>
      <c r="E48" s="53">
        <f t="shared" si="5"/>
        <v>8</v>
      </c>
      <c r="F48" s="44">
        <f t="shared" si="4"/>
        <v>5</v>
      </c>
      <c r="G48" s="45">
        <f>IF(D48=D47,"",_xlfn.IFNA(VLOOKUP(D48,'인원 입력 기능'!$BE$5:$BH$55,4,FALSE),0))</f>
        <v>3181</v>
      </c>
      <c r="H48" s="46">
        <f t="shared" si="2"/>
        <v>2.8131522162085677E-2</v>
      </c>
      <c r="I48" s="50">
        <f>SUM($G$7:G48)</f>
        <v>109011</v>
      </c>
      <c r="J48" s="48">
        <f t="shared" si="3"/>
        <v>0.96405072694470972</v>
      </c>
      <c r="K48" s="18"/>
      <c r="M48" s="1"/>
    </row>
    <row r="49" spans="1:13" ht="25" customHeight="1">
      <c r="A49" s="5"/>
      <c r="B49" s="17"/>
      <c r="C49" s="51">
        <v>8</v>
      </c>
      <c r="D49" s="53">
        <f t="shared" si="1"/>
        <v>33</v>
      </c>
      <c r="E49" s="53">
        <f t="shared" si="5"/>
        <v>9</v>
      </c>
      <c r="F49" s="44">
        <f t="shared" si="4"/>
        <v>3</v>
      </c>
      <c r="G49" s="45">
        <f>IF(D49=D48,"",_xlfn.IFNA(VLOOKUP(D49,'인원 입력 기능'!$BE$5:$BH$55,4,FALSE),0))</f>
        <v>1163</v>
      </c>
      <c r="H49" s="46">
        <f t="shared" si="2"/>
        <v>1.0285117973752167E-2</v>
      </c>
      <c r="I49" s="50">
        <f>SUM($G$7:G49)</f>
        <v>110174</v>
      </c>
      <c r="J49" s="48">
        <f t="shared" si="3"/>
        <v>0.97433584491846192</v>
      </c>
      <c r="K49" s="18"/>
      <c r="M49" s="1"/>
    </row>
    <row r="50" spans="1:13" ht="25" customHeight="1">
      <c r="A50" s="5"/>
      <c r="B50" s="17"/>
      <c r="C50" s="52">
        <v>7</v>
      </c>
      <c r="D50" s="53">
        <f t="shared" si="1"/>
        <v>32</v>
      </c>
      <c r="E50" s="53">
        <f t="shared" si="5"/>
        <v>9</v>
      </c>
      <c r="F50" s="44">
        <f t="shared" si="4"/>
        <v>2</v>
      </c>
      <c r="G50" s="45">
        <f>IF(D50=D49,"",_xlfn.IFNA(VLOOKUP(D50,'인원 입력 기능'!$BE$5:$BH$55,4,FALSE),0))</f>
        <v>1037</v>
      </c>
      <c r="H50" s="46">
        <f t="shared" si="2"/>
        <v>9.1708231631822852E-3</v>
      </c>
      <c r="I50" s="50">
        <f>SUM($G$7:G50)</f>
        <v>111211</v>
      </c>
      <c r="J50" s="48">
        <f t="shared" si="3"/>
        <v>0.98350666808164422</v>
      </c>
      <c r="K50" s="18"/>
      <c r="M50" s="1"/>
    </row>
    <row r="51" spans="1:13" ht="25" customHeight="1">
      <c r="A51" s="5"/>
      <c r="B51" s="17"/>
      <c r="C51" s="51">
        <v>6</v>
      </c>
      <c r="D51" s="53">
        <f t="shared" si="1"/>
        <v>31</v>
      </c>
      <c r="E51" s="53">
        <f t="shared" si="5"/>
        <v>9</v>
      </c>
      <c r="F51" s="44">
        <f t="shared" si="4"/>
        <v>1</v>
      </c>
      <c r="G51" s="45">
        <f>IF(D51=D50,"",_xlfn.IFNA(VLOOKUP(D51,'인원 입력 기능'!$BE$5:$BH$55,4,FALSE),0))</f>
        <v>581</v>
      </c>
      <c r="H51" s="46">
        <f t="shared" si="2"/>
        <v>5.138137182072235E-3</v>
      </c>
      <c r="I51" s="50">
        <f>SUM($G$7:G51)</f>
        <v>111792</v>
      </c>
      <c r="J51" s="48">
        <f t="shared" si="3"/>
        <v>0.98864480526371645</v>
      </c>
      <c r="K51" s="18"/>
      <c r="M51" s="1"/>
    </row>
    <row r="52" spans="1:13" ht="25" customHeight="1">
      <c r="A52" s="5"/>
      <c r="B52" s="17"/>
      <c r="C52" s="52">
        <v>5</v>
      </c>
      <c r="D52" s="298">
        <f t="shared" si="1"/>
        <v>30</v>
      </c>
      <c r="E52" s="298">
        <f t="shared" si="5"/>
        <v>9</v>
      </c>
      <c r="F52" s="288">
        <f t="shared" si="4"/>
        <v>1</v>
      </c>
      <c r="G52" s="290">
        <f>IF(D52=D51,"",_xlfn.IFNA(VLOOKUP(D52,'인원 입력 기능'!$BE$5:$BH$55,4,FALSE),0))</f>
        <v>838</v>
      </c>
      <c r="H52" s="291">
        <f t="shared" si="2"/>
        <v>7.4109448512504868E-3</v>
      </c>
      <c r="I52" s="293">
        <f>SUM($G$7:G52)</f>
        <v>112630</v>
      </c>
      <c r="J52" s="295">
        <f t="shared" si="3"/>
        <v>0.99605575011496694</v>
      </c>
      <c r="K52" s="18"/>
      <c r="M52" s="1"/>
    </row>
    <row r="53" spans="1:13" ht="25" customHeight="1">
      <c r="A53" s="5"/>
      <c r="B53" s="17"/>
      <c r="C53" s="42">
        <v>4</v>
      </c>
      <c r="D53" s="297"/>
      <c r="E53" s="297"/>
      <c r="F53" s="287"/>
      <c r="G53" s="289"/>
      <c r="H53" s="292"/>
      <c r="I53" s="294"/>
      <c r="J53" s="296"/>
      <c r="K53" s="18"/>
      <c r="M53" s="1"/>
    </row>
    <row r="54" spans="1:13" ht="25" customHeight="1">
      <c r="A54" s="5"/>
      <c r="B54" s="17"/>
      <c r="C54" s="49">
        <v>3</v>
      </c>
      <c r="D54" s="43">
        <f t="shared" si="1"/>
        <v>29</v>
      </c>
      <c r="E54" s="43">
        <f t="shared" si="5"/>
        <v>9</v>
      </c>
      <c r="F54" s="44">
        <f t="shared" si="4"/>
        <v>0</v>
      </c>
      <c r="G54" s="45">
        <f>IF(D54=D53,"",_xlfn.IFNA(VLOOKUP(D54,'인원 입력 기능'!$BE$5:$BH$55,4,FALSE),0))</f>
        <v>191</v>
      </c>
      <c r="H54" s="46">
        <f t="shared" si="2"/>
        <v>1.6891294350702183E-3</v>
      </c>
      <c r="I54" s="50">
        <f>SUM($G$7:G54)</f>
        <v>112821</v>
      </c>
      <c r="J54" s="48">
        <f t="shared" si="3"/>
        <v>0.9977448795500371</v>
      </c>
      <c r="K54" s="18"/>
      <c r="M54" s="1"/>
    </row>
    <row r="55" spans="1:13" ht="25" customHeight="1">
      <c r="A55" s="5"/>
      <c r="B55" s="17"/>
      <c r="C55" s="42">
        <v>2</v>
      </c>
      <c r="D55" s="43">
        <f t="shared" si="1"/>
        <v>28</v>
      </c>
      <c r="E55" s="43">
        <f t="shared" si="5"/>
        <v>9</v>
      </c>
      <c r="F55" s="44">
        <f t="shared" si="4"/>
        <v>0</v>
      </c>
      <c r="G55" s="45">
        <f>IF(D55=D54,"",_xlfn.IFNA(VLOOKUP(D55,'인원 입력 기능'!$BE$5:$BH$55,4,FALSE),0))</f>
        <v>194</v>
      </c>
      <c r="H55" s="46">
        <f t="shared" si="2"/>
        <v>1.7156602638933108E-3</v>
      </c>
      <c r="I55" s="50">
        <f>SUM($G$7:G55)</f>
        <v>113015</v>
      </c>
      <c r="J55" s="48">
        <f t="shared" si="3"/>
        <v>0.99946053981393046</v>
      </c>
      <c r="K55" s="18"/>
      <c r="M55" s="1"/>
    </row>
    <row r="56" spans="1:13" ht="25" customHeight="1">
      <c r="A56" s="5"/>
      <c r="B56" s="17"/>
      <c r="C56" s="49">
        <v>1</v>
      </c>
      <c r="D56" s="111" t="s">
        <v>31</v>
      </c>
      <c r="E56" s="112"/>
      <c r="F56" s="112"/>
      <c r="G56" s="112"/>
      <c r="H56" s="112"/>
      <c r="I56" s="112"/>
      <c r="J56" s="113"/>
      <c r="K56" s="18"/>
      <c r="M56" s="1"/>
    </row>
    <row r="57" spans="1:13" ht="25" customHeight="1" thickBot="1">
      <c r="A57" s="5"/>
      <c r="B57" s="17"/>
      <c r="C57" s="57">
        <v>0</v>
      </c>
      <c r="D57" s="58">
        <f>ROUND(10*(C57-$H$3)/$H$4+50,0)</f>
        <v>26</v>
      </c>
      <c r="E57" s="59">
        <f t="shared" si="5"/>
        <v>9</v>
      </c>
      <c r="F57" s="60">
        <f>IF(I55=0,ROUND(100*(1-(I54+I57)/2/$J$3),0),ROUND(100*(1-(I55+I57)/2/$J$3),0))</f>
        <v>0</v>
      </c>
      <c r="G57" s="61">
        <f>_xlfn.IFNA(VLOOKUP(D57,'인원 입력 기능'!$BE$5:$BH$55,4,FALSE),0)</f>
        <v>61</v>
      </c>
      <c r="H57" s="62">
        <f>G57/J3</f>
        <v>5.3946018606954613E-4</v>
      </c>
      <c r="I57" s="63">
        <f>SUM($G$7:G57)</f>
        <v>113076</v>
      </c>
      <c r="J57" s="64">
        <f>I57/J3</f>
        <v>1</v>
      </c>
      <c r="K57" s="18"/>
      <c r="M57" s="1"/>
    </row>
    <row r="58" spans="1:13" ht="6" customHeight="1">
      <c r="A58" s="5"/>
      <c r="B58" s="20"/>
      <c r="C58" s="21"/>
      <c r="D58" s="21"/>
      <c r="E58" s="21"/>
      <c r="F58" s="21"/>
      <c r="G58" s="21"/>
      <c r="H58" s="21"/>
      <c r="I58" s="21"/>
      <c r="J58" s="21"/>
      <c r="K58" s="22"/>
      <c r="M58" s="1"/>
    </row>
    <row r="59" spans="1:13">
      <c r="M59" s="1"/>
    </row>
    <row r="60" spans="1:13">
      <c r="M60" s="1"/>
    </row>
    <row r="61" spans="1:13">
      <c r="M61" s="1"/>
    </row>
    <row r="62" spans="1:13">
      <c r="M62" s="1"/>
    </row>
    <row r="63" spans="1:13">
      <c r="M63" s="1"/>
    </row>
    <row r="64" spans="1:13">
      <c r="M64" s="1"/>
    </row>
    <row r="65" spans="13:13">
      <c r="M65" s="1"/>
    </row>
    <row r="66" spans="13:13">
      <c r="M66" s="1"/>
    </row>
    <row r="67" spans="13:13">
      <c r="M67" s="1"/>
    </row>
    <row r="68" spans="13:13">
      <c r="M68" s="1"/>
    </row>
    <row r="69" spans="13:13">
      <c r="M69" s="1"/>
    </row>
    <row r="70" spans="13:13">
      <c r="M70" s="1"/>
    </row>
    <row r="71" spans="13:13">
      <c r="M71" s="1"/>
    </row>
    <row r="72" spans="13:13">
      <c r="M72" s="1"/>
    </row>
    <row r="73" spans="13:13">
      <c r="M73" s="1"/>
    </row>
    <row r="74" spans="13:13">
      <c r="M74" s="1"/>
    </row>
    <row r="75" spans="13:13">
      <c r="M75" s="1"/>
    </row>
    <row r="76" spans="13:13">
      <c r="M76" s="1"/>
    </row>
    <row r="77" spans="13:13">
      <c r="M77" s="1"/>
    </row>
    <row r="78" spans="13:13">
      <c r="M78" s="1"/>
    </row>
    <row r="79" spans="13:13">
      <c r="M79" s="1"/>
    </row>
    <row r="80" spans="13:13">
      <c r="M80" s="1"/>
    </row>
    <row r="81" spans="13:13">
      <c r="M81" s="1"/>
    </row>
    <row r="82" spans="13:13">
      <c r="M82" s="1"/>
    </row>
    <row r="83" spans="13:13">
      <c r="M83" s="1"/>
    </row>
    <row r="84" spans="13:13">
      <c r="M84" s="1"/>
    </row>
    <row r="85" spans="13:13">
      <c r="M85" s="1"/>
    </row>
    <row r="86" spans="13:13">
      <c r="M86" s="1"/>
    </row>
    <row r="87" spans="13:13">
      <c r="M87" s="1"/>
    </row>
    <row r="88" spans="13:13">
      <c r="M88" s="1"/>
    </row>
    <row r="89" spans="13:13">
      <c r="M89" s="1"/>
    </row>
    <row r="90" spans="13:13">
      <c r="M90" s="1"/>
    </row>
    <row r="91" spans="13:13">
      <c r="M91" s="1"/>
    </row>
    <row r="92" spans="13:13">
      <c r="M92" s="1"/>
    </row>
    <row r="93" spans="13:13">
      <c r="M93" s="1"/>
    </row>
    <row r="94" spans="13:13">
      <c r="M94" s="1"/>
    </row>
    <row r="95" spans="13:13">
      <c r="M95" s="1"/>
    </row>
    <row r="96" spans="13:13">
      <c r="M96" s="1"/>
    </row>
    <row r="97" spans="13:13">
      <c r="M97" s="1"/>
    </row>
    <row r="98" spans="13:13">
      <c r="M98" s="1"/>
    </row>
    <row r="99" spans="13:13">
      <c r="M99" s="1"/>
    </row>
    <row r="100" spans="13:13">
      <c r="M100" s="1"/>
    </row>
    <row r="101" spans="13:13">
      <c r="M101" s="1"/>
    </row>
    <row r="102" spans="13:13">
      <c r="M102" s="1"/>
    </row>
    <row r="103" spans="13:13">
      <c r="M103" s="1"/>
    </row>
    <row r="104" spans="13:13">
      <c r="M104" s="1"/>
    </row>
    <row r="105" spans="13:13">
      <c r="M105" s="1"/>
    </row>
  </sheetData>
  <mergeCells count="39">
    <mergeCell ref="I43:I44"/>
    <mergeCell ref="J43:J44"/>
    <mergeCell ref="D52:D53"/>
    <mergeCell ref="E52:E53"/>
    <mergeCell ref="F52:F53"/>
    <mergeCell ref="G52:G53"/>
    <mergeCell ref="H52:H53"/>
    <mergeCell ref="I52:I53"/>
    <mergeCell ref="J52:J53"/>
    <mergeCell ref="D43:D44"/>
    <mergeCell ref="E43:E44"/>
    <mergeCell ref="F43:F44"/>
    <mergeCell ref="G43:G44"/>
    <mergeCell ref="H43:H44"/>
    <mergeCell ref="I25:I26"/>
    <mergeCell ref="J25:J26"/>
    <mergeCell ref="D34:D35"/>
    <mergeCell ref="E34:E35"/>
    <mergeCell ref="F34:F35"/>
    <mergeCell ref="G34:G35"/>
    <mergeCell ref="H34:H35"/>
    <mergeCell ref="I34:I35"/>
    <mergeCell ref="J34:J35"/>
    <mergeCell ref="D3:F3"/>
    <mergeCell ref="D4:F4"/>
    <mergeCell ref="D56:J56"/>
    <mergeCell ref="D8:J8"/>
    <mergeCell ref="D16:D17"/>
    <mergeCell ref="E16:E17"/>
    <mergeCell ref="F16:F17"/>
    <mergeCell ref="G16:G17"/>
    <mergeCell ref="H16:H17"/>
    <mergeCell ref="I16:I17"/>
    <mergeCell ref="J16:J17"/>
    <mergeCell ref="D25:D26"/>
    <mergeCell ref="E25:E26"/>
    <mergeCell ref="F25:F26"/>
    <mergeCell ref="G25:G26"/>
    <mergeCell ref="H25:H26"/>
  </mergeCells>
  <phoneticPr fontId="1" type="noConversion"/>
  <conditionalFormatting sqref="D7:J7 D57:J57 D9:J16 D18:J25 D27:J34 D36:J43 D45:J52 D54:J55">
    <cfRule type="expression" dxfId="83" priority="7">
      <formula>OR($D7=$P$7:$P$14)</formula>
    </cfRule>
  </conditionalFormatting>
  <conditionalFormatting sqref="C7:C57">
    <cfRule type="expression" dxfId="82" priority="6">
      <formula>OR(AND($D7=0,OR($D6=$P$7:$P$14)),AND($D8&gt;0,OR($D7=$P$7:$P$14)))</formula>
    </cfRule>
  </conditionalFormatting>
  <conditionalFormatting sqref="D7 D57 D9:D16 D18:D25 D27:D34 D36:D43 D45:D52 D54:D55">
    <cfRule type="expression" dxfId="81" priority="5">
      <formula>$D7=$D8</formula>
    </cfRule>
  </conditionalFormatting>
  <conditionalFormatting sqref="D56">
    <cfRule type="expression" dxfId="80" priority="4">
      <formula>OR($D56=$P$7:$P$14)</formula>
    </cfRule>
  </conditionalFormatting>
  <conditionalFormatting sqref="D56">
    <cfRule type="expression" dxfId="79" priority="3">
      <formula>$D56=$D57</formula>
    </cfRule>
  </conditionalFormatting>
  <conditionalFormatting sqref="D8">
    <cfRule type="expression" dxfId="78" priority="2">
      <formula>OR($D8=$P$7:$P$14)</formula>
    </cfRule>
  </conditionalFormatting>
  <conditionalFormatting sqref="D8">
    <cfRule type="expression" dxfId="77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ADD5B-C474-4501-A149-318FD835DF8F}">
  <sheetPr codeName="Sheet20"/>
  <dimension ref="A1:P105"/>
  <sheetViews>
    <sheetView zoomScaleNormal="100" workbookViewId="0">
      <selection activeCell="B2" sqref="B2:K58"/>
    </sheetView>
  </sheetViews>
  <sheetFormatPr defaultRowHeight="17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6">
      <c r="A1" s="5" t="s">
        <v>44</v>
      </c>
      <c r="C1" s="5"/>
      <c r="D1" s="5"/>
      <c r="E1" s="5"/>
      <c r="F1" s="5"/>
      <c r="G1" s="5"/>
      <c r="H1" s="5"/>
      <c r="I1" s="5"/>
      <c r="J1" s="5"/>
      <c r="K1" s="5"/>
    </row>
    <row r="2" spans="1:16" s="5" customFormat="1" ht="6" customHeight="1" thickBot="1">
      <c r="B2" s="15"/>
      <c r="C2" s="23"/>
      <c r="D2" s="23"/>
      <c r="E2" s="23"/>
      <c r="F2" s="23"/>
      <c r="G2" s="23"/>
      <c r="H2" s="23"/>
      <c r="I2" s="23"/>
      <c r="J2" s="23"/>
      <c r="K2" s="16"/>
    </row>
    <row r="3" spans="1:16" ht="25" customHeight="1" thickBot="1">
      <c r="A3" s="5"/>
      <c r="B3" s="17"/>
      <c r="C3" s="34" t="s">
        <v>47</v>
      </c>
      <c r="D3" s="105" t="s">
        <v>115</v>
      </c>
      <c r="E3" s="106"/>
      <c r="F3" s="107"/>
      <c r="G3" s="34" t="s">
        <v>48</v>
      </c>
      <c r="H3" s="101">
        <f>'통계 및 응시자 수 입력 기능'!D16</f>
        <v>26.55</v>
      </c>
      <c r="I3" s="103" t="s">
        <v>49</v>
      </c>
      <c r="J3" s="104">
        <f>'통계 및 응시자 수 입력 기능'!C16</f>
        <v>107867</v>
      </c>
      <c r="K3" s="18"/>
    </row>
    <row r="4" spans="1:16" ht="25" customHeight="1" thickBot="1">
      <c r="A4" s="5"/>
      <c r="B4" s="17"/>
      <c r="C4" s="35" t="s">
        <v>50</v>
      </c>
      <c r="D4" s="108" t="s">
        <v>61</v>
      </c>
      <c r="E4" s="109"/>
      <c r="F4" s="110"/>
      <c r="G4" s="36" t="s">
        <v>52</v>
      </c>
      <c r="H4" s="102">
        <f>'통계 및 응시자 수 입력 기능'!E16</f>
        <v>12.22</v>
      </c>
      <c r="I4" s="12"/>
      <c r="J4" s="12"/>
      <c r="K4" s="18"/>
    </row>
    <row r="5" spans="1:16" ht="25" customHeight="1" thickBot="1">
      <c r="A5" s="5"/>
      <c r="B5" s="17"/>
      <c r="C5" s="12"/>
      <c r="D5" s="12"/>
      <c r="E5" s="12"/>
      <c r="F5" s="12"/>
      <c r="G5" s="12"/>
      <c r="H5" s="19"/>
      <c r="I5" s="19"/>
      <c r="J5" s="19"/>
      <c r="K5" s="18"/>
    </row>
    <row r="6" spans="1:16" ht="25" customHeight="1" thickBot="1">
      <c r="A6" s="5"/>
      <c r="B6" s="17"/>
      <c r="C6" s="38" t="s">
        <v>73</v>
      </c>
      <c r="D6" s="39" t="s">
        <v>74</v>
      </c>
      <c r="E6" s="39" t="s">
        <v>75</v>
      </c>
      <c r="F6" s="39" t="s">
        <v>76</v>
      </c>
      <c r="G6" s="39" t="s">
        <v>77</v>
      </c>
      <c r="H6" s="40" t="s">
        <v>78</v>
      </c>
      <c r="I6" s="40" t="s">
        <v>79</v>
      </c>
      <c r="J6" s="41" t="s">
        <v>80</v>
      </c>
      <c r="K6" s="18"/>
      <c r="L6" s="3"/>
      <c r="M6" s="4"/>
    </row>
    <row r="7" spans="1:16" ht="25" customHeight="1">
      <c r="A7" s="5"/>
      <c r="B7" s="17"/>
      <c r="C7" s="42">
        <v>50</v>
      </c>
      <c r="D7" s="43">
        <f>ROUND(10*(C7-$H$3)/$H$4+50,0)</f>
        <v>69</v>
      </c>
      <c r="E7" s="43">
        <f t="shared" ref="E7:E38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44">
        <f>ROUND(100*(1-(0+I7)/2/$J$3),0)</f>
        <v>99</v>
      </c>
      <c r="G7" s="45">
        <f>_xlfn.IFNA(VLOOKUP(D7,'인원 입력 기능'!$BJ$5:$BM$55,4,FALSE),0)</f>
        <v>2364</v>
      </c>
      <c r="H7" s="46">
        <f>G7/J3</f>
        <v>2.1915877886656717E-2</v>
      </c>
      <c r="I7" s="47">
        <f>G7</f>
        <v>2364</v>
      </c>
      <c r="J7" s="48">
        <f>I7/J3</f>
        <v>2.1915877886656717E-2</v>
      </c>
      <c r="K7" s="18"/>
      <c r="M7" s="1"/>
      <c r="O7" s="1">
        <v>1</v>
      </c>
      <c r="P7" s="1">
        <f>'표준점수 등급컷 입력기능'!K42</f>
        <v>67</v>
      </c>
    </row>
    <row r="8" spans="1:16" ht="25" customHeight="1">
      <c r="A8" s="5"/>
      <c r="B8" s="17"/>
      <c r="C8" s="49">
        <v>49</v>
      </c>
      <c r="D8" s="111" t="s">
        <v>31</v>
      </c>
      <c r="E8" s="112"/>
      <c r="F8" s="112"/>
      <c r="G8" s="112"/>
      <c r="H8" s="112"/>
      <c r="I8" s="112"/>
      <c r="J8" s="113"/>
      <c r="K8" s="18"/>
      <c r="M8" s="1"/>
      <c r="O8" s="1">
        <v>2</v>
      </c>
      <c r="P8" s="1">
        <f>'표준점수 등급컷 입력기능'!K43</f>
        <v>64</v>
      </c>
    </row>
    <row r="9" spans="1:16" ht="25" customHeight="1">
      <c r="A9" s="5"/>
      <c r="B9" s="17"/>
      <c r="C9" s="42">
        <v>48</v>
      </c>
      <c r="D9" s="43">
        <f>ROUND(10*(C9-$H$3)/$H$4+50,0)</f>
        <v>68</v>
      </c>
      <c r="E9" s="43">
        <f t="shared" si="0"/>
        <v>1</v>
      </c>
      <c r="F9" s="44">
        <f>IF(I8=0,ROUND(100*(1-(I7+I9)/2/$J$3),0),ROUND(100*(1-(I8+I9)/2/$J$3),0))</f>
        <v>97</v>
      </c>
      <c r="G9" s="45">
        <f>_xlfn.IFNA(VLOOKUP(D9,'인원 입력 기능'!$BJ$5:$BM$55,4,FALSE),0)</f>
        <v>720</v>
      </c>
      <c r="H9" s="46">
        <f>G9/$J$3</f>
        <v>6.6748866659868174E-3</v>
      </c>
      <c r="I9" s="50">
        <f>SUM($G$7:G9)</f>
        <v>3084</v>
      </c>
      <c r="J9" s="48">
        <f>I9/$J$3</f>
        <v>2.8590764552643533E-2</v>
      </c>
      <c r="K9" s="18"/>
      <c r="M9" s="1"/>
      <c r="O9" s="1">
        <v>3</v>
      </c>
      <c r="P9" s="1">
        <f>'표준점수 등급컷 입력기능'!K44</f>
        <v>59</v>
      </c>
    </row>
    <row r="10" spans="1:16" ht="25" customHeight="1">
      <c r="A10" s="5"/>
      <c r="B10" s="17"/>
      <c r="C10" s="49">
        <v>47</v>
      </c>
      <c r="D10" s="43">
        <f t="shared" ref="D10:D55" si="1">ROUND(10*(C10-$H$3)/$H$4+50,0)</f>
        <v>67</v>
      </c>
      <c r="E10" s="43">
        <f t="shared" si="0"/>
        <v>1</v>
      </c>
      <c r="F10" s="44">
        <f>IF(I9=0,ROUND(100*(1-(I8+I10)/2/$J$3),0),ROUND(100*(1-(I9+I10)/2/$J$3),0))</f>
        <v>95</v>
      </c>
      <c r="G10" s="45">
        <f>IF(D10=D9,"",_xlfn.IFNA(VLOOKUP(D10,'인원 입력 기능'!$BJ$5:$BM$55,4,FALSE),0))</f>
        <v>3833</v>
      </c>
      <c r="H10" s="46">
        <f t="shared" ref="H10:H55" si="2">G10/$J$3</f>
        <v>3.5534500820454819E-2</v>
      </c>
      <c r="I10" s="50">
        <f>SUM($G$7:G10)</f>
        <v>6917</v>
      </c>
      <c r="J10" s="48">
        <f t="shared" ref="J10:J55" si="3">I10/$J$3</f>
        <v>6.4125265373098359E-2</v>
      </c>
      <c r="K10" s="18"/>
      <c r="M10" s="1"/>
      <c r="O10" s="1">
        <v>4</v>
      </c>
      <c r="P10" s="1">
        <f>'표준점수 등급컷 입력기능'!K45</f>
        <v>53</v>
      </c>
    </row>
    <row r="11" spans="1:16" ht="25" customHeight="1">
      <c r="A11" s="5"/>
      <c r="B11" s="17"/>
      <c r="C11" s="42">
        <v>46</v>
      </c>
      <c r="D11" s="43">
        <f t="shared" si="1"/>
        <v>66</v>
      </c>
      <c r="E11" s="43">
        <f t="shared" si="0"/>
        <v>2</v>
      </c>
      <c r="F11" s="44">
        <f t="shared" ref="F11:F55" si="4">IF(I10=0,ROUND(100*(1-(I9+I11)/2/$J$3),0),ROUND(100*(1-(I10+I11)/2/$J$3),0))</f>
        <v>94</v>
      </c>
      <c r="G11" s="45">
        <f>IF(D11=D10,"",_xlfn.IFNA(VLOOKUP(D11,'인원 입력 기능'!$BJ$5:$BM$55,4,FALSE),0))</f>
        <v>159</v>
      </c>
      <c r="H11" s="46">
        <f t="shared" si="2"/>
        <v>1.4740374720720888E-3</v>
      </c>
      <c r="I11" s="50">
        <f>SUM($G$7:G11)</f>
        <v>7076</v>
      </c>
      <c r="J11" s="48">
        <f t="shared" si="3"/>
        <v>6.5599302845170446E-2</v>
      </c>
      <c r="K11" s="18"/>
      <c r="M11" s="1"/>
      <c r="O11" s="1">
        <v>5</v>
      </c>
      <c r="P11" s="1">
        <f>'표준점수 등급컷 입력기능'!K46</f>
        <v>46</v>
      </c>
    </row>
    <row r="12" spans="1:16" ht="25" customHeight="1">
      <c r="A12" s="5"/>
      <c r="B12" s="17"/>
      <c r="C12" s="49">
        <v>45</v>
      </c>
      <c r="D12" s="43">
        <f t="shared" si="1"/>
        <v>65</v>
      </c>
      <c r="E12" s="43">
        <f t="shared" si="0"/>
        <v>2</v>
      </c>
      <c r="F12" s="44">
        <f t="shared" si="4"/>
        <v>93</v>
      </c>
      <c r="G12" s="45">
        <f>IF(D12=D11,"",_xlfn.IFNA(VLOOKUP(D12,'인원 입력 기능'!$BJ$5:$BM$55,4,FALSE),0))</f>
        <v>1856</v>
      </c>
      <c r="H12" s="46">
        <f t="shared" si="2"/>
        <v>1.7206374516766019E-2</v>
      </c>
      <c r="I12" s="50">
        <f>SUM($G$7:G12)</f>
        <v>8932</v>
      </c>
      <c r="J12" s="48">
        <f t="shared" si="3"/>
        <v>8.2805677361936461E-2</v>
      </c>
      <c r="K12" s="18"/>
      <c r="M12" s="1"/>
      <c r="O12" s="1">
        <v>6</v>
      </c>
      <c r="P12" s="1">
        <f>'표준점수 등급컷 입력기능'!K47</f>
        <v>41</v>
      </c>
    </row>
    <row r="13" spans="1:16" ht="25" customHeight="1">
      <c r="A13" s="5"/>
      <c r="B13" s="17"/>
      <c r="C13" s="42">
        <v>44</v>
      </c>
      <c r="D13" s="43">
        <f t="shared" si="1"/>
        <v>64</v>
      </c>
      <c r="E13" s="43">
        <f t="shared" si="0"/>
        <v>2</v>
      </c>
      <c r="F13" s="44">
        <f t="shared" si="4"/>
        <v>90</v>
      </c>
      <c r="G13" s="45">
        <f>IF(D13=D12,"",_xlfn.IFNA(VLOOKUP(D13,'인원 입력 기능'!$BJ$5:$BM$55,4,FALSE),0))</f>
        <v>3623</v>
      </c>
      <c r="H13" s="46">
        <f t="shared" si="2"/>
        <v>3.3587658876208668E-2</v>
      </c>
      <c r="I13" s="50">
        <f>SUM($G$7:G13)</f>
        <v>12555</v>
      </c>
      <c r="J13" s="48">
        <f t="shared" si="3"/>
        <v>0.11639333623814513</v>
      </c>
      <c r="K13" s="18"/>
      <c r="M13" s="1"/>
      <c r="O13" s="1">
        <v>7</v>
      </c>
      <c r="P13" s="1">
        <f>'표준점수 등급컷 입력기능'!K48</f>
        <v>37</v>
      </c>
    </row>
    <row r="14" spans="1:16" ht="25" customHeight="1">
      <c r="A14" s="5"/>
      <c r="B14" s="17"/>
      <c r="C14" s="49">
        <v>43</v>
      </c>
      <c r="D14" s="286">
        <f t="shared" si="1"/>
        <v>63</v>
      </c>
      <c r="E14" s="286">
        <f t="shared" si="0"/>
        <v>3</v>
      </c>
      <c r="F14" s="288">
        <f t="shared" si="4"/>
        <v>87</v>
      </c>
      <c r="G14" s="290">
        <f>IF(D14=D13,"",_xlfn.IFNA(VLOOKUP(D14,'인원 입력 기능'!$BJ$5:$BM$55,4,FALSE),0))</f>
        <v>3320</v>
      </c>
      <c r="H14" s="291">
        <f t="shared" si="2"/>
        <v>3.0778644070939214E-2</v>
      </c>
      <c r="I14" s="293">
        <f>SUM($G$7:G14)</f>
        <v>15875</v>
      </c>
      <c r="J14" s="295">
        <f t="shared" si="3"/>
        <v>0.14717198030908432</v>
      </c>
      <c r="K14" s="18"/>
      <c r="M14" s="1"/>
      <c r="O14" s="1">
        <v>8</v>
      </c>
      <c r="P14" s="1">
        <f>'표준점수 등급컷 입력기능'!K49</f>
        <v>35</v>
      </c>
    </row>
    <row r="15" spans="1:16" ht="25" customHeight="1">
      <c r="A15" s="5"/>
      <c r="B15" s="17"/>
      <c r="C15" s="42">
        <v>42</v>
      </c>
      <c r="D15" s="285"/>
      <c r="E15" s="285"/>
      <c r="F15" s="287"/>
      <c r="G15" s="289"/>
      <c r="H15" s="292"/>
      <c r="I15" s="294"/>
      <c r="J15" s="296"/>
      <c r="K15" s="18"/>
      <c r="M15" s="1"/>
      <c r="O15" s="1">
        <v>9</v>
      </c>
      <c r="P15" s="1"/>
    </row>
    <row r="16" spans="1:16" ht="25" customHeight="1">
      <c r="A16" s="5"/>
      <c r="B16" s="17"/>
      <c r="C16" s="49">
        <v>41</v>
      </c>
      <c r="D16" s="43">
        <f t="shared" si="1"/>
        <v>62</v>
      </c>
      <c r="E16" s="43">
        <f t="shared" si="0"/>
        <v>3</v>
      </c>
      <c r="F16" s="44">
        <f t="shared" si="4"/>
        <v>84</v>
      </c>
      <c r="G16" s="45">
        <f>IF(D16=D15,"",_xlfn.IFNA(VLOOKUP(D16,'인원 입력 기능'!$BJ$5:$BM$55,4,FALSE),0))</f>
        <v>2770</v>
      </c>
      <c r="H16" s="46">
        <f t="shared" si="2"/>
        <v>2.5679772312199284E-2</v>
      </c>
      <c r="I16" s="50">
        <f>SUM($G$7:G16)</f>
        <v>18645</v>
      </c>
      <c r="J16" s="48">
        <f t="shared" si="3"/>
        <v>0.17285175262128361</v>
      </c>
      <c r="K16" s="18"/>
      <c r="M16" s="1"/>
    </row>
    <row r="17" spans="1:16" ht="25" customHeight="1">
      <c r="A17" s="5"/>
      <c r="B17" s="17"/>
      <c r="C17" s="42">
        <v>40</v>
      </c>
      <c r="D17" s="43">
        <f t="shared" si="1"/>
        <v>61</v>
      </c>
      <c r="E17" s="43">
        <f t="shared" si="0"/>
        <v>3</v>
      </c>
      <c r="F17" s="44">
        <f t="shared" si="4"/>
        <v>82</v>
      </c>
      <c r="G17" s="45">
        <f>IF(D17=D16,"",_xlfn.IFNA(VLOOKUP(D17,'인원 입력 기능'!$BJ$5:$BM$55,4,FALSE),0))</f>
        <v>1485</v>
      </c>
      <c r="H17" s="46">
        <f t="shared" si="2"/>
        <v>1.3766953748597811E-2</v>
      </c>
      <c r="I17" s="50">
        <f>SUM($G$7:G17)</f>
        <v>20130</v>
      </c>
      <c r="J17" s="48">
        <f t="shared" si="3"/>
        <v>0.18661870636988143</v>
      </c>
      <c r="K17" s="18"/>
      <c r="M17" s="1"/>
      <c r="P17" s="1">
        <f>H3*H4*J3*P7*IFERROR(IF(J57=1, 1, 0), 0)</f>
        <v>2344763982.2490001</v>
      </c>
    </row>
    <row r="18" spans="1:16" ht="25" customHeight="1">
      <c r="A18" s="5"/>
      <c r="B18" s="17"/>
      <c r="C18" s="49">
        <v>39</v>
      </c>
      <c r="D18" s="43">
        <f t="shared" si="1"/>
        <v>60</v>
      </c>
      <c r="E18" s="43">
        <f t="shared" si="0"/>
        <v>3</v>
      </c>
      <c r="F18" s="44">
        <f t="shared" si="4"/>
        <v>80</v>
      </c>
      <c r="G18" s="45">
        <f>IF(D18=D17,"",_xlfn.IFNA(VLOOKUP(D18,'인원 입력 기능'!$BJ$5:$BM$55,4,FALSE),0))</f>
        <v>2866</v>
      </c>
      <c r="H18" s="46">
        <f t="shared" si="2"/>
        <v>2.6569757200997524E-2</v>
      </c>
      <c r="I18" s="50">
        <f>SUM($G$7:G18)</f>
        <v>22996</v>
      </c>
      <c r="J18" s="48">
        <f t="shared" si="3"/>
        <v>0.21318846357087895</v>
      </c>
      <c r="K18" s="18"/>
      <c r="M18" s="1"/>
    </row>
    <row r="19" spans="1:16" ht="25" customHeight="1">
      <c r="A19" s="5"/>
      <c r="B19" s="17"/>
      <c r="C19" s="42">
        <v>38</v>
      </c>
      <c r="D19" s="286">
        <f t="shared" si="1"/>
        <v>59</v>
      </c>
      <c r="E19" s="286">
        <f t="shared" si="0"/>
        <v>3</v>
      </c>
      <c r="F19" s="288">
        <f t="shared" si="4"/>
        <v>77</v>
      </c>
      <c r="G19" s="290">
        <f>IF(D19=D18,"",_xlfn.IFNA(VLOOKUP(D19,'인원 입력 기능'!$BJ$5:$BM$55,4,FALSE),0))</f>
        <v>4229</v>
      </c>
      <c r="H19" s="291">
        <f t="shared" si="2"/>
        <v>3.9205688486747568E-2</v>
      </c>
      <c r="I19" s="293">
        <f>SUM($G$7:G19)</f>
        <v>27225</v>
      </c>
      <c r="J19" s="295">
        <f t="shared" si="3"/>
        <v>0.2523941520576265</v>
      </c>
      <c r="K19" s="18"/>
      <c r="M19" s="1"/>
    </row>
    <row r="20" spans="1:16" ht="25" customHeight="1">
      <c r="A20" s="5"/>
      <c r="B20" s="17"/>
      <c r="C20" s="49">
        <v>37</v>
      </c>
      <c r="D20" s="285"/>
      <c r="E20" s="285"/>
      <c r="F20" s="287"/>
      <c r="G20" s="289"/>
      <c r="H20" s="292"/>
      <c r="I20" s="294"/>
      <c r="J20" s="296"/>
      <c r="K20" s="18"/>
      <c r="M20" s="1"/>
    </row>
    <row r="21" spans="1:16" ht="25" customHeight="1">
      <c r="A21" s="5"/>
      <c r="B21" s="17"/>
      <c r="C21" s="51">
        <v>36</v>
      </c>
      <c r="D21" s="53">
        <f t="shared" si="1"/>
        <v>58</v>
      </c>
      <c r="E21" s="53">
        <f t="shared" si="0"/>
        <v>4</v>
      </c>
      <c r="F21" s="44">
        <f t="shared" si="4"/>
        <v>74</v>
      </c>
      <c r="G21" s="45">
        <f>IF(D21=D20,"",_xlfn.IFNA(VLOOKUP(D21,'인원 입력 기능'!$BJ$5:$BM$55,4,FALSE),0))</f>
        <v>2692</v>
      </c>
      <c r="H21" s="46">
        <f t="shared" si="2"/>
        <v>2.4956659590050712E-2</v>
      </c>
      <c r="I21" s="50">
        <f>SUM($G$7:G21)</f>
        <v>29917</v>
      </c>
      <c r="J21" s="48">
        <f t="shared" si="3"/>
        <v>0.27735081164767722</v>
      </c>
      <c r="K21" s="18"/>
      <c r="M21" s="1"/>
    </row>
    <row r="22" spans="1:16" ht="25" customHeight="1">
      <c r="A22" s="5"/>
      <c r="B22" s="17"/>
      <c r="C22" s="52">
        <v>35</v>
      </c>
      <c r="D22" s="53">
        <f t="shared" si="1"/>
        <v>57</v>
      </c>
      <c r="E22" s="53">
        <f t="shared" si="0"/>
        <v>4</v>
      </c>
      <c r="F22" s="44">
        <f t="shared" si="4"/>
        <v>71</v>
      </c>
      <c r="G22" s="45">
        <f>IF(D22=D21,"",_xlfn.IFNA(VLOOKUP(D22,'인원 입력 기능'!$BJ$5:$BM$55,4,FALSE),0))</f>
        <v>2208</v>
      </c>
      <c r="H22" s="46">
        <f t="shared" si="2"/>
        <v>2.0469652442359574E-2</v>
      </c>
      <c r="I22" s="50">
        <f>SUM($G$7:G22)</f>
        <v>32125</v>
      </c>
      <c r="J22" s="48">
        <f t="shared" si="3"/>
        <v>0.29782046409003682</v>
      </c>
      <c r="K22" s="18"/>
      <c r="M22" s="1"/>
    </row>
    <row r="23" spans="1:16" ht="25" customHeight="1">
      <c r="A23" s="5"/>
      <c r="B23" s="17"/>
      <c r="C23" s="51">
        <v>34</v>
      </c>
      <c r="D23" s="53">
        <f t="shared" si="1"/>
        <v>56</v>
      </c>
      <c r="E23" s="53">
        <f t="shared" si="0"/>
        <v>4</v>
      </c>
      <c r="F23" s="44">
        <f t="shared" si="4"/>
        <v>69</v>
      </c>
      <c r="G23" s="45">
        <f>IF(D23=D22,"",_xlfn.IFNA(VLOOKUP(D23,'인원 입력 기능'!$BJ$5:$BM$55,4,FALSE),0))</f>
        <v>2481</v>
      </c>
      <c r="H23" s="46">
        <f t="shared" si="2"/>
        <v>2.3000546969879573E-2</v>
      </c>
      <c r="I23" s="50">
        <f>SUM($G$7:G23)</f>
        <v>34606</v>
      </c>
      <c r="J23" s="48">
        <f t="shared" si="3"/>
        <v>0.32082101105991639</v>
      </c>
      <c r="K23" s="18"/>
      <c r="M23" s="1"/>
    </row>
    <row r="24" spans="1:16" ht="25" customHeight="1">
      <c r="A24" s="5"/>
      <c r="B24" s="17"/>
      <c r="C24" s="52">
        <v>33</v>
      </c>
      <c r="D24" s="53">
        <f t="shared" si="1"/>
        <v>55</v>
      </c>
      <c r="E24" s="53">
        <f t="shared" si="0"/>
        <v>4</v>
      </c>
      <c r="F24" s="44">
        <f t="shared" si="4"/>
        <v>67</v>
      </c>
      <c r="G24" s="45">
        <f>IF(D24=D23,"",_xlfn.IFNA(VLOOKUP(D24,'인원 입력 기능'!$BJ$5:$BM$55,4,FALSE),0))</f>
        <v>2353</v>
      </c>
      <c r="H24" s="46">
        <f t="shared" si="2"/>
        <v>2.1813900451481918E-2</v>
      </c>
      <c r="I24" s="50">
        <f>SUM($G$7:G24)</f>
        <v>36959</v>
      </c>
      <c r="J24" s="48">
        <f t="shared" si="3"/>
        <v>0.3426349115113983</v>
      </c>
      <c r="K24" s="18"/>
      <c r="M24" s="1"/>
    </row>
    <row r="25" spans="1:16" ht="25" customHeight="1">
      <c r="A25" s="5"/>
      <c r="B25" s="17"/>
      <c r="C25" s="51">
        <v>32</v>
      </c>
      <c r="D25" s="298">
        <f t="shared" si="1"/>
        <v>54</v>
      </c>
      <c r="E25" s="298">
        <f t="shared" si="0"/>
        <v>4</v>
      </c>
      <c r="F25" s="288">
        <f t="shared" si="4"/>
        <v>63</v>
      </c>
      <c r="G25" s="290">
        <f>IF(D25=D24,"",_xlfn.IFNA(VLOOKUP(D25,'인원 입력 기능'!$BJ$5:$BM$55,4,FALSE),0))</f>
        <v>4946</v>
      </c>
      <c r="H25" s="291">
        <f t="shared" si="2"/>
        <v>4.5852763124959443E-2</v>
      </c>
      <c r="I25" s="293">
        <f>SUM($G$7:G25)</f>
        <v>41905</v>
      </c>
      <c r="J25" s="295">
        <f t="shared" si="3"/>
        <v>0.38848767463635775</v>
      </c>
      <c r="K25" s="18"/>
      <c r="M25" s="1"/>
    </row>
    <row r="26" spans="1:16" ht="25" customHeight="1">
      <c r="A26" s="5"/>
      <c r="B26" s="17"/>
      <c r="C26" s="52">
        <v>31</v>
      </c>
      <c r="D26" s="297"/>
      <c r="E26" s="297"/>
      <c r="F26" s="287"/>
      <c r="G26" s="289"/>
      <c r="H26" s="292"/>
      <c r="I26" s="294"/>
      <c r="J26" s="296"/>
      <c r="K26" s="18"/>
      <c r="M26" s="1"/>
    </row>
    <row r="27" spans="1:16" ht="25" customHeight="1">
      <c r="A27" s="5"/>
      <c r="B27" s="17"/>
      <c r="C27" s="51">
        <v>30</v>
      </c>
      <c r="D27" s="53">
        <f t="shared" si="1"/>
        <v>53</v>
      </c>
      <c r="E27" s="53">
        <f t="shared" si="0"/>
        <v>4</v>
      </c>
      <c r="F27" s="44">
        <f t="shared" si="4"/>
        <v>60</v>
      </c>
      <c r="G27" s="45">
        <f>IF(D27=D26,"",_xlfn.IFNA(VLOOKUP(D27,'인원 입력 기능'!$BJ$5:$BM$55,4,FALSE),0))</f>
        <v>2551</v>
      </c>
      <c r="H27" s="46">
        <f t="shared" si="2"/>
        <v>2.3649494284628293E-2</v>
      </c>
      <c r="I27" s="50">
        <f>SUM($G$7:G27)</f>
        <v>44456</v>
      </c>
      <c r="J27" s="48">
        <f t="shared" si="3"/>
        <v>0.41213716892098601</v>
      </c>
      <c r="K27" s="18"/>
      <c r="M27" s="1"/>
    </row>
    <row r="28" spans="1:16" ht="25" customHeight="1">
      <c r="A28" s="5"/>
      <c r="B28" s="17"/>
      <c r="C28" s="52">
        <v>29</v>
      </c>
      <c r="D28" s="53">
        <f t="shared" si="1"/>
        <v>52</v>
      </c>
      <c r="E28" s="53">
        <f t="shared" si="0"/>
        <v>5</v>
      </c>
      <c r="F28" s="44">
        <f t="shared" si="4"/>
        <v>58</v>
      </c>
      <c r="G28" s="45">
        <f>IF(D28=D27,"",_xlfn.IFNA(VLOOKUP(D28,'인원 입력 기능'!$BJ$5:$BM$55,4,FALSE),0))</f>
        <v>2663</v>
      </c>
      <c r="H28" s="46">
        <f t="shared" si="2"/>
        <v>2.4687809988226242E-2</v>
      </c>
      <c r="I28" s="50">
        <f>SUM($G$7:G28)</f>
        <v>47119</v>
      </c>
      <c r="J28" s="48">
        <f t="shared" si="3"/>
        <v>0.43682497890921229</v>
      </c>
      <c r="K28" s="18"/>
      <c r="M28" s="1"/>
    </row>
    <row r="29" spans="1:16" ht="25" customHeight="1">
      <c r="A29" s="5"/>
      <c r="B29" s="17"/>
      <c r="C29" s="51">
        <v>28</v>
      </c>
      <c r="D29" s="53">
        <f t="shared" si="1"/>
        <v>51</v>
      </c>
      <c r="E29" s="53">
        <f t="shared" si="0"/>
        <v>5</v>
      </c>
      <c r="F29" s="44">
        <f t="shared" si="4"/>
        <v>55</v>
      </c>
      <c r="G29" s="45">
        <f>IF(D29=D28,"",_xlfn.IFNA(VLOOKUP(D29,'인원 입력 기능'!$BJ$5:$BM$55,4,FALSE),0))</f>
        <v>2567</v>
      </c>
      <c r="H29" s="46">
        <f t="shared" si="2"/>
        <v>2.3797825099427999E-2</v>
      </c>
      <c r="I29" s="50">
        <f>SUM($G$7:G29)</f>
        <v>49686</v>
      </c>
      <c r="J29" s="48">
        <f t="shared" si="3"/>
        <v>0.46062280400864025</v>
      </c>
      <c r="K29" s="18"/>
      <c r="M29" s="1"/>
    </row>
    <row r="30" spans="1:16" ht="25" customHeight="1">
      <c r="A30" s="5"/>
      <c r="B30" s="17"/>
      <c r="C30" s="52">
        <v>27</v>
      </c>
      <c r="D30" s="298">
        <f t="shared" si="1"/>
        <v>50</v>
      </c>
      <c r="E30" s="298">
        <f t="shared" si="0"/>
        <v>5</v>
      </c>
      <c r="F30" s="288">
        <f t="shared" si="4"/>
        <v>51</v>
      </c>
      <c r="G30" s="290">
        <f>IF(D30=D29,"",_xlfn.IFNA(VLOOKUP(D30,'인원 입력 기능'!$BJ$5:$BM$55,4,FALSE),0))</f>
        <v>5451</v>
      </c>
      <c r="H30" s="291">
        <f t="shared" si="2"/>
        <v>5.0534454467075197E-2</v>
      </c>
      <c r="I30" s="293">
        <f>SUM($G$7:G30)</f>
        <v>55137</v>
      </c>
      <c r="J30" s="295">
        <f t="shared" si="3"/>
        <v>0.51115725847571547</v>
      </c>
      <c r="K30" s="18"/>
      <c r="M30" s="1"/>
    </row>
    <row r="31" spans="1:16" ht="25" customHeight="1">
      <c r="A31" s="5"/>
      <c r="B31" s="17"/>
      <c r="C31" s="51">
        <v>26</v>
      </c>
      <c r="D31" s="297"/>
      <c r="E31" s="297"/>
      <c r="F31" s="287"/>
      <c r="G31" s="289"/>
      <c r="H31" s="292"/>
      <c r="I31" s="294"/>
      <c r="J31" s="296"/>
      <c r="K31" s="18"/>
      <c r="M31" s="1"/>
    </row>
    <row r="32" spans="1:16" ht="25" customHeight="1">
      <c r="A32" s="5"/>
      <c r="B32" s="17"/>
      <c r="C32" s="52">
        <v>25</v>
      </c>
      <c r="D32" s="53">
        <f t="shared" si="1"/>
        <v>49</v>
      </c>
      <c r="E32" s="53">
        <f t="shared" si="0"/>
        <v>5</v>
      </c>
      <c r="F32" s="44">
        <f t="shared" si="4"/>
        <v>48</v>
      </c>
      <c r="G32" s="45">
        <f>IF(D32=D31,"",_xlfn.IFNA(VLOOKUP(D32,'인원 입력 기능'!$BJ$5:$BM$55,4,FALSE),0))</f>
        <v>2681</v>
      </c>
      <c r="H32" s="46">
        <f t="shared" si="2"/>
        <v>2.4854682154875914E-2</v>
      </c>
      <c r="I32" s="50">
        <f>SUM($G$7:G32)</f>
        <v>57818</v>
      </c>
      <c r="J32" s="48">
        <f t="shared" si="3"/>
        <v>0.53601194063059132</v>
      </c>
      <c r="K32" s="18"/>
      <c r="M32" s="1"/>
    </row>
    <row r="33" spans="1:13" ht="25" customHeight="1">
      <c r="A33" s="5"/>
      <c r="B33" s="17"/>
      <c r="C33" s="51">
        <v>24</v>
      </c>
      <c r="D33" s="53">
        <f t="shared" si="1"/>
        <v>48</v>
      </c>
      <c r="E33" s="53">
        <f t="shared" si="0"/>
        <v>5</v>
      </c>
      <c r="F33" s="44">
        <f t="shared" si="4"/>
        <v>45</v>
      </c>
      <c r="G33" s="45">
        <f>IF(D33=D32,"",_xlfn.IFNA(VLOOKUP(D33,'인원 입력 기능'!$BJ$5:$BM$55,4,FALSE),0))</f>
        <v>2867</v>
      </c>
      <c r="H33" s="46">
        <f t="shared" si="2"/>
        <v>2.6579027876922505E-2</v>
      </c>
      <c r="I33" s="50">
        <f>SUM($G$7:G33)</f>
        <v>60685</v>
      </c>
      <c r="J33" s="48">
        <f t="shared" si="3"/>
        <v>0.56259096850751389</v>
      </c>
      <c r="K33" s="18"/>
      <c r="M33" s="1"/>
    </row>
    <row r="34" spans="1:13" ht="25" customHeight="1">
      <c r="A34" s="5"/>
      <c r="B34" s="17"/>
      <c r="C34" s="52">
        <v>23</v>
      </c>
      <c r="D34" s="53">
        <f t="shared" si="1"/>
        <v>47</v>
      </c>
      <c r="E34" s="53">
        <f t="shared" si="0"/>
        <v>5</v>
      </c>
      <c r="F34" s="44">
        <f t="shared" si="4"/>
        <v>42</v>
      </c>
      <c r="G34" s="45">
        <f>IF(D34=D33,"",_xlfn.IFNA(VLOOKUP(D34,'인원 입력 기능'!$BJ$5:$BM$55,4,FALSE),0))</f>
        <v>2753</v>
      </c>
      <c r="H34" s="46">
        <f t="shared" si="2"/>
        <v>2.5522170821474593E-2</v>
      </c>
      <c r="I34" s="50">
        <f>SUM($G$7:G34)</f>
        <v>63438</v>
      </c>
      <c r="J34" s="48">
        <f t="shared" si="3"/>
        <v>0.58811313932898845</v>
      </c>
      <c r="K34" s="18"/>
      <c r="M34" s="1"/>
    </row>
    <row r="35" spans="1:13" ht="25" customHeight="1">
      <c r="A35" s="5"/>
      <c r="B35" s="17"/>
      <c r="C35" s="51">
        <v>22</v>
      </c>
      <c r="D35" s="53">
        <f t="shared" si="1"/>
        <v>46</v>
      </c>
      <c r="E35" s="53">
        <f t="shared" si="0"/>
        <v>5</v>
      </c>
      <c r="F35" s="44">
        <f t="shared" si="4"/>
        <v>40</v>
      </c>
      <c r="G35" s="45">
        <f>IF(D35=D34,"",_xlfn.IFNA(VLOOKUP(D35,'인원 입력 기능'!$BJ$5:$BM$55,4,FALSE),0))</f>
        <v>2853</v>
      </c>
      <c r="H35" s="46">
        <f t="shared" si="2"/>
        <v>2.6449238413972762E-2</v>
      </c>
      <c r="I35" s="50">
        <f>SUM($G$7:G35)</f>
        <v>66291</v>
      </c>
      <c r="J35" s="48">
        <f t="shared" si="3"/>
        <v>0.61456237774296119</v>
      </c>
      <c r="K35" s="18"/>
      <c r="M35" s="1"/>
    </row>
    <row r="36" spans="1:13" ht="25" customHeight="1">
      <c r="A36" s="5"/>
      <c r="B36" s="17"/>
      <c r="C36" s="52">
        <v>21</v>
      </c>
      <c r="D36" s="298">
        <f t="shared" si="1"/>
        <v>45</v>
      </c>
      <c r="E36" s="298">
        <f t="shared" si="0"/>
        <v>6</v>
      </c>
      <c r="F36" s="288">
        <f t="shared" si="4"/>
        <v>36</v>
      </c>
      <c r="G36" s="290">
        <f>IF(D36=D35,"",_xlfn.IFNA(VLOOKUP(D36,'인원 입력 기능'!$BJ$5:$BM$55,4,FALSE),0))</f>
        <v>5526</v>
      </c>
      <c r="H36" s="291">
        <f t="shared" si="2"/>
        <v>5.1229755161448821E-2</v>
      </c>
      <c r="I36" s="293">
        <f>SUM($G$7:G36)</f>
        <v>71817</v>
      </c>
      <c r="J36" s="295">
        <f t="shared" si="3"/>
        <v>0.66579213290441008</v>
      </c>
      <c r="K36" s="18"/>
      <c r="M36" s="1"/>
    </row>
    <row r="37" spans="1:13" ht="25" customHeight="1">
      <c r="A37" s="5"/>
      <c r="B37" s="17"/>
      <c r="C37" s="51">
        <v>20</v>
      </c>
      <c r="D37" s="297"/>
      <c r="E37" s="297"/>
      <c r="F37" s="287"/>
      <c r="G37" s="289"/>
      <c r="H37" s="292"/>
      <c r="I37" s="294"/>
      <c r="J37" s="296"/>
      <c r="K37" s="18"/>
      <c r="M37" s="1"/>
    </row>
    <row r="38" spans="1:13" ht="25" customHeight="1">
      <c r="A38" s="5"/>
      <c r="B38" s="17"/>
      <c r="C38" s="52">
        <v>19</v>
      </c>
      <c r="D38" s="53">
        <f t="shared" si="1"/>
        <v>44</v>
      </c>
      <c r="E38" s="53">
        <f t="shared" si="0"/>
        <v>6</v>
      </c>
      <c r="F38" s="44">
        <f t="shared" si="4"/>
        <v>32</v>
      </c>
      <c r="G38" s="45">
        <f>IF(D38=D37,"",_xlfn.IFNA(VLOOKUP(D38,'인원 입력 기능'!$BJ$5:$BM$55,4,FALSE),0))</f>
        <v>2834</v>
      </c>
      <c r="H38" s="46">
        <f t="shared" si="2"/>
        <v>2.6273095571398109E-2</v>
      </c>
      <c r="I38" s="50">
        <f>SUM($G$7:G38)</f>
        <v>74651</v>
      </c>
      <c r="J38" s="48">
        <f t="shared" si="3"/>
        <v>0.6920652284758082</v>
      </c>
      <c r="K38" s="18"/>
      <c r="M38" s="1"/>
    </row>
    <row r="39" spans="1:13" ht="25" customHeight="1">
      <c r="A39" s="5"/>
      <c r="B39" s="17"/>
      <c r="C39" s="51">
        <v>18</v>
      </c>
      <c r="D39" s="53">
        <f t="shared" si="1"/>
        <v>43</v>
      </c>
      <c r="E39" s="53">
        <f t="shared" ref="E39:E57" si="5">IF(ROUND(D39,0)&gt;=$P$7,1,IF(ROUND(D39,0)&gt;=$P$8,2,IF(ROUND(D39,0)&gt;=$P$9,3,IF(ROUND(D39,0)&gt;=$P$10,4,IF(ROUND(D39,0)&gt;=$P$11,5,IF(ROUND(D39,0)&gt;=$P$12,6,IF(ROUND(D39,0)&gt;=$P$13,7,IF(ROUND(D39,0)&gt;=$P$14,8,9))))))))</f>
        <v>6</v>
      </c>
      <c r="F39" s="44">
        <f t="shared" si="4"/>
        <v>29</v>
      </c>
      <c r="G39" s="45">
        <f>IF(D39=D38,"",_xlfn.IFNA(VLOOKUP(D39,'인원 입력 기능'!$BJ$5:$BM$55,4,FALSE),0))</f>
        <v>2806</v>
      </c>
      <c r="H39" s="46">
        <f t="shared" si="2"/>
        <v>2.6013516645498624E-2</v>
      </c>
      <c r="I39" s="50">
        <f>SUM($G$7:G39)</f>
        <v>77457</v>
      </c>
      <c r="J39" s="48">
        <f t="shared" si="3"/>
        <v>0.71807874512130676</v>
      </c>
      <c r="K39" s="18"/>
      <c r="M39" s="1"/>
    </row>
    <row r="40" spans="1:13" ht="25" customHeight="1">
      <c r="A40" s="5"/>
      <c r="B40" s="17"/>
      <c r="C40" s="52">
        <v>17</v>
      </c>
      <c r="D40" s="53">
        <f t="shared" si="1"/>
        <v>42</v>
      </c>
      <c r="E40" s="53">
        <f t="shared" si="5"/>
        <v>6</v>
      </c>
      <c r="F40" s="44">
        <f t="shared" si="4"/>
        <v>27</v>
      </c>
      <c r="G40" s="45">
        <f>IF(D40=D39,"",_xlfn.IFNA(VLOOKUP(D40,'인원 입력 기능'!$BJ$5:$BM$55,4,FALSE),0))</f>
        <v>2870</v>
      </c>
      <c r="H40" s="46">
        <f t="shared" si="2"/>
        <v>2.6606839904697453E-2</v>
      </c>
      <c r="I40" s="50">
        <f>SUM($G$7:G40)</f>
        <v>80327</v>
      </c>
      <c r="J40" s="48">
        <f t="shared" si="3"/>
        <v>0.74468558502600424</v>
      </c>
      <c r="K40" s="18"/>
      <c r="M40" s="1"/>
    </row>
    <row r="41" spans="1:13" ht="25" customHeight="1">
      <c r="A41" s="5"/>
      <c r="B41" s="17"/>
      <c r="C41" s="51">
        <v>16</v>
      </c>
      <c r="D41" s="298">
        <f t="shared" si="1"/>
        <v>41</v>
      </c>
      <c r="E41" s="298">
        <f t="shared" si="5"/>
        <v>6</v>
      </c>
      <c r="F41" s="288">
        <f t="shared" si="4"/>
        <v>23</v>
      </c>
      <c r="G41" s="290">
        <f>IF(D41=D40,"",_xlfn.IFNA(VLOOKUP(D41,'인원 입력 기능'!$BJ$5:$BM$55,4,FALSE),0))</f>
        <v>5502</v>
      </c>
      <c r="H41" s="291">
        <f t="shared" si="2"/>
        <v>5.1007258939249261E-2</v>
      </c>
      <c r="I41" s="293">
        <f>SUM($G$7:G41)</f>
        <v>85829</v>
      </c>
      <c r="J41" s="295">
        <f t="shared" si="3"/>
        <v>0.79569284396525353</v>
      </c>
      <c r="K41" s="18"/>
      <c r="M41" s="1"/>
    </row>
    <row r="42" spans="1:13" ht="25" customHeight="1">
      <c r="A42" s="5"/>
      <c r="B42" s="17"/>
      <c r="C42" s="52">
        <v>15</v>
      </c>
      <c r="D42" s="297"/>
      <c r="E42" s="297"/>
      <c r="F42" s="287"/>
      <c r="G42" s="289"/>
      <c r="H42" s="292"/>
      <c r="I42" s="294"/>
      <c r="J42" s="296"/>
      <c r="K42" s="18"/>
      <c r="M42" s="1"/>
    </row>
    <row r="43" spans="1:13" ht="25" customHeight="1">
      <c r="A43" s="5"/>
      <c r="B43" s="17"/>
      <c r="C43" s="51">
        <v>14</v>
      </c>
      <c r="D43" s="53">
        <f t="shared" si="1"/>
        <v>40</v>
      </c>
      <c r="E43" s="53">
        <f t="shared" si="5"/>
        <v>7</v>
      </c>
      <c r="F43" s="44">
        <f t="shared" si="4"/>
        <v>19</v>
      </c>
      <c r="G43" s="45">
        <f>IF(D43=D42,"",_xlfn.IFNA(VLOOKUP(D43,'인원 입력 기능'!$BJ$5:$BM$55,4,FALSE),0))</f>
        <v>2554</v>
      </c>
      <c r="H43" s="46">
        <f t="shared" si="2"/>
        <v>2.3677306312403237E-2</v>
      </c>
      <c r="I43" s="50">
        <f>SUM($G$7:G43)</f>
        <v>88383</v>
      </c>
      <c r="J43" s="48">
        <f t="shared" si="3"/>
        <v>0.81937015027765669</v>
      </c>
      <c r="K43" s="18"/>
      <c r="M43" s="1"/>
    </row>
    <row r="44" spans="1:13" ht="25" customHeight="1">
      <c r="A44" s="5"/>
      <c r="B44" s="17"/>
      <c r="C44" s="52">
        <v>13</v>
      </c>
      <c r="D44" s="53">
        <f t="shared" si="1"/>
        <v>39</v>
      </c>
      <c r="E44" s="53">
        <f t="shared" si="5"/>
        <v>7</v>
      </c>
      <c r="F44" s="44">
        <f t="shared" si="4"/>
        <v>16</v>
      </c>
      <c r="G44" s="45">
        <f>IF(D44=D43,"",_xlfn.IFNA(VLOOKUP(D44,'인원 입력 기능'!$BJ$5:$BM$55,4,FALSE),0))</f>
        <v>4210</v>
      </c>
      <c r="H44" s="46">
        <f t="shared" si="2"/>
        <v>3.9029545644172915E-2</v>
      </c>
      <c r="I44" s="50">
        <f>SUM($G$7:G44)</f>
        <v>92593</v>
      </c>
      <c r="J44" s="48">
        <f t="shared" si="3"/>
        <v>0.85839969592182963</v>
      </c>
      <c r="K44" s="18"/>
      <c r="M44" s="1"/>
    </row>
    <row r="45" spans="1:13" ht="25" customHeight="1">
      <c r="A45" s="5"/>
      <c r="B45" s="17"/>
      <c r="C45" s="51">
        <v>12</v>
      </c>
      <c r="D45" s="53">
        <f t="shared" si="1"/>
        <v>38</v>
      </c>
      <c r="E45" s="53">
        <f t="shared" si="5"/>
        <v>7</v>
      </c>
      <c r="F45" s="44">
        <f t="shared" si="4"/>
        <v>13</v>
      </c>
      <c r="G45" s="45">
        <f>IF(D45=D44,"",_xlfn.IFNA(VLOOKUP(D45,'인원 입력 기능'!$BJ$5:$BM$55,4,FALSE),0))</f>
        <v>2488</v>
      </c>
      <c r="H45" s="46">
        <f t="shared" si="2"/>
        <v>2.3065441701354446E-2</v>
      </c>
      <c r="I45" s="50">
        <f>SUM($G$7:G45)</f>
        <v>95081</v>
      </c>
      <c r="J45" s="48">
        <f t="shared" si="3"/>
        <v>0.88146513762318413</v>
      </c>
      <c r="K45" s="18"/>
      <c r="M45" s="1"/>
    </row>
    <row r="46" spans="1:13" ht="25" customHeight="1">
      <c r="A46" s="5"/>
      <c r="B46" s="17"/>
      <c r="C46" s="52">
        <v>11</v>
      </c>
      <c r="D46" s="53">
        <f t="shared" si="1"/>
        <v>37</v>
      </c>
      <c r="E46" s="53">
        <f t="shared" si="5"/>
        <v>7</v>
      </c>
      <c r="F46" s="44">
        <f t="shared" si="4"/>
        <v>11</v>
      </c>
      <c r="G46" s="45">
        <f>IF(D46=D45,"",_xlfn.IFNA(VLOOKUP(D46,'인원 입력 기능'!$BJ$5:$BM$55,4,FALSE),0))</f>
        <v>1956</v>
      </c>
      <c r="H46" s="46">
        <f t="shared" si="2"/>
        <v>1.8133442109264188E-2</v>
      </c>
      <c r="I46" s="50">
        <f>SUM($G$7:G46)</f>
        <v>97037</v>
      </c>
      <c r="J46" s="48">
        <f t="shared" si="3"/>
        <v>0.89959857973244828</v>
      </c>
      <c r="K46" s="18"/>
      <c r="M46" s="1"/>
    </row>
    <row r="47" spans="1:13" ht="25" customHeight="1">
      <c r="A47" s="5"/>
      <c r="B47" s="17"/>
      <c r="C47" s="51">
        <v>10</v>
      </c>
      <c r="D47" s="298">
        <f t="shared" si="1"/>
        <v>36</v>
      </c>
      <c r="E47" s="298">
        <f t="shared" si="5"/>
        <v>8</v>
      </c>
      <c r="F47" s="288">
        <f t="shared" si="4"/>
        <v>8</v>
      </c>
      <c r="G47" s="290">
        <f>IF(D47=D46,"",_xlfn.IFNA(VLOOKUP(D47,'인원 입력 기능'!$BJ$5:$BM$55,4,FALSE),0))</f>
        <v>5296</v>
      </c>
      <c r="H47" s="291">
        <f t="shared" si="2"/>
        <v>4.9097499698703036E-2</v>
      </c>
      <c r="I47" s="293">
        <f>SUM($G$7:G47)</f>
        <v>102333</v>
      </c>
      <c r="J47" s="295">
        <f t="shared" si="3"/>
        <v>0.94869607943115131</v>
      </c>
      <c r="K47" s="18"/>
      <c r="M47" s="1"/>
    </row>
    <row r="48" spans="1:13" ht="25" customHeight="1">
      <c r="A48" s="5"/>
      <c r="B48" s="17"/>
      <c r="C48" s="52">
        <v>9</v>
      </c>
      <c r="D48" s="297"/>
      <c r="E48" s="297"/>
      <c r="F48" s="287"/>
      <c r="G48" s="289"/>
      <c r="H48" s="292"/>
      <c r="I48" s="294"/>
      <c r="J48" s="296"/>
      <c r="K48" s="18"/>
      <c r="M48" s="1"/>
    </row>
    <row r="49" spans="1:13" ht="25" customHeight="1">
      <c r="A49" s="5"/>
      <c r="B49" s="17"/>
      <c r="C49" s="51">
        <v>8</v>
      </c>
      <c r="D49" s="53">
        <f t="shared" si="1"/>
        <v>35</v>
      </c>
      <c r="E49" s="53">
        <f t="shared" si="5"/>
        <v>8</v>
      </c>
      <c r="F49" s="44">
        <f t="shared" si="4"/>
        <v>5</v>
      </c>
      <c r="G49" s="45">
        <f>IF(D49=D48,"",_xlfn.IFNA(VLOOKUP(D49,'인원 입력 기능'!$BJ$5:$BM$55,4,FALSE),0))</f>
        <v>1325</v>
      </c>
      <c r="H49" s="46">
        <f t="shared" si="2"/>
        <v>1.228364560060074E-2</v>
      </c>
      <c r="I49" s="50">
        <f>SUM($G$7:G49)</f>
        <v>103658</v>
      </c>
      <c r="J49" s="48">
        <f t="shared" si="3"/>
        <v>0.96097972503175211</v>
      </c>
      <c r="K49" s="18"/>
      <c r="M49" s="1"/>
    </row>
    <row r="50" spans="1:13" ht="25" customHeight="1">
      <c r="A50" s="5"/>
      <c r="B50" s="17"/>
      <c r="C50" s="52">
        <v>7</v>
      </c>
      <c r="D50" s="53">
        <f t="shared" si="1"/>
        <v>34</v>
      </c>
      <c r="E50" s="53">
        <f t="shared" si="5"/>
        <v>9</v>
      </c>
      <c r="F50" s="44">
        <f t="shared" si="4"/>
        <v>3</v>
      </c>
      <c r="G50" s="45">
        <f>IF(D50=D49,"",_xlfn.IFNA(VLOOKUP(D50,'인원 입력 기능'!$BJ$5:$BM$55,4,FALSE),0))</f>
        <v>1549</v>
      </c>
      <c r="H50" s="46">
        <f t="shared" si="2"/>
        <v>1.4360277007796638E-2</v>
      </c>
      <c r="I50" s="50">
        <f>SUM($G$7:G50)</f>
        <v>105207</v>
      </c>
      <c r="J50" s="48">
        <f t="shared" si="3"/>
        <v>0.97534000203954874</v>
      </c>
      <c r="K50" s="18"/>
      <c r="M50" s="1"/>
    </row>
    <row r="51" spans="1:13" ht="25" customHeight="1">
      <c r="A51" s="5"/>
      <c r="B51" s="17"/>
      <c r="C51" s="51">
        <v>6</v>
      </c>
      <c r="D51" s="53">
        <f t="shared" si="1"/>
        <v>33</v>
      </c>
      <c r="E51" s="53">
        <f t="shared" si="5"/>
        <v>9</v>
      </c>
      <c r="F51" s="44">
        <f t="shared" si="4"/>
        <v>2</v>
      </c>
      <c r="G51" s="45">
        <f>IF(D51=D50,"",_xlfn.IFNA(VLOOKUP(D51,'인원 입력 기능'!$BJ$5:$BM$55,4,FALSE),0))</f>
        <v>701</v>
      </c>
      <c r="H51" s="46">
        <f t="shared" si="2"/>
        <v>6.4987438234121652E-3</v>
      </c>
      <c r="I51" s="50">
        <f>SUM($G$7:G51)</f>
        <v>105908</v>
      </c>
      <c r="J51" s="48">
        <f t="shared" si="3"/>
        <v>0.98183874586296083</v>
      </c>
      <c r="K51" s="18"/>
      <c r="M51" s="1"/>
    </row>
    <row r="52" spans="1:13" ht="25" customHeight="1">
      <c r="A52" s="5"/>
      <c r="B52" s="17"/>
      <c r="C52" s="52">
        <v>5</v>
      </c>
      <c r="D52" s="298">
        <f t="shared" si="1"/>
        <v>32</v>
      </c>
      <c r="E52" s="298">
        <f t="shared" si="5"/>
        <v>9</v>
      </c>
      <c r="F52" s="288">
        <f t="shared" si="4"/>
        <v>1</v>
      </c>
      <c r="G52" s="290">
        <f>IF(D52=D51,"",_xlfn.IFNA(VLOOKUP(D52,'인원 입력 기능'!$BJ$5:$BM$55,4,FALSE),0))</f>
        <v>1260</v>
      </c>
      <c r="H52" s="291">
        <f t="shared" si="2"/>
        <v>1.168105166547693E-2</v>
      </c>
      <c r="I52" s="293">
        <f>SUM($G$7:G52)</f>
        <v>107168</v>
      </c>
      <c r="J52" s="295">
        <f t="shared" si="3"/>
        <v>0.99351979752843778</v>
      </c>
      <c r="K52" s="18"/>
      <c r="M52" s="1"/>
    </row>
    <row r="53" spans="1:13" ht="25" customHeight="1">
      <c r="A53" s="5"/>
      <c r="B53" s="17"/>
      <c r="C53" s="42">
        <v>4</v>
      </c>
      <c r="D53" s="297"/>
      <c r="E53" s="297"/>
      <c r="F53" s="287"/>
      <c r="G53" s="289"/>
      <c r="H53" s="292"/>
      <c r="I53" s="294"/>
      <c r="J53" s="296"/>
      <c r="K53" s="18"/>
      <c r="M53" s="1"/>
    </row>
    <row r="54" spans="1:13" ht="25" customHeight="1">
      <c r="A54" s="5"/>
      <c r="B54" s="17"/>
      <c r="C54" s="49">
        <v>3</v>
      </c>
      <c r="D54" s="43">
        <f t="shared" si="1"/>
        <v>31</v>
      </c>
      <c r="E54" s="43">
        <f t="shared" si="5"/>
        <v>9</v>
      </c>
      <c r="F54" s="44">
        <f t="shared" si="4"/>
        <v>1</v>
      </c>
      <c r="G54" s="45">
        <f>IF(D54=D53,"",_xlfn.IFNA(VLOOKUP(D54,'인원 입력 기능'!$BJ$5:$BM$55,4,FALSE),0))</f>
        <v>286</v>
      </c>
      <c r="H54" s="46">
        <f t="shared" si="2"/>
        <v>2.6514133145447635E-3</v>
      </c>
      <c r="I54" s="50">
        <f>SUM($G$7:G54)</f>
        <v>107454</v>
      </c>
      <c r="J54" s="48">
        <f t="shared" si="3"/>
        <v>0.99617121084298255</v>
      </c>
      <c r="K54" s="18"/>
      <c r="M54" s="1"/>
    </row>
    <row r="55" spans="1:13" ht="25" customHeight="1">
      <c r="A55" s="5"/>
      <c r="B55" s="17"/>
      <c r="C55" s="42">
        <v>2</v>
      </c>
      <c r="D55" s="43">
        <f t="shared" si="1"/>
        <v>30</v>
      </c>
      <c r="E55" s="43">
        <f t="shared" si="5"/>
        <v>9</v>
      </c>
      <c r="F55" s="44">
        <f t="shared" si="4"/>
        <v>0</v>
      </c>
      <c r="G55" s="45">
        <f>IF(D55=D54,"",_xlfn.IFNA(VLOOKUP(D55,'인원 입력 기능'!$BJ$5:$BM$55,4,FALSE),0))</f>
        <v>302</v>
      </c>
      <c r="H55" s="46">
        <f t="shared" si="2"/>
        <v>2.7997441293444703E-3</v>
      </c>
      <c r="I55" s="50">
        <f>SUM($G$7:G55)</f>
        <v>107756</v>
      </c>
      <c r="J55" s="48">
        <f t="shared" si="3"/>
        <v>0.99897095497232702</v>
      </c>
      <c r="K55" s="18"/>
      <c r="M55" s="1"/>
    </row>
    <row r="56" spans="1:13" ht="25" customHeight="1">
      <c r="A56" s="5"/>
      <c r="B56" s="17"/>
      <c r="C56" s="49">
        <v>1</v>
      </c>
      <c r="D56" s="111" t="s">
        <v>31</v>
      </c>
      <c r="E56" s="112"/>
      <c r="F56" s="112"/>
      <c r="G56" s="112"/>
      <c r="H56" s="112"/>
      <c r="I56" s="112"/>
      <c r="J56" s="113"/>
      <c r="K56" s="18"/>
      <c r="M56" s="1"/>
    </row>
    <row r="57" spans="1:13" ht="25" customHeight="1" thickBot="1">
      <c r="A57" s="5"/>
      <c r="B57" s="17"/>
      <c r="C57" s="57">
        <v>0</v>
      </c>
      <c r="D57" s="58">
        <f>ROUND(10*(C57-$H$3)/$H$4+50,0)</f>
        <v>28</v>
      </c>
      <c r="E57" s="59">
        <f t="shared" si="5"/>
        <v>9</v>
      </c>
      <c r="F57" s="60">
        <f>IF(I55=0,ROUND(100*(1-(I54+I57)/2/$J$3),0),ROUND(100*(1-(I55+I57)/2/$J$3),0))</f>
        <v>0</v>
      </c>
      <c r="G57" s="61">
        <f>_xlfn.IFNA(VLOOKUP(D57,'인원 입력 기능'!$BJ$5:$BM$55,4,FALSE),0)</f>
        <v>111</v>
      </c>
      <c r="H57" s="62">
        <f>G57/J3</f>
        <v>1.0290450276729676E-3</v>
      </c>
      <c r="I57" s="63">
        <f>SUM($G$7:G57)</f>
        <v>107867</v>
      </c>
      <c r="J57" s="64">
        <f>I57/J3</f>
        <v>1</v>
      </c>
      <c r="K57" s="18"/>
      <c r="M57" s="1"/>
    </row>
    <row r="58" spans="1:13" ht="6" customHeight="1">
      <c r="A58" s="5"/>
      <c r="B58" s="20"/>
      <c r="C58" s="21"/>
      <c r="D58" s="21"/>
      <c r="E58" s="21"/>
      <c r="F58" s="21"/>
      <c r="G58" s="21"/>
      <c r="H58" s="21"/>
      <c r="I58" s="21"/>
      <c r="J58" s="21"/>
      <c r="K58" s="22"/>
      <c r="M58" s="1"/>
    </row>
    <row r="59" spans="1:13">
      <c r="M59" s="1"/>
    </row>
    <row r="60" spans="1:13">
      <c r="M60" s="1"/>
    </row>
    <row r="61" spans="1:13">
      <c r="M61" s="1"/>
    </row>
    <row r="62" spans="1:13">
      <c r="M62" s="1"/>
    </row>
    <row r="63" spans="1:13">
      <c r="M63" s="1"/>
    </row>
    <row r="64" spans="1:13">
      <c r="M64" s="1"/>
    </row>
    <row r="65" spans="13:13">
      <c r="M65" s="1"/>
    </row>
    <row r="66" spans="13:13">
      <c r="M66" s="1"/>
    </row>
    <row r="67" spans="13:13">
      <c r="M67" s="1"/>
    </row>
    <row r="68" spans="13:13">
      <c r="M68" s="1"/>
    </row>
    <row r="69" spans="13:13">
      <c r="M69" s="1"/>
    </row>
    <row r="70" spans="13:13">
      <c r="M70" s="1"/>
    </row>
    <row r="71" spans="13:13">
      <c r="M71" s="1"/>
    </row>
    <row r="72" spans="13:13">
      <c r="M72" s="1"/>
    </row>
    <row r="73" spans="13:13">
      <c r="M73" s="1"/>
    </row>
    <row r="74" spans="13:13">
      <c r="M74" s="1"/>
    </row>
    <row r="75" spans="13:13">
      <c r="M75" s="1"/>
    </row>
    <row r="76" spans="13:13">
      <c r="M76" s="1"/>
    </row>
    <row r="77" spans="13:13">
      <c r="M77" s="1"/>
    </row>
    <row r="78" spans="13:13">
      <c r="M78" s="1"/>
    </row>
    <row r="79" spans="13:13">
      <c r="M79" s="1"/>
    </row>
    <row r="80" spans="13:13">
      <c r="M80" s="1"/>
    </row>
    <row r="81" spans="13:13">
      <c r="M81" s="1"/>
    </row>
    <row r="82" spans="13:13">
      <c r="M82" s="1"/>
    </row>
    <row r="83" spans="13:13">
      <c r="M83" s="1"/>
    </row>
    <row r="84" spans="13:13">
      <c r="M84" s="1"/>
    </row>
    <row r="85" spans="13:13">
      <c r="M85" s="1"/>
    </row>
    <row r="86" spans="13:13">
      <c r="M86" s="1"/>
    </row>
    <row r="87" spans="13:13">
      <c r="M87" s="1"/>
    </row>
    <row r="88" spans="13:13">
      <c r="M88" s="1"/>
    </row>
    <row r="89" spans="13:13">
      <c r="M89" s="1"/>
    </row>
    <row r="90" spans="13:13">
      <c r="M90" s="1"/>
    </row>
    <row r="91" spans="13:13">
      <c r="M91" s="1"/>
    </row>
    <row r="92" spans="13:13">
      <c r="M92" s="1"/>
    </row>
    <row r="93" spans="13:13">
      <c r="M93" s="1"/>
    </row>
    <row r="94" spans="13:13">
      <c r="M94" s="1"/>
    </row>
    <row r="95" spans="13:13">
      <c r="M95" s="1"/>
    </row>
    <row r="96" spans="13:13">
      <c r="M96" s="1"/>
    </row>
    <row r="97" spans="13:13">
      <c r="M97" s="1"/>
    </row>
    <row r="98" spans="13:13">
      <c r="M98" s="1"/>
    </row>
    <row r="99" spans="13:13">
      <c r="M99" s="1"/>
    </row>
    <row r="100" spans="13:13">
      <c r="M100" s="1"/>
    </row>
    <row r="101" spans="13:13">
      <c r="M101" s="1"/>
    </row>
    <row r="102" spans="13:13">
      <c r="M102" s="1"/>
    </row>
    <row r="103" spans="13:13">
      <c r="M103" s="1"/>
    </row>
    <row r="104" spans="13:13">
      <c r="M104" s="1"/>
    </row>
    <row r="105" spans="13:13">
      <c r="M105" s="1"/>
    </row>
  </sheetData>
  <mergeCells count="60">
    <mergeCell ref="I52:I53"/>
    <mergeCell ref="J52:J53"/>
    <mergeCell ref="D52:D53"/>
    <mergeCell ref="E52:E53"/>
    <mergeCell ref="F52:F53"/>
    <mergeCell ref="G52:G53"/>
    <mergeCell ref="H52:H53"/>
    <mergeCell ref="I41:I42"/>
    <mergeCell ref="J41:J42"/>
    <mergeCell ref="D47:D48"/>
    <mergeCell ref="E47:E48"/>
    <mergeCell ref="F47:F48"/>
    <mergeCell ref="G47:G48"/>
    <mergeCell ref="H47:H48"/>
    <mergeCell ref="I47:I48"/>
    <mergeCell ref="J47:J48"/>
    <mergeCell ref="D41:D42"/>
    <mergeCell ref="E41:E42"/>
    <mergeCell ref="F41:F42"/>
    <mergeCell ref="G41:G42"/>
    <mergeCell ref="H41:H42"/>
    <mergeCell ref="I30:I31"/>
    <mergeCell ref="J30:J31"/>
    <mergeCell ref="D36:D37"/>
    <mergeCell ref="E36:E37"/>
    <mergeCell ref="F36:F37"/>
    <mergeCell ref="G36:G37"/>
    <mergeCell ref="H36:H37"/>
    <mergeCell ref="I36:I37"/>
    <mergeCell ref="J36:J37"/>
    <mergeCell ref="D30:D31"/>
    <mergeCell ref="E30:E31"/>
    <mergeCell ref="F30:F31"/>
    <mergeCell ref="G30:G31"/>
    <mergeCell ref="H30:H31"/>
    <mergeCell ref="I19:I20"/>
    <mergeCell ref="J19:J20"/>
    <mergeCell ref="D25:D26"/>
    <mergeCell ref="E25:E26"/>
    <mergeCell ref="F25:F26"/>
    <mergeCell ref="G25:G26"/>
    <mergeCell ref="H25:H26"/>
    <mergeCell ref="I25:I26"/>
    <mergeCell ref="J25:J26"/>
    <mergeCell ref="D3:F3"/>
    <mergeCell ref="D4:F4"/>
    <mergeCell ref="D56:J56"/>
    <mergeCell ref="D8:J8"/>
    <mergeCell ref="D14:D15"/>
    <mergeCell ref="E14:E15"/>
    <mergeCell ref="F14:F15"/>
    <mergeCell ref="G14:G15"/>
    <mergeCell ref="H14:H15"/>
    <mergeCell ref="I14:I15"/>
    <mergeCell ref="J14:J15"/>
    <mergeCell ref="D19:D20"/>
    <mergeCell ref="E19:E20"/>
    <mergeCell ref="F19:F20"/>
    <mergeCell ref="G19:G20"/>
    <mergeCell ref="H19:H20"/>
  </mergeCells>
  <phoneticPr fontId="1" type="noConversion"/>
  <conditionalFormatting sqref="D7:J7 D57:J57 D9:J14 D16:J19 D21:J25 D27:J30 D32:J36 D38:J41 D43:J47 D49:J52 D54:J55">
    <cfRule type="expression" dxfId="76" priority="7">
      <formula>OR($D7=$P$7:$P$14)</formula>
    </cfRule>
  </conditionalFormatting>
  <conditionalFormatting sqref="C7:C57">
    <cfRule type="expression" dxfId="75" priority="6">
      <formula>OR(AND($D7=0,OR($D6=$P$7:$P$14)),AND($D8&gt;0,OR($D7=$P$7:$P$14)))</formula>
    </cfRule>
  </conditionalFormatting>
  <conditionalFormatting sqref="D7 D57 D9:D14 D16:D19 D21:D25 D27:D30 D32:D36 D38:D41 D43:D47 D49:D52 D54:D55">
    <cfRule type="expression" dxfId="74" priority="5">
      <formula>$D7=$D8</formula>
    </cfRule>
  </conditionalFormatting>
  <conditionalFormatting sqref="D56">
    <cfRule type="expression" dxfId="73" priority="4">
      <formula>OR($D56=$P$7:$P$14)</formula>
    </cfRule>
  </conditionalFormatting>
  <conditionalFormatting sqref="D56">
    <cfRule type="expression" dxfId="72" priority="3">
      <formula>$D56=$D57</formula>
    </cfRule>
  </conditionalFormatting>
  <conditionalFormatting sqref="D8">
    <cfRule type="expression" dxfId="71" priority="2">
      <formula>OR($D8=$P$7:$P$14)</formula>
    </cfRule>
  </conditionalFormatting>
  <conditionalFormatting sqref="D8">
    <cfRule type="expression" dxfId="70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923B-7A19-4B91-AD84-8A6CA73CC59F}">
  <sheetPr codeName="Sheet3"/>
  <dimension ref="A1:P105"/>
  <sheetViews>
    <sheetView zoomScaleNormal="100" workbookViewId="0">
      <selection activeCell="B2" sqref="B2:K58"/>
    </sheetView>
  </sheetViews>
  <sheetFormatPr defaultRowHeight="17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6">
      <c r="A1" s="5" t="s">
        <v>44</v>
      </c>
      <c r="C1" s="5"/>
      <c r="D1" s="5"/>
      <c r="E1" s="5"/>
      <c r="F1" s="5"/>
      <c r="G1" s="5"/>
      <c r="H1" s="5"/>
      <c r="I1" s="5"/>
      <c r="J1" s="5"/>
      <c r="K1" s="5"/>
    </row>
    <row r="2" spans="1:16" s="5" customFormat="1" ht="6" customHeight="1" thickBot="1">
      <c r="B2" s="15"/>
      <c r="C2" s="23"/>
      <c r="D2" s="23"/>
      <c r="E2" s="23"/>
      <c r="F2" s="23"/>
      <c r="G2" s="23"/>
      <c r="H2" s="23"/>
      <c r="I2" s="23"/>
      <c r="J2" s="23"/>
      <c r="K2" s="16"/>
    </row>
    <row r="3" spans="1:16" ht="25" customHeight="1" thickBot="1">
      <c r="A3" s="5"/>
      <c r="B3" s="17"/>
      <c r="C3" s="34" t="s">
        <v>47</v>
      </c>
      <c r="D3" s="105" t="s">
        <v>115</v>
      </c>
      <c r="E3" s="106"/>
      <c r="F3" s="107"/>
      <c r="G3" s="34" t="s">
        <v>48</v>
      </c>
      <c r="H3" s="101">
        <f>'통계 및 응시자 수 입력 기능'!D17</f>
        <v>19.73</v>
      </c>
      <c r="I3" s="103" t="s">
        <v>49</v>
      </c>
      <c r="J3" s="104">
        <f>'통계 및 응시자 수 입력 기능'!C17</f>
        <v>4692</v>
      </c>
      <c r="K3" s="18"/>
    </row>
    <row r="4" spans="1:16" ht="25" customHeight="1" thickBot="1">
      <c r="A4" s="5"/>
      <c r="B4" s="17"/>
      <c r="C4" s="35" t="s">
        <v>50</v>
      </c>
      <c r="D4" s="108" t="s">
        <v>60</v>
      </c>
      <c r="E4" s="109"/>
      <c r="F4" s="110"/>
      <c r="G4" s="36" t="s">
        <v>52</v>
      </c>
      <c r="H4" s="102">
        <f>'통계 및 응시자 수 입력 기능'!E17</f>
        <v>11.73</v>
      </c>
      <c r="I4" s="12"/>
      <c r="J4" s="12"/>
      <c r="K4" s="18"/>
    </row>
    <row r="5" spans="1:16" ht="25" customHeight="1" thickBot="1">
      <c r="A5" s="5"/>
      <c r="B5" s="17"/>
      <c r="C5" s="12"/>
      <c r="D5" s="12"/>
      <c r="E5" s="12"/>
      <c r="F5" s="12"/>
      <c r="G5" s="12"/>
      <c r="H5" s="19"/>
      <c r="I5" s="19"/>
      <c r="J5" s="19"/>
      <c r="K5" s="18"/>
    </row>
    <row r="6" spans="1:16" ht="25" customHeight="1" thickBot="1">
      <c r="A6" s="5"/>
      <c r="B6" s="17"/>
      <c r="C6" s="38" t="s">
        <v>73</v>
      </c>
      <c r="D6" s="39" t="s">
        <v>74</v>
      </c>
      <c r="E6" s="39" t="s">
        <v>75</v>
      </c>
      <c r="F6" s="39" t="s">
        <v>76</v>
      </c>
      <c r="G6" s="39" t="s">
        <v>77</v>
      </c>
      <c r="H6" s="40" t="s">
        <v>78</v>
      </c>
      <c r="I6" s="40" t="s">
        <v>79</v>
      </c>
      <c r="J6" s="41" t="s">
        <v>80</v>
      </c>
      <c r="K6" s="18"/>
      <c r="L6" s="3"/>
      <c r="M6" s="4"/>
    </row>
    <row r="7" spans="1:16" ht="25" customHeight="1">
      <c r="A7" s="5"/>
      <c r="B7" s="17"/>
      <c r="C7" s="42">
        <v>50</v>
      </c>
      <c r="D7" s="43">
        <f>ROUND(10*(C7-$H$3)/$H$4+50,0)</f>
        <v>76</v>
      </c>
      <c r="E7" s="43">
        <f t="shared" ref="E7:E38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44">
        <f>ROUND(100*(1-(0+I7)/2/$J$3),0)</f>
        <v>100</v>
      </c>
      <c r="G7" s="45">
        <f>_xlfn.IFNA(VLOOKUP(D7,'인원 입력 기능'!$BO$5:$BR$55,4,FALSE),0)</f>
        <v>18</v>
      </c>
      <c r="H7" s="46">
        <f>G7/J3</f>
        <v>3.8363171355498722E-3</v>
      </c>
      <c r="I7" s="47">
        <f>G7</f>
        <v>18</v>
      </c>
      <c r="J7" s="48">
        <f>I7/J3</f>
        <v>3.8363171355498722E-3</v>
      </c>
      <c r="K7" s="18"/>
      <c r="M7" s="1"/>
      <c r="O7" s="1">
        <v>1</v>
      </c>
      <c r="P7" s="1">
        <f>'표준점수 등급컷 입력기능'!B54</f>
        <v>70</v>
      </c>
    </row>
    <row r="8" spans="1:16" ht="25" customHeight="1">
      <c r="A8" s="5"/>
      <c r="B8" s="17"/>
      <c r="C8" s="49">
        <v>49</v>
      </c>
      <c r="D8" s="111" t="s">
        <v>31</v>
      </c>
      <c r="E8" s="112"/>
      <c r="F8" s="112"/>
      <c r="G8" s="112"/>
      <c r="H8" s="112"/>
      <c r="I8" s="112"/>
      <c r="J8" s="113"/>
      <c r="K8" s="18"/>
      <c r="M8" s="1"/>
      <c r="O8" s="1">
        <v>2</v>
      </c>
      <c r="P8" s="1">
        <f>'표준점수 등급컷 입력기능'!B55</f>
        <v>66</v>
      </c>
    </row>
    <row r="9" spans="1:16" ht="25" customHeight="1">
      <c r="A9" s="5"/>
      <c r="B9" s="17"/>
      <c r="C9" s="42">
        <v>48</v>
      </c>
      <c r="D9" s="43">
        <f t="shared" ref="D9:D55" si="1">ROUND(10*(C9-$H$3)/$H$4+50,0)</f>
        <v>74</v>
      </c>
      <c r="E9" s="43">
        <f t="shared" si="0"/>
        <v>1</v>
      </c>
      <c r="F9" s="44">
        <f>IF(I8=0,ROUND(100*(1-(I7+I9)/2/$J$3),0),ROUND(100*(1-(I8+I9)/2/$J$3),0))</f>
        <v>99</v>
      </c>
      <c r="G9" s="45">
        <f>_xlfn.IFNA(VLOOKUP(D9,'인원 입력 기능'!$BO$5:$BR$55,4,FALSE),0)</f>
        <v>47</v>
      </c>
      <c r="H9" s="46">
        <f>G9/$J$3</f>
        <v>1.0017050298380221E-2</v>
      </c>
      <c r="I9" s="50">
        <f>SUM($G$7:G9)</f>
        <v>65</v>
      </c>
      <c r="J9" s="48">
        <f>I9/$J$3</f>
        <v>1.3853367433930093E-2</v>
      </c>
      <c r="K9" s="18"/>
      <c r="M9" s="1"/>
      <c r="O9" s="1">
        <v>3</v>
      </c>
      <c r="P9" s="1">
        <f>'표준점수 등급컷 입력기능'!B56</f>
        <v>58</v>
      </c>
    </row>
    <row r="10" spans="1:16" ht="25" customHeight="1">
      <c r="A10" s="5"/>
      <c r="B10" s="17"/>
      <c r="C10" s="49">
        <v>47</v>
      </c>
      <c r="D10" s="43">
        <f t="shared" si="1"/>
        <v>73</v>
      </c>
      <c r="E10" s="43">
        <f t="shared" si="0"/>
        <v>1</v>
      </c>
      <c r="F10" s="44">
        <f>IF(I9=0,ROUND(100*(1-(I8+I10)/2/$J$3),0),ROUND(100*(1-(I9+I10)/2/$J$3),0))</f>
        <v>98</v>
      </c>
      <c r="G10" s="45">
        <f>IF(D10=D9,"",_xlfn.IFNA(VLOOKUP(D10,'인원 입력 기능'!$BO$5:$BR$55,4,FALSE),0))</f>
        <v>13</v>
      </c>
      <c r="H10" s="46">
        <f t="shared" ref="H10:H55" si="2">G10/$J$3</f>
        <v>2.7706734867860186E-3</v>
      </c>
      <c r="I10" s="50">
        <f>SUM($G$7:G10)</f>
        <v>78</v>
      </c>
      <c r="J10" s="48">
        <f t="shared" ref="J10:J55" si="3">I10/$J$3</f>
        <v>1.6624040920716114E-2</v>
      </c>
      <c r="K10" s="18"/>
      <c r="M10" s="1"/>
      <c r="O10" s="1">
        <v>4</v>
      </c>
      <c r="P10" s="1">
        <f>'표준점수 등급컷 입력기능'!B57</f>
        <v>50</v>
      </c>
    </row>
    <row r="11" spans="1:16" ht="25" customHeight="1">
      <c r="A11" s="5"/>
      <c r="B11" s="17"/>
      <c r="C11" s="42">
        <v>46</v>
      </c>
      <c r="D11" s="286">
        <f t="shared" si="1"/>
        <v>72</v>
      </c>
      <c r="E11" s="286">
        <f t="shared" si="0"/>
        <v>1</v>
      </c>
      <c r="F11" s="288">
        <f t="shared" ref="F11:F55" si="4">IF(I10=0,ROUND(100*(1-(I9+I11)/2/$J$3),0),ROUND(100*(1-(I10+I11)/2/$J$3),0))</f>
        <v>97</v>
      </c>
      <c r="G11" s="290">
        <f>IF(D11=D10,"",_xlfn.IFNA(VLOOKUP(D11,'인원 입력 기능'!$BO$5:$BR$55,4,FALSE),0))</f>
        <v>81</v>
      </c>
      <c r="H11" s="291">
        <f t="shared" si="2"/>
        <v>1.7263427109974423E-2</v>
      </c>
      <c r="I11" s="293">
        <f>SUM($G$7:G11)</f>
        <v>159</v>
      </c>
      <c r="J11" s="295">
        <f t="shared" si="3"/>
        <v>3.3887468030690537E-2</v>
      </c>
      <c r="K11" s="18"/>
      <c r="M11" s="1"/>
      <c r="O11" s="1">
        <v>5</v>
      </c>
      <c r="P11" s="1">
        <f>'표준점수 등급컷 입력기능'!B58</f>
        <v>44</v>
      </c>
    </row>
    <row r="12" spans="1:16" ht="25" customHeight="1">
      <c r="A12" s="5"/>
      <c r="B12" s="17"/>
      <c r="C12" s="49">
        <v>45</v>
      </c>
      <c r="D12" s="285"/>
      <c r="E12" s="285"/>
      <c r="F12" s="287"/>
      <c r="G12" s="289"/>
      <c r="H12" s="292"/>
      <c r="I12" s="294"/>
      <c r="J12" s="296"/>
      <c r="K12" s="18"/>
      <c r="M12" s="1"/>
      <c r="O12" s="1">
        <v>6</v>
      </c>
      <c r="P12" s="1">
        <f>'표준점수 등급컷 입력기능'!B59</f>
        <v>42</v>
      </c>
    </row>
    <row r="13" spans="1:16" ht="25" customHeight="1">
      <c r="A13" s="5"/>
      <c r="B13" s="17"/>
      <c r="C13" s="42">
        <v>44</v>
      </c>
      <c r="D13" s="43">
        <f t="shared" si="1"/>
        <v>71</v>
      </c>
      <c r="E13" s="43">
        <f t="shared" si="0"/>
        <v>1</v>
      </c>
      <c r="F13" s="44">
        <f t="shared" si="4"/>
        <v>96</v>
      </c>
      <c r="G13" s="45">
        <f>IF(D13=D12,"",_xlfn.IFNA(VLOOKUP(D13,'인원 입력 기능'!$BO$5:$BR$55,4,FALSE),0))</f>
        <v>27</v>
      </c>
      <c r="H13" s="46">
        <f t="shared" si="2"/>
        <v>5.7544757033248083E-3</v>
      </c>
      <c r="I13" s="50">
        <f>SUM($G$7:G13)</f>
        <v>186</v>
      </c>
      <c r="J13" s="48">
        <f t="shared" si="3"/>
        <v>3.9641943734015347E-2</v>
      </c>
      <c r="K13" s="18"/>
      <c r="M13" s="1"/>
      <c r="O13" s="1">
        <v>7</v>
      </c>
      <c r="P13" s="1">
        <f>'표준점수 등급컷 입력기능'!B60</f>
        <v>40</v>
      </c>
    </row>
    <row r="14" spans="1:16" ht="25" customHeight="1">
      <c r="A14" s="5"/>
      <c r="B14" s="17"/>
      <c r="C14" s="49">
        <v>43</v>
      </c>
      <c r="D14" s="43">
        <f t="shared" si="1"/>
        <v>70</v>
      </c>
      <c r="E14" s="43">
        <f t="shared" si="0"/>
        <v>1</v>
      </c>
      <c r="F14" s="44">
        <f t="shared" si="4"/>
        <v>95</v>
      </c>
      <c r="G14" s="45">
        <f>IF(D14=D13,"",_xlfn.IFNA(VLOOKUP(D14,'인원 입력 기능'!$BO$5:$BR$55,4,FALSE),0))</f>
        <v>61</v>
      </c>
      <c r="H14" s="46">
        <f t="shared" si="2"/>
        <v>1.300085251491901E-2</v>
      </c>
      <c r="I14" s="50">
        <f>SUM($G$7:G14)</f>
        <v>247</v>
      </c>
      <c r="J14" s="48">
        <f t="shared" si="3"/>
        <v>5.2642796248934358E-2</v>
      </c>
      <c r="K14" s="18"/>
      <c r="M14" s="1"/>
      <c r="O14" s="1">
        <v>8</v>
      </c>
      <c r="P14" s="1">
        <f>'표준점수 등급컷 입력기능'!B61</f>
        <v>37</v>
      </c>
    </row>
    <row r="15" spans="1:16" ht="25" customHeight="1">
      <c r="A15" s="5"/>
      <c r="B15" s="17"/>
      <c r="C15" s="42">
        <v>42</v>
      </c>
      <c r="D15" s="43">
        <f t="shared" si="1"/>
        <v>69</v>
      </c>
      <c r="E15" s="43">
        <f t="shared" si="0"/>
        <v>2</v>
      </c>
      <c r="F15" s="44">
        <f t="shared" si="4"/>
        <v>94</v>
      </c>
      <c r="G15" s="45">
        <f>IF(D15=D14,"",_xlfn.IFNA(VLOOKUP(D15,'인원 입력 기능'!$BO$5:$BR$55,4,FALSE),0))</f>
        <v>41</v>
      </c>
      <c r="H15" s="46">
        <f t="shared" si="2"/>
        <v>8.7382779198635976E-3</v>
      </c>
      <c r="I15" s="50">
        <f>SUM($G$7:G15)</f>
        <v>288</v>
      </c>
      <c r="J15" s="48">
        <f t="shared" si="3"/>
        <v>6.1381074168797956E-2</v>
      </c>
      <c r="K15" s="18"/>
      <c r="M15" s="1"/>
      <c r="O15" s="1">
        <v>9</v>
      </c>
      <c r="P15" s="1"/>
    </row>
    <row r="16" spans="1:16" ht="25" customHeight="1">
      <c r="A16" s="5"/>
      <c r="B16" s="17"/>
      <c r="C16" s="49">
        <v>41</v>
      </c>
      <c r="D16" s="43">
        <f t="shared" si="1"/>
        <v>68</v>
      </c>
      <c r="E16" s="43">
        <f t="shared" si="0"/>
        <v>2</v>
      </c>
      <c r="F16" s="44">
        <f t="shared" si="4"/>
        <v>93</v>
      </c>
      <c r="G16" s="45">
        <f>IF(D16=D15,"",_xlfn.IFNA(VLOOKUP(D16,'인원 입력 기능'!$BO$5:$BR$55,4,FALSE),0))</f>
        <v>64</v>
      </c>
      <c r="H16" s="46">
        <f t="shared" si="2"/>
        <v>1.3640238704177323E-2</v>
      </c>
      <c r="I16" s="50">
        <f>SUM($G$7:G16)</f>
        <v>352</v>
      </c>
      <c r="J16" s="48">
        <f t="shared" si="3"/>
        <v>7.5021312872975282E-2</v>
      </c>
      <c r="K16" s="18"/>
      <c r="M16" s="1"/>
    </row>
    <row r="17" spans="1:16" ht="25" customHeight="1">
      <c r="A17" s="5"/>
      <c r="B17" s="17"/>
      <c r="C17" s="42">
        <v>40</v>
      </c>
      <c r="D17" s="43">
        <f t="shared" si="1"/>
        <v>67</v>
      </c>
      <c r="E17" s="43">
        <f t="shared" si="0"/>
        <v>2</v>
      </c>
      <c r="F17" s="44">
        <f t="shared" si="4"/>
        <v>92</v>
      </c>
      <c r="G17" s="45">
        <f>IF(D17=D16,"",_xlfn.IFNA(VLOOKUP(D17,'인원 입력 기능'!$BO$5:$BR$55,4,FALSE),0))</f>
        <v>67</v>
      </c>
      <c r="H17" s="46">
        <f t="shared" si="2"/>
        <v>1.4279624893435636E-2</v>
      </c>
      <c r="I17" s="50">
        <f>SUM($G$7:G17)</f>
        <v>419</v>
      </c>
      <c r="J17" s="48">
        <f t="shared" si="3"/>
        <v>8.9300937766410918E-2</v>
      </c>
      <c r="K17" s="18"/>
      <c r="M17" s="1"/>
      <c r="P17" s="1">
        <f>H3*H4*J3*P7*IFERROR(IF(J57=1, 1, 0), 0)</f>
        <v>76011821.675999999</v>
      </c>
    </row>
    <row r="18" spans="1:16" ht="25" customHeight="1">
      <c r="A18" s="5"/>
      <c r="B18" s="17"/>
      <c r="C18" s="49">
        <v>39</v>
      </c>
      <c r="D18" s="286">
        <f t="shared" si="1"/>
        <v>66</v>
      </c>
      <c r="E18" s="286">
        <f t="shared" si="0"/>
        <v>2</v>
      </c>
      <c r="F18" s="288">
        <f t="shared" si="4"/>
        <v>90</v>
      </c>
      <c r="G18" s="290">
        <f>IF(D18=D17,"",_xlfn.IFNA(VLOOKUP(D18,'인원 입력 기능'!$BO$5:$BR$55,4,FALSE),0))</f>
        <v>112</v>
      </c>
      <c r="H18" s="291">
        <f t="shared" si="2"/>
        <v>2.3870417732310314E-2</v>
      </c>
      <c r="I18" s="293">
        <f>SUM($G$7:G18)</f>
        <v>531</v>
      </c>
      <c r="J18" s="295">
        <f t="shared" si="3"/>
        <v>0.11317135549872123</v>
      </c>
      <c r="K18" s="18"/>
      <c r="M18" s="1"/>
    </row>
    <row r="19" spans="1:16" ht="25" customHeight="1">
      <c r="A19" s="5"/>
      <c r="B19" s="17"/>
      <c r="C19" s="42">
        <v>38</v>
      </c>
      <c r="D19" s="285"/>
      <c r="E19" s="285"/>
      <c r="F19" s="287"/>
      <c r="G19" s="289"/>
      <c r="H19" s="292"/>
      <c r="I19" s="294"/>
      <c r="J19" s="296"/>
      <c r="K19" s="18"/>
      <c r="M19" s="1"/>
    </row>
    <row r="20" spans="1:16" ht="25" customHeight="1">
      <c r="A20" s="5"/>
      <c r="B20" s="17"/>
      <c r="C20" s="49">
        <v>37</v>
      </c>
      <c r="D20" s="43">
        <f t="shared" si="1"/>
        <v>65</v>
      </c>
      <c r="E20" s="43">
        <f t="shared" si="0"/>
        <v>3</v>
      </c>
      <c r="F20" s="44">
        <f t="shared" si="4"/>
        <v>88</v>
      </c>
      <c r="G20" s="45">
        <f>IF(D20=D19,"",_xlfn.IFNA(VLOOKUP(D20,'인원 입력 기능'!$BO$5:$BR$55,4,FALSE),0))</f>
        <v>73</v>
      </c>
      <c r="H20" s="46">
        <f t="shared" si="2"/>
        <v>1.5558397271952259E-2</v>
      </c>
      <c r="I20" s="50">
        <f>SUM($G$7:G20)</f>
        <v>604</v>
      </c>
      <c r="J20" s="48">
        <f t="shared" si="3"/>
        <v>0.1287297527706735</v>
      </c>
      <c r="K20" s="18"/>
      <c r="M20" s="1"/>
    </row>
    <row r="21" spans="1:16" ht="25" customHeight="1">
      <c r="A21" s="5"/>
      <c r="B21" s="17"/>
      <c r="C21" s="51">
        <v>36</v>
      </c>
      <c r="D21" s="53">
        <f t="shared" si="1"/>
        <v>64</v>
      </c>
      <c r="E21" s="53">
        <f t="shared" si="0"/>
        <v>3</v>
      </c>
      <c r="F21" s="44">
        <f t="shared" si="4"/>
        <v>86</v>
      </c>
      <c r="G21" s="45">
        <f>IF(D21=D20,"",_xlfn.IFNA(VLOOKUP(D21,'인원 입력 기능'!$BO$5:$BR$55,4,FALSE),0))</f>
        <v>67</v>
      </c>
      <c r="H21" s="46">
        <f t="shared" si="2"/>
        <v>1.4279624893435636E-2</v>
      </c>
      <c r="I21" s="50">
        <f>SUM($G$7:G21)</f>
        <v>671</v>
      </c>
      <c r="J21" s="48">
        <f t="shared" si="3"/>
        <v>0.14300937766410912</v>
      </c>
      <c r="K21" s="18"/>
      <c r="M21" s="1"/>
    </row>
    <row r="22" spans="1:16" ht="25" customHeight="1">
      <c r="A22" s="5"/>
      <c r="B22" s="17"/>
      <c r="C22" s="52">
        <v>35</v>
      </c>
      <c r="D22" s="53">
        <f t="shared" si="1"/>
        <v>63</v>
      </c>
      <c r="E22" s="53">
        <f t="shared" si="0"/>
        <v>3</v>
      </c>
      <c r="F22" s="44">
        <f t="shared" si="4"/>
        <v>85</v>
      </c>
      <c r="G22" s="45">
        <f>IF(D22=D21,"",_xlfn.IFNA(VLOOKUP(D22,'인원 입력 기능'!$BO$5:$BR$55,4,FALSE),0))</f>
        <v>76</v>
      </c>
      <c r="H22" s="46">
        <f t="shared" si="2"/>
        <v>1.619778346121057E-2</v>
      </c>
      <c r="I22" s="50">
        <f>SUM($G$7:G22)</f>
        <v>747</v>
      </c>
      <c r="J22" s="48">
        <f t="shared" si="3"/>
        <v>0.15920716112531969</v>
      </c>
      <c r="K22" s="18"/>
      <c r="M22" s="1"/>
    </row>
    <row r="23" spans="1:16" ht="25" customHeight="1">
      <c r="A23" s="5"/>
      <c r="B23" s="17"/>
      <c r="C23" s="51">
        <v>34</v>
      </c>
      <c r="D23" s="53">
        <f t="shared" si="1"/>
        <v>62</v>
      </c>
      <c r="E23" s="53">
        <f t="shared" si="0"/>
        <v>3</v>
      </c>
      <c r="F23" s="44">
        <f t="shared" si="4"/>
        <v>83</v>
      </c>
      <c r="G23" s="45">
        <f>IF(D23=D22,"",_xlfn.IFNA(VLOOKUP(D23,'인원 입력 기능'!$BO$5:$BR$55,4,FALSE),0))</f>
        <v>65</v>
      </c>
      <c r="H23" s="46">
        <f t="shared" si="2"/>
        <v>1.3853367433930093E-2</v>
      </c>
      <c r="I23" s="50">
        <f>SUM($G$7:G23)</f>
        <v>812</v>
      </c>
      <c r="J23" s="48">
        <f t="shared" si="3"/>
        <v>0.17306052855924978</v>
      </c>
      <c r="K23" s="18"/>
      <c r="M23" s="1"/>
    </row>
    <row r="24" spans="1:16" ht="25" customHeight="1">
      <c r="A24" s="5"/>
      <c r="B24" s="17"/>
      <c r="C24" s="52">
        <v>33</v>
      </c>
      <c r="D24" s="53">
        <f t="shared" si="1"/>
        <v>61</v>
      </c>
      <c r="E24" s="53">
        <f t="shared" si="0"/>
        <v>3</v>
      </c>
      <c r="F24" s="44">
        <f t="shared" si="4"/>
        <v>82</v>
      </c>
      <c r="G24" s="45">
        <f>IF(D24=D23,"",_xlfn.IFNA(VLOOKUP(D24,'인원 입력 기능'!$BO$5:$BR$55,4,FALSE),0))</f>
        <v>62</v>
      </c>
      <c r="H24" s="46">
        <f t="shared" si="2"/>
        <v>1.3213981244671782E-2</v>
      </c>
      <c r="I24" s="50">
        <f>SUM($G$7:G24)</f>
        <v>874</v>
      </c>
      <c r="J24" s="48">
        <f t="shared" si="3"/>
        <v>0.18627450980392157</v>
      </c>
      <c r="K24" s="18"/>
      <c r="M24" s="1"/>
    </row>
    <row r="25" spans="1:16" ht="25" customHeight="1">
      <c r="A25" s="5"/>
      <c r="B25" s="17"/>
      <c r="C25" s="51">
        <v>32</v>
      </c>
      <c r="D25" s="298">
        <f t="shared" si="1"/>
        <v>60</v>
      </c>
      <c r="E25" s="298">
        <f t="shared" si="0"/>
        <v>3</v>
      </c>
      <c r="F25" s="288">
        <f t="shared" si="4"/>
        <v>80</v>
      </c>
      <c r="G25" s="290">
        <f>IF(D25=D24,"",_xlfn.IFNA(VLOOKUP(D25,'인원 입력 기능'!$BO$5:$BR$55,4,FALSE),0))</f>
        <v>126</v>
      </c>
      <c r="H25" s="291">
        <f t="shared" si="2"/>
        <v>2.6854219948849106E-2</v>
      </c>
      <c r="I25" s="293">
        <f>SUM($G$7:G25)</f>
        <v>1000</v>
      </c>
      <c r="J25" s="295">
        <f t="shared" si="3"/>
        <v>0.21312872975277067</v>
      </c>
      <c r="K25" s="18"/>
      <c r="M25" s="1"/>
    </row>
    <row r="26" spans="1:16" ht="25" customHeight="1">
      <c r="A26" s="5"/>
      <c r="B26" s="17"/>
      <c r="C26" s="52">
        <v>31</v>
      </c>
      <c r="D26" s="297"/>
      <c r="E26" s="297"/>
      <c r="F26" s="287"/>
      <c r="G26" s="289"/>
      <c r="H26" s="292"/>
      <c r="I26" s="294"/>
      <c r="J26" s="296"/>
      <c r="K26" s="18"/>
      <c r="M26" s="1"/>
    </row>
    <row r="27" spans="1:16" ht="25" customHeight="1">
      <c r="A27" s="5"/>
      <c r="B27" s="17"/>
      <c r="C27" s="51">
        <v>30</v>
      </c>
      <c r="D27" s="53">
        <f t="shared" si="1"/>
        <v>59</v>
      </c>
      <c r="E27" s="53">
        <f t="shared" si="0"/>
        <v>3</v>
      </c>
      <c r="F27" s="44">
        <f t="shared" si="4"/>
        <v>78</v>
      </c>
      <c r="G27" s="45">
        <f>IF(D27=D26,"",_xlfn.IFNA(VLOOKUP(D27,'인원 입력 기능'!$BO$5:$BR$55,4,FALSE),0))</f>
        <v>69</v>
      </c>
      <c r="H27" s="46">
        <f t="shared" si="2"/>
        <v>1.4705882352941176E-2</v>
      </c>
      <c r="I27" s="50">
        <f>SUM($G$7:G27)</f>
        <v>1069</v>
      </c>
      <c r="J27" s="48">
        <f t="shared" si="3"/>
        <v>0.22783461210571185</v>
      </c>
      <c r="K27" s="18"/>
      <c r="M27" s="1"/>
    </row>
    <row r="28" spans="1:16" ht="25" customHeight="1">
      <c r="A28" s="5"/>
      <c r="B28" s="17"/>
      <c r="C28" s="52">
        <v>29</v>
      </c>
      <c r="D28" s="53">
        <f t="shared" si="1"/>
        <v>58</v>
      </c>
      <c r="E28" s="53">
        <f t="shared" si="0"/>
        <v>3</v>
      </c>
      <c r="F28" s="44">
        <f t="shared" si="4"/>
        <v>77</v>
      </c>
      <c r="G28" s="45">
        <f>IF(D28=D27,"",_xlfn.IFNA(VLOOKUP(D28,'인원 입력 기능'!$BO$5:$BR$55,4,FALSE),0))</f>
        <v>55</v>
      </c>
      <c r="H28" s="46">
        <f t="shared" si="2"/>
        <v>1.1722080136402387E-2</v>
      </c>
      <c r="I28" s="50">
        <f>SUM($G$7:G28)</f>
        <v>1124</v>
      </c>
      <c r="J28" s="48">
        <f t="shared" si="3"/>
        <v>0.23955669224211423</v>
      </c>
      <c r="K28" s="18"/>
      <c r="M28" s="1"/>
    </row>
    <row r="29" spans="1:16" ht="25" customHeight="1">
      <c r="A29" s="5"/>
      <c r="B29" s="17"/>
      <c r="C29" s="51">
        <v>28</v>
      </c>
      <c r="D29" s="53">
        <f t="shared" si="1"/>
        <v>57</v>
      </c>
      <c r="E29" s="53">
        <f t="shared" si="0"/>
        <v>4</v>
      </c>
      <c r="F29" s="44">
        <f t="shared" si="4"/>
        <v>75</v>
      </c>
      <c r="G29" s="45">
        <f>IF(D29=D28,"",_xlfn.IFNA(VLOOKUP(D29,'인원 입력 기능'!$BO$5:$BR$55,4,FALSE),0))</f>
        <v>65</v>
      </c>
      <c r="H29" s="46">
        <f t="shared" si="2"/>
        <v>1.3853367433930093E-2</v>
      </c>
      <c r="I29" s="50">
        <f>SUM($G$7:G29)</f>
        <v>1189</v>
      </c>
      <c r="J29" s="48">
        <f t="shared" si="3"/>
        <v>0.25341005967604435</v>
      </c>
      <c r="K29" s="18"/>
      <c r="M29" s="1"/>
    </row>
    <row r="30" spans="1:16" ht="25" customHeight="1">
      <c r="A30" s="5"/>
      <c r="B30" s="17"/>
      <c r="C30" s="52">
        <v>27</v>
      </c>
      <c r="D30" s="53">
        <f t="shared" si="1"/>
        <v>56</v>
      </c>
      <c r="E30" s="53">
        <f t="shared" si="0"/>
        <v>4</v>
      </c>
      <c r="F30" s="44">
        <f t="shared" si="4"/>
        <v>74</v>
      </c>
      <c r="G30" s="45">
        <f>IF(D30=D29,"",_xlfn.IFNA(VLOOKUP(D30,'인원 입력 기능'!$BO$5:$BR$55,4,FALSE),0))</f>
        <v>54</v>
      </c>
      <c r="H30" s="46">
        <f t="shared" si="2"/>
        <v>1.1508951406649617E-2</v>
      </c>
      <c r="I30" s="50">
        <f>SUM($G$7:G30)</f>
        <v>1243</v>
      </c>
      <c r="J30" s="48">
        <f t="shared" si="3"/>
        <v>0.26491901108269394</v>
      </c>
      <c r="K30" s="18"/>
      <c r="M30" s="1"/>
    </row>
    <row r="31" spans="1:16" ht="25" customHeight="1">
      <c r="A31" s="5"/>
      <c r="B31" s="17"/>
      <c r="C31" s="51">
        <v>26</v>
      </c>
      <c r="D31" s="53">
        <f t="shared" si="1"/>
        <v>55</v>
      </c>
      <c r="E31" s="53">
        <f t="shared" si="0"/>
        <v>4</v>
      </c>
      <c r="F31" s="44">
        <f t="shared" si="4"/>
        <v>73</v>
      </c>
      <c r="G31" s="45">
        <f>IF(D31=D30,"",_xlfn.IFNA(VLOOKUP(D31,'인원 입력 기능'!$BO$5:$BR$55,4,FALSE),0))</f>
        <v>71</v>
      </c>
      <c r="H31" s="46">
        <f t="shared" si="2"/>
        <v>1.5132139812446719E-2</v>
      </c>
      <c r="I31" s="50">
        <f>SUM($G$7:G31)</f>
        <v>1314</v>
      </c>
      <c r="J31" s="48">
        <f t="shared" si="3"/>
        <v>0.28005115089514065</v>
      </c>
      <c r="K31" s="18"/>
      <c r="M31" s="1"/>
    </row>
    <row r="32" spans="1:16" ht="25" customHeight="1">
      <c r="A32" s="5"/>
      <c r="B32" s="17"/>
      <c r="C32" s="52">
        <v>25</v>
      </c>
      <c r="D32" s="298">
        <f t="shared" si="1"/>
        <v>54</v>
      </c>
      <c r="E32" s="298">
        <f t="shared" si="0"/>
        <v>4</v>
      </c>
      <c r="F32" s="288">
        <f t="shared" si="4"/>
        <v>70</v>
      </c>
      <c r="G32" s="290">
        <f>IF(D32=D31,"",_xlfn.IFNA(VLOOKUP(D32,'인원 입력 기능'!$BO$5:$BR$55,4,FALSE),0))</f>
        <v>154</v>
      </c>
      <c r="H32" s="291">
        <f t="shared" si="2"/>
        <v>3.2821824381926684E-2</v>
      </c>
      <c r="I32" s="293">
        <f>SUM($G$7:G32)</f>
        <v>1468</v>
      </c>
      <c r="J32" s="295">
        <f t="shared" si="3"/>
        <v>0.31287297527706737</v>
      </c>
      <c r="K32" s="18"/>
      <c r="M32" s="1"/>
    </row>
    <row r="33" spans="1:13" ht="25" customHeight="1">
      <c r="A33" s="5"/>
      <c r="B33" s="17"/>
      <c r="C33" s="51">
        <v>24</v>
      </c>
      <c r="D33" s="297"/>
      <c r="E33" s="297"/>
      <c r="F33" s="287"/>
      <c r="G33" s="289"/>
      <c r="H33" s="292"/>
      <c r="I33" s="294"/>
      <c r="J33" s="296"/>
      <c r="K33" s="18"/>
      <c r="M33" s="1"/>
    </row>
    <row r="34" spans="1:13" ht="25" customHeight="1">
      <c r="A34" s="5"/>
      <c r="B34" s="17"/>
      <c r="C34" s="52">
        <v>23</v>
      </c>
      <c r="D34" s="53">
        <f t="shared" si="1"/>
        <v>53</v>
      </c>
      <c r="E34" s="53">
        <f t="shared" si="0"/>
        <v>4</v>
      </c>
      <c r="F34" s="44">
        <f t="shared" si="4"/>
        <v>68</v>
      </c>
      <c r="G34" s="45">
        <f>IF(D34=D33,"",_xlfn.IFNA(VLOOKUP(D34,'인원 입력 기능'!$BO$5:$BR$55,4,FALSE),0))</f>
        <v>101</v>
      </c>
      <c r="H34" s="46">
        <f t="shared" si="2"/>
        <v>2.152600170502984E-2</v>
      </c>
      <c r="I34" s="50">
        <f>SUM($G$7:G34)</f>
        <v>1569</v>
      </c>
      <c r="J34" s="48">
        <f t="shared" si="3"/>
        <v>0.3343989769820972</v>
      </c>
      <c r="K34" s="18"/>
      <c r="M34" s="1"/>
    </row>
    <row r="35" spans="1:13" ht="25" customHeight="1">
      <c r="A35" s="5"/>
      <c r="B35" s="17"/>
      <c r="C35" s="51">
        <v>22</v>
      </c>
      <c r="D35" s="53">
        <f t="shared" si="1"/>
        <v>52</v>
      </c>
      <c r="E35" s="53">
        <f t="shared" si="0"/>
        <v>4</v>
      </c>
      <c r="F35" s="44">
        <f t="shared" si="4"/>
        <v>65</v>
      </c>
      <c r="G35" s="45">
        <f>IF(D35=D34,"",_xlfn.IFNA(VLOOKUP(D35,'인원 입력 기능'!$BO$5:$BR$55,4,FALSE),0))</f>
        <v>114</v>
      </c>
      <c r="H35" s="46">
        <f t="shared" si="2"/>
        <v>2.4296675191815855E-2</v>
      </c>
      <c r="I35" s="50">
        <f>SUM($G$7:G35)</f>
        <v>1683</v>
      </c>
      <c r="J35" s="48">
        <f t="shared" si="3"/>
        <v>0.35869565217391303</v>
      </c>
      <c r="K35" s="18"/>
      <c r="M35" s="1"/>
    </row>
    <row r="36" spans="1:13" ht="25" customHeight="1">
      <c r="A36" s="5"/>
      <c r="B36" s="17"/>
      <c r="C36" s="52">
        <v>21</v>
      </c>
      <c r="D36" s="53">
        <f t="shared" si="1"/>
        <v>51</v>
      </c>
      <c r="E36" s="53">
        <f t="shared" si="0"/>
        <v>4</v>
      </c>
      <c r="F36" s="44">
        <f t="shared" si="4"/>
        <v>63</v>
      </c>
      <c r="G36" s="45">
        <f>IF(D36=D35,"",_xlfn.IFNA(VLOOKUP(D36,'인원 입력 기능'!$BO$5:$BR$55,4,FALSE),0))</f>
        <v>77</v>
      </c>
      <c r="H36" s="46">
        <f t="shared" si="2"/>
        <v>1.6410912190963342E-2</v>
      </c>
      <c r="I36" s="50">
        <f>SUM($G$7:G36)</f>
        <v>1760</v>
      </c>
      <c r="J36" s="48">
        <f t="shared" si="3"/>
        <v>0.37510656436487638</v>
      </c>
      <c r="K36" s="18"/>
      <c r="M36" s="1"/>
    </row>
    <row r="37" spans="1:13" ht="25" customHeight="1">
      <c r="A37" s="5"/>
      <c r="B37" s="17"/>
      <c r="C37" s="51">
        <v>20</v>
      </c>
      <c r="D37" s="53">
        <f t="shared" si="1"/>
        <v>50</v>
      </c>
      <c r="E37" s="53">
        <f t="shared" si="0"/>
        <v>4</v>
      </c>
      <c r="F37" s="44">
        <f t="shared" si="4"/>
        <v>61</v>
      </c>
      <c r="G37" s="45">
        <f>IF(D37=D36,"",_xlfn.IFNA(VLOOKUP(D37,'인원 입력 기능'!$BO$5:$BR$55,4,FALSE),0))</f>
        <v>130</v>
      </c>
      <c r="H37" s="46">
        <f t="shared" si="2"/>
        <v>2.7706734867860187E-2</v>
      </c>
      <c r="I37" s="50">
        <f>SUM($G$7:G37)</f>
        <v>1890</v>
      </c>
      <c r="J37" s="48">
        <f t="shared" si="3"/>
        <v>0.40281329923273657</v>
      </c>
      <c r="K37" s="18"/>
      <c r="M37" s="1"/>
    </row>
    <row r="38" spans="1:13" ht="25" customHeight="1">
      <c r="A38" s="5"/>
      <c r="B38" s="17"/>
      <c r="C38" s="52">
        <v>19</v>
      </c>
      <c r="D38" s="298">
        <f t="shared" si="1"/>
        <v>49</v>
      </c>
      <c r="E38" s="298">
        <f t="shared" si="0"/>
        <v>5</v>
      </c>
      <c r="F38" s="288">
        <f t="shared" si="4"/>
        <v>57</v>
      </c>
      <c r="G38" s="290">
        <f>IF(D38=D37,"",_xlfn.IFNA(VLOOKUP(D38,'인원 입력 기능'!$BO$5:$BR$55,4,FALSE),0))</f>
        <v>267</v>
      </c>
      <c r="H38" s="291">
        <f t="shared" si="2"/>
        <v>5.6905370843989771E-2</v>
      </c>
      <c r="I38" s="293">
        <f>SUM($G$7:G38)</f>
        <v>2157</v>
      </c>
      <c r="J38" s="295">
        <f t="shared" si="3"/>
        <v>0.45971867007672634</v>
      </c>
      <c r="K38" s="18"/>
      <c r="M38" s="1"/>
    </row>
    <row r="39" spans="1:13" ht="25" customHeight="1">
      <c r="A39" s="5"/>
      <c r="B39" s="17"/>
      <c r="C39" s="51">
        <v>18</v>
      </c>
      <c r="D39" s="297"/>
      <c r="E39" s="297"/>
      <c r="F39" s="287"/>
      <c r="G39" s="289"/>
      <c r="H39" s="292"/>
      <c r="I39" s="294"/>
      <c r="J39" s="296"/>
      <c r="K39" s="18"/>
      <c r="M39" s="1"/>
    </row>
    <row r="40" spans="1:13" ht="25" customHeight="1">
      <c r="A40" s="5"/>
      <c r="B40" s="17"/>
      <c r="C40" s="52">
        <v>17</v>
      </c>
      <c r="D40" s="53">
        <f t="shared" si="1"/>
        <v>48</v>
      </c>
      <c r="E40" s="53">
        <f t="shared" ref="E39:E57" si="5">IF(ROUND(D40,0)&gt;=$P$7,1,IF(ROUND(D40,0)&gt;=$P$8,2,IF(ROUND(D40,0)&gt;=$P$9,3,IF(ROUND(D40,0)&gt;=$P$10,4,IF(ROUND(D40,0)&gt;=$P$11,5,IF(ROUND(D40,0)&gt;=$P$12,6,IF(ROUND(D40,0)&gt;=$P$13,7,IF(ROUND(D40,0)&gt;=$P$14,8,9))))))))</f>
        <v>5</v>
      </c>
      <c r="F40" s="44">
        <f t="shared" si="4"/>
        <v>52</v>
      </c>
      <c r="G40" s="45">
        <f>IF(D40=D39,"",_xlfn.IFNA(VLOOKUP(D40,'인원 입력 기능'!$BO$5:$BR$55,4,FALSE),0))</f>
        <v>173</v>
      </c>
      <c r="H40" s="46">
        <f t="shared" si="2"/>
        <v>3.6871270247229325E-2</v>
      </c>
      <c r="I40" s="50">
        <f>SUM($G$7:G40)</f>
        <v>2330</v>
      </c>
      <c r="J40" s="48">
        <f t="shared" si="3"/>
        <v>0.49658994032395565</v>
      </c>
      <c r="K40" s="18"/>
      <c r="M40" s="1"/>
    </row>
    <row r="41" spans="1:13" ht="25" customHeight="1">
      <c r="A41" s="5"/>
      <c r="B41" s="17"/>
      <c r="C41" s="51">
        <v>16</v>
      </c>
      <c r="D41" s="53">
        <f t="shared" si="1"/>
        <v>47</v>
      </c>
      <c r="E41" s="53">
        <f t="shared" si="5"/>
        <v>5</v>
      </c>
      <c r="F41" s="44">
        <f t="shared" si="4"/>
        <v>49</v>
      </c>
      <c r="G41" s="45">
        <f>IF(D41=D40,"",_xlfn.IFNA(VLOOKUP(D41,'인원 입력 기능'!$BO$5:$BR$55,4,FALSE),0))</f>
        <v>146</v>
      </c>
      <c r="H41" s="46">
        <f t="shared" si="2"/>
        <v>3.1116794543904518E-2</v>
      </c>
      <c r="I41" s="50">
        <f>SUM($G$7:G41)</f>
        <v>2476</v>
      </c>
      <c r="J41" s="48">
        <f t="shared" si="3"/>
        <v>0.52770673486786024</v>
      </c>
      <c r="K41" s="18"/>
      <c r="M41" s="1"/>
    </row>
    <row r="42" spans="1:13" ht="25" customHeight="1">
      <c r="A42" s="5"/>
      <c r="B42" s="17"/>
      <c r="C42" s="52">
        <v>15</v>
      </c>
      <c r="D42" s="53">
        <f t="shared" si="1"/>
        <v>46</v>
      </c>
      <c r="E42" s="53">
        <f t="shared" si="5"/>
        <v>5</v>
      </c>
      <c r="F42" s="44">
        <f t="shared" si="4"/>
        <v>45</v>
      </c>
      <c r="G42" s="45">
        <f>IF(D42=D41,"",_xlfn.IFNA(VLOOKUP(D42,'인원 입력 기능'!$BO$5:$BR$55,4,FALSE),0))</f>
        <v>164</v>
      </c>
      <c r="H42" s="46">
        <f t="shared" si="2"/>
        <v>3.4953111679454391E-2</v>
      </c>
      <c r="I42" s="50">
        <f>SUM($G$7:G42)</f>
        <v>2640</v>
      </c>
      <c r="J42" s="48">
        <f t="shared" si="3"/>
        <v>0.5626598465473146</v>
      </c>
      <c r="K42" s="18"/>
      <c r="M42" s="1"/>
    </row>
    <row r="43" spans="1:13" ht="25" customHeight="1">
      <c r="A43" s="5"/>
      <c r="B43" s="17"/>
      <c r="C43" s="51">
        <v>14</v>
      </c>
      <c r="D43" s="53">
        <f t="shared" si="1"/>
        <v>45</v>
      </c>
      <c r="E43" s="53">
        <f t="shared" si="5"/>
        <v>5</v>
      </c>
      <c r="F43" s="44">
        <f t="shared" si="4"/>
        <v>42</v>
      </c>
      <c r="G43" s="45">
        <f>IF(D43=D42,"",_xlfn.IFNA(VLOOKUP(D43,'인원 입력 기능'!$BO$5:$BR$55,4,FALSE),0))</f>
        <v>165</v>
      </c>
      <c r="H43" s="46">
        <f t="shared" si="2"/>
        <v>3.5166240409207163E-2</v>
      </c>
      <c r="I43" s="50">
        <f>SUM($G$7:G43)</f>
        <v>2805</v>
      </c>
      <c r="J43" s="48">
        <f t="shared" si="3"/>
        <v>0.59782608695652173</v>
      </c>
      <c r="K43" s="18"/>
      <c r="M43" s="1"/>
    </row>
    <row r="44" spans="1:13" ht="25" customHeight="1">
      <c r="A44" s="5"/>
      <c r="B44" s="17"/>
      <c r="C44" s="52">
        <v>13</v>
      </c>
      <c r="D44" s="53">
        <f t="shared" si="1"/>
        <v>44</v>
      </c>
      <c r="E44" s="53">
        <f t="shared" si="5"/>
        <v>5</v>
      </c>
      <c r="F44" s="44">
        <f t="shared" si="4"/>
        <v>38</v>
      </c>
      <c r="G44" s="45">
        <f>IF(D44=D43,"",_xlfn.IFNA(VLOOKUP(D44,'인원 입력 기능'!$BO$5:$BR$55,4,FALSE),0))</f>
        <v>211</v>
      </c>
      <c r="H44" s="46">
        <f t="shared" si="2"/>
        <v>4.4970161977834613E-2</v>
      </c>
      <c r="I44" s="50">
        <f>SUM($G$7:G44)</f>
        <v>3016</v>
      </c>
      <c r="J44" s="48">
        <f t="shared" si="3"/>
        <v>0.64279624893435638</v>
      </c>
      <c r="K44" s="18"/>
      <c r="M44" s="1"/>
    </row>
    <row r="45" spans="1:13" ht="25" customHeight="1">
      <c r="A45" s="5"/>
      <c r="B45" s="17"/>
      <c r="C45" s="51">
        <v>12</v>
      </c>
      <c r="D45" s="298">
        <f t="shared" si="1"/>
        <v>43</v>
      </c>
      <c r="E45" s="298">
        <f t="shared" si="5"/>
        <v>6</v>
      </c>
      <c r="F45" s="288">
        <f t="shared" si="4"/>
        <v>31</v>
      </c>
      <c r="G45" s="290">
        <f>IF(D45=D44,"",_xlfn.IFNA(VLOOKUP(D45,'인원 입력 기능'!$BO$5:$BR$55,4,FALSE),0))</f>
        <v>427</v>
      </c>
      <c r="H45" s="291">
        <f t="shared" si="2"/>
        <v>9.100596760443308E-2</v>
      </c>
      <c r="I45" s="293">
        <f>SUM($G$7:G45)</f>
        <v>3443</v>
      </c>
      <c r="J45" s="295">
        <f t="shared" si="3"/>
        <v>0.73380221653878941</v>
      </c>
      <c r="K45" s="18"/>
      <c r="M45" s="1"/>
    </row>
    <row r="46" spans="1:13" ht="25" customHeight="1">
      <c r="A46" s="5"/>
      <c r="B46" s="17"/>
      <c r="C46" s="52">
        <v>11</v>
      </c>
      <c r="D46" s="297"/>
      <c r="E46" s="297"/>
      <c r="F46" s="287"/>
      <c r="G46" s="289"/>
      <c r="H46" s="292"/>
      <c r="I46" s="294"/>
      <c r="J46" s="296"/>
      <c r="K46" s="18"/>
      <c r="M46" s="1"/>
    </row>
    <row r="47" spans="1:13" ht="25" customHeight="1">
      <c r="A47" s="5"/>
      <c r="B47" s="17"/>
      <c r="C47" s="51">
        <v>10</v>
      </c>
      <c r="D47" s="53">
        <f t="shared" si="1"/>
        <v>42</v>
      </c>
      <c r="E47" s="53">
        <f t="shared" si="5"/>
        <v>6</v>
      </c>
      <c r="F47" s="44">
        <f t="shared" si="4"/>
        <v>22</v>
      </c>
      <c r="G47" s="45">
        <f>IF(D47=D46,"",_xlfn.IFNA(VLOOKUP(D47,'인원 입력 기능'!$BO$5:$BR$55,4,FALSE),0))</f>
        <v>437</v>
      </c>
      <c r="H47" s="46">
        <f t="shared" si="2"/>
        <v>9.3137254901960786E-2</v>
      </c>
      <c r="I47" s="50">
        <f>SUM($G$7:G47)</f>
        <v>3880</v>
      </c>
      <c r="J47" s="48">
        <f t="shared" si="3"/>
        <v>0.8269394714407502</v>
      </c>
      <c r="K47" s="18"/>
      <c r="M47" s="1"/>
    </row>
    <row r="48" spans="1:13" ht="25" customHeight="1">
      <c r="A48" s="5"/>
      <c r="B48" s="17"/>
      <c r="C48" s="52">
        <v>9</v>
      </c>
      <c r="D48" s="53">
        <f t="shared" si="1"/>
        <v>41</v>
      </c>
      <c r="E48" s="53">
        <f t="shared" si="5"/>
        <v>7</v>
      </c>
      <c r="F48" s="44">
        <f t="shared" si="4"/>
        <v>15</v>
      </c>
      <c r="G48" s="45">
        <f>IF(D48=D47,"",_xlfn.IFNA(VLOOKUP(D48,'인원 입력 기능'!$BO$5:$BR$55,4,FALSE),0))</f>
        <v>184</v>
      </c>
      <c r="H48" s="46">
        <f t="shared" si="2"/>
        <v>3.9215686274509803E-2</v>
      </c>
      <c r="I48" s="50">
        <f>SUM($G$7:G48)</f>
        <v>4064</v>
      </c>
      <c r="J48" s="48">
        <f t="shared" si="3"/>
        <v>0.86615515771525997</v>
      </c>
      <c r="K48" s="18"/>
      <c r="M48" s="1"/>
    </row>
    <row r="49" spans="1:13" ht="25" customHeight="1">
      <c r="A49" s="5"/>
      <c r="B49" s="17"/>
      <c r="C49" s="51">
        <v>8</v>
      </c>
      <c r="D49" s="53">
        <f t="shared" si="1"/>
        <v>40</v>
      </c>
      <c r="E49" s="53">
        <f t="shared" si="5"/>
        <v>7</v>
      </c>
      <c r="F49" s="44">
        <f t="shared" si="4"/>
        <v>12</v>
      </c>
      <c r="G49" s="45">
        <f>IF(D49=D48,"",_xlfn.IFNA(VLOOKUP(D49,'인원 입력 기능'!$BO$5:$BR$55,4,FALSE),0))</f>
        <v>120</v>
      </c>
      <c r="H49" s="46">
        <f t="shared" si="2"/>
        <v>2.557544757033248E-2</v>
      </c>
      <c r="I49" s="50">
        <f>SUM($G$7:G49)</f>
        <v>4184</v>
      </c>
      <c r="J49" s="48">
        <f t="shared" si="3"/>
        <v>0.89173060528559245</v>
      </c>
      <c r="K49" s="18"/>
      <c r="M49" s="1"/>
    </row>
    <row r="50" spans="1:13" ht="25" customHeight="1">
      <c r="A50" s="5"/>
      <c r="B50" s="17"/>
      <c r="C50" s="52">
        <v>7</v>
      </c>
      <c r="D50" s="53">
        <f t="shared" si="1"/>
        <v>39</v>
      </c>
      <c r="E50" s="53">
        <f t="shared" si="5"/>
        <v>8</v>
      </c>
      <c r="F50" s="44">
        <f t="shared" si="4"/>
        <v>8</v>
      </c>
      <c r="G50" s="45">
        <f>IF(D50=D49,"",_xlfn.IFNA(VLOOKUP(D50,'인원 입력 기능'!$BO$5:$BR$55,4,FALSE),0))</f>
        <v>223</v>
      </c>
      <c r="H50" s="46">
        <f t="shared" si="2"/>
        <v>4.7527706734867857E-2</v>
      </c>
      <c r="I50" s="50">
        <f>SUM($G$7:G50)</f>
        <v>4407</v>
      </c>
      <c r="J50" s="48">
        <f t="shared" si="3"/>
        <v>0.9392583120204604</v>
      </c>
      <c r="K50" s="18"/>
      <c r="M50" s="1"/>
    </row>
    <row r="51" spans="1:13" ht="25" customHeight="1">
      <c r="A51" s="5"/>
      <c r="B51" s="17"/>
      <c r="C51" s="51">
        <v>6</v>
      </c>
      <c r="D51" s="53">
        <f t="shared" si="1"/>
        <v>38</v>
      </c>
      <c r="E51" s="53">
        <f t="shared" si="5"/>
        <v>8</v>
      </c>
      <c r="F51" s="44">
        <f t="shared" si="4"/>
        <v>5</v>
      </c>
      <c r="G51" s="45">
        <f>IF(D51=D50,"",_xlfn.IFNA(VLOOKUP(D51,'인원 입력 기능'!$BO$5:$BR$55,4,FALSE),0))</f>
        <v>76</v>
      </c>
      <c r="H51" s="46">
        <f t="shared" si="2"/>
        <v>1.619778346121057E-2</v>
      </c>
      <c r="I51" s="50">
        <f>SUM($G$7:G51)</f>
        <v>4483</v>
      </c>
      <c r="J51" s="48">
        <f t="shared" si="3"/>
        <v>0.95545609548167088</v>
      </c>
      <c r="K51" s="18"/>
      <c r="M51" s="1"/>
    </row>
    <row r="52" spans="1:13" ht="25" customHeight="1">
      <c r="A52" s="5"/>
      <c r="B52" s="17"/>
      <c r="C52" s="52">
        <v>5</v>
      </c>
      <c r="D52" s="298">
        <f t="shared" si="1"/>
        <v>37</v>
      </c>
      <c r="E52" s="298">
        <f t="shared" si="5"/>
        <v>8</v>
      </c>
      <c r="F52" s="288">
        <f t="shared" si="4"/>
        <v>3</v>
      </c>
      <c r="G52" s="290">
        <f>IF(D52=D51,"",_xlfn.IFNA(VLOOKUP(D52,'인원 입력 기능'!$BO$5:$BR$55,4,FALSE),0))</f>
        <v>137</v>
      </c>
      <c r="H52" s="291">
        <f t="shared" si="2"/>
        <v>2.9198635976129584E-2</v>
      </c>
      <c r="I52" s="293">
        <f>SUM($G$7:G52)</f>
        <v>4620</v>
      </c>
      <c r="J52" s="295">
        <f t="shared" si="3"/>
        <v>0.98465473145780047</v>
      </c>
      <c r="K52" s="18"/>
      <c r="M52" s="1"/>
    </row>
    <row r="53" spans="1:13" ht="25" customHeight="1">
      <c r="A53" s="5"/>
      <c r="B53" s="17"/>
      <c r="C53" s="42">
        <v>4</v>
      </c>
      <c r="D53" s="297"/>
      <c r="E53" s="297"/>
      <c r="F53" s="287"/>
      <c r="G53" s="289"/>
      <c r="H53" s="292"/>
      <c r="I53" s="294"/>
      <c r="J53" s="296"/>
      <c r="K53" s="18"/>
      <c r="M53" s="1"/>
    </row>
    <row r="54" spans="1:13" ht="25" customHeight="1">
      <c r="A54" s="5"/>
      <c r="B54" s="17"/>
      <c r="C54" s="49">
        <v>3</v>
      </c>
      <c r="D54" s="43">
        <f t="shared" si="1"/>
        <v>36</v>
      </c>
      <c r="E54" s="43">
        <f t="shared" si="5"/>
        <v>9</v>
      </c>
      <c r="F54" s="44">
        <f t="shared" si="4"/>
        <v>1</v>
      </c>
      <c r="G54" s="45">
        <f>IF(D54=D53,"",_xlfn.IFNA(VLOOKUP(D54,'인원 입력 기능'!$BO$5:$BR$55,4,FALSE),0))</f>
        <v>36</v>
      </c>
      <c r="H54" s="46">
        <f t="shared" si="2"/>
        <v>7.6726342710997444E-3</v>
      </c>
      <c r="I54" s="50">
        <f>SUM($G$7:G54)</f>
        <v>4656</v>
      </c>
      <c r="J54" s="48">
        <f t="shared" si="3"/>
        <v>0.99232736572890023</v>
      </c>
      <c r="K54" s="18"/>
      <c r="M54" s="1"/>
    </row>
    <row r="55" spans="1:13" ht="25" customHeight="1">
      <c r="A55" s="5"/>
      <c r="B55" s="17"/>
      <c r="C55" s="42">
        <v>2</v>
      </c>
      <c r="D55" s="43">
        <f t="shared" si="1"/>
        <v>35</v>
      </c>
      <c r="E55" s="43">
        <f t="shared" si="5"/>
        <v>9</v>
      </c>
      <c r="F55" s="44">
        <f t="shared" si="4"/>
        <v>0</v>
      </c>
      <c r="G55" s="45">
        <f>IF(D55=D54,"",_xlfn.IFNA(VLOOKUP(D55,'인원 입력 기능'!$BO$5:$BR$55,4,FALSE),0))</f>
        <v>26</v>
      </c>
      <c r="H55" s="46">
        <f t="shared" si="2"/>
        <v>5.5413469735720372E-3</v>
      </c>
      <c r="I55" s="50">
        <f>SUM($G$7:G55)</f>
        <v>4682</v>
      </c>
      <c r="J55" s="48">
        <f t="shared" si="3"/>
        <v>0.99786871270247224</v>
      </c>
      <c r="K55" s="18"/>
      <c r="M55" s="1"/>
    </row>
    <row r="56" spans="1:13" ht="25" customHeight="1">
      <c r="A56" s="5"/>
      <c r="B56" s="17"/>
      <c r="C56" s="49">
        <v>1</v>
      </c>
      <c r="D56" s="111" t="s">
        <v>31</v>
      </c>
      <c r="E56" s="112"/>
      <c r="F56" s="112"/>
      <c r="G56" s="112"/>
      <c r="H56" s="112"/>
      <c r="I56" s="112"/>
      <c r="J56" s="113"/>
      <c r="K56" s="18"/>
      <c r="M56" s="1"/>
    </row>
    <row r="57" spans="1:13" ht="25" customHeight="1" thickBot="1">
      <c r="A57" s="5"/>
      <c r="B57" s="17"/>
      <c r="C57" s="57">
        <v>0</v>
      </c>
      <c r="D57" s="58">
        <f>ROUND(10*(C57-$H$3)/$H$4+50,0)</f>
        <v>33</v>
      </c>
      <c r="E57" s="59">
        <f t="shared" si="5"/>
        <v>9</v>
      </c>
      <c r="F57" s="60">
        <f>IF(I55=0,ROUND(100*(1-(I54+I57)/2/$J$3),0),ROUND(100*(1-(I55+I57)/2/$J$3),0))</f>
        <v>0</v>
      </c>
      <c r="G57" s="61">
        <f>_xlfn.IFNA(VLOOKUP(D57,'인원 입력 기능'!$BO$5:$BR$55,4,FALSE),0)</f>
        <v>10</v>
      </c>
      <c r="H57" s="62">
        <f>G57/J3</f>
        <v>2.1312872975277068E-3</v>
      </c>
      <c r="I57" s="63">
        <f>SUM($G$7:G57)</f>
        <v>4692</v>
      </c>
      <c r="J57" s="64">
        <f>I57/J3</f>
        <v>1</v>
      </c>
      <c r="K57" s="18"/>
      <c r="M57" s="1"/>
    </row>
    <row r="58" spans="1:13" ht="6" customHeight="1">
      <c r="A58" s="5"/>
      <c r="B58" s="20"/>
      <c r="C58" s="21"/>
      <c r="D58" s="21"/>
      <c r="E58" s="21"/>
      <c r="F58" s="21"/>
      <c r="G58" s="21"/>
      <c r="H58" s="21"/>
      <c r="I58" s="21"/>
      <c r="J58" s="21"/>
      <c r="K58" s="22"/>
      <c r="M58" s="1"/>
    </row>
    <row r="59" spans="1:13">
      <c r="M59" s="1"/>
    </row>
    <row r="60" spans="1:13">
      <c r="M60" s="1"/>
    </row>
    <row r="61" spans="1:13">
      <c r="M61" s="1"/>
    </row>
    <row r="62" spans="1:13">
      <c r="M62" s="1"/>
    </row>
    <row r="63" spans="1:13">
      <c r="M63" s="1"/>
    </row>
    <row r="64" spans="1:13">
      <c r="M64" s="1"/>
    </row>
    <row r="65" spans="13:13">
      <c r="M65" s="1"/>
    </row>
    <row r="66" spans="13:13">
      <c r="M66" s="1"/>
    </row>
    <row r="67" spans="13:13">
      <c r="M67" s="1"/>
    </row>
    <row r="68" spans="13:13">
      <c r="M68" s="1"/>
    </row>
    <row r="69" spans="13:13">
      <c r="M69" s="1"/>
    </row>
    <row r="70" spans="13:13">
      <c r="M70" s="1"/>
    </row>
    <row r="71" spans="13:13">
      <c r="M71" s="1"/>
    </row>
    <row r="72" spans="13:13">
      <c r="M72" s="1"/>
    </row>
    <row r="73" spans="13:13">
      <c r="M73" s="1"/>
    </row>
    <row r="74" spans="13:13">
      <c r="M74" s="1"/>
    </row>
    <row r="75" spans="13:13">
      <c r="M75" s="1"/>
    </row>
    <row r="76" spans="13:13">
      <c r="M76" s="1"/>
    </row>
    <row r="77" spans="13:13">
      <c r="M77" s="1"/>
    </row>
    <row r="78" spans="13:13">
      <c r="M78" s="1"/>
    </row>
    <row r="79" spans="13:13">
      <c r="M79" s="1"/>
    </row>
    <row r="80" spans="13:13">
      <c r="M80" s="1"/>
    </row>
    <row r="81" spans="13:13">
      <c r="M81" s="1"/>
    </row>
    <row r="82" spans="13:13">
      <c r="M82" s="1"/>
    </row>
    <row r="83" spans="13:13">
      <c r="M83" s="1"/>
    </row>
    <row r="84" spans="13:13">
      <c r="M84" s="1"/>
    </row>
    <row r="85" spans="13:13">
      <c r="M85" s="1"/>
    </row>
    <row r="86" spans="13:13">
      <c r="M86" s="1"/>
    </row>
    <row r="87" spans="13:13">
      <c r="M87" s="1"/>
    </row>
    <row r="88" spans="13:13">
      <c r="M88" s="1"/>
    </row>
    <row r="89" spans="13:13">
      <c r="M89" s="1"/>
    </row>
    <row r="90" spans="13:13">
      <c r="M90" s="1"/>
    </row>
    <row r="91" spans="13:13">
      <c r="M91" s="1"/>
    </row>
    <row r="92" spans="13:13">
      <c r="M92" s="1"/>
    </row>
    <row r="93" spans="13:13">
      <c r="M93" s="1"/>
    </row>
    <row r="94" spans="13:13">
      <c r="M94" s="1"/>
    </row>
    <row r="95" spans="13:13">
      <c r="M95" s="1"/>
    </row>
    <row r="96" spans="13:13">
      <c r="M96" s="1"/>
    </row>
    <row r="97" spans="13:13">
      <c r="M97" s="1"/>
    </row>
    <row r="98" spans="13:13">
      <c r="M98" s="1"/>
    </row>
    <row r="99" spans="13:13">
      <c r="M99" s="1"/>
    </row>
    <row r="100" spans="13:13">
      <c r="M100" s="1"/>
    </row>
    <row r="101" spans="13:13">
      <c r="M101" s="1"/>
    </row>
    <row r="102" spans="13:13">
      <c r="M102" s="1"/>
    </row>
    <row r="103" spans="13:13">
      <c r="M103" s="1"/>
    </row>
    <row r="104" spans="13:13">
      <c r="M104" s="1"/>
    </row>
    <row r="105" spans="13:13">
      <c r="M105" s="1"/>
    </row>
  </sheetData>
  <mergeCells count="53">
    <mergeCell ref="I45:I46"/>
    <mergeCell ref="J45:J46"/>
    <mergeCell ref="D52:D53"/>
    <mergeCell ref="E52:E53"/>
    <mergeCell ref="F52:F53"/>
    <mergeCell ref="G52:G53"/>
    <mergeCell ref="H52:H53"/>
    <mergeCell ref="I52:I53"/>
    <mergeCell ref="J52:J53"/>
    <mergeCell ref="D45:D46"/>
    <mergeCell ref="E45:E46"/>
    <mergeCell ref="F45:F46"/>
    <mergeCell ref="G45:G46"/>
    <mergeCell ref="H45:H46"/>
    <mergeCell ref="I32:I33"/>
    <mergeCell ref="J32:J33"/>
    <mergeCell ref="D38:D39"/>
    <mergeCell ref="E38:E39"/>
    <mergeCell ref="F38:F39"/>
    <mergeCell ref="G38:G39"/>
    <mergeCell ref="H38:H39"/>
    <mergeCell ref="I38:I39"/>
    <mergeCell ref="J38:J39"/>
    <mergeCell ref="D32:D33"/>
    <mergeCell ref="E32:E33"/>
    <mergeCell ref="F32:F33"/>
    <mergeCell ref="G32:G33"/>
    <mergeCell ref="H32:H33"/>
    <mergeCell ref="I18:I19"/>
    <mergeCell ref="J18:J19"/>
    <mergeCell ref="D25:D26"/>
    <mergeCell ref="E25:E26"/>
    <mergeCell ref="F25:F26"/>
    <mergeCell ref="G25:G26"/>
    <mergeCell ref="H25:H26"/>
    <mergeCell ref="I25:I26"/>
    <mergeCell ref="J25:J26"/>
    <mergeCell ref="D3:F3"/>
    <mergeCell ref="D4:F4"/>
    <mergeCell ref="D56:J56"/>
    <mergeCell ref="D8:J8"/>
    <mergeCell ref="D11:D12"/>
    <mergeCell ref="E11:E12"/>
    <mergeCell ref="F11:F12"/>
    <mergeCell ref="G11:G12"/>
    <mergeCell ref="H11:H12"/>
    <mergeCell ref="I11:I12"/>
    <mergeCell ref="J11:J12"/>
    <mergeCell ref="D18:D19"/>
    <mergeCell ref="E18:E19"/>
    <mergeCell ref="F18:F19"/>
    <mergeCell ref="G18:G19"/>
    <mergeCell ref="H18:H19"/>
  </mergeCells>
  <phoneticPr fontId="1" type="noConversion"/>
  <conditionalFormatting sqref="D7:J7 D57:J57 D9:J11 D13:J18 D20:J25 D27:J32 D34:J38 D40:J45 D47:J52 D54:J55">
    <cfRule type="expression" dxfId="69" priority="7">
      <formula>OR($D7=$P$7:$P$14)</formula>
    </cfRule>
  </conditionalFormatting>
  <conditionalFormatting sqref="C7:C57">
    <cfRule type="expression" dxfId="68" priority="6">
      <formula>OR(AND($D7=0,OR($D6=$P$7:$P$14)),AND($D8&gt;0,OR($D7=$P$7:$P$14)))</formula>
    </cfRule>
  </conditionalFormatting>
  <conditionalFormatting sqref="D7 D57 D9:D11 D13:D18 D20:D25 D27:D32 D34:D38 D40:D45 D47:D52 D54:D55">
    <cfRule type="expression" dxfId="67" priority="5">
      <formula>$D7=$D8</formula>
    </cfRule>
  </conditionalFormatting>
  <conditionalFormatting sqref="D56">
    <cfRule type="expression" dxfId="66" priority="4">
      <formula>OR($D56=$P$7:$P$14)</formula>
    </cfRule>
  </conditionalFormatting>
  <conditionalFormatting sqref="D56">
    <cfRule type="expression" dxfId="65" priority="3">
      <formula>$D56=$D57</formula>
    </cfRule>
  </conditionalFormatting>
  <conditionalFormatting sqref="D8">
    <cfRule type="expression" dxfId="64" priority="2">
      <formula>OR($D8=$P$7:$P$14)</formula>
    </cfRule>
  </conditionalFormatting>
  <conditionalFormatting sqref="D8">
    <cfRule type="expression" dxfId="63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37FA2-CA5F-4B74-A3E2-5593BA66EC8C}">
  <sheetPr codeName="Sheet21"/>
  <dimension ref="A1:P105"/>
  <sheetViews>
    <sheetView zoomScaleNormal="100" workbookViewId="0">
      <selection activeCell="B2" sqref="B2:K58"/>
    </sheetView>
  </sheetViews>
  <sheetFormatPr defaultRowHeight="17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6">
      <c r="A1" s="5" t="s">
        <v>44</v>
      </c>
      <c r="C1" s="5"/>
      <c r="D1" s="5"/>
      <c r="E1" s="5"/>
      <c r="F1" s="5"/>
      <c r="G1" s="5"/>
      <c r="H1" s="5"/>
      <c r="I1" s="5"/>
      <c r="J1" s="5"/>
      <c r="K1" s="5"/>
    </row>
    <row r="2" spans="1:16" s="5" customFormat="1" ht="6" customHeight="1" thickBot="1">
      <c r="B2" s="15"/>
      <c r="C2" s="23"/>
      <c r="D2" s="23"/>
      <c r="E2" s="23"/>
      <c r="F2" s="23"/>
      <c r="G2" s="23"/>
      <c r="H2" s="23"/>
      <c r="I2" s="23"/>
      <c r="J2" s="23"/>
      <c r="K2" s="16"/>
    </row>
    <row r="3" spans="1:16" ht="25" customHeight="1" thickBot="1">
      <c r="A3" s="5"/>
      <c r="B3" s="17"/>
      <c r="C3" s="34" t="s">
        <v>47</v>
      </c>
      <c r="D3" s="105" t="s">
        <v>115</v>
      </c>
      <c r="E3" s="106"/>
      <c r="F3" s="107"/>
      <c r="G3" s="34" t="s">
        <v>48</v>
      </c>
      <c r="H3" s="101">
        <f>'통계 및 응시자 수 입력 기능'!D18</f>
        <v>19.440000000000001</v>
      </c>
      <c r="I3" s="103" t="s">
        <v>49</v>
      </c>
      <c r="J3" s="104">
        <f>'통계 및 응시자 수 입력 기능'!C18</f>
        <v>5258</v>
      </c>
      <c r="K3" s="18"/>
    </row>
    <row r="4" spans="1:16" ht="25" customHeight="1" thickBot="1">
      <c r="A4" s="5"/>
      <c r="B4" s="17"/>
      <c r="C4" s="35" t="s">
        <v>50</v>
      </c>
      <c r="D4" s="108" t="s">
        <v>59</v>
      </c>
      <c r="E4" s="109"/>
      <c r="F4" s="110"/>
      <c r="G4" s="36" t="s">
        <v>52</v>
      </c>
      <c r="H4" s="102">
        <f>'통계 및 응시자 수 입력 기능'!E18</f>
        <v>11.38</v>
      </c>
      <c r="I4" s="12"/>
      <c r="J4" s="12"/>
      <c r="K4" s="18"/>
    </row>
    <row r="5" spans="1:16" ht="25" customHeight="1" thickBot="1">
      <c r="A5" s="5"/>
      <c r="B5" s="17"/>
      <c r="C5" s="12"/>
      <c r="D5" s="12"/>
      <c r="E5" s="12"/>
      <c r="F5" s="12"/>
      <c r="G5" s="12"/>
      <c r="H5" s="19"/>
      <c r="I5" s="19"/>
      <c r="J5" s="19"/>
      <c r="K5" s="18"/>
    </row>
    <row r="6" spans="1:16" ht="25" customHeight="1" thickBot="1">
      <c r="A6" s="5"/>
      <c r="B6" s="17"/>
      <c r="C6" s="38" t="s">
        <v>73</v>
      </c>
      <c r="D6" s="39" t="s">
        <v>74</v>
      </c>
      <c r="E6" s="39" t="s">
        <v>75</v>
      </c>
      <c r="F6" s="39" t="s">
        <v>76</v>
      </c>
      <c r="G6" s="39" t="s">
        <v>77</v>
      </c>
      <c r="H6" s="40" t="s">
        <v>78</v>
      </c>
      <c r="I6" s="40" t="s">
        <v>79</v>
      </c>
      <c r="J6" s="41" t="s">
        <v>80</v>
      </c>
      <c r="K6" s="18"/>
      <c r="L6" s="3"/>
      <c r="M6" s="4"/>
    </row>
    <row r="7" spans="1:16" ht="25" customHeight="1">
      <c r="A7" s="5"/>
      <c r="B7" s="17"/>
      <c r="C7" s="42">
        <v>50</v>
      </c>
      <c r="D7" s="43">
        <f>ROUND(10*(C7-$H$3)/$H$4+50,0)</f>
        <v>77</v>
      </c>
      <c r="E7" s="43">
        <f t="shared" ref="E7:E38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44">
        <f>ROUND(100*(1-(0+I7)/2/$J$3),0)</f>
        <v>99</v>
      </c>
      <c r="G7" s="45">
        <f>_xlfn.IFNA(VLOOKUP(D7,'인원 입력 기능'!$BT$5:$BW$55,4,FALSE),0)</f>
        <v>65</v>
      </c>
      <c r="H7" s="46">
        <f>G7/J3</f>
        <v>1.2362114872575124E-2</v>
      </c>
      <c r="I7" s="47">
        <f>G7</f>
        <v>65</v>
      </c>
      <c r="J7" s="48">
        <f>I7/J3</f>
        <v>1.2362114872575124E-2</v>
      </c>
      <c r="K7" s="18"/>
      <c r="M7" s="1"/>
      <c r="O7" s="1">
        <v>1</v>
      </c>
      <c r="P7" s="1">
        <f>'표준점수 등급컷 입력기능'!E54</f>
        <v>72</v>
      </c>
    </row>
    <row r="8" spans="1:16" ht="25" customHeight="1">
      <c r="A8" s="5"/>
      <c r="B8" s="17"/>
      <c r="C8" s="49">
        <v>49</v>
      </c>
      <c r="D8" s="111" t="s">
        <v>31</v>
      </c>
      <c r="E8" s="112"/>
      <c r="F8" s="112"/>
      <c r="G8" s="112"/>
      <c r="H8" s="112"/>
      <c r="I8" s="112"/>
      <c r="J8" s="113"/>
      <c r="K8" s="18"/>
      <c r="M8" s="1"/>
      <c r="O8" s="1">
        <v>2</v>
      </c>
      <c r="P8" s="1">
        <f>'표준점수 등급컷 입력기능'!E55</f>
        <v>65</v>
      </c>
    </row>
    <row r="9" spans="1:16" ht="25" customHeight="1">
      <c r="A9" s="5"/>
      <c r="B9" s="17"/>
      <c r="C9" s="42">
        <v>48</v>
      </c>
      <c r="D9" s="43">
        <f>ROUND(10*(C9-$H$3)/$H$4+50,0)</f>
        <v>75</v>
      </c>
      <c r="E9" s="43">
        <f t="shared" si="0"/>
        <v>1</v>
      </c>
      <c r="F9" s="44">
        <f>IF(I8=0,ROUND(100*(1-(I7+I9)/2/$J$3),0),ROUND(100*(1-(I8+I9)/2/$J$3),0))</f>
        <v>99</v>
      </c>
      <c r="G9" s="45">
        <f>_xlfn.IFNA(VLOOKUP(D9,'인원 입력 기능'!$BT$5:$BW$55,4,FALSE),0)</f>
        <v>26</v>
      </c>
      <c r="H9" s="46">
        <f>G9/$J$3</f>
        <v>4.9448459490300497E-3</v>
      </c>
      <c r="I9" s="50">
        <f>SUM($G$7:G9)</f>
        <v>91</v>
      </c>
      <c r="J9" s="48">
        <f>I9/$J$3</f>
        <v>1.7306960821605172E-2</v>
      </c>
      <c r="K9" s="18"/>
      <c r="M9" s="1"/>
      <c r="O9" s="1">
        <v>3</v>
      </c>
      <c r="P9" s="1">
        <f>'표준점수 등급컷 입력기능'!E56</f>
        <v>57</v>
      </c>
    </row>
    <row r="10" spans="1:16" ht="25" customHeight="1">
      <c r="A10" s="5"/>
      <c r="B10" s="17"/>
      <c r="C10" s="49">
        <v>47</v>
      </c>
      <c r="D10" s="43">
        <f t="shared" ref="D10:D55" si="1">ROUND(10*(C10-$H$3)/$H$4+50,0)</f>
        <v>74</v>
      </c>
      <c r="E10" s="43">
        <f t="shared" si="0"/>
        <v>1</v>
      </c>
      <c r="F10" s="44">
        <f>IF(I9=0,ROUND(100*(1-(I8+I10)/2/$J$3),0),ROUND(100*(1-(I9+I10)/2/$J$3),0))</f>
        <v>98</v>
      </c>
      <c r="G10" s="45">
        <f>IF(D10=D9,"",_xlfn.IFNA(VLOOKUP(D10,'인원 입력 기능'!$BT$5:$BW$55,4,FALSE),0))</f>
        <v>54</v>
      </c>
      <c r="H10" s="46">
        <f t="shared" ref="H10:H55" si="2">G10/$J$3</f>
        <v>1.0270064663370103E-2</v>
      </c>
      <c r="I10" s="50">
        <f>SUM($G$7:G10)</f>
        <v>145</v>
      </c>
      <c r="J10" s="48">
        <f t="shared" ref="J10:J55" si="3">I10/$J$3</f>
        <v>2.7577025484975277E-2</v>
      </c>
      <c r="K10" s="18"/>
      <c r="M10" s="1"/>
      <c r="O10" s="1">
        <v>4</v>
      </c>
      <c r="P10" s="1">
        <f>'표준점수 등급컷 입력기능'!E57</f>
        <v>50</v>
      </c>
    </row>
    <row r="11" spans="1:16" ht="25" customHeight="1">
      <c r="A11" s="5"/>
      <c r="B11" s="17"/>
      <c r="C11" s="42">
        <v>46</v>
      </c>
      <c r="D11" s="43">
        <f t="shared" si="1"/>
        <v>73</v>
      </c>
      <c r="E11" s="43">
        <f t="shared" si="0"/>
        <v>1</v>
      </c>
      <c r="F11" s="44">
        <f t="shared" ref="F11:F55" si="4">IF(I10=0,ROUND(100*(1-(I9+I11)/2/$J$3),0),ROUND(100*(1-(I10+I11)/2/$J$3),0))</f>
        <v>97</v>
      </c>
      <c r="G11" s="45">
        <f>IF(D11=D10,"",_xlfn.IFNA(VLOOKUP(D11,'인원 입력 기능'!$BT$5:$BW$55,4,FALSE),0))</f>
        <v>8</v>
      </c>
      <c r="H11" s="46">
        <f t="shared" si="2"/>
        <v>1.5214910612400153E-3</v>
      </c>
      <c r="I11" s="50">
        <f>SUM($G$7:G11)</f>
        <v>153</v>
      </c>
      <c r="J11" s="48">
        <f t="shared" si="3"/>
        <v>2.909851654621529E-2</v>
      </c>
      <c r="K11" s="18"/>
      <c r="M11" s="1"/>
      <c r="O11" s="1">
        <v>5</v>
      </c>
      <c r="P11" s="1">
        <f>'표준점수 등급컷 입력기능'!E58</f>
        <v>45</v>
      </c>
    </row>
    <row r="12" spans="1:16" ht="25" customHeight="1">
      <c r="A12" s="5"/>
      <c r="B12" s="17"/>
      <c r="C12" s="49">
        <v>45</v>
      </c>
      <c r="D12" s="286">
        <f t="shared" si="1"/>
        <v>72</v>
      </c>
      <c r="E12" s="286">
        <f t="shared" si="0"/>
        <v>1</v>
      </c>
      <c r="F12" s="288">
        <f t="shared" si="4"/>
        <v>96</v>
      </c>
      <c r="G12" s="290">
        <f>IF(D12=D11,"",_xlfn.IFNA(VLOOKUP(D12,'인원 입력 기능'!$BT$5:$BW$55,4,FALSE),0))</f>
        <v>89</v>
      </c>
      <c r="H12" s="291">
        <f t="shared" si="2"/>
        <v>1.6926588056295169E-2</v>
      </c>
      <c r="I12" s="293">
        <f>SUM($G$7:G12)</f>
        <v>242</v>
      </c>
      <c r="J12" s="295">
        <f t="shared" si="3"/>
        <v>4.6025104602510462E-2</v>
      </c>
      <c r="K12" s="18"/>
      <c r="M12" s="1"/>
      <c r="O12" s="1">
        <v>6</v>
      </c>
      <c r="P12" s="1">
        <f>'표준점수 등급컷 입력기능'!E59</f>
        <v>43</v>
      </c>
    </row>
    <row r="13" spans="1:16" ht="25" customHeight="1">
      <c r="A13" s="5"/>
      <c r="B13" s="17"/>
      <c r="C13" s="42">
        <v>44</v>
      </c>
      <c r="D13" s="285"/>
      <c r="E13" s="285"/>
      <c r="F13" s="287"/>
      <c r="G13" s="289"/>
      <c r="H13" s="292"/>
      <c r="I13" s="294"/>
      <c r="J13" s="296"/>
      <c r="K13" s="18"/>
      <c r="M13" s="1"/>
      <c r="O13" s="1">
        <v>7</v>
      </c>
      <c r="P13" s="1">
        <f>'표준점수 등급컷 입력기능'!E60</f>
        <v>40</v>
      </c>
    </row>
    <row r="14" spans="1:16" ht="25" customHeight="1">
      <c r="A14" s="5"/>
      <c r="B14" s="17"/>
      <c r="C14" s="49">
        <v>43</v>
      </c>
      <c r="D14" s="43">
        <f t="shared" si="1"/>
        <v>71</v>
      </c>
      <c r="E14" s="43">
        <f t="shared" si="0"/>
        <v>2</v>
      </c>
      <c r="F14" s="44">
        <f t="shared" si="4"/>
        <v>95</v>
      </c>
      <c r="G14" s="45">
        <f>IF(D14=D13,"",_xlfn.IFNA(VLOOKUP(D14,'인원 입력 기능'!$BT$5:$BW$55,4,FALSE),0))</f>
        <v>36</v>
      </c>
      <c r="H14" s="46">
        <f t="shared" si="2"/>
        <v>6.8467097755800684E-3</v>
      </c>
      <c r="I14" s="50">
        <f>SUM($G$7:G14)</f>
        <v>278</v>
      </c>
      <c r="J14" s="48">
        <f t="shared" si="3"/>
        <v>5.2871814378090527E-2</v>
      </c>
      <c r="K14" s="18"/>
      <c r="M14" s="1"/>
      <c r="O14" s="1">
        <v>8</v>
      </c>
      <c r="P14" s="1">
        <f>'표준점수 등급컷 입력기능'!E61</f>
        <v>37</v>
      </c>
    </row>
    <row r="15" spans="1:16" ht="25" customHeight="1">
      <c r="A15" s="5"/>
      <c r="B15" s="17"/>
      <c r="C15" s="42">
        <v>42</v>
      </c>
      <c r="D15" s="43">
        <f t="shared" si="1"/>
        <v>70</v>
      </c>
      <c r="E15" s="43">
        <f t="shared" si="0"/>
        <v>2</v>
      </c>
      <c r="F15" s="44">
        <f t="shared" si="4"/>
        <v>94</v>
      </c>
      <c r="G15" s="45">
        <f>IF(D15=D14,"",_xlfn.IFNA(VLOOKUP(D15,'인원 입력 기능'!$BT$5:$BW$55,4,FALSE),0))</f>
        <v>73</v>
      </c>
      <c r="H15" s="46">
        <f t="shared" si="2"/>
        <v>1.3883605933815138E-2</v>
      </c>
      <c r="I15" s="50">
        <f>SUM($G$7:G15)</f>
        <v>351</v>
      </c>
      <c r="J15" s="48">
        <f t="shared" si="3"/>
        <v>6.6755420311905664E-2</v>
      </c>
      <c r="K15" s="18"/>
      <c r="M15" s="1"/>
      <c r="O15" s="1">
        <v>9</v>
      </c>
      <c r="P15" s="1"/>
    </row>
    <row r="16" spans="1:16" ht="25" customHeight="1">
      <c r="A16" s="5"/>
      <c r="B16" s="17"/>
      <c r="C16" s="49">
        <v>41</v>
      </c>
      <c r="D16" s="43">
        <f t="shared" si="1"/>
        <v>69</v>
      </c>
      <c r="E16" s="43">
        <f t="shared" si="0"/>
        <v>2</v>
      </c>
      <c r="F16" s="44">
        <f t="shared" si="4"/>
        <v>93</v>
      </c>
      <c r="G16" s="45">
        <f>IF(D16=D15,"",_xlfn.IFNA(VLOOKUP(D16,'인원 입력 기능'!$BT$5:$BW$55,4,FALSE),0))</f>
        <v>36</v>
      </c>
      <c r="H16" s="46">
        <f t="shared" si="2"/>
        <v>6.8467097755800684E-3</v>
      </c>
      <c r="I16" s="50">
        <f>SUM($G$7:G16)</f>
        <v>387</v>
      </c>
      <c r="J16" s="48">
        <f t="shared" si="3"/>
        <v>7.3602130087485743E-2</v>
      </c>
      <c r="K16" s="18"/>
      <c r="M16" s="1"/>
    </row>
    <row r="17" spans="1:16" ht="25" customHeight="1">
      <c r="A17" s="5"/>
      <c r="B17" s="17"/>
      <c r="C17" s="42">
        <v>40</v>
      </c>
      <c r="D17" s="43">
        <f t="shared" si="1"/>
        <v>68</v>
      </c>
      <c r="E17" s="43">
        <f t="shared" si="0"/>
        <v>2</v>
      </c>
      <c r="F17" s="44">
        <f t="shared" si="4"/>
        <v>92</v>
      </c>
      <c r="G17" s="45">
        <f>IF(D17=D16,"",_xlfn.IFNA(VLOOKUP(D17,'인원 입력 기능'!$BT$5:$BW$55,4,FALSE),0))</f>
        <v>45</v>
      </c>
      <c r="H17" s="46">
        <f t="shared" si="2"/>
        <v>8.5583872194750863E-3</v>
      </c>
      <c r="I17" s="50">
        <f>SUM($G$7:G17)</f>
        <v>432</v>
      </c>
      <c r="J17" s="48">
        <f t="shared" si="3"/>
        <v>8.216051730696082E-2</v>
      </c>
      <c r="K17" s="18"/>
      <c r="M17" s="1"/>
      <c r="P17" s="1">
        <f>H3*H4*J3*P7*IFERROR(IF(J57=1, 1, 0), 0)</f>
        <v>83751308.467200011</v>
      </c>
    </row>
    <row r="18" spans="1:16" ht="25" customHeight="1">
      <c r="A18" s="5"/>
      <c r="B18" s="17"/>
      <c r="C18" s="49">
        <v>39</v>
      </c>
      <c r="D18" s="43">
        <f t="shared" si="1"/>
        <v>67</v>
      </c>
      <c r="E18" s="43">
        <f t="shared" si="0"/>
        <v>2</v>
      </c>
      <c r="F18" s="44">
        <f t="shared" si="4"/>
        <v>91</v>
      </c>
      <c r="G18" s="45">
        <f>IF(D18=D17,"",_xlfn.IFNA(VLOOKUP(D18,'인원 입력 기능'!$BT$5:$BW$55,4,FALSE),0))</f>
        <v>58</v>
      </c>
      <c r="H18" s="46">
        <f t="shared" si="2"/>
        <v>1.1030810193990111E-2</v>
      </c>
      <c r="I18" s="50">
        <f>SUM($G$7:G18)</f>
        <v>490</v>
      </c>
      <c r="J18" s="48">
        <f t="shared" si="3"/>
        <v>9.3191327500950938E-2</v>
      </c>
      <c r="K18" s="18"/>
      <c r="M18" s="1"/>
    </row>
    <row r="19" spans="1:16" ht="25" customHeight="1">
      <c r="A19" s="5"/>
      <c r="B19" s="17"/>
      <c r="C19" s="42">
        <v>38</v>
      </c>
      <c r="D19" s="43">
        <f t="shared" si="1"/>
        <v>66</v>
      </c>
      <c r="E19" s="43">
        <f t="shared" si="0"/>
        <v>2</v>
      </c>
      <c r="F19" s="44">
        <f t="shared" si="4"/>
        <v>90</v>
      </c>
      <c r="G19" s="45">
        <f>IF(D19=D18,"",_xlfn.IFNA(VLOOKUP(D19,'인원 입력 기능'!$BT$5:$BW$55,4,FALSE),0))</f>
        <v>50</v>
      </c>
      <c r="H19" s="46">
        <f t="shared" si="2"/>
        <v>9.5093191327500944E-3</v>
      </c>
      <c r="I19" s="50">
        <f>SUM($G$7:G19)</f>
        <v>540</v>
      </c>
      <c r="J19" s="48">
        <f t="shared" si="3"/>
        <v>0.10270064663370103</v>
      </c>
      <c r="K19" s="18"/>
      <c r="M19" s="1"/>
    </row>
    <row r="20" spans="1:16" ht="25" customHeight="1">
      <c r="A20" s="5"/>
      <c r="B20" s="17"/>
      <c r="C20" s="49">
        <v>37</v>
      </c>
      <c r="D20" s="286">
        <f t="shared" si="1"/>
        <v>65</v>
      </c>
      <c r="E20" s="286">
        <f t="shared" si="0"/>
        <v>2</v>
      </c>
      <c r="F20" s="288">
        <f t="shared" si="4"/>
        <v>89</v>
      </c>
      <c r="G20" s="290">
        <f>IF(D20=D19,"",_xlfn.IFNA(VLOOKUP(D20,'인원 입력 기능'!$BT$5:$BW$55,4,FALSE),0))</f>
        <v>119</v>
      </c>
      <c r="H20" s="291">
        <f t="shared" si="2"/>
        <v>2.2632179535945228E-2</v>
      </c>
      <c r="I20" s="293">
        <f>SUM($G$7:G20)</f>
        <v>659</v>
      </c>
      <c r="J20" s="295">
        <f t="shared" si="3"/>
        <v>0.12533282616964625</v>
      </c>
      <c r="K20" s="18"/>
      <c r="M20" s="1"/>
    </row>
    <row r="21" spans="1:16" ht="25" customHeight="1">
      <c r="A21" s="5"/>
      <c r="B21" s="17"/>
      <c r="C21" s="51">
        <v>36</v>
      </c>
      <c r="D21" s="285"/>
      <c r="E21" s="285"/>
      <c r="F21" s="287"/>
      <c r="G21" s="289"/>
      <c r="H21" s="292"/>
      <c r="I21" s="294"/>
      <c r="J21" s="296"/>
      <c r="K21" s="18"/>
      <c r="M21" s="1"/>
    </row>
    <row r="22" spans="1:16" ht="25" customHeight="1">
      <c r="A22" s="5"/>
      <c r="B22" s="17"/>
      <c r="C22" s="52">
        <v>35</v>
      </c>
      <c r="D22" s="53">
        <f t="shared" si="1"/>
        <v>64</v>
      </c>
      <c r="E22" s="53">
        <f t="shared" si="0"/>
        <v>3</v>
      </c>
      <c r="F22" s="44">
        <f t="shared" si="4"/>
        <v>87</v>
      </c>
      <c r="G22" s="45">
        <f>IF(D22=D21,"",_xlfn.IFNA(VLOOKUP(D22,'인원 입력 기능'!$BT$5:$BW$55,4,FALSE),0))</f>
        <v>56</v>
      </c>
      <c r="H22" s="46">
        <f t="shared" si="2"/>
        <v>1.0650437428680106E-2</v>
      </c>
      <c r="I22" s="50">
        <f>SUM($G$7:G22)</f>
        <v>715</v>
      </c>
      <c r="J22" s="48">
        <f t="shared" si="3"/>
        <v>0.13598326359832635</v>
      </c>
      <c r="K22" s="18"/>
      <c r="M22" s="1"/>
    </row>
    <row r="23" spans="1:16" ht="25" customHeight="1">
      <c r="A23" s="5"/>
      <c r="B23" s="17"/>
      <c r="C23" s="51">
        <v>34</v>
      </c>
      <c r="D23" s="53">
        <f t="shared" si="1"/>
        <v>63</v>
      </c>
      <c r="E23" s="53">
        <f t="shared" si="0"/>
        <v>3</v>
      </c>
      <c r="F23" s="44">
        <f t="shared" si="4"/>
        <v>86</v>
      </c>
      <c r="G23" s="45">
        <f>IF(D23=D22,"",_xlfn.IFNA(VLOOKUP(D23,'인원 입력 기능'!$BT$5:$BW$55,4,FALSE),0))</f>
        <v>61</v>
      </c>
      <c r="H23" s="46">
        <f t="shared" si="2"/>
        <v>1.1601369341955116E-2</v>
      </c>
      <c r="I23" s="50">
        <f>SUM($G$7:G23)</f>
        <v>776</v>
      </c>
      <c r="J23" s="48">
        <f t="shared" si="3"/>
        <v>0.14758463294028148</v>
      </c>
      <c r="K23" s="18"/>
      <c r="M23" s="1"/>
    </row>
    <row r="24" spans="1:16" ht="25" customHeight="1">
      <c r="A24" s="5"/>
      <c r="B24" s="17"/>
      <c r="C24" s="52">
        <v>33</v>
      </c>
      <c r="D24" s="53">
        <f t="shared" si="1"/>
        <v>62</v>
      </c>
      <c r="E24" s="53">
        <f t="shared" si="0"/>
        <v>3</v>
      </c>
      <c r="F24" s="44">
        <f t="shared" si="4"/>
        <v>85</v>
      </c>
      <c r="G24" s="45">
        <f>IF(D24=D23,"",_xlfn.IFNA(VLOOKUP(D24,'인원 입력 기능'!$BT$5:$BW$55,4,FALSE),0))</f>
        <v>48</v>
      </c>
      <c r="H24" s="46">
        <f t="shared" si="2"/>
        <v>9.1289463674400911E-3</v>
      </c>
      <c r="I24" s="50">
        <f>SUM($G$7:G24)</f>
        <v>824</v>
      </c>
      <c r="J24" s="48">
        <f t="shared" si="3"/>
        <v>0.15671357930772156</v>
      </c>
      <c r="K24" s="18"/>
      <c r="M24" s="1"/>
    </row>
    <row r="25" spans="1:16" ht="25" customHeight="1">
      <c r="A25" s="5"/>
      <c r="B25" s="17"/>
      <c r="C25" s="51">
        <v>32</v>
      </c>
      <c r="D25" s="53">
        <f t="shared" si="1"/>
        <v>61</v>
      </c>
      <c r="E25" s="53">
        <f t="shared" si="0"/>
        <v>3</v>
      </c>
      <c r="F25" s="44">
        <f t="shared" si="4"/>
        <v>84</v>
      </c>
      <c r="G25" s="45">
        <f>IF(D25=D24,"",_xlfn.IFNA(VLOOKUP(D25,'인원 입력 기능'!$BT$5:$BW$55,4,FALSE),0))</f>
        <v>71</v>
      </c>
      <c r="H25" s="46">
        <f t="shared" si="2"/>
        <v>1.3503233168505135E-2</v>
      </c>
      <c r="I25" s="50">
        <f>SUM($G$7:G25)</f>
        <v>895</v>
      </c>
      <c r="J25" s="48">
        <f t="shared" si="3"/>
        <v>0.17021681247622669</v>
      </c>
      <c r="K25" s="18"/>
      <c r="M25" s="1"/>
    </row>
    <row r="26" spans="1:16" ht="25" customHeight="1">
      <c r="A26" s="5"/>
      <c r="B26" s="17"/>
      <c r="C26" s="52">
        <v>31</v>
      </c>
      <c r="D26" s="53">
        <f t="shared" si="1"/>
        <v>60</v>
      </c>
      <c r="E26" s="53">
        <f t="shared" si="0"/>
        <v>3</v>
      </c>
      <c r="F26" s="44">
        <f t="shared" si="4"/>
        <v>82</v>
      </c>
      <c r="G26" s="45">
        <f>IF(D26=D25,"",_xlfn.IFNA(VLOOKUP(D26,'인원 입력 기능'!$BT$5:$BW$55,4,FALSE),0))</f>
        <v>59</v>
      </c>
      <c r="H26" s="46">
        <f t="shared" si="2"/>
        <v>1.1220996576645112E-2</v>
      </c>
      <c r="I26" s="50">
        <f>SUM($G$7:G26)</f>
        <v>954</v>
      </c>
      <c r="J26" s="48">
        <f t="shared" si="3"/>
        <v>0.18143780905287182</v>
      </c>
      <c r="K26" s="18"/>
      <c r="M26" s="1"/>
    </row>
    <row r="27" spans="1:16" ht="25" customHeight="1">
      <c r="A27" s="5"/>
      <c r="B27" s="17"/>
      <c r="C27" s="51">
        <v>30</v>
      </c>
      <c r="D27" s="53">
        <f t="shared" si="1"/>
        <v>59</v>
      </c>
      <c r="E27" s="53">
        <f t="shared" si="0"/>
        <v>3</v>
      </c>
      <c r="F27" s="44">
        <f t="shared" si="4"/>
        <v>81</v>
      </c>
      <c r="G27" s="45">
        <f>IF(D27=D26,"",_xlfn.IFNA(VLOOKUP(D27,'인원 입력 기능'!$BT$5:$BW$55,4,FALSE),0))</f>
        <v>71</v>
      </c>
      <c r="H27" s="46">
        <f t="shared" si="2"/>
        <v>1.3503233168505135E-2</v>
      </c>
      <c r="I27" s="50">
        <f>SUM($G$7:G27)</f>
        <v>1025</v>
      </c>
      <c r="J27" s="48">
        <f t="shared" si="3"/>
        <v>0.19494104222137695</v>
      </c>
      <c r="K27" s="18"/>
      <c r="M27" s="1"/>
    </row>
    <row r="28" spans="1:16" ht="25" customHeight="1">
      <c r="A28" s="5"/>
      <c r="B28" s="17"/>
      <c r="C28" s="52">
        <v>29</v>
      </c>
      <c r="D28" s="298">
        <f t="shared" si="1"/>
        <v>58</v>
      </c>
      <c r="E28" s="298">
        <f t="shared" si="0"/>
        <v>3</v>
      </c>
      <c r="F28" s="288">
        <f t="shared" si="4"/>
        <v>79</v>
      </c>
      <c r="G28" s="290">
        <f>IF(D28=D27,"",_xlfn.IFNA(VLOOKUP(D28,'인원 입력 기능'!$BT$5:$BW$55,4,FALSE),0))</f>
        <v>163</v>
      </c>
      <c r="H28" s="291">
        <f t="shared" si="2"/>
        <v>3.1000380372765309E-2</v>
      </c>
      <c r="I28" s="293">
        <f>SUM($G$7:G28)</f>
        <v>1188</v>
      </c>
      <c r="J28" s="295">
        <f t="shared" si="3"/>
        <v>0.22594142259414227</v>
      </c>
      <c r="K28" s="18"/>
      <c r="M28" s="1"/>
    </row>
    <row r="29" spans="1:16" ht="25" customHeight="1">
      <c r="A29" s="5"/>
      <c r="B29" s="17"/>
      <c r="C29" s="51">
        <v>28</v>
      </c>
      <c r="D29" s="297"/>
      <c r="E29" s="297"/>
      <c r="F29" s="287"/>
      <c r="G29" s="289"/>
      <c r="H29" s="292"/>
      <c r="I29" s="294"/>
      <c r="J29" s="296"/>
      <c r="K29" s="18"/>
      <c r="M29" s="1"/>
    </row>
    <row r="30" spans="1:16" ht="25" customHeight="1">
      <c r="A30" s="5"/>
      <c r="B30" s="17"/>
      <c r="C30" s="52">
        <v>27</v>
      </c>
      <c r="D30" s="53">
        <f t="shared" si="1"/>
        <v>57</v>
      </c>
      <c r="E30" s="53">
        <f t="shared" si="0"/>
        <v>3</v>
      </c>
      <c r="F30" s="44">
        <f t="shared" si="4"/>
        <v>77</v>
      </c>
      <c r="G30" s="45">
        <f>IF(D30=D29,"",_xlfn.IFNA(VLOOKUP(D30,'인원 입력 기능'!$BT$5:$BW$55,4,FALSE),0))</f>
        <v>91</v>
      </c>
      <c r="H30" s="46">
        <f t="shared" si="2"/>
        <v>1.7306960821605172E-2</v>
      </c>
      <c r="I30" s="50">
        <f>SUM($G$7:G30)</f>
        <v>1279</v>
      </c>
      <c r="J30" s="48">
        <f t="shared" si="3"/>
        <v>0.24324838341574742</v>
      </c>
      <c r="K30" s="18"/>
      <c r="M30" s="1"/>
    </row>
    <row r="31" spans="1:16" ht="25" customHeight="1">
      <c r="A31" s="5"/>
      <c r="B31" s="17"/>
      <c r="C31" s="51">
        <v>26</v>
      </c>
      <c r="D31" s="53">
        <f t="shared" si="1"/>
        <v>56</v>
      </c>
      <c r="E31" s="53">
        <f t="shared" si="0"/>
        <v>4</v>
      </c>
      <c r="F31" s="44">
        <f t="shared" si="4"/>
        <v>75</v>
      </c>
      <c r="G31" s="45">
        <f>IF(D31=D30,"",_xlfn.IFNA(VLOOKUP(D31,'인원 입력 기능'!$BT$5:$BW$55,4,FALSE),0))</f>
        <v>70</v>
      </c>
      <c r="H31" s="46">
        <f t="shared" si="2"/>
        <v>1.3313046785850133E-2</v>
      </c>
      <c r="I31" s="50">
        <f>SUM($G$7:G31)</f>
        <v>1349</v>
      </c>
      <c r="J31" s="48">
        <f t="shared" si="3"/>
        <v>0.25656143020159755</v>
      </c>
      <c r="K31" s="18"/>
      <c r="M31" s="1"/>
    </row>
    <row r="32" spans="1:16" ht="25" customHeight="1">
      <c r="A32" s="5"/>
      <c r="B32" s="17"/>
      <c r="C32" s="52">
        <v>25</v>
      </c>
      <c r="D32" s="53">
        <f t="shared" si="1"/>
        <v>55</v>
      </c>
      <c r="E32" s="53">
        <f t="shared" si="0"/>
        <v>4</v>
      </c>
      <c r="F32" s="44">
        <f t="shared" si="4"/>
        <v>73</v>
      </c>
      <c r="G32" s="45">
        <f>IF(D32=D31,"",_xlfn.IFNA(VLOOKUP(D32,'인원 입력 기능'!$BT$5:$BW$55,4,FALSE),0))</f>
        <v>95</v>
      </c>
      <c r="H32" s="46">
        <f t="shared" si="2"/>
        <v>1.8067706352225182E-2</v>
      </c>
      <c r="I32" s="50">
        <f>SUM($G$7:G32)</f>
        <v>1444</v>
      </c>
      <c r="J32" s="48">
        <f t="shared" si="3"/>
        <v>0.27462913655382276</v>
      </c>
      <c r="K32" s="18"/>
      <c r="M32" s="1"/>
    </row>
    <row r="33" spans="1:13" ht="25" customHeight="1">
      <c r="A33" s="5"/>
      <c r="B33" s="17"/>
      <c r="C33" s="51">
        <v>24</v>
      </c>
      <c r="D33" s="53">
        <f t="shared" si="1"/>
        <v>54</v>
      </c>
      <c r="E33" s="53">
        <f t="shared" si="0"/>
        <v>4</v>
      </c>
      <c r="F33" s="44">
        <f t="shared" si="4"/>
        <v>72</v>
      </c>
      <c r="G33" s="45">
        <f>IF(D33=D32,"",_xlfn.IFNA(VLOOKUP(D33,'인원 입력 기능'!$BT$5:$BW$55,4,FALSE),0))</f>
        <v>107</v>
      </c>
      <c r="H33" s="46">
        <f t="shared" si="2"/>
        <v>2.0349942944085205E-2</v>
      </c>
      <c r="I33" s="50">
        <f>SUM($G$7:G33)</f>
        <v>1551</v>
      </c>
      <c r="J33" s="48">
        <f t="shared" si="3"/>
        <v>0.29497907949790797</v>
      </c>
      <c r="K33" s="18"/>
      <c r="M33" s="1"/>
    </row>
    <row r="34" spans="1:13" ht="25" customHeight="1">
      <c r="A34" s="5"/>
      <c r="B34" s="17"/>
      <c r="C34" s="52">
        <v>23</v>
      </c>
      <c r="D34" s="53">
        <f t="shared" si="1"/>
        <v>53</v>
      </c>
      <c r="E34" s="53">
        <f t="shared" si="0"/>
        <v>4</v>
      </c>
      <c r="F34" s="44">
        <f t="shared" si="4"/>
        <v>70</v>
      </c>
      <c r="G34" s="45">
        <f>IF(D34=D33,"",_xlfn.IFNA(VLOOKUP(D34,'인원 입력 기능'!$BT$5:$BW$55,4,FALSE),0))</f>
        <v>95</v>
      </c>
      <c r="H34" s="46">
        <f t="shared" si="2"/>
        <v>1.8067706352225182E-2</v>
      </c>
      <c r="I34" s="50">
        <f>SUM($G$7:G34)</f>
        <v>1646</v>
      </c>
      <c r="J34" s="48">
        <f t="shared" si="3"/>
        <v>0.31304678585013312</v>
      </c>
      <c r="K34" s="18"/>
      <c r="M34" s="1"/>
    </row>
    <row r="35" spans="1:13" ht="25" customHeight="1">
      <c r="A35" s="5"/>
      <c r="B35" s="17"/>
      <c r="C35" s="51">
        <v>22</v>
      </c>
      <c r="D35" s="53">
        <f t="shared" si="1"/>
        <v>52</v>
      </c>
      <c r="E35" s="53">
        <f t="shared" si="0"/>
        <v>4</v>
      </c>
      <c r="F35" s="44">
        <f t="shared" si="4"/>
        <v>67</v>
      </c>
      <c r="G35" s="45">
        <f>IF(D35=D34,"",_xlfn.IFNA(VLOOKUP(D35,'인원 입력 기능'!$BT$5:$BW$55,4,FALSE),0))</f>
        <v>141</v>
      </c>
      <c r="H35" s="46">
        <f t="shared" si="2"/>
        <v>2.6816279954355267E-2</v>
      </c>
      <c r="I35" s="50">
        <f>SUM($G$7:G35)</f>
        <v>1787</v>
      </c>
      <c r="J35" s="48">
        <f t="shared" si="3"/>
        <v>0.33986306580448838</v>
      </c>
      <c r="K35" s="18"/>
      <c r="M35" s="1"/>
    </row>
    <row r="36" spans="1:13" ht="25" customHeight="1">
      <c r="A36" s="5"/>
      <c r="B36" s="17"/>
      <c r="C36" s="52">
        <v>21</v>
      </c>
      <c r="D36" s="53">
        <f t="shared" si="1"/>
        <v>51</v>
      </c>
      <c r="E36" s="53">
        <f t="shared" si="0"/>
        <v>4</v>
      </c>
      <c r="F36" s="44">
        <f t="shared" si="4"/>
        <v>65</v>
      </c>
      <c r="G36" s="45">
        <f>IF(D36=D35,"",_xlfn.IFNA(VLOOKUP(D36,'인원 입력 기능'!$BT$5:$BW$55,4,FALSE),0))</f>
        <v>126</v>
      </c>
      <c r="H36" s="46">
        <f t="shared" si="2"/>
        <v>2.3963484214530241E-2</v>
      </c>
      <c r="I36" s="50">
        <f>SUM($G$7:G36)</f>
        <v>1913</v>
      </c>
      <c r="J36" s="48">
        <f t="shared" si="3"/>
        <v>0.36382655001901865</v>
      </c>
      <c r="K36" s="18"/>
      <c r="M36" s="1"/>
    </row>
    <row r="37" spans="1:13" ht="25" customHeight="1">
      <c r="A37" s="5"/>
      <c r="B37" s="17"/>
      <c r="C37" s="51">
        <v>20</v>
      </c>
      <c r="D37" s="298">
        <f t="shared" si="1"/>
        <v>50</v>
      </c>
      <c r="E37" s="298">
        <f t="shared" si="0"/>
        <v>4</v>
      </c>
      <c r="F37" s="288">
        <f t="shared" si="4"/>
        <v>61</v>
      </c>
      <c r="G37" s="290">
        <f>IF(D37=D36,"",_xlfn.IFNA(VLOOKUP(D37,'인원 입력 기능'!$BT$5:$BW$55,4,FALSE),0))</f>
        <v>294</v>
      </c>
      <c r="H37" s="291">
        <f t="shared" si="2"/>
        <v>5.591479650057056E-2</v>
      </c>
      <c r="I37" s="293">
        <f>SUM($G$7:G37)</f>
        <v>2207</v>
      </c>
      <c r="J37" s="295">
        <f t="shared" si="3"/>
        <v>0.41974134651958922</v>
      </c>
      <c r="K37" s="18"/>
      <c r="M37" s="1"/>
    </row>
    <row r="38" spans="1:13" ht="25" customHeight="1">
      <c r="A38" s="5"/>
      <c r="B38" s="17"/>
      <c r="C38" s="52">
        <v>19</v>
      </c>
      <c r="D38" s="297"/>
      <c r="E38" s="297"/>
      <c r="F38" s="287"/>
      <c r="G38" s="289"/>
      <c r="H38" s="292"/>
      <c r="I38" s="294"/>
      <c r="J38" s="296"/>
      <c r="K38" s="18"/>
      <c r="M38" s="1"/>
    </row>
    <row r="39" spans="1:13" ht="25" customHeight="1">
      <c r="A39" s="5"/>
      <c r="B39" s="17"/>
      <c r="C39" s="51">
        <v>18</v>
      </c>
      <c r="D39" s="53">
        <f t="shared" si="1"/>
        <v>49</v>
      </c>
      <c r="E39" s="53">
        <f t="shared" ref="E39:E57" si="5">IF(ROUND(D39,0)&gt;=$P$7,1,IF(ROUND(D39,0)&gt;=$P$8,2,IF(ROUND(D39,0)&gt;=$P$9,3,IF(ROUND(D39,0)&gt;=$P$10,4,IF(ROUND(D39,0)&gt;=$P$11,5,IF(ROUND(D39,0)&gt;=$P$12,6,IF(ROUND(D39,0)&gt;=$P$13,7,IF(ROUND(D39,0)&gt;=$P$14,8,9))))))))</f>
        <v>5</v>
      </c>
      <c r="F39" s="44">
        <f t="shared" si="4"/>
        <v>57</v>
      </c>
      <c r="G39" s="45">
        <f>IF(D39=D38,"",_xlfn.IFNA(VLOOKUP(D39,'인원 입력 기능'!$BT$5:$BW$55,4,FALSE),0))</f>
        <v>140</v>
      </c>
      <c r="H39" s="46">
        <f t="shared" si="2"/>
        <v>2.6626093571700267E-2</v>
      </c>
      <c r="I39" s="50">
        <f>SUM($G$7:G39)</f>
        <v>2347</v>
      </c>
      <c r="J39" s="48">
        <f t="shared" si="3"/>
        <v>0.44636744009128948</v>
      </c>
      <c r="K39" s="18"/>
      <c r="M39" s="1"/>
    </row>
    <row r="40" spans="1:13" ht="25" customHeight="1">
      <c r="A40" s="5"/>
      <c r="B40" s="17"/>
      <c r="C40" s="52">
        <v>17</v>
      </c>
      <c r="D40" s="53">
        <f t="shared" si="1"/>
        <v>48</v>
      </c>
      <c r="E40" s="53">
        <f t="shared" si="5"/>
        <v>5</v>
      </c>
      <c r="F40" s="44">
        <f t="shared" si="4"/>
        <v>53</v>
      </c>
      <c r="G40" s="45">
        <f>IF(D40=D39,"",_xlfn.IFNA(VLOOKUP(D40,'인원 입력 기능'!$BT$5:$BW$55,4,FALSE),0))</f>
        <v>234</v>
      </c>
      <c r="H40" s="46">
        <f t="shared" si="2"/>
        <v>4.4503613541270443E-2</v>
      </c>
      <c r="I40" s="50">
        <f>SUM($G$7:G40)</f>
        <v>2581</v>
      </c>
      <c r="J40" s="48">
        <f t="shared" si="3"/>
        <v>0.49087105363255989</v>
      </c>
      <c r="K40" s="18"/>
      <c r="M40" s="1"/>
    </row>
    <row r="41" spans="1:13" ht="25" customHeight="1">
      <c r="A41" s="5"/>
      <c r="B41" s="17"/>
      <c r="C41" s="51">
        <v>16</v>
      </c>
      <c r="D41" s="53">
        <f t="shared" si="1"/>
        <v>47</v>
      </c>
      <c r="E41" s="53">
        <f t="shared" si="5"/>
        <v>5</v>
      </c>
      <c r="F41" s="44">
        <f t="shared" si="4"/>
        <v>49</v>
      </c>
      <c r="G41" s="45">
        <f>IF(D41=D40,"",_xlfn.IFNA(VLOOKUP(D41,'인원 입력 기능'!$BT$5:$BW$55,4,FALSE),0))</f>
        <v>177</v>
      </c>
      <c r="H41" s="46">
        <f t="shared" si="2"/>
        <v>3.3662989729935339E-2</v>
      </c>
      <c r="I41" s="50">
        <f>SUM($G$7:G41)</f>
        <v>2758</v>
      </c>
      <c r="J41" s="48">
        <f t="shared" si="3"/>
        <v>0.52453404336249521</v>
      </c>
      <c r="K41" s="18"/>
      <c r="M41" s="1"/>
    </row>
    <row r="42" spans="1:13" ht="25" customHeight="1">
      <c r="A42" s="5"/>
      <c r="B42" s="17"/>
      <c r="C42" s="52">
        <v>15</v>
      </c>
      <c r="D42" s="53">
        <f t="shared" si="1"/>
        <v>46</v>
      </c>
      <c r="E42" s="53">
        <f t="shared" si="5"/>
        <v>5</v>
      </c>
      <c r="F42" s="44">
        <f t="shared" si="4"/>
        <v>46</v>
      </c>
      <c r="G42" s="45">
        <f>IF(D42=D41,"",_xlfn.IFNA(VLOOKUP(D42,'인원 입력 기능'!$BT$5:$BW$55,4,FALSE),0))</f>
        <v>207</v>
      </c>
      <c r="H42" s="46">
        <f t="shared" si="2"/>
        <v>3.936858120958539E-2</v>
      </c>
      <c r="I42" s="50">
        <f>SUM($G$7:G42)</f>
        <v>2965</v>
      </c>
      <c r="J42" s="48">
        <f t="shared" si="3"/>
        <v>0.56390262457208062</v>
      </c>
      <c r="K42" s="18"/>
      <c r="M42" s="1"/>
    </row>
    <row r="43" spans="1:13" ht="25" customHeight="1">
      <c r="A43" s="5"/>
      <c r="B43" s="17"/>
      <c r="C43" s="51">
        <v>14</v>
      </c>
      <c r="D43" s="53">
        <f t="shared" si="1"/>
        <v>45</v>
      </c>
      <c r="E43" s="53">
        <f t="shared" si="5"/>
        <v>5</v>
      </c>
      <c r="F43" s="44">
        <f t="shared" si="4"/>
        <v>41</v>
      </c>
      <c r="G43" s="45">
        <f>IF(D43=D42,"",_xlfn.IFNA(VLOOKUP(D43,'인원 입력 기능'!$BT$5:$BW$55,4,FALSE),0))</f>
        <v>284</v>
      </c>
      <c r="H43" s="46">
        <f t="shared" si="2"/>
        <v>5.401293267402054E-2</v>
      </c>
      <c r="I43" s="50">
        <f>SUM($G$7:G43)</f>
        <v>3249</v>
      </c>
      <c r="J43" s="48">
        <f t="shared" si="3"/>
        <v>0.61791555724610114</v>
      </c>
      <c r="K43" s="18"/>
      <c r="M43" s="1"/>
    </row>
    <row r="44" spans="1:13" ht="25" customHeight="1">
      <c r="A44" s="5"/>
      <c r="B44" s="17"/>
      <c r="C44" s="52">
        <v>13</v>
      </c>
      <c r="D44" s="53">
        <f t="shared" si="1"/>
        <v>44</v>
      </c>
      <c r="E44" s="53">
        <f t="shared" si="5"/>
        <v>6</v>
      </c>
      <c r="F44" s="44">
        <f t="shared" si="4"/>
        <v>36</v>
      </c>
      <c r="G44" s="45">
        <f>IF(D44=D43,"",_xlfn.IFNA(VLOOKUP(D44,'인원 입력 기능'!$BT$5:$BW$55,4,FALSE),0))</f>
        <v>193</v>
      </c>
      <c r="H44" s="46">
        <f t="shared" si="2"/>
        <v>3.6705971852415364E-2</v>
      </c>
      <c r="I44" s="50">
        <f>SUM($G$7:G44)</f>
        <v>3442</v>
      </c>
      <c r="J44" s="48">
        <f t="shared" si="3"/>
        <v>0.65462152909851656</v>
      </c>
      <c r="K44" s="18"/>
      <c r="M44" s="1"/>
    </row>
    <row r="45" spans="1:13" ht="25" customHeight="1">
      <c r="A45" s="5"/>
      <c r="B45" s="17"/>
      <c r="C45" s="51">
        <v>12</v>
      </c>
      <c r="D45" s="298">
        <f t="shared" si="1"/>
        <v>43</v>
      </c>
      <c r="E45" s="298">
        <f t="shared" si="5"/>
        <v>6</v>
      </c>
      <c r="F45" s="288">
        <f t="shared" si="4"/>
        <v>28</v>
      </c>
      <c r="G45" s="290">
        <f>IF(D45=D44,"",_xlfn.IFNA(VLOOKUP(D45,'인원 입력 기능'!$BT$5:$BW$55,4,FALSE),0))</f>
        <v>657</v>
      </c>
      <c r="H45" s="291">
        <f t="shared" si="2"/>
        <v>0.12495245340433625</v>
      </c>
      <c r="I45" s="293">
        <f>SUM($G$7:G45)</f>
        <v>4099</v>
      </c>
      <c r="J45" s="295">
        <f t="shared" si="3"/>
        <v>0.77957398250285281</v>
      </c>
      <c r="K45" s="18"/>
      <c r="M45" s="1"/>
    </row>
    <row r="46" spans="1:13" ht="25" customHeight="1">
      <c r="A46" s="5"/>
      <c r="B46" s="17"/>
      <c r="C46" s="52">
        <v>11</v>
      </c>
      <c r="D46" s="297"/>
      <c r="E46" s="297"/>
      <c r="F46" s="287"/>
      <c r="G46" s="289"/>
      <c r="H46" s="292"/>
      <c r="I46" s="294"/>
      <c r="J46" s="296"/>
      <c r="K46" s="18"/>
      <c r="M46" s="1"/>
    </row>
    <row r="47" spans="1:13" ht="25" customHeight="1">
      <c r="A47" s="5"/>
      <c r="B47" s="17"/>
      <c r="C47" s="51">
        <v>10</v>
      </c>
      <c r="D47" s="53">
        <f t="shared" si="1"/>
        <v>42</v>
      </c>
      <c r="E47" s="53">
        <f t="shared" si="5"/>
        <v>7</v>
      </c>
      <c r="F47" s="44">
        <f t="shared" si="4"/>
        <v>20</v>
      </c>
      <c r="G47" s="45">
        <f>IF(D47=D46,"",_xlfn.IFNA(VLOOKUP(D47,'인원 입력 기능'!$BT$5:$BW$55,4,FALSE),0))</f>
        <v>206</v>
      </c>
      <c r="H47" s="46">
        <f t="shared" si="2"/>
        <v>3.9178394826930391E-2</v>
      </c>
      <c r="I47" s="50">
        <f>SUM($G$7:G47)</f>
        <v>4305</v>
      </c>
      <c r="J47" s="48">
        <f t="shared" si="3"/>
        <v>0.81875237732978323</v>
      </c>
      <c r="K47" s="18"/>
      <c r="M47" s="1"/>
    </row>
    <row r="48" spans="1:13" ht="25" customHeight="1">
      <c r="A48" s="5"/>
      <c r="B48" s="17"/>
      <c r="C48" s="52">
        <v>9</v>
      </c>
      <c r="D48" s="53">
        <f t="shared" si="1"/>
        <v>41</v>
      </c>
      <c r="E48" s="53">
        <f t="shared" si="5"/>
        <v>7</v>
      </c>
      <c r="F48" s="44">
        <f t="shared" si="4"/>
        <v>17</v>
      </c>
      <c r="G48" s="45">
        <f>IF(D48=D47,"",_xlfn.IFNA(VLOOKUP(D48,'인원 입력 기능'!$BT$5:$BW$55,4,FALSE),0))</f>
        <v>162</v>
      </c>
      <c r="H48" s="46">
        <f t="shared" si="2"/>
        <v>3.0810193990110309E-2</v>
      </c>
      <c r="I48" s="50">
        <f>SUM($G$7:G48)</f>
        <v>4467</v>
      </c>
      <c r="J48" s="48">
        <f t="shared" si="3"/>
        <v>0.84956257131989354</v>
      </c>
      <c r="K48" s="18"/>
      <c r="M48" s="1"/>
    </row>
    <row r="49" spans="1:13" ht="25" customHeight="1">
      <c r="A49" s="5"/>
      <c r="B49" s="17"/>
      <c r="C49" s="51">
        <v>8</v>
      </c>
      <c r="D49" s="53">
        <f t="shared" si="1"/>
        <v>40</v>
      </c>
      <c r="E49" s="53">
        <f t="shared" si="5"/>
        <v>7</v>
      </c>
      <c r="F49" s="44">
        <f t="shared" si="4"/>
        <v>12</v>
      </c>
      <c r="G49" s="45">
        <f>IF(D49=D48,"",_xlfn.IFNA(VLOOKUP(D49,'인원 입력 기능'!$BT$5:$BW$55,4,FALSE),0))</f>
        <v>286</v>
      </c>
      <c r="H49" s="46">
        <f t="shared" si="2"/>
        <v>5.4393305439330547E-2</v>
      </c>
      <c r="I49" s="50">
        <f>SUM($G$7:G49)</f>
        <v>4753</v>
      </c>
      <c r="J49" s="48">
        <f t="shared" si="3"/>
        <v>0.90395587675922406</v>
      </c>
      <c r="K49" s="18"/>
      <c r="M49" s="1"/>
    </row>
    <row r="50" spans="1:13" ht="25" customHeight="1">
      <c r="A50" s="5"/>
      <c r="B50" s="17"/>
      <c r="C50" s="52">
        <v>7</v>
      </c>
      <c r="D50" s="53">
        <f t="shared" si="1"/>
        <v>39</v>
      </c>
      <c r="E50" s="53">
        <f t="shared" si="5"/>
        <v>8</v>
      </c>
      <c r="F50" s="44">
        <f t="shared" si="4"/>
        <v>8</v>
      </c>
      <c r="G50" s="45">
        <f>IF(D50=D49,"",_xlfn.IFNA(VLOOKUP(D50,'인원 입력 기능'!$BT$5:$BW$55,4,FALSE),0))</f>
        <v>180</v>
      </c>
      <c r="H50" s="46">
        <f t="shared" si="2"/>
        <v>3.4233548877900345E-2</v>
      </c>
      <c r="I50" s="50">
        <f>SUM($G$7:G50)</f>
        <v>4933</v>
      </c>
      <c r="J50" s="48">
        <f t="shared" si="3"/>
        <v>0.93818942563712437</v>
      </c>
      <c r="K50" s="18"/>
      <c r="M50" s="1"/>
    </row>
    <row r="51" spans="1:13" ht="25" customHeight="1">
      <c r="A51" s="5"/>
      <c r="B51" s="17"/>
      <c r="C51" s="51">
        <v>6</v>
      </c>
      <c r="D51" s="53">
        <f t="shared" si="1"/>
        <v>38</v>
      </c>
      <c r="E51" s="53">
        <f t="shared" si="5"/>
        <v>8</v>
      </c>
      <c r="F51" s="44">
        <f t="shared" si="4"/>
        <v>6</v>
      </c>
      <c r="G51" s="45">
        <f>IF(D51=D50,"",_xlfn.IFNA(VLOOKUP(D51,'인원 입력 기능'!$BT$5:$BW$55,4,FALSE),0))</f>
        <v>68</v>
      </c>
      <c r="H51" s="46">
        <f t="shared" si="2"/>
        <v>1.2932674020540129E-2</v>
      </c>
      <c r="I51" s="50">
        <f>SUM($G$7:G51)</f>
        <v>5001</v>
      </c>
      <c r="J51" s="48">
        <f t="shared" si="3"/>
        <v>0.95112209965766448</v>
      </c>
      <c r="K51" s="18"/>
      <c r="M51" s="1"/>
    </row>
    <row r="52" spans="1:13" ht="25" customHeight="1">
      <c r="A52" s="5"/>
      <c r="B52" s="17"/>
      <c r="C52" s="52">
        <v>5</v>
      </c>
      <c r="D52" s="53">
        <f t="shared" si="1"/>
        <v>37</v>
      </c>
      <c r="E52" s="53">
        <f t="shared" si="5"/>
        <v>8</v>
      </c>
      <c r="F52" s="44">
        <f t="shared" si="4"/>
        <v>4</v>
      </c>
      <c r="G52" s="45">
        <f>IF(D52=D51,"",_xlfn.IFNA(VLOOKUP(D52,'인원 입력 기능'!$BT$5:$BW$55,4,FALSE),0))</f>
        <v>110</v>
      </c>
      <c r="H52" s="46">
        <f t="shared" si="2"/>
        <v>2.0920502092050208E-2</v>
      </c>
      <c r="I52" s="50">
        <f>SUM($G$7:G52)</f>
        <v>5111</v>
      </c>
      <c r="J52" s="48">
        <f t="shared" si="3"/>
        <v>0.97204260174971469</v>
      </c>
      <c r="K52" s="18"/>
      <c r="M52" s="1"/>
    </row>
    <row r="53" spans="1:13" ht="25" customHeight="1">
      <c r="A53" s="5"/>
      <c r="B53" s="17"/>
      <c r="C53" s="42">
        <v>4</v>
      </c>
      <c r="D53" s="286">
        <f t="shared" si="1"/>
        <v>36</v>
      </c>
      <c r="E53" s="286">
        <f t="shared" si="5"/>
        <v>9</v>
      </c>
      <c r="F53" s="288">
        <f t="shared" si="4"/>
        <v>2</v>
      </c>
      <c r="G53" s="290">
        <f>IF(D53=D52,"",_xlfn.IFNA(VLOOKUP(D53,'인원 입력 기능'!$BT$5:$BW$55,4,FALSE),0))</f>
        <v>88</v>
      </c>
      <c r="H53" s="291">
        <f t="shared" si="2"/>
        <v>1.6736401673640166E-2</v>
      </c>
      <c r="I53" s="293">
        <f>SUM($G$7:G53)</f>
        <v>5199</v>
      </c>
      <c r="J53" s="295">
        <f t="shared" si="3"/>
        <v>0.9887790034233549</v>
      </c>
      <c r="K53" s="18"/>
      <c r="M53" s="1"/>
    </row>
    <row r="54" spans="1:13" ht="25" customHeight="1">
      <c r="A54" s="5"/>
      <c r="B54" s="17"/>
      <c r="C54" s="49">
        <v>3</v>
      </c>
      <c r="D54" s="285"/>
      <c r="E54" s="285"/>
      <c r="F54" s="287"/>
      <c r="G54" s="289"/>
      <c r="H54" s="292"/>
      <c r="I54" s="294"/>
      <c r="J54" s="296"/>
      <c r="K54" s="18"/>
      <c r="M54" s="1"/>
    </row>
    <row r="55" spans="1:13" ht="25" customHeight="1">
      <c r="A55" s="5"/>
      <c r="B55" s="17"/>
      <c r="C55" s="42">
        <v>2</v>
      </c>
      <c r="D55" s="43">
        <f t="shared" si="1"/>
        <v>35</v>
      </c>
      <c r="E55" s="43">
        <f t="shared" si="5"/>
        <v>9</v>
      </c>
      <c r="F55" s="44">
        <f t="shared" si="4"/>
        <v>1</v>
      </c>
      <c r="G55" s="45">
        <f>IF(D55=D54,"",_xlfn.IFNA(VLOOKUP(D55,'인원 입력 기능'!$BT$5:$BW$55,4,FALSE),0))</f>
        <v>38</v>
      </c>
      <c r="H55" s="46">
        <f t="shared" si="2"/>
        <v>7.2270825408900724E-3</v>
      </c>
      <c r="I55" s="50">
        <f>SUM($G$7:G55)</f>
        <v>5237</v>
      </c>
      <c r="J55" s="48">
        <f t="shared" si="3"/>
        <v>0.996006085964245</v>
      </c>
      <c r="K55" s="18"/>
      <c r="M55" s="1"/>
    </row>
    <row r="56" spans="1:13" ht="25" customHeight="1">
      <c r="A56" s="5"/>
      <c r="B56" s="17"/>
      <c r="C56" s="49">
        <v>1</v>
      </c>
      <c r="D56" s="111" t="s">
        <v>31</v>
      </c>
      <c r="E56" s="112"/>
      <c r="F56" s="112"/>
      <c r="G56" s="112"/>
      <c r="H56" s="112"/>
      <c r="I56" s="112"/>
      <c r="J56" s="113"/>
      <c r="K56" s="18"/>
      <c r="M56" s="1"/>
    </row>
    <row r="57" spans="1:13" ht="25" customHeight="1" thickBot="1">
      <c r="A57" s="5"/>
      <c r="B57" s="17"/>
      <c r="C57" s="57">
        <v>0</v>
      </c>
      <c r="D57" s="58">
        <f>ROUND(10*(C57-$H$3)/$H$4+50,0)</f>
        <v>33</v>
      </c>
      <c r="E57" s="59">
        <f t="shared" si="5"/>
        <v>9</v>
      </c>
      <c r="F57" s="60">
        <f>IF(I55=0,ROUND(100*(1-(I54+I57)/2/$J$3),0),ROUND(100*(1-(I55+I57)/2/$J$3),0))</f>
        <v>0</v>
      </c>
      <c r="G57" s="61">
        <f>_xlfn.IFNA(VLOOKUP(D57,'인원 입력 기능'!$BT$5:$BW$55,4,FALSE),0)</f>
        <v>21</v>
      </c>
      <c r="H57" s="62">
        <f>G57/J3</f>
        <v>3.9939140357550399E-3</v>
      </c>
      <c r="I57" s="63">
        <f>SUM($G$7:G57)</f>
        <v>5258</v>
      </c>
      <c r="J57" s="64">
        <f>I57/J3</f>
        <v>1</v>
      </c>
      <c r="K57" s="18"/>
      <c r="M57" s="1"/>
    </row>
    <row r="58" spans="1:13" ht="6" customHeight="1">
      <c r="A58" s="5"/>
      <c r="B58" s="20"/>
      <c r="C58" s="21"/>
      <c r="D58" s="21"/>
      <c r="E58" s="21"/>
      <c r="F58" s="21"/>
      <c r="G58" s="21"/>
      <c r="H58" s="21"/>
      <c r="I58" s="21"/>
      <c r="J58" s="21"/>
      <c r="K58" s="22"/>
      <c r="M58" s="1"/>
    </row>
    <row r="59" spans="1:13">
      <c r="M59" s="1"/>
    </row>
    <row r="60" spans="1:13">
      <c r="M60" s="1"/>
    </row>
    <row r="61" spans="1:13">
      <c r="M61" s="1"/>
    </row>
    <row r="62" spans="1:13">
      <c r="M62" s="1"/>
    </row>
    <row r="63" spans="1:13">
      <c r="M63" s="1"/>
    </row>
    <row r="64" spans="1:13">
      <c r="M64" s="1"/>
    </row>
    <row r="65" spans="13:13">
      <c r="M65" s="1"/>
    </row>
    <row r="66" spans="13:13">
      <c r="M66" s="1"/>
    </row>
    <row r="67" spans="13:13">
      <c r="M67" s="1"/>
    </row>
    <row r="68" spans="13:13">
      <c r="M68" s="1"/>
    </row>
    <row r="69" spans="13:13">
      <c r="M69" s="1"/>
    </row>
    <row r="70" spans="13:13">
      <c r="M70" s="1"/>
    </row>
    <row r="71" spans="13:13">
      <c r="M71" s="1"/>
    </row>
    <row r="72" spans="13:13">
      <c r="M72" s="1"/>
    </row>
    <row r="73" spans="13:13">
      <c r="M73" s="1"/>
    </row>
    <row r="74" spans="13:13">
      <c r="M74" s="1"/>
    </row>
    <row r="75" spans="13:13">
      <c r="M75" s="1"/>
    </row>
    <row r="76" spans="13:13">
      <c r="M76" s="1"/>
    </row>
    <row r="77" spans="13:13">
      <c r="M77" s="1"/>
    </row>
    <row r="78" spans="13:13">
      <c r="M78" s="1"/>
    </row>
    <row r="79" spans="13:13">
      <c r="M79" s="1"/>
    </row>
    <row r="80" spans="13:13">
      <c r="M80" s="1"/>
    </row>
    <row r="81" spans="13:13">
      <c r="M81" s="1"/>
    </row>
    <row r="82" spans="13:13">
      <c r="M82" s="1"/>
    </row>
    <row r="83" spans="13:13">
      <c r="M83" s="1"/>
    </row>
    <row r="84" spans="13:13">
      <c r="M84" s="1"/>
    </row>
    <row r="85" spans="13:13">
      <c r="M85" s="1"/>
    </row>
    <row r="86" spans="13:13">
      <c r="M86" s="1"/>
    </row>
    <row r="87" spans="13:13">
      <c r="M87" s="1"/>
    </row>
    <row r="88" spans="13:13">
      <c r="M88" s="1"/>
    </row>
    <row r="89" spans="13:13">
      <c r="M89" s="1"/>
    </row>
    <row r="90" spans="13:13">
      <c r="M90" s="1"/>
    </row>
    <row r="91" spans="13:13">
      <c r="M91" s="1"/>
    </row>
    <row r="92" spans="13:13">
      <c r="M92" s="1"/>
    </row>
    <row r="93" spans="13:13">
      <c r="M93" s="1"/>
    </row>
    <row r="94" spans="13:13">
      <c r="M94" s="1"/>
    </row>
    <row r="95" spans="13:13">
      <c r="M95" s="1"/>
    </row>
    <row r="96" spans="13:13">
      <c r="M96" s="1"/>
    </row>
    <row r="97" spans="13:13">
      <c r="M97" s="1"/>
    </row>
    <row r="98" spans="13:13">
      <c r="M98" s="1"/>
    </row>
    <row r="99" spans="13:13">
      <c r="M99" s="1"/>
    </row>
    <row r="100" spans="13:13">
      <c r="M100" s="1"/>
    </row>
    <row r="101" spans="13:13">
      <c r="M101" s="1"/>
    </row>
    <row r="102" spans="13:13">
      <c r="M102" s="1"/>
    </row>
    <row r="103" spans="13:13">
      <c r="M103" s="1"/>
    </row>
    <row r="104" spans="13:13">
      <c r="M104" s="1"/>
    </row>
    <row r="105" spans="13:13">
      <c r="M105" s="1"/>
    </row>
  </sheetData>
  <mergeCells count="46">
    <mergeCell ref="I53:I54"/>
    <mergeCell ref="J53:J54"/>
    <mergeCell ref="D53:D54"/>
    <mergeCell ref="E53:E54"/>
    <mergeCell ref="F53:F54"/>
    <mergeCell ref="G53:G54"/>
    <mergeCell ref="H53:H54"/>
    <mergeCell ref="I37:I38"/>
    <mergeCell ref="J37:J38"/>
    <mergeCell ref="D45:D46"/>
    <mergeCell ref="E45:E46"/>
    <mergeCell ref="F45:F46"/>
    <mergeCell ref="G45:G46"/>
    <mergeCell ref="H45:H46"/>
    <mergeCell ref="I45:I46"/>
    <mergeCell ref="J45:J46"/>
    <mergeCell ref="D37:D38"/>
    <mergeCell ref="E37:E38"/>
    <mergeCell ref="F37:F38"/>
    <mergeCell ref="G37:G38"/>
    <mergeCell ref="H37:H38"/>
    <mergeCell ref="I20:I21"/>
    <mergeCell ref="J20:J21"/>
    <mergeCell ref="D28:D29"/>
    <mergeCell ref="E28:E29"/>
    <mergeCell ref="F28:F29"/>
    <mergeCell ref="G28:G29"/>
    <mergeCell ref="H28:H29"/>
    <mergeCell ref="I28:I29"/>
    <mergeCell ref="J28:J29"/>
    <mergeCell ref="D3:F3"/>
    <mergeCell ref="D4:F4"/>
    <mergeCell ref="D56:J56"/>
    <mergeCell ref="D8:J8"/>
    <mergeCell ref="D12:D13"/>
    <mergeCell ref="E12:E13"/>
    <mergeCell ref="F12:F13"/>
    <mergeCell ref="G12:G13"/>
    <mergeCell ref="H12:H13"/>
    <mergeCell ref="I12:I13"/>
    <mergeCell ref="J12:J13"/>
    <mergeCell ref="D20:D21"/>
    <mergeCell ref="E20:E21"/>
    <mergeCell ref="F20:F21"/>
    <mergeCell ref="G20:G21"/>
    <mergeCell ref="H20:H21"/>
  </mergeCells>
  <phoneticPr fontId="1" type="noConversion"/>
  <conditionalFormatting sqref="D7:J7 D57:J57 D9:J12 D14:J20 D22:J28 D30:J37 D39:J45 D47:J53 D55:J55">
    <cfRule type="expression" dxfId="62" priority="7">
      <formula>OR($D7=$P$7:$P$14)</formula>
    </cfRule>
  </conditionalFormatting>
  <conditionalFormatting sqref="C7:C57">
    <cfRule type="expression" dxfId="61" priority="6">
      <formula>OR(AND($D7=0,OR($D6=$P$7:$P$14)),AND($D8&gt;0,OR($D7=$P$7:$P$14)))</formula>
    </cfRule>
  </conditionalFormatting>
  <conditionalFormatting sqref="D7 D57 D9:D12 D14:D20 D22:D28 D30:D37 D39:D45 D47:D53 D55">
    <cfRule type="expression" dxfId="60" priority="5">
      <formula>$D7=$D8</formula>
    </cfRule>
  </conditionalFormatting>
  <conditionalFormatting sqref="D56">
    <cfRule type="expression" dxfId="59" priority="4">
      <formula>OR($D56=$P$7:$P$14)</formula>
    </cfRule>
  </conditionalFormatting>
  <conditionalFormatting sqref="D56">
    <cfRule type="expression" dxfId="58" priority="3">
      <formula>$D56=$D57</formula>
    </cfRule>
  </conditionalFormatting>
  <conditionalFormatting sqref="D8">
    <cfRule type="expression" dxfId="57" priority="2">
      <formula>OR($D8=$P$7:$P$14)</formula>
    </cfRule>
  </conditionalFormatting>
  <conditionalFormatting sqref="D8">
    <cfRule type="expression" dxfId="56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D0495-449F-4BC5-BA70-35C2DCD72EF8}">
  <sheetPr codeName="Sheet22"/>
  <dimension ref="A1:P105"/>
  <sheetViews>
    <sheetView zoomScaleNormal="100" workbookViewId="0">
      <selection activeCell="B2" sqref="B2:K58"/>
    </sheetView>
  </sheetViews>
  <sheetFormatPr defaultRowHeight="17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6">
      <c r="A1" s="5" t="s">
        <v>44</v>
      </c>
      <c r="C1" s="5"/>
      <c r="D1" s="5"/>
      <c r="E1" s="5"/>
      <c r="F1" s="5"/>
      <c r="G1" s="5"/>
      <c r="H1" s="5"/>
      <c r="I1" s="5"/>
      <c r="J1" s="5"/>
      <c r="K1" s="5"/>
    </row>
    <row r="2" spans="1:16" s="5" customFormat="1" ht="6" customHeight="1" thickBot="1">
      <c r="B2" s="15"/>
      <c r="C2" s="23"/>
      <c r="D2" s="23"/>
      <c r="E2" s="23"/>
      <c r="F2" s="23"/>
      <c r="G2" s="23"/>
      <c r="H2" s="23"/>
      <c r="I2" s="23"/>
      <c r="J2" s="23"/>
      <c r="K2" s="16"/>
    </row>
    <row r="3" spans="1:16" ht="25" customHeight="1" thickBot="1">
      <c r="A3" s="5"/>
      <c r="B3" s="17"/>
      <c r="C3" s="34" t="s">
        <v>47</v>
      </c>
      <c r="D3" s="105" t="s">
        <v>115</v>
      </c>
      <c r="E3" s="106"/>
      <c r="F3" s="107"/>
      <c r="G3" s="34" t="s">
        <v>48</v>
      </c>
      <c r="H3" s="101">
        <f>'통계 및 응시자 수 입력 기능'!D19</f>
        <v>20.16</v>
      </c>
      <c r="I3" s="103" t="s">
        <v>49</v>
      </c>
      <c r="J3" s="104">
        <f>'통계 및 응시자 수 입력 기능'!C19</f>
        <v>9559</v>
      </c>
      <c r="K3" s="18"/>
    </row>
    <row r="4" spans="1:16" ht="25" customHeight="1" thickBot="1">
      <c r="A4" s="5"/>
      <c r="B4" s="17"/>
      <c r="C4" s="35" t="s">
        <v>50</v>
      </c>
      <c r="D4" s="108" t="s">
        <v>58</v>
      </c>
      <c r="E4" s="109"/>
      <c r="F4" s="110"/>
      <c r="G4" s="36" t="s">
        <v>52</v>
      </c>
      <c r="H4" s="102">
        <f>'통계 및 응시자 수 입력 기능'!E19</f>
        <v>13.34</v>
      </c>
      <c r="I4" s="12"/>
      <c r="J4" s="12"/>
      <c r="K4" s="18"/>
    </row>
    <row r="5" spans="1:16" ht="25" customHeight="1" thickBot="1">
      <c r="A5" s="5"/>
      <c r="B5" s="17"/>
      <c r="C5" s="12"/>
      <c r="D5" s="12"/>
      <c r="E5" s="12"/>
      <c r="F5" s="12"/>
      <c r="G5" s="12"/>
      <c r="H5" s="19"/>
      <c r="I5" s="19"/>
      <c r="J5" s="19"/>
      <c r="K5" s="18"/>
    </row>
    <row r="6" spans="1:16" ht="25" customHeight="1" thickBot="1">
      <c r="A6" s="5"/>
      <c r="B6" s="17"/>
      <c r="C6" s="38" t="s">
        <v>73</v>
      </c>
      <c r="D6" s="39" t="s">
        <v>74</v>
      </c>
      <c r="E6" s="39" t="s">
        <v>75</v>
      </c>
      <c r="F6" s="39" t="s">
        <v>76</v>
      </c>
      <c r="G6" s="39" t="s">
        <v>77</v>
      </c>
      <c r="H6" s="40" t="s">
        <v>78</v>
      </c>
      <c r="I6" s="40" t="s">
        <v>79</v>
      </c>
      <c r="J6" s="41" t="s">
        <v>80</v>
      </c>
      <c r="K6" s="18"/>
      <c r="L6" s="3"/>
      <c r="M6" s="4"/>
    </row>
    <row r="7" spans="1:16" ht="25" customHeight="1">
      <c r="A7" s="5"/>
      <c r="B7" s="17"/>
      <c r="C7" s="42">
        <v>50</v>
      </c>
      <c r="D7" s="43">
        <f>ROUND(10*(C7-$H$3)/$H$4+50,0)</f>
        <v>72</v>
      </c>
      <c r="E7" s="43">
        <f t="shared" ref="E7:E38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44">
        <f>ROUND(100*(1-(0+I7)/2/$J$3),0)</f>
        <v>99</v>
      </c>
      <c r="G7" s="45">
        <f>_xlfn.IFNA(VLOOKUP(D7,'인원 입력 기능'!$BY$5:$CB$55,4,FALSE),0)</f>
        <v>257</v>
      </c>
      <c r="H7" s="46">
        <f>G7/J3</f>
        <v>2.6885657495553928E-2</v>
      </c>
      <c r="I7" s="47">
        <f>G7</f>
        <v>257</v>
      </c>
      <c r="J7" s="48">
        <f>I7/J3</f>
        <v>2.6885657495553928E-2</v>
      </c>
      <c r="K7" s="18"/>
      <c r="M7" s="1"/>
      <c r="O7" s="1">
        <v>1</v>
      </c>
      <c r="P7" s="1">
        <f>'표준점수 등급컷 입력기능'!H54</f>
        <v>70</v>
      </c>
    </row>
    <row r="8" spans="1:16" ht="25" customHeight="1">
      <c r="A8" s="5"/>
      <c r="B8" s="17"/>
      <c r="C8" s="49">
        <v>49</v>
      </c>
      <c r="D8" s="111" t="s">
        <v>31</v>
      </c>
      <c r="E8" s="112"/>
      <c r="F8" s="112"/>
      <c r="G8" s="112"/>
      <c r="H8" s="112"/>
      <c r="I8" s="112"/>
      <c r="J8" s="113"/>
      <c r="K8" s="18"/>
      <c r="M8" s="1"/>
      <c r="O8" s="1">
        <v>2</v>
      </c>
      <c r="P8" s="1">
        <f>'표준점수 등급컷 입력기능'!H55</f>
        <v>66</v>
      </c>
    </row>
    <row r="9" spans="1:16" ht="25" customHeight="1">
      <c r="A9" s="5"/>
      <c r="B9" s="17"/>
      <c r="C9" s="42">
        <v>48</v>
      </c>
      <c r="D9" s="43">
        <f>ROUND(10*(C9-$H$3)/$H$4+50,0)</f>
        <v>71</v>
      </c>
      <c r="E9" s="43">
        <f t="shared" si="0"/>
        <v>1</v>
      </c>
      <c r="F9" s="44">
        <f>IF(I8=0,ROUND(100*(1-(I7+I9)/2/$J$3),0),ROUND(100*(1-(I8+I9)/2/$J$3),0))</f>
        <v>97</v>
      </c>
      <c r="G9" s="45">
        <f>_xlfn.IFNA(VLOOKUP(D9,'인원 입력 기능'!$BY$5:$CB$55,4,FALSE),0)</f>
        <v>124</v>
      </c>
      <c r="H9" s="46">
        <f>G9/$J$3</f>
        <v>1.2972068207971544E-2</v>
      </c>
      <c r="I9" s="50">
        <f>SUM($G$7:G9)</f>
        <v>381</v>
      </c>
      <c r="J9" s="48">
        <f>I9/$J$3</f>
        <v>3.9857725703525471E-2</v>
      </c>
      <c r="K9" s="18"/>
      <c r="M9" s="1"/>
      <c r="O9" s="1">
        <v>3</v>
      </c>
      <c r="P9" s="1">
        <f>'표준점수 등급컷 입력기능'!H56</f>
        <v>58</v>
      </c>
    </row>
    <row r="10" spans="1:16" ht="25" customHeight="1">
      <c r="A10" s="5"/>
      <c r="B10" s="17"/>
      <c r="C10" s="49">
        <v>47</v>
      </c>
      <c r="D10" s="43">
        <f t="shared" ref="D10:D55" si="1">ROUND(10*(C10-$H$3)/$H$4+50,0)</f>
        <v>70</v>
      </c>
      <c r="E10" s="43">
        <f t="shared" si="0"/>
        <v>1</v>
      </c>
      <c r="F10" s="44">
        <f>IF(I9=0,ROUND(100*(1-(I8+I10)/2/$J$3),0),ROUND(100*(1-(I9+I10)/2/$J$3),0))</f>
        <v>95</v>
      </c>
      <c r="G10" s="45">
        <f>IF(D10=D9,"",_xlfn.IFNA(VLOOKUP(D10,'인원 입력 기능'!$BY$5:$CB$55,4,FALSE),0))</f>
        <v>196</v>
      </c>
      <c r="H10" s="46">
        <f t="shared" ref="H10:H55" si="2">G10/$J$3</f>
        <v>2.0504236844858248E-2</v>
      </c>
      <c r="I10" s="50">
        <f>SUM($G$7:G10)</f>
        <v>577</v>
      </c>
      <c r="J10" s="48">
        <f t="shared" ref="J10:J55" si="3">I10/$J$3</f>
        <v>6.0361962548383725E-2</v>
      </c>
      <c r="K10" s="18"/>
      <c r="M10" s="1"/>
      <c r="O10" s="1">
        <v>4</v>
      </c>
      <c r="P10" s="1">
        <f>'표준점수 등급컷 입력기능'!H57</f>
        <v>49</v>
      </c>
    </row>
    <row r="11" spans="1:16" ht="25" customHeight="1">
      <c r="A11" s="5"/>
      <c r="B11" s="17"/>
      <c r="C11" s="42">
        <v>46</v>
      </c>
      <c r="D11" s="286">
        <f t="shared" si="1"/>
        <v>69</v>
      </c>
      <c r="E11" s="286">
        <f t="shared" si="0"/>
        <v>2</v>
      </c>
      <c r="F11" s="288">
        <f t="shared" ref="F11:F55" si="4">IF(I10=0,ROUND(100*(1-(I9+I11)/2/$J$3),0),ROUND(100*(1-(I10+I11)/2/$J$3),0))</f>
        <v>93</v>
      </c>
      <c r="G11" s="290">
        <f>IF(D11=D10,"",_xlfn.IFNA(VLOOKUP(D11,'인원 입력 기능'!$BY$5:$CB$55,4,FALSE),0))</f>
        <v>232</v>
      </c>
      <c r="H11" s="291">
        <f t="shared" si="2"/>
        <v>2.4270321163301599E-2</v>
      </c>
      <c r="I11" s="293">
        <f>SUM($G$7:G11)</f>
        <v>809</v>
      </c>
      <c r="J11" s="295">
        <f t="shared" si="3"/>
        <v>8.4632283711685324E-2</v>
      </c>
      <c r="K11" s="18"/>
      <c r="M11" s="1"/>
      <c r="O11" s="1">
        <v>5</v>
      </c>
      <c r="P11" s="1">
        <f>'표준점수 등급컷 입력기능'!H58</f>
        <v>45</v>
      </c>
    </row>
    <row r="12" spans="1:16" ht="25" customHeight="1">
      <c r="A12" s="5"/>
      <c r="B12" s="17"/>
      <c r="C12" s="49">
        <v>45</v>
      </c>
      <c r="D12" s="285"/>
      <c r="E12" s="285"/>
      <c r="F12" s="287"/>
      <c r="G12" s="289"/>
      <c r="H12" s="292"/>
      <c r="I12" s="294"/>
      <c r="J12" s="296"/>
      <c r="K12" s="18"/>
      <c r="M12" s="1"/>
      <c r="O12" s="1">
        <v>6</v>
      </c>
      <c r="P12" s="1">
        <f>'표준점수 등급컷 입력기능'!H59</f>
        <v>42</v>
      </c>
    </row>
    <row r="13" spans="1:16" ht="25" customHeight="1">
      <c r="A13" s="5"/>
      <c r="B13" s="17"/>
      <c r="C13" s="42">
        <v>44</v>
      </c>
      <c r="D13" s="43">
        <f t="shared" si="1"/>
        <v>68</v>
      </c>
      <c r="E13" s="43">
        <f t="shared" si="0"/>
        <v>2</v>
      </c>
      <c r="F13" s="44">
        <f t="shared" si="4"/>
        <v>91</v>
      </c>
      <c r="G13" s="45">
        <f>IF(D13=D12,"",_xlfn.IFNA(VLOOKUP(D13,'인원 입력 기능'!$BY$5:$CB$55,4,FALSE),0))</f>
        <v>123</v>
      </c>
      <c r="H13" s="46">
        <f t="shared" si="2"/>
        <v>1.2867454754681451E-2</v>
      </c>
      <c r="I13" s="50">
        <f>SUM($G$7:G13)</f>
        <v>932</v>
      </c>
      <c r="J13" s="48">
        <f t="shared" si="3"/>
        <v>9.7499738466366781E-2</v>
      </c>
      <c r="K13" s="18"/>
      <c r="M13" s="1"/>
      <c r="O13" s="1">
        <v>7</v>
      </c>
      <c r="P13" s="1">
        <f>'표준점수 등급컷 입력기능'!H60</f>
        <v>41</v>
      </c>
    </row>
    <row r="14" spans="1:16" ht="25" customHeight="1">
      <c r="A14" s="5"/>
      <c r="B14" s="17"/>
      <c r="C14" s="49">
        <v>43</v>
      </c>
      <c r="D14" s="43">
        <f t="shared" si="1"/>
        <v>67</v>
      </c>
      <c r="E14" s="43">
        <f t="shared" si="0"/>
        <v>2</v>
      </c>
      <c r="F14" s="44">
        <f t="shared" si="4"/>
        <v>90</v>
      </c>
      <c r="G14" s="45">
        <f>IF(D14=D13,"",_xlfn.IFNA(VLOOKUP(D14,'인원 입력 기능'!$BY$5:$CB$55,4,FALSE),0))</f>
        <v>83</v>
      </c>
      <c r="H14" s="46">
        <f t="shared" si="2"/>
        <v>8.6829166230777272E-3</v>
      </c>
      <c r="I14" s="50">
        <f>SUM($G$7:G14)</f>
        <v>1015</v>
      </c>
      <c r="J14" s="48">
        <f t="shared" si="3"/>
        <v>0.10618265508944451</v>
      </c>
      <c r="K14" s="18"/>
      <c r="M14" s="1"/>
      <c r="O14" s="1">
        <v>8</v>
      </c>
      <c r="P14" s="1">
        <f>'표준점수 등급컷 입력기능'!H61</f>
        <v>39</v>
      </c>
    </row>
    <row r="15" spans="1:16" ht="25" customHeight="1">
      <c r="A15" s="5"/>
      <c r="B15" s="17"/>
      <c r="C15" s="42">
        <v>42</v>
      </c>
      <c r="D15" s="286">
        <f t="shared" si="1"/>
        <v>66</v>
      </c>
      <c r="E15" s="286">
        <f t="shared" si="0"/>
        <v>2</v>
      </c>
      <c r="F15" s="288">
        <f t="shared" si="4"/>
        <v>88</v>
      </c>
      <c r="G15" s="290">
        <f>IF(D15=D14,"",_xlfn.IFNA(VLOOKUP(D15,'인원 입력 기능'!$BY$5:$CB$55,4,FALSE),0))</f>
        <v>253</v>
      </c>
      <c r="H15" s="291">
        <f t="shared" si="2"/>
        <v>2.6467203682393557E-2</v>
      </c>
      <c r="I15" s="293">
        <f>SUM($G$7:G15)</f>
        <v>1268</v>
      </c>
      <c r="J15" s="295">
        <f t="shared" si="3"/>
        <v>0.13264985877183805</v>
      </c>
      <c r="K15" s="18"/>
      <c r="M15" s="1"/>
      <c r="O15" s="1">
        <v>9</v>
      </c>
      <c r="P15" s="1"/>
    </row>
    <row r="16" spans="1:16" ht="25" customHeight="1">
      <c r="A16" s="5"/>
      <c r="B16" s="17"/>
      <c r="C16" s="49">
        <v>41</v>
      </c>
      <c r="D16" s="285"/>
      <c r="E16" s="285"/>
      <c r="F16" s="287"/>
      <c r="G16" s="289"/>
      <c r="H16" s="292"/>
      <c r="I16" s="294"/>
      <c r="J16" s="296"/>
      <c r="K16" s="18"/>
      <c r="M16" s="1"/>
    </row>
    <row r="17" spans="1:16" ht="25" customHeight="1">
      <c r="A17" s="5"/>
      <c r="B17" s="17"/>
      <c r="C17" s="42">
        <v>40</v>
      </c>
      <c r="D17" s="43">
        <f t="shared" si="1"/>
        <v>65</v>
      </c>
      <c r="E17" s="43">
        <f t="shared" si="0"/>
        <v>3</v>
      </c>
      <c r="F17" s="44">
        <f t="shared" si="4"/>
        <v>86</v>
      </c>
      <c r="G17" s="45">
        <f>IF(D17=D16,"",_xlfn.IFNA(VLOOKUP(D17,'인원 입력 기능'!$BY$5:$CB$55,4,FALSE),0))</f>
        <v>117</v>
      </c>
      <c r="H17" s="46">
        <f t="shared" si="2"/>
        <v>1.2239774034940894E-2</v>
      </c>
      <c r="I17" s="50">
        <f>SUM($G$7:G17)</f>
        <v>1385</v>
      </c>
      <c r="J17" s="48">
        <f t="shared" si="3"/>
        <v>0.14488963280677894</v>
      </c>
      <c r="K17" s="18"/>
      <c r="M17" s="1"/>
      <c r="P17" s="1">
        <f>H3*H4*J3*P7*IFERROR(IF(J57=1, 1, 0), 0)</f>
        <v>179952075.072</v>
      </c>
    </row>
    <row r="18" spans="1:16" ht="25" customHeight="1">
      <c r="A18" s="5"/>
      <c r="B18" s="17"/>
      <c r="C18" s="49">
        <v>39</v>
      </c>
      <c r="D18" s="43">
        <f t="shared" si="1"/>
        <v>64</v>
      </c>
      <c r="E18" s="43">
        <f t="shared" si="0"/>
        <v>3</v>
      </c>
      <c r="F18" s="44">
        <f t="shared" si="4"/>
        <v>85</v>
      </c>
      <c r="G18" s="45">
        <f>IF(D18=D17,"",_xlfn.IFNA(VLOOKUP(D18,'인원 입력 기능'!$BY$5:$CB$55,4,FALSE),0))</f>
        <v>122</v>
      </c>
      <c r="H18" s="46">
        <f t="shared" si="2"/>
        <v>1.2762841301391359E-2</v>
      </c>
      <c r="I18" s="50">
        <f>SUM($G$7:G18)</f>
        <v>1507</v>
      </c>
      <c r="J18" s="48">
        <f t="shared" si="3"/>
        <v>0.15765247410817032</v>
      </c>
      <c r="K18" s="18"/>
      <c r="M18" s="1"/>
    </row>
    <row r="19" spans="1:16" ht="25" customHeight="1">
      <c r="A19" s="5"/>
      <c r="B19" s="17"/>
      <c r="C19" s="42">
        <v>38</v>
      </c>
      <c r="D19" s="286">
        <f t="shared" si="1"/>
        <v>63</v>
      </c>
      <c r="E19" s="286">
        <f t="shared" si="0"/>
        <v>3</v>
      </c>
      <c r="F19" s="288">
        <f t="shared" si="4"/>
        <v>83</v>
      </c>
      <c r="G19" s="290">
        <f>IF(D19=D18,"",_xlfn.IFNA(VLOOKUP(D19,'인원 입력 기능'!$BY$5:$CB$55,4,FALSE),0))</f>
        <v>175</v>
      </c>
      <c r="H19" s="291">
        <f t="shared" si="2"/>
        <v>1.8307354325766294E-2</v>
      </c>
      <c r="I19" s="293">
        <f>SUM($G$7:G19)</f>
        <v>1682</v>
      </c>
      <c r="J19" s="295">
        <f t="shared" si="3"/>
        <v>0.17595982843393659</v>
      </c>
      <c r="K19" s="18"/>
      <c r="M19" s="1"/>
    </row>
    <row r="20" spans="1:16" ht="25" customHeight="1">
      <c r="A20" s="5"/>
      <c r="B20" s="17"/>
      <c r="C20" s="49">
        <v>37</v>
      </c>
      <c r="D20" s="285"/>
      <c r="E20" s="285"/>
      <c r="F20" s="287"/>
      <c r="G20" s="289"/>
      <c r="H20" s="292"/>
      <c r="I20" s="294"/>
      <c r="J20" s="296"/>
      <c r="K20" s="18"/>
      <c r="M20" s="1"/>
    </row>
    <row r="21" spans="1:16" ht="25" customHeight="1">
      <c r="A21" s="5"/>
      <c r="B21" s="17"/>
      <c r="C21" s="51">
        <v>36</v>
      </c>
      <c r="D21" s="53">
        <f t="shared" si="1"/>
        <v>62</v>
      </c>
      <c r="E21" s="53">
        <f t="shared" si="0"/>
        <v>3</v>
      </c>
      <c r="F21" s="44">
        <f t="shared" si="4"/>
        <v>82</v>
      </c>
      <c r="G21" s="45">
        <f>IF(D21=D20,"",_xlfn.IFNA(VLOOKUP(D21,'인원 입력 기능'!$BY$5:$CB$55,4,FALSE),0))</f>
        <v>88</v>
      </c>
      <c r="H21" s="46">
        <f t="shared" si="2"/>
        <v>9.2059838895281933E-3</v>
      </c>
      <c r="I21" s="50">
        <f>SUM($G$7:G21)</f>
        <v>1770</v>
      </c>
      <c r="J21" s="48">
        <f t="shared" si="3"/>
        <v>0.1851658123234648</v>
      </c>
      <c r="K21" s="18"/>
      <c r="M21" s="1"/>
    </row>
    <row r="22" spans="1:16" ht="25" customHeight="1">
      <c r="A22" s="5"/>
      <c r="B22" s="17"/>
      <c r="C22" s="52">
        <v>35</v>
      </c>
      <c r="D22" s="53">
        <f t="shared" si="1"/>
        <v>61</v>
      </c>
      <c r="E22" s="53">
        <f t="shared" si="0"/>
        <v>3</v>
      </c>
      <c r="F22" s="44">
        <f t="shared" si="4"/>
        <v>81</v>
      </c>
      <c r="G22" s="45">
        <f>IF(D22=D21,"",_xlfn.IFNA(VLOOKUP(D22,'인원 입력 기능'!$BY$5:$CB$55,4,FALSE),0))</f>
        <v>76</v>
      </c>
      <c r="H22" s="46">
        <f t="shared" si="2"/>
        <v>7.9506224500470752E-3</v>
      </c>
      <c r="I22" s="50">
        <f>SUM($G$7:G22)</f>
        <v>1846</v>
      </c>
      <c r="J22" s="48">
        <f t="shared" si="3"/>
        <v>0.19311643477351187</v>
      </c>
      <c r="K22" s="18"/>
      <c r="M22" s="1"/>
    </row>
    <row r="23" spans="1:16" ht="25" customHeight="1">
      <c r="A23" s="5"/>
      <c r="B23" s="17"/>
      <c r="C23" s="51">
        <v>34</v>
      </c>
      <c r="D23" s="298">
        <f t="shared" si="1"/>
        <v>60</v>
      </c>
      <c r="E23" s="298">
        <f t="shared" si="0"/>
        <v>3</v>
      </c>
      <c r="F23" s="288">
        <f t="shared" si="4"/>
        <v>80</v>
      </c>
      <c r="G23" s="290">
        <f>IF(D23=D22,"",_xlfn.IFNA(VLOOKUP(D23,'인원 입력 기능'!$BY$5:$CB$55,4,FALSE),0))</f>
        <v>171</v>
      </c>
      <c r="H23" s="291">
        <f t="shared" si="2"/>
        <v>1.7888900512605922E-2</v>
      </c>
      <c r="I23" s="293">
        <f>SUM($G$7:G23)</f>
        <v>2017</v>
      </c>
      <c r="J23" s="295">
        <f t="shared" si="3"/>
        <v>0.21100533528611778</v>
      </c>
      <c r="K23" s="18"/>
      <c r="M23" s="1"/>
    </row>
    <row r="24" spans="1:16" ht="25" customHeight="1">
      <c r="A24" s="5"/>
      <c r="B24" s="17"/>
      <c r="C24" s="52">
        <v>33</v>
      </c>
      <c r="D24" s="297"/>
      <c r="E24" s="297"/>
      <c r="F24" s="287"/>
      <c r="G24" s="289"/>
      <c r="H24" s="292"/>
      <c r="I24" s="294"/>
      <c r="J24" s="296"/>
      <c r="K24" s="18"/>
      <c r="M24" s="1"/>
    </row>
    <row r="25" spans="1:16" ht="25" customHeight="1">
      <c r="A25" s="5"/>
      <c r="B25" s="17"/>
      <c r="C25" s="51">
        <v>32</v>
      </c>
      <c r="D25" s="53">
        <f t="shared" si="1"/>
        <v>59</v>
      </c>
      <c r="E25" s="53">
        <f t="shared" si="0"/>
        <v>3</v>
      </c>
      <c r="F25" s="44">
        <f t="shared" si="4"/>
        <v>78</v>
      </c>
      <c r="G25" s="45">
        <f>IF(D25=D24,"",_xlfn.IFNA(VLOOKUP(D25,'인원 입력 기능'!$BY$5:$CB$55,4,FALSE),0))</f>
        <v>103</v>
      </c>
      <c r="H25" s="46">
        <f t="shared" si="2"/>
        <v>1.077518568887959E-2</v>
      </c>
      <c r="I25" s="50">
        <f>SUM($G$7:G25)</f>
        <v>2120</v>
      </c>
      <c r="J25" s="48">
        <f t="shared" si="3"/>
        <v>0.2217805209749974</v>
      </c>
      <c r="K25" s="18"/>
      <c r="M25" s="1"/>
    </row>
    <row r="26" spans="1:16" ht="25" customHeight="1">
      <c r="A26" s="5"/>
      <c r="B26" s="17"/>
      <c r="C26" s="52">
        <v>31</v>
      </c>
      <c r="D26" s="53">
        <f t="shared" si="1"/>
        <v>58</v>
      </c>
      <c r="E26" s="53">
        <f t="shared" si="0"/>
        <v>3</v>
      </c>
      <c r="F26" s="44">
        <f t="shared" si="4"/>
        <v>77</v>
      </c>
      <c r="G26" s="45">
        <f>IF(D26=D25,"",_xlfn.IFNA(VLOOKUP(D26,'인원 입력 기능'!$BY$5:$CB$55,4,FALSE),0))</f>
        <v>102</v>
      </c>
      <c r="H26" s="46">
        <f t="shared" si="2"/>
        <v>1.0670572235589497E-2</v>
      </c>
      <c r="I26" s="50">
        <f>SUM($G$7:G26)</f>
        <v>2222</v>
      </c>
      <c r="J26" s="48">
        <f t="shared" si="3"/>
        <v>0.23245109321058688</v>
      </c>
      <c r="K26" s="18"/>
      <c r="M26" s="1"/>
    </row>
    <row r="27" spans="1:16" ht="25" customHeight="1">
      <c r="A27" s="5"/>
      <c r="B27" s="17"/>
      <c r="C27" s="51">
        <v>30</v>
      </c>
      <c r="D27" s="298">
        <f t="shared" si="1"/>
        <v>57</v>
      </c>
      <c r="E27" s="298">
        <f t="shared" si="0"/>
        <v>4</v>
      </c>
      <c r="F27" s="288">
        <f t="shared" si="4"/>
        <v>76</v>
      </c>
      <c r="G27" s="290">
        <f>IF(D27=D26,"",_xlfn.IFNA(VLOOKUP(D27,'인원 입력 기능'!$BY$5:$CB$55,4,FALSE),0))</f>
        <v>178</v>
      </c>
      <c r="H27" s="291">
        <f t="shared" si="2"/>
        <v>1.8621194685636572E-2</v>
      </c>
      <c r="I27" s="293">
        <f>SUM($G$7:G27)</f>
        <v>2400</v>
      </c>
      <c r="J27" s="295">
        <f t="shared" si="3"/>
        <v>0.25107228789622343</v>
      </c>
      <c r="K27" s="18"/>
      <c r="M27" s="1"/>
    </row>
    <row r="28" spans="1:16" ht="25" customHeight="1">
      <c r="A28" s="5"/>
      <c r="B28" s="17"/>
      <c r="C28" s="52">
        <v>29</v>
      </c>
      <c r="D28" s="297"/>
      <c r="E28" s="297"/>
      <c r="F28" s="287"/>
      <c r="G28" s="289"/>
      <c r="H28" s="292"/>
      <c r="I28" s="294"/>
      <c r="J28" s="296"/>
      <c r="K28" s="18"/>
      <c r="M28" s="1"/>
    </row>
    <row r="29" spans="1:16" ht="25" customHeight="1">
      <c r="A29" s="5"/>
      <c r="B29" s="17"/>
      <c r="C29" s="51">
        <v>28</v>
      </c>
      <c r="D29" s="53">
        <f t="shared" si="1"/>
        <v>56</v>
      </c>
      <c r="E29" s="53">
        <f t="shared" si="0"/>
        <v>4</v>
      </c>
      <c r="F29" s="44">
        <f t="shared" si="4"/>
        <v>74</v>
      </c>
      <c r="G29" s="45">
        <f>IF(D29=D28,"",_xlfn.IFNA(VLOOKUP(D29,'인원 입력 기능'!$BY$5:$CB$55,4,FALSE),0))</f>
        <v>90</v>
      </c>
      <c r="H29" s="46">
        <f t="shared" si="2"/>
        <v>9.4152107961083791E-3</v>
      </c>
      <c r="I29" s="50">
        <f>SUM($G$7:G29)</f>
        <v>2490</v>
      </c>
      <c r="J29" s="48">
        <f t="shared" si="3"/>
        <v>0.26048749869233184</v>
      </c>
      <c r="K29" s="18"/>
      <c r="M29" s="1"/>
    </row>
    <row r="30" spans="1:16" ht="25" customHeight="1">
      <c r="A30" s="5"/>
      <c r="B30" s="17"/>
      <c r="C30" s="52">
        <v>27</v>
      </c>
      <c r="D30" s="53">
        <f t="shared" si="1"/>
        <v>55</v>
      </c>
      <c r="E30" s="53">
        <f t="shared" si="0"/>
        <v>4</v>
      </c>
      <c r="F30" s="44">
        <f t="shared" si="4"/>
        <v>73</v>
      </c>
      <c r="G30" s="45">
        <f>IF(D30=D29,"",_xlfn.IFNA(VLOOKUP(D30,'인원 입력 기능'!$BY$5:$CB$55,4,FALSE),0))</f>
        <v>127</v>
      </c>
      <c r="H30" s="46">
        <f t="shared" si="2"/>
        <v>1.3285908567841825E-2</v>
      </c>
      <c r="I30" s="50">
        <f>SUM($G$7:G30)</f>
        <v>2617</v>
      </c>
      <c r="J30" s="48">
        <f t="shared" si="3"/>
        <v>0.27377340726017368</v>
      </c>
      <c r="K30" s="18"/>
      <c r="M30" s="1"/>
    </row>
    <row r="31" spans="1:16" ht="25" customHeight="1">
      <c r="A31" s="5"/>
      <c r="B31" s="17"/>
      <c r="C31" s="51">
        <v>26</v>
      </c>
      <c r="D31" s="298">
        <f t="shared" si="1"/>
        <v>54</v>
      </c>
      <c r="E31" s="298">
        <f t="shared" si="0"/>
        <v>4</v>
      </c>
      <c r="F31" s="288">
        <f t="shared" si="4"/>
        <v>71</v>
      </c>
      <c r="G31" s="290">
        <f>IF(D31=D30,"",_xlfn.IFNA(VLOOKUP(D31,'인원 입력 기능'!$BY$5:$CB$55,4,FALSE),0))</f>
        <v>221</v>
      </c>
      <c r="H31" s="291">
        <f t="shared" si="2"/>
        <v>2.3119573177110577E-2</v>
      </c>
      <c r="I31" s="293">
        <f>SUM($G$7:G31)</f>
        <v>2838</v>
      </c>
      <c r="J31" s="295">
        <f t="shared" si="3"/>
        <v>0.29689298043728424</v>
      </c>
      <c r="K31" s="18"/>
      <c r="M31" s="1"/>
    </row>
    <row r="32" spans="1:16" ht="25" customHeight="1">
      <c r="A32" s="5"/>
      <c r="B32" s="17"/>
      <c r="C32" s="52">
        <v>25</v>
      </c>
      <c r="D32" s="297"/>
      <c r="E32" s="297"/>
      <c r="F32" s="287"/>
      <c r="G32" s="289"/>
      <c r="H32" s="292"/>
      <c r="I32" s="294"/>
      <c r="J32" s="296"/>
      <c r="K32" s="18"/>
      <c r="M32" s="1"/>
    </row>
    <row r="33" spans="1:13" ht="25" customHeight="1">
      <c r="A33" s="5"/>
      <c r="B33" s="17"/>
      <c r="C33" s="51">
        <v>24</v>
      </c>
      <c r="D33" s="53">
        <f t="shared" si="1"/>
        <v>53</v>
      </c>
      <c r="E33" s="53">
        <f t="shared" si="0"/>
        <v>4</v>
      </c>
      <c r="F33" s="44">
        <f t="shared" si="4"/>
        <v>70</v>
      </c>
      <c r="G33" s="45">
        <f>IF(D33=D32,"",_xlfn.IFNA(VLOOKUP(D33,'인원 입력 기능'!$BY$5:$CB$55,4,FALSE),0))</f>
        <v>149</v>
      </c>
      <c r="H33" s="46">
        <f t="shared" si="2"/>
        <v>1.5587404540223873E-2</v>
      </c>
      <c r="I33" s="50">
        <f>SUM($G$7:G33)</f>
        <v>2987</v>
      </c>
      <c r="J33" s="48">
        <f t="shared" si="3"/>
        <v>0.31248038497750813</v>
      </c>
      <c r="K33" s="18"/>
      <c r="M33" s="1"/>
    </row>
    <row r="34" spans="1:13" ht="25" customHeight="1">
      <c r="A34" s="5"/>
      <c r="B34" s="17"/>
      <c r="C34" s="52">
        <v>23</v>
      </c>
      <c r="D34" s="53">
        <f t="shared" si="1"/>
        <v>52</v>
      </c>
      <c r="E34" s="53">
        <f t="shared" si="0"/>
        <v>4</v>
      </c>
      <c r="F34" s="44">
        <f t="shared" si="4"/>
        <v>68</v>
      </c>
      <c r="G34" s="45">
        <f>IF(D34=D33,"",_xlfn.IFNA(VLOOKUP(D34,'인원 입력 기능'!$BY$5:$CB$55,4,FALSE),0))</f>
        <v>130</v>
      </c>
      <c r="H34" s="46">
        <f t="shared" si="2"/>
        <v>1.3599748927712103E-2</v>
      </c>
      <c r="I34" s="50">
        <f>SUM($G$7:G34)</f>
        <v>3117</v>
      </c>
      <c r="J34" s="48">
        <f t="shared" si="3"/>
        <v>0.32608013390522023</v>
      </c>
      <c r="K34" s="18"/>
      <c r="M34" s="1"/>
    </row>
    <row r="35" spans="1:13" ht="25" customHeight="1">
      <c r="A35" s="5"/>
      <c r="B35" s="17"/>
      <c r="C35" s="51">
        <v>22</v>
      </c>
      <c r="D35" s="298">
        <f t="shared" si="1"/>
        <v>51</v>
      </c>
      <c r="E35" s="298">
        <f t="shared" si="0"/>
        <v>4</v>
      </c>
      <c r="F35" s="288">
        <f t="shared" si="4"/>
        <v>66</v>
      </c>
      <c r="G35" s="290">
        <f>IF(D35=D34,"",_xlfn.IFNA(VLOOKUP(D35,'인원 입력 기능'!$BY$5:$CB$55,4,FALSE),0))</f>
        <v>332</v>
      </c>
      <c r="H35" s="291">
        <f t="shared" si="2"/>
        <v>3.4731666492310909E-2</v>
      </c>
      <c r="I35" s="293">
        <f>SUM($G$7:G35)</f>
        <v>3449</v>
      </c>
      <c r="J35" s="295">
        <f t="shared" si="3"/>
        <v>0.36081180039753113</v>
      </c>
      <c r="K35" s="18"/>
      <c r="M35" s="1"/>
    </row>
    <row r="36" spans="1:13" ht="25" customHeight="1">
      <c r="A36" s="5"/>
      <c r="B36" s="17"/>
      <c r="C36" s="52">
        <v>21</v>
      </c>
      <c r="D36" s="297"/>
      <c r="E36" s="297"/>
      <c r="F36" s="287"/>
      <c r="G36" s="289"/>
      <c r="H36" s="292"/>
      <c r="I36" s="294"/>
      <c r="J36" s="296"/>
      <c r="K36" s="18"/>
      <c r="M36" s="1"/>
    </row>
    <row r="37" spans="1:13" ht="25" customHeight="1">
      <c r="A37" s="5"/>
      <c r="B37" s="17"/>
      <c r="C37" s="51">
        <v>20</v>
      </c>
      <c r="D37" s="53">
        <f t="shared" si="1"/>
        <v>50</v>
      </c>
      <c r="E37" s="53">
        <f t="shared" si="0"/>
        <v>4</v>
      </c>
      <c r="F37" s="44">
        <f t="shared" si="4"/>
        <v>63</v>
      </c>
      <c r="G37" s="45">
        <f>IF(D37=D36,"",_xlfn.IFNA(VLOOKUP(D37,'인원 입력 기능'!$BY$5:$CB$55,4,FALSE),0))</f>
        <v>198</v>
      </c>
      <c r="H37" s="46">
        <f t="shared" si="2"/>
        <v>2.0713463751438434E-2</v>
      </c>
      <c r="I37" s="50">
        <f>SUM($G$7:G37)</f>
        <v>3647</v>
      </c>
      <c r="J37" s="48">
        <f t="shared" si="3"/>
        <v>0.38152526414896953</v>
      </c>
      <c r="K37" s="18"/>
      <c r="M37" s="1"/>
    </row>
    <row r="38" spans="1:13" ht="25" customHeight="1">
      <c r="A38" s="5"/>
      <c r="B38" s="17"/>
      <c r="C38" s="52">
        <v>19</v>
      </c>
      <c r="D38" s="53">
        <f t="shared" si="1"/>
        <v>49</v>
      </c>
      <c r="E38" s="53">
        <f t="shared" si="0"/>
        <v>4</v>
      </c>
      <c r="F38" s="44">
        <f t="shared" si="4"/>
        <v>61</v>
      </c>
      <c r="G38" s="45">
        <f>IF(D38=D37,"",_xlfn.IFNA(VLOOKUP(D38,'인원 입력 기능'!$BY$5:$CB$55,4,FALSE),0))</f>
        <v>219</v>
      </c>
      <c r="H38" s="46">
        <f t="shared" si="2"/>
        <v>2.2910346270530391E-2</v>
      </c>
      <c r="I38" s="50">
        <f>SUM($G$7:G38)</f>
        <v>3866</v>
      </c>
      <c r="J38" s="48">
        <f t="shared" si="3"/>
        <v>0.40443561041949994</v>
      </c>
      <c r="K38" s="18"/>
      <c r="M38" s="1"/>
    </row>
    <row r="39" spans="1:13" ht="25" customHeight="1">
      <c r="A39" s="5"/>
      <c r="B39" s="17"/>
      <c r="C39" s="51">
        <v>18</v>
      </c>
      <c r="D39" s="298">
        <f t="shared" si="1"/>
        <v>48</v>
      </c>
      <c r="E39" s="298">
        <f t="shared" ref="E39:E57" si="5">IF(ROUND(D39,0)&gt;=$P$7,1,IF(ROUND(D39,0)&gt;=$P$8,2,IF(ROUND(D39,0)&gt;=$P$9,3,IF(ROUND(D39,0)&gt;=$P$10,4,IF(ROUND(D39,0)&gt;=$P$11,5,IF(ROUND(D39,0)&gt;=$P$12,6,IF(ROUND(D39,0)&gt;=$P$13,7,IF(ROUND(D39,0)&gt;=$P$14,8,9))))))))</f>
        <v>5</v>
      </c>
      <c r="F39" s="288">
        <f t="shared" si="4"/>
        <v>57</v>
      </c>
      <c r="G39" s="290">
        <f>IF(D39=D38,"",_xlfn.IFNA(VLOOKUP(D39,'인원 입력 기능'!$BY$5:$CB$55,4,FALSE),0))</f>
        <v>513</v>
      </c>
      <c r="H39" s="291">
        <f t="shared" si="2"/>
        <v>5.3666701537817767E-2</v>
      </c>
      <c r="I39" s="293">
        <f>SUM($G$7:G39)</f>
        <v>4379</v>
      </c>
      <c r="J39" s="295">
        <f t="shared" si="3"/>
        <v>0.45810231195731771</v>
      </c>
      <c r="K39" s="18"/>
      <c r="M39" s="1"/>
    </row>
    <row r="40" spans="1:13" ht="25" customHeight="1">
      <c r="A40" s="5"/>
      <c r="B40" s="17"/>
      <c r="C40" s="52">
        <v>17</v>
      </c>
      <c r="D40" s="297"/>
      <c r="E40" s="297"/>
      <c r="F40" s="287"/>
      <c r="G40" s="289"/>
      <c r="H40" s="292"/>
      <c r="I40" s="294"/>
      <c r="J40" s="296"/>
      <c r="K40" s="18"/>
      <c r="M40" s="1"/>
    </row>
    <row r="41" spans="1:13" ht="25" customHeight="1">
      <c r="A41" s="5"/>
      <c r="B41" s="17"/>
      <c r="C41" s="51">
        <v>16</v>
      </c>
      <c r="D41" s="53">
        <f t="shared" si="1"/>
        <v>47</v>
      </c>
      <c r="E41" s="53">
        <f t="shared" si="5"/>
        <v>5</v>
      </c>
      <c r="F41" s="44">
        <f t="shared" si="4"/>
        <v>53</v>
      </c>
      <c r="G41" s="45">
        <f>IF(D41=D40,"",_xlfn.IFNA(VLOOKUP(D41,'인원 입력 기능'!$BY$5:$CB$55,4,FALSE),0))</f>
        <v>300</v>
      </c>
      <c r="H41" s="46">
        <f t="shared" si="2"/>
        <v>3.1384035987027929E-2</v>
      </c>
      <c r="I41" s="50">
        <f>SUM($G$7:G41)</f>
        <v>4679</v>
      </c>
      <c r="J41" s="48">
        <f t="shared" si="3"/>
        <v>0.48948634794434565</v>
      </c>
      <c r="K41" s="18"/>
      <c r="M41" s="1"/>
    </row>
    <row r="42" spans="1:13" ht="25" customHeight="1">
      <c r="A42" s="5"/>
      <c r="B42" s="17"/>
      <c r="C42" s="52">
        <v>15</v>
      </c>
      <c r="D42" s="53">
        <f t="shared" si="1"/>
        <v>46</v>
      </c>
      <c r="E42" s="53">
        <f t="shared" si="5"/>
        <v>5</v>
      </c>
      <c r="F42" s="44">
        <f t="shared" si="4"/>
        <v>49</v>
      </c>
      <c r="G42" s="45">
        <f>IF(D42=D41,"",_xlfn.IFNA(VLOOKUP(D42,'인원 입력 기능'!$BY$5:$CB$55,4,FALSE),0))</f>
        <v>338</v>
      </c>
      <c r="H42" s="46">
        <f t="shared" si="2"/>
        <v>3.5359347212051473E-2</v>
      </c>
      <c r="I42" s="50">
        <f>SUM($G$7:G42)</f>
        <v>5017</v>
      </c>
      <c r="J42" s="48">
        <f t="shared" si="3"/>
        <v>0.52484569515639712</v>
      </c>
      <c r="K42" s="18"/>
      <c r="M42" s="1"/>
    </row>
    <row r="43" spans="1:13" ht="25" customHeight="1">
      <c r="A43" s="5"/>
      <c r="B43" s="17"/>
      <c r="C43" s="51">
        <v>14</v>
      </c>
      <c r="D43" s="298">
        <f t="shared" si="1"/>
        <v>45</v>
      </c>
      <c r="E43" s="298">
        <f t="shared" si="5"/>
        <v>5</v>
      </c>
      <c r="F43" s="288">
        <f t="shared" si="4"/>
        <v>43</v>
      </c>
      <c r="G43" s="290">
        <f>IF(D43=D42,"",_xlfn.IFNA(VLOOKUP(D43,'인원 입력 기능'!$BY$5:$CB$55,4,FALSE),0))</f>
        <v>902</v>
      </c>
      <c r="H43" s="291">
        <f t="shared" si="2"/>
        <v>9.4361334867663987E-2</v>
      </c>
      <c r="I43" s="293">
        <f>SUM($G$7:G43)</f>
        <v>5919</v>
      </c>
      <c r="J43" s="295">
        <f t="shared" si="3"/>
        <v>0.61920703002406108</v>
      </c>
      <c r="K43" s="18"/>
      <c r="M43" s="1"/>
    </row>
    <row r="44" spans="1:13" ht="25" customHeight="1">
      <c r="A44" s="5"/>
      <c r="B44" s="17"/>
      <c r="C44" s="52">
        <v>13</v>
      </c>
      <c r="D44" s="297"/>
      <c r="E44" s="297"/>
      <c r="F44" s="287"/>
      <c r="G44" s="289"/>
      <c r="H44" s="292"/>
      <c r="I44" s="294"/>
      <c r="J44" s="296"/>
      <c r="K44" s="18"/>
      <c r="M44" s="1"/>
    </row>
    <row r="45" spans="1:13" ht="25" customHeight="1">
      <c r="A45" s="5"/>
      <c r="B45" s="17"/>
      <c r="C45" s="51">
        <v>12</v>
      </c>
      <c r="D45" s="53">
        <f t="shared" si="1"/>
        <v>44</v>
      </c>
      <c r="E45" s="53">
        <f t="shared" si="5"/>
        <v>6</v>
      </c>
      <c r="F45" s="44">
        <f t="shared" si="4"/>
        <v>36</v>
      </c>
      <c r="G45" s="45">
        <f>IF(D45=D44,"",_xlfn.IFNA(VLOOKUP(D45,'인원 입력 기능'!$BY$5:$CB$55,4,FALSE),0))</f>
        <v>413</v>
      </c>
      <c r="H45" s="46">
        <f t="shared" si="2"/>
        <v>4.320535620880845E-2</v>
      </c>
      <c r="I45" s="50">
        <f>SUM($G$7:G45)</f>
        <v>6332</v>
      </c>
      <c r="J45" s="48">
        <f t="shared" si="3"/>
        <v>0.66241238623286958</v>
      </c>
      <c r="K45" s="18"/>
      <c r="M45" s="1"/>
    </row>
    <row r="46" spans="1:13" ht="25" customHeight="1">
      <c r="A46" s="5"/>
      <c r="B46" s="17"/>
      <c r="C46" s="52">
        <v>11</v>
      </c>
      <c r="D46" s="53">
        <f t="shared" si="1"/>
        <v>43</v>
      </c>
      <c r="E46" s="53">
        <f t="shared" si="5"/>
        <v>6</v>
      </c>
      <c r="F46" s="44">
        <f t="shared" si="4"/>
        <v>30</v>
      </c>
      <c r="G46" s="45">
        <f>IF(D46=D45,"",_xlfn.IFNA(VLOOKUP(D46,'인원 입력 기능'!$BY$5:$CB$55,4,FALSE),0))</f>
        <v>634</v>
      </c>
      <c r="H46" s="46">
        <f t="shared" si="2"/>
        <v>6.6324929385919024E-2</v>
      </c>
      <c r="I46" s="50">
        <f>SUM($G$7:G46)</f>
        <v>6966</v>
      </c>
      <c r="J46" s="48">
        <f t="shared" si="3"/>
        <v>0.72873731561878863</v>
      </c>
      <c r="K46" s="18"/>
      <c r="M46" s="1"/>
    </row>
    <row r="47" spans="1:13" ht="25" customHeight="1">
      <c r="A47" s="5"/>
      <c r="B47" s="17"/>
      <c r="C47" s="51">
        <v>10</v>
      </c>
      <c r="D47" s="298">
        <f t="shared" si="1"/>
        <v>42</v>
      </c>
      <c r="E47" s="298">
        <f t="shared" si="5"/>
        <v>6</v>
      </c>
      <c r="F47" s="288">
        <f t="shared" si="4"/>
        <v>23</v>
      </c>
      <c r="G47" s="290">
        <f>IF(D47=D46,"",_xlfn.IFNA(VLOOKUP(D47,'인원 입력 기능'!$BY$5:$CB$55,4,FALSE),0))</f>
        <v>848</v>
      </c>
      <c r="H47" s="291">
        <f t="shared" si="2"/>
        <v>8.8712208389998951E-2</v>
      </c>
      <c r="I47" s="293">
        <f>SUM($G$7:G47)</f>
        <v>7814</v>
      </c>
      <c r="J47" s="295">
        <f t="shared" si="3"/>
        <v>0.81744952400878756</v>
      </c>
      <c r="K47" s="18"/>
      <c r="M47" s="1"/>
    </row>
    <row r="48" spans="1:13" ht="25" customHeight="1">
      <c r="A48" s="5"/>
      <c r="B48" s="17"/>
      <c r="C48" s="52">
        <v>9</v>
      </c>
      <c r="D48" s="297"/>
      <c r="E48" s="297"/>
      <c r="F48" s="287"/>
      <c r="G48" s="289"/>
      <c r="H48" s="292"/>
      <c r="I48" s="294"/>
      <c r="J48" s="296"/>
      <c r="K48" s="18"/>
      <c r="M48" s="1"/>
    </row>
    <row r="49" spans="1:13" ht="25" customHeight="1">
      <c r="A49" s="5"/>
      <c r="B49" s="17"/>
      <c r="C49" s="51">
        <v>8</v>
      </c>
      <c r="D49" s="53">
        <f t="shared" si="1"/>
        <v>41</v>
      </c>
      <c r="E49" s="53">
        <f t="shared" si="5"/>
        <v>7</v>
      </c>
      <c r="F49" s="44">
        <f t="shared" si="4"/>
        <v>14</v>
      </c>
      <c r="G49" s="45">
        <f>IF(D49=D48,"",_xlfn.IFNA(VLOOKUP(D49,'인원 입력 기능'!$BY$5:$CB$55,4,FALSE),0))</f>
        <v>844</v>
      </c>
      <c r="H49" s="46">
        <f t="shared" si="2"/>
        <v>8.8293754576838579E-2</v>
      </c>
      <c r="I49" s="50">
        <f>SUM($G$7:G49)</f>
        <v>8658</v>
      </c>
      <c r="J49" s="48">
        <f t="shared" si="3"/>
        <v>0.90574327858562609</v>
      </c>
      <c r="K49" s="18"/>
      <c r="M49" s="1"/>
    </row>
    <row r="50" spans="1:13" ht="25" customHeight="1">
      <c r="A50" s="5"/>
      <c r="B50" s="17"/>
      <c r="C50" s="52">
        <v>7</v>
      </c>
      <c r="D50" s="53">
        <f t="shared" si="1"/>
        <v>40</v>
      </c>
      <c r="E50" s="53">
        <f t="shared" si="5"/>
        <v>8</v>
      </c>
      <c r="F50" s="44">
        <f t="shared" si="4"/>
        <v>8</v>
      </c>
      <c r="G50" s="45">
        <f>IF(D50=D49,"",_xlfn.IFNA(VLOOKUP(D50,'인원 입력 기능'!$BY$5:$CB$55,4,FALSE),0))</f>
        <v>289</v>
      </c>
      <c r="H50" s="46">
        <f t="shared" si="2"/>
        <v>3.0233288000836907E-2</v>
      </c>
      <c r="I50" s="50">
        <f>SUM($G$7:G50)</f>
        <v>8947</v>
      </c>
      <c r="J50" s="48">
        <f t="shared" si="3"/>
        <v>0.935976566586463</v>
      </c>
      <c r="K50" s="18"/>
      <c r="M50" s="1"/>
    </row>
    <row r="51" spans="1:13" ht="25" customHeight="1">
      <c r="A51" s="5"/>
      <c r="B51" s="17"/>
      <c r="C51" s="51">
        <v>6</v>
      </c>
      <c r="D51" s="298">
        <f t="shared" si="1"/>
        <v>39</v>
      </c>
      <c r="E51" s="298">
        <f t="shared" si="5"/>
        <v>8</v>
      </c>
      <c r="F51" s="288">
        <f t="shared" si="4"/>
        <v>5</v>
      </c>
      <c r="G51" s="290">
        <f>IF(D51=D50,"",_xlfn.IFNA(VLOOKUP(D51,'인원 입력 기능'!$BY$5:$CB$55,4,FALSE),0))</f>
        <v>353</v>
      </c>
      <c r="H51" s="291">
        <f t="shared" si="2"/>
        <v>3.692854901140287E-2</v>
      </c>
      <c r="I51" s="293">
        <f>SUM($G$7:G51)</f>
        <v>9300</v>
      </c>
      <c r="J51" s="295">
        <f t="shared" si="3"/>
        <v>0.97290511559786585</v>
      </c>
      <c r="K51" s="18"/>
      <c r="M51" s="1"/>
    </row>
    <row r="52" spans="1:13" ht="25" customHeight="1">
      <c r="A52" s="5"/>
      <c r="B52" s="17"/>
      <c r="C52" s="52">
        <v>5</v>
      </c>
      <c r="D52" s="297"/>
      <c r="E52" s="297"/>
      <c r="F52" s="287"/>
      <c r="G52" s="289"/>
      <c r="H52" s="292"/>
      <c r="I52" s="294"/>
      <c r="J52" s="296"/>
      <c r="K52" s="18"/>
      <c r="M52" s="1"/>
    </row>
    <row r="53" spans="1:13" ht="25" customHeight="1">
      <c r="A53" s="5"/>
      <c r="B53" s="17"/>
      <c r="C53" s="42">
        <v>4</v>
      </c>
      <c r="D53" s="43">
        <f t="shared" si="1"/>
        <v>38</v>
      </c>
      <c r="E53" s="43">
        <f t="shared" si="5"/>
        <v>9</v>
      </c>
      <c r="F53" s="44">
        <f t="shared" si="4"/>
        <v>2</v>
      </c>
      <c r="G53" s="45">
        <f>IF(D53=D52,"",_xlfn.IFNA(VLOOKUP(D53,'인원 입력 기능'!$BY$5:$CB$55,4,FALSE),0))</f>
        <v>102</v>
      </c>
      <c r="H53" s="46">
        <f t="shared" si="2"/>
        <v>1.0670572235589497E-2</v>
      </c>
      <c r="I53" s="50">
        <f>SUM($G$7:G53)</f>
        <v>9402</v>
      </c>
      <c r="J53" s="48">
        <f t="shared" si="3"/>
        <v>0.98357568783345539</v>
      </c>
      <c r="K53" s="18"/>
      <c r="M53" s="1"/>
    </row>
    <row r="54" spans="1:13" ht="25" customHeight="1">
      <c r="A54" s="5"/>
      <c r="B54" s="17"/>
      <c r="C54" s="49">
        <v>3</v>
      </c>
      <c r="D54" s="43">
        <f t="shared" si="1"/>
        <v>37</v>
      </c>
      <c r="E54" s="43">
        <f t="shared" si="5"/>
        <v>9</v>
      </c>
      <c r="F54" s="44">
        <f t="shared" si="4"/>
        <v>1</v>
      </c>
      <c r="G54" s="45">
        <f>IF(D54=D53,"",_xlfn.IFNA(VLOOKUP(D54,'인원 입력 기능'!$BY$5:$CB$55,4,FALSE),0))</f>
        <v>61</v>
      </c>
      <c r="H54" s="46">
        <f t="shared" si="2"/>
        <v>6.3814206506956793E-3</v>
      </c>
      <c r="I54" s="50">
        <f>SUM($G$7:G54)</f>
        <v>9463</v>
      </c>
      <c r="J54" s="48">
        <f t="shared" si="3"/>
        <v>0.98995710848415108</v>
      </c>
      <c r="K54" s="18"/>
      <c r="M54" s="1"/>
    </row>
    <row r="55" spans="1:13" ht="25" customHeight="1">
      <c r="A55" s="5"/>
      <c r="B55" s="17"/>
      <c r="C55" s="42">
        <v>2</v>
      </c>
      <c r="D55" s="43">
        <f t="shared" si="1"/>
        <v>36</v>
      </c>
      <c r="E55" s="43">
        <f t="shared" si="5"/>
        <v>9</v>
      </c>
      <c r="F55" s="44">
        <f t="shared" si="4"/>
        <v>1</v>
      </c>
      <c r="G55" s="45">
        <f>IF(D55=D54,"",_xlfn.IFNA(VLOOKUP(D55,'인원 입력 기능'!$BY$5:$CB$55,4,FALSE),0))</f>
        <v>70</v>
      </c>
      <c r="H55" s="46">
        <f t="shared" si="2"/>
        <v>7.322941730306517E-3</v>
      </c>
      <c r="I55" s="50">
        <f>SUM($G$7:G55)</f>
        <v>9533</v>
      </c>
      <c r="J55" s="48">
        <f t="shared" si="3"/>
        <v>0.99728005021445754</v>
      </c>
      <c r="K55" s="18"/>
      <c r="M55" s="1"/>
    </row>
    <row r="56" spans="1:13" ht="25" customHeight="1">
      <c r="A56" s="5"/>
      <c r="B56" s="17"/>
      <c r="C56" s="49">
        <v>1</v>
      </c>
      <c r="D56" s="111" t="s">
        <v>31</v>
      </c>
      <c r="E56" s="112"/>
      <c r="F56" s="112"/>
      <c r="G56" s="112"/>
      <c r="H56" s="112"/>
      <c r="I56" s="112"/>
      <c r="J56" s="113"/>
      <c r="K56" s="18"/>
      <c r="M56" s="1"/>
    </row>
    <row r="57" spans="1:13" ht="25" customHeight="1" thickBot="1">
      <c r="A57" s="5"/>
      <c r="B57" s="17"/>
      <c r="C57" s="57">
        <v>0</v>
      </c>
      <c r="D57" s="58">
        <f>ROUND(10*(C57-$H$3)/$H$4+50,0)</f>
        <v>35</v>
      </c>
      <c r="E57" s="59">
        <f t="shared" si="5"/>
        <v>9</v>
      </c>
      <c r="F57" s="60">
        <f>IF(I55=0,ROUND(100*(1-(I54+I57)/2/$J$3),0),ROUND(100*(1-(I55+I57)/2/$J$3),0))</f>
        <v>0</v>
      </c>
      <c r="G57" s="61">
        <f>_xlfn.IFNA(VLOOKUP(D57,'인원 입력 기능'!$BY$5:$CB$55,4,FALSE),0)</f>
        <v>26</v>
      </c>
      <c r="H57" s="62">
        <f>G57/J3</f>
        <v>2.7199497855424208E-3</v>
      </c>
      <c r="I57" s="63">
        <f>SUM($G$7:G57)</f>
        <v>9559</v>
      </c>
      <c r="J57" s="64">
        <f>I57/J3</f>
        <v>1</v>
      </c>
      <c r="K57" s="18"/>
      <c r="M57" s="1"/>
    </row>
    <row r="58" spans="1:13" ht="6" customHeight="1">
      <c r="A58" s="5"/>
      <c r="B58" s="20"/>
      <c r="C58" s="21"/>
      <c r="D58" s="21"/>
      <c r="E58" s="21"/>
      <c r="F58" s="21"/>
      <c r="G58" s="21"/>
      <c r="H58" s="21"/>
      <c r="I58" s="21"/>
      <c r="J58" s="21"/>
      <c r="K58" s="22"/>
      <c r="M58" s="1"/>
    </row>
    <row r="59" spans="1:13">
      <c r="M59" s="1"/>
    </row>
    <row r="60" spans="1:13">
      <c r="M60" s="1"/>
    </row>
    <row r="61" spans="1:13">
      <c r="M61" s="1"/>
    </row>
    <row r="62" spans="1:13">
      <c r="M62" s="1"/>
    </row>
    <row r="63" spans="1:13">
      <c r="M63" s="1"/>
    </row>
    <row r="64" spans="1:13">
      <c r="M64" s="1"/>
    </row>
    <row r="65" spans="13:13">
      <c r="M65" s="1"/>
    </row>
    <row r="66" spans="13:13">
      <c r="M66" s="1"/>
    </row>
    <row r="67" spans="13:13">
      <c r="M67" s="1"/>
    </row>
    <row r="68" spans="13:13">
      <c r="M68" s="1"/>
    </row>
    <row r="69" spans="13:13">
      <c r="M69" s="1"/>
    </row>
    <row r="70" spans="13:13">
      <c r="M70" s="1"/>
    </row>
    <row r="71" spans="13:13">
      <c r="M71" s="1"/>
    </row>
    <row r="72" spans="13:13">
      <c r="M72" s="1"/>
    </row>
    <row r="73" spans="13:13">
      <c r="M73" s="1"/>
    </row>
    <row r="74" spans="13:13">
      <c r="M74" s="1"/>
    </row>
    <row r="75" spans="13:13">
      <c r="M75" s="1"/>
    </row>
    <row r="76" spans="13:13">
      <c r="M76" s="1"/>
    </row>
    <row r="77" spans="13:13">
      <c r="M77" s="1"/>
    </row>
    <row r="78" spans="13:13">
      <c r="M78" s="1"/>
    </row>
    <row r="79" spans="13:13">
      <c r="M79" s="1"/>
    </row>
    <row r="80" spans="13:13">
      <c r="M80" s="1"/>
    </row>
    <row r="81" spans="13:13">
      <c r="M81" s="1"/>
    </row>
    <row r="82" spans="13:13">
      <c r="M82" s="1"/>
    </row>
    <row r="83" spans="13:13">
      <c r="M83" s="1"/>
    </row>
    <row r="84" spans="13:13">
      <c r="M84" s="1"/>
    </row>
    <row r="85" spans="13:13">
      <c r="M85" s="1"/>
    </row>
    <row r="86" spans="13:13">
      <c r="M86" s="1"/>
    </row>
    <row r="87" spans="13:13">
      <c r="M87" s="1"/>
    </row>
    <row r="88" spans="13:13">
      <c r="M88" s="1"/>
    </row>
    <row r="89" spans="13:13">
      <c r="M89" s="1"/>
    </row>
    <row r="90" spans="13:13">
      <c r="M90" s="1"/>
    </row>
    <row r="91" spans="13:13">
      <c r="M91" s="1"/>
    </row>
    <row r="92" spans="13:13">
      <c r="M92" s="1"/>
    </row>
    <row r="93" spans="13:13">
      <c r="M93" s="1"/>
    </row>
    <row r="94" spans="13:13">
      <c r="M94" s="1"/>
    </row>
    <row r="95" spans="13:13">
      <c r="M95" s="1"/>
    </row>
    <row r="96" spans="13:13">
      <c r="M96" s="1"/>
    </row>
    <row r="97" spans="13:13">
      <c r="M97" s="1"/>
    </row>
    <row r="98" spans="13:13">
      <c r="M98" s="1"/>
    </row>
    <row r="99" spans="13:13">
      <c r="M99" s="1"/>
    </row>
    <row r="100" spans="13:13">
      <c r="M100" s="1"/>
    </row>
    <row r="101" spans="13:13">
      <c r="M101" s="1"/>
    </row>
    <row r="102" spans="13:13">
      <c r="M102" s="1"/>
    </row>
    <row r="103" spans="13:13">
      <c r="M103" s="1"/>
    </row>
    <row r="104" spans="13:13">
      <c r="M104" s="1"/>
    </row>
    <row r="105" spans="13:13">
      <c r="M105" s="1"/>
    </row>
  </sheetData>
  <mergeCells count="81">
    <mergeCell ref="I47:I48"/>
    <mergeCell ref="J47:J48"/>
    <mergeCell ref="D51:D52"/>
    <mergeCell ref="E51:E52"/>
    <mergeCell ref="F51:F52"/>
    <mergeCell ref="G51:G52"/>
    <mergeCell ref="H51:H52"/>
    <mergeCell ref="I51:I52"/>
    <mergeCell ref="J51:J52"/>
    <mergeCell ref="D47:D48"/>
    <mergeCell ref="E47:E48"/>
    <mergeCell ref="F47:F48"/>
    <mergeCell ref="G47:G48"/>
    <mergeCell ref="H47:H48"/>
    <mergeCell ref="I39:I40"/>
    <mergeCell ref="J39:J40"/>
    <mergeCell ref="D43:D44"/>
    <mergeCell ref="E43:E44"/>
    <mergeCell ref="F43:F44"/>
    <mergeCell ref="G43:G44"/>
    <mergeCell ref="H43:H44"/>
    <mergeCell ref="I43:I44"/>
    <mergeCell ref="J43:J44"/>
    <mergeCell ref="D39:D40"/>
    <mergeCell ref="E39:E40"/>
    <mergeCell ref="F39:F40"/>
    <mergeCell ref="G39:G40"/>
    <mergeCell ref="H39:H40"/>
    <mergeCell ref="I31:I32"/>
    <mergeCell ref="J31:J32"/>
    <mergeCell ref="D35:D36"/>
    <mergeCell ref="E35:E36"/>
    <mergeCell ref="F35:F36"/>
    <mergeCell ref="G35:G36"/>
    <mergeCell ref="H35:H36"/>
    <mergeCell ref="I35:I36"/>
    <mergeCell ref="J35:J36"/>
    <mergeCell ref="D31:D32"/>
    <mergeCell ref="E31:E32"/>
    <mergeCell ref="F31:F32"/>
    <mergeCell ref="G31:G32"/>
    <mergeCell ref="H31:H32"/>
    <mergeCell ref="I23:I24"/>
    <mergeCell ref="J23:J24"/>
    <mergeCell ref="D27:D28"/>
    <mergeCell ref="E27:E28"/>
    <mergeCell ref="F27:F28"/>
    <mergeCell ref="G27:G28"/>
    <mergeCell ref="H27:H28"/>
    <mergeCell ref="I27:I28"/>
    <mergeCell ref="J27:J28"/>
    <mergeCell ref="D23:D24"/>
    <mergeCell ref="E23:E24"/>
    <mergeCell ref="F23:F24"/>
    <mergeCell ref="G23:G24"/>
    <mergeCell ref="H23:H24"/>
    <mergeCell ref="I15:I16"/>
    <mergeCell ref="J15:J16"/>
    <mergeCell ref="D19:D20"/>
    <mergeCell ref="E19:E20"/>
    <mergeCell ref="F19:F20"/>
    <mergeCell ref="G19:G20"/>
    <mergeCell ref="H19:H20"/>
    <mergeCell ref="I19:I20"/>
    <mergeCell ref="J19:J20"/>
    <mergeCell ref="D3:F3"/>
    <mergeCell ref="D4:F4"/>
    <mergeCell ref="D56:J56"/>
    <mergeCell ref="D8:J8"/>
    <mergeCell ref="D11:D12"/>
    <mergeCell ref="E11:E12"/>
    <mergeCell ref="F11:F12"/>
    <mergeCell ref="G11:G12"/>
    <mergeCell ref="H11:H12"/>
    <mergeCell ref="I11:I12"/>
    <mergeCell ref="J11:J12"/>
    <mergeCell ref="D15:D16"/>
    <mergeCell ref="E15:E16"/>
    <mergeCell ref="F15:F16"/>
    <mergeCell ref="G15:G16"/>
    <mergeCell ref="H15:H16"/>
  </mergeCells>
  <phoneticPr fontId="1" type="noConversion"/>
  <conditionalFormatting sqref="D7:J7 D57:J57 D9:J11 D13:J15 D17:J19 D21:J23 D25:J27 D29:J31 D33:J35 D37:J39 D41:J43 D45:J47 D49:J51 D53:J55">
    <cfRule type="expression" dxfId="55" priority="7">
      <formula>OR($D7=$P$7:$P$14)</formula>
    </cfRule>
  </conditionalFormatting>
  <conditionalFormatting sqref="C7:C57">
    <cfRule type="expression" dxfId="54" priority="6">
      <formula>OR(AND($D7=0,OR($D6=$P$7:$P$14)),AND($D8&gt;0,OR($D7=$P$7:$P$14)))</formula>
    </cfRule>
  </conditionalFormatting>
  <conditionalFormatting sqref="D7 D57 D9:D11 D13:D15 D17:D19 D21:D23 D25:D27 D29:D31 D33:D35 D37:D39 D41:D43 D45:D47 D49:D51 D53:D55">
    <cfRule type="expression" dxfId="53" priority="5">
      <formula>$D7=$D8</formula>
    </cfRule>
  </conditionalFormatting>
  <conditionalFormatting sqref="D56">
    <cfRule type="expression" dxfId="52" priority="4">
      <formula>OR($D56=$P$7:$P$14)</formula>
    </cfRule>
  </conditionalFormatting>
  <conditionalFormatting sqref="D56">
    <cfRule type="expression" dxfId="51" priority="3">
      <formula>$D56=$D57</formula>
    </cfRule>
  </conditionalFormatting>
  <conditionalFormatting sqref="D8">
    <cfRule type="expression" dxfId="50" priority="2">
      <formula>OR($D8=$P$7:$P$14)</formula>
    </cfRule>
  </conditionalFormatting>
  <conditionalFormatting sqref="D8">
    <cfRule type="expression" dxfId="49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E5791-467D-444A-9581-5BC8EAF50717}">
  <sheetPr codeName="Sheet23"/>
  <dimension ref="A1:P105"/>
  <sheetViews>
    <sheetView zoomScaleNormal="100" workbookViewId="0">
      <selection activeCell="B2" sqref="B2:K58"/>
    </sheetView>
  </sheetViews>
  <sheetFormatPr defaultRowHeight="17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6">
      <c r="A1" s="5" t="s">
        <v>44</v>
      </c>
      <c r="C1" s="5"/>
      <c r="D1" s="5"/>
      <c r="E1" s="5"/>
      <c r="F1" s="5"/>
      <c r="G1" s="5"/>
      <c r="H1" s="5"/>
      <c r="I1" s="5"/>
      <c r="J1" s="5"/>
      <c r="K1" s="5"/>
    </row>
    <row r="2" spans="1:16" s="5" customFormat="1" ht="6" customHeight="1" thickBot="1">
      <c r="B2" s="15"/>
      <c r="C2" s="23"/>
      <c r="D2" s="23"/>
      <c r="E2" s="23"/>
      <c r="F2" s="23"/>
      <c r="G2" s="23"/>
      <c r="H2" s="23"/>
      <c r="I2" s="23"/>
      <c r="J2" s="23"/>
      <c r="K2" s="16"/>
    </row>
    <row r="3" spans="1:16" ht="25" customHeight="1" thickBot="1">
      <c r="A3" s="5"/>
      <c r="B3" s="17"/>
      <c r="C3" s="34" t="s">
        <v>47</v>
      </c>
      <c r="D3" s="105" t="s">
        <v>115</v>
      </c>
      <c r="E3" s="106"/>
      <c r="F3" s="107"/>
      <c r="G3" s="34" t="s">
        <v>48</v>
      </c>
      <c r="H3" s="101">
        <f>'통계 및 응시자 수 입력 기능'!D20</f>
        <v>19.28</v>
      </c>
      <c r="I3" s="103" t="s">
        <v>49</v>
      </c>
      <c r="J3" s="104">
        <f>'통계 및 응시자 수 입력 기능'!C20</f>
        <v>5499</v>
      </c>
      <c r="K3" s="18"/>
    </row>
    <row r="4" spans="1:16" ht="25" customHeight="1" thickBot="1">
      <c r="A4" s="5"/>
      <c r="B4" s="17"/>
      <c r="C4" s="35" t="s">
        <v>50</v>
      </c>
      <c r="D4" s="108" t="s">
        <v>57</v>
      </c>
      <c r="E4" s="109"/>
      <c r="F4" s="110"/>
      <c r="G4" s="36" t="s">
        <v>52</v>
      </c>
      <c r="H4" s="102">
        <f>'통계 및 응시자 수 입력 기능'!E20</f>
        <v>12.4</v>
      </c>
      <c r="I4" s="12"/>
      <c r="J4" s="12"/>
      <c r="K4" s="18"/>
    </row>
    <row r="5" spans="1:16" ht="25" customHeight="1" thickBot="1">
      <c r="A5" s="5"/>
      <c r="B5" s="17"/>
      <c r="C5" s="12"/>
      <c r="D5" s="12"/>
      <c r="E5" s="12"/>
      <c r="F5" s="12"/>
      <c r="G5" s="12"/>
      <c r="H5" s="19"/>
      <c r="I5" s="19"/>
      <c r="J5" s="19"/>
      <c r="K5" s="18"/>
    </row>
    <row r="6" spans="1:16" ht="25" customHeight="1" thickBot="1">
      <c r="A6" s="5"/>
      <c r="B6" s="17"/>
      <c r="C6" s="38" t="s">
        <v>73</v>
      </c>
      <c r="D6" s="39" t="s">
        <v>74</v>
      </c>
      <c r="E6" s="39" t="s">
        <v>75</v>
      </c>
      <c r="F6" s="39" t="s">
        <v>76</v>
      </c>
      <c r="G6" s="39" t="s">
        <v>77</v>
      </c>
      <c r="H6" s="40" t="s">
        <v>78</v>
      </c>
      <c r="I6" s="40" t="s">
        <v>79</v>
      </c>
      <c r="J6" s="41" t="s">
        <v>80</v>
      </c>
      <c r="K6" s="18"/>
      <c r="L6" s="3"/>
      <c r="M6" s="4"/>
    </row>
    <row r="7" spans="1:16" ht="25" customHeight="1">
      <c r="A7" s="5"/>
      <c r="B7" s="17"/>
      <c r="C7" s="42">
        <v>50</v>
      </c>
      <c r="D7" s="43">
        <f>ROUND(10*(C7-$H$3)/$H$4+50,0)</f>
        <v>75</v>
      </c>
      <c r="E7" s="43">
        <f t="shared" ref="E7:E38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44">
        <f>ROUND(100*(1-(0+I7)/2/$J$3),0)</f>
        <v>100</v>
      </c>
      <c r="G7" s="45">
        <f>_xlfn.IFNA(VLOOKUP(D7,'인원 입력 기능'!$CD$5:$CG$55,4,FALSE),0)</f>
        <v>41</v>
      </c>
      <c r="H7" s="46">
        <f>G7/J3</f>
        <v>7.4559010729223496E-3</v>
      </c>
      <c r="I7" s="47">
        <f>G7</f>
        <v>41</v>
      </c>
      <c r="J7" s="48">
        <f>I7/J3</f>
        <v>7.4559010729223496E-3</v>
      </c>
      <c r="K7" s="18"/>
      <c r="M7" s="1"/>
      <c r="O7" s="1">
        <v>1</v>
      </c>
      <c r="P7" s="1">
        <f>'표준점수 등급컷 입력기능'!K54</f>
        <v>71</v>
      </c>
    </row>
    <row r="8" spans="1:16" ht="25" customHeight="1">
      <c r="A8" s="5"/>
      <c r="B8" s="17"/>
      <c r="C8" s="49">
        <v>49</v>
      </c>
      <c r="D8" s="111" t="s">
        <v>31</v>
      </c>
      <c r="E8" s="112"/>
      <c r="F8" s="112"/>
      <c r="G8" s="112"/>
      <c r="H8" s="112"/>
      <c r="I8" s="112"/>
      <c r="J8" s="113"/>
      <c r="K8" s="18"/>
      <c r="M8" s="1"/>
      <c r="O8" s="1">
        <v>2</v>
      </c>
      <c r="P8" s="1">
        <f>'표준점수 등급컷 입력기능'!K55</f>
        <v>67</v>
      </c>
    </row>
    <row r="9" spans="1:16" ht="25" customHeight="1">
      <c r="A9" s="5"/>
      <c r="B9" s="17"/>
      <c r="C9" s="42">
        <v>48</v>
      </c>
      <c r="D9" s="43">
        <f>ROUND(10*(C9-$H$3)/$H$4+50,0)</f>
        <v>73</v>
      </c>
      <c r="E9" s="43">
        <f t="shared" si="0"/>
        <v>1</v>
      </c>
      <c r="F9" s="44">
        <f>IF(I8=0,ROUND(100*(1-(I7+I9)/2/$J$3),0),ROUND(100*(1-(I8+I9)/2/$J$3),0))</f>
        <v>99</v>
      </c>
      <c r="G9" s="45">
        <f>_xlfn.IFNA(VLOOKUP(D9,'인원 입력 기능'!$CD$5:$CG$55,4,FALSE),0)</f>
        <v>46</v>
      </c>
      <c r="H9" s="46">
        <f>G9/$J$3</f>
        <v>8.3651573013275148E-3</v>
      </c>
      <c r="I9" s="50">
        <f>SUM($G$7:G9)</f>
        <v>87</v>
      </c>
      <c r="J9" s="48">
        <f>I9/$J$3</f>
        <v>1.5821058374249863E-2</v>
      </c>
      <c r="K9" s="18"/>
      <c r="M9" s="1"/>
      <c r="O9" s="1">
        <v>3</v>
      </c>
      <c r="P9" s="1">
        <f>'표준점수 등급컷 입력기능'!K56</f>
        <v>58</v>
      </c>
    </row>
    <row r="10" spans="1:16" ht="25" customHeight="1">
      <c r="A10" s="5"/>
      <c r="B10" s="17"/>
      <c r="C10" s="49">
        <v>47</v>
      </c>
      <c r="D10" s="286">
        <f t="shared" ref="D10:D55" si="1">ROUND(10*(C10-$H$3)/$H$4+50,0)</f>
        <v>72</v>
      </c>
      <c r="E10" s="286">
        <f t="shared" si="0"/>
        <v>1</v>
      </c>
      <c r="F10" s="288">
        <f>IF(I9=0,ROUND(100*(1-(I8+I10)/2/$J$3),0),ROUND(100*(1-(I9+I10)/2/$J$3),0))</f>
        <v>98</v>
      </c>
      <c r="G10" s="290">
        <f>IF(D10=D9,"",_xlfn.IFNA(VLOOKUP(D10,'인원 입력 기능'!$CD$5:$CG$55,4,FALSE),0))</f>
        <v>95</v>
      </c>
      <c r="H10" s="291">
        <f t="shared" ref="H10:H55" si="2">G10/$J$3</f>
        <v>1.7275868339698127E-2</v>
      </c>
      <c r="I10" s="293">
        <f>SUM($G$7:G10)</f>
        <v>182</v>
      </c>
      <c r="J10" s="295">
        <f t="shared" ref="J10:J55" si="3">I10/$J$3</f>
        <v>3.309692671394799E-2</v>
      </c>
      <c r="K10" s="18"/>
      <c r="M10" s="1"/>
      <c r="O10" s="1">
        <v>4</v>
      </c>
      <c r="P10" s="1">
        <f>'표준점수 등급컷 입력기능'!K57</f>
        <v>48</v>
      </c>
    </row>
    <row r="11" spans="1:16" ht="25" customHeight="1">
      <c r="A11" s="5"/>
      <c r="B11" s="17"/>
      <c r="C11" s="42">
        <v>46</v>
      </c>
      <c r="D11" s="285"/>
      <c r="E11" s="285"/>
      <c r="F11" s="287"/>
      <c r="G11" s="289"/>
      <c r="H11" s="292"/>
      <c r="I11" s="294"/>
      <c r="J11" s="296"/>
      <c r="K11" s="18"/>
      <c r="M11" s="1"/>
      <c r="O11" s="1">
        <v>5</v>
      </c>
      <c r="P11" s="1">
        <f>'표준점수 등급컷 입력기능'!K58</f>
        <v>44</v>
      </c>
    </row>
    <row r="12" spans="1:16" ht="25" customHeight="1">
      <c r="A12" s="5"/>
      <c r="B12" s="17"/>
      <c r="C12" s="49">
        <v>45</v>
      </c>
      <c r="D12" s="43">
        <f t="shared" si="1"/>
        <v>71</v>
      </c>
      <c r="E12" s="43">
        <f t="shared" si="0"/>
        <v>1</v>
      </c>
      <c r="F12" s="44">
        <f t="shared" ref="F11:F55" si="4">IF(I11=0,ROUND(100*(1-(I10+I12)/2/$J$3),0),ROUND(100*(1-(I11+I12)/2/$J$3),0))</f>
        <v>96</v>
      </c>
      <c r="G12" s="45">
        <f>IF(D12=D11,"",_xlfn.IFNA(VLOOKUP(D12,'인원 입력 기능'!$CD$5:$CG$55,4,FALSE),0))</f>
        <v>99</v>
      </c>
      <c r="H12" s="46">
        <f t="shared" si="2"/>
        <v>1.8003273322422259E-2</v>
      </c>
      <c r="I12" s="50">
        <f>SUM($G$7:G12)</f>
        <v>281</v>
      </c>
      <c r="J12" s="48">
        <f t="shared" si="3"/>
        <v>5.1100200036370252E-2</v>
      </c>
      <c r="K12" s="18"/>
      <c r="M12" s="1"/>
      <c r="O12" s="1">
        <v>6</v>
      </c>
      <c r="P12" s="1">
        <f>'표준점수 등급컷 입력기능'!K59</f>
        <v>43</v>
      </c>
    </row>
    <row r="13" spans="1:16" ht="25" customHeight="1">
      <c r="A13" s="5"/>
      <c r="B13" s="17"/>
      <c r="C13" s="42">
        <v>44</v>
      </c>
      <c r="D13" s="43">
        <f t="shared" si="1"/>
        <v>70</v>
      </c>
      <c r="E13" s="43">
        <f t="shared" si="0"/>
        <v>2</v>
      </c>
      <c r="F13" s="44">
        <f t="shared" si="4"/>
        <v>94</v>
      </c>
      <c r="G13" s="45">
        <f>IF(D13=D12,"",_xlfn.IFNA(VLOOKUP(D13,'인원 입력 기능'!$CD$5:$CG$55,4,FALSE),0))</f>
        <v>70</v>
      </c>
      <c r="H13" s="46">
        <f t="shared" si="2"/>
        <v>1.2729587197672304E-2</v>
      </c>
      <c r="I13" s="50">
        <f>SUM($G$7:G13)</f>
        <v>351</v>
      </c>
      <c r="J13" s="48">
        <f t="shared" si="3"/>
        <v>6.3829787234042548E-2</v>
      </c>
      <c r="K13" s="18"/>
      <c r="M13" s="1"/>
      <c r="O13" s="1">
        <v>7</v>
      </c>
      <c r="P13" s="1">
        <f>'표준점수 등급컷 입력기능'!K60</f>
        <v>41</v>
      </c>
    </row>
    <row r="14" spans="1:16" ht="25" customHeight="1">
      <c r="A14" s="5"/>
      <c r="B14" s="17"/>
      <c r="C14" s="49">
        <v>43</v>
      </c>
      <c r="D14" s="43">
        <f t="shared" si="1"/>
        <v>69</v>
      </c>
      <c r="E14" s="43">
        <f t="shared" si="0"/>
        <v>2</v>
      </c>
      <c r="F14" s="44">
        <f t="shared" si="4"/>
        <v>93</v>
      </c>
      <c r="G14" s="45">
        <f>IF(D14=D13,"",_xlfn.IFNA(VLOOKUP(D14,'인원 입력 기능'!$CD$5:$CG$55,4,FALSE),0))</f>
        <v>42</v>
      </c>
      <c r="H14" s="46">
        <f t="shared" si="2"/>
        <v>7.6377523186033826E-3</v>
      </c>
      <c r="I14" s="50">
        <f>SUM($G$7:G14)</f>
        <v>393</v>
      </c>
      <c r="J14" s="48">
        <f t="shared" si="3"/>
        <v>7.1467539552645939E-2</v>
      </c>
      <c r="K14" s="18"/>
      <c r="M14" s="1"/>
      <c r="O14" s="1">
        <v>8</v>
      </c>
      <c r="P14" s="1">
        <f>'표준점수 등급컷 입력기능'!K61</f>
        <v>38</v>
      </c>
    </row>
    <row r="15" spans="1:16" ht="25" customHeight="1">
      <c r="A15" s="5"/>
      <c r="B15" s="17"/>
      <c r="C15" s="42">
        <v>42</v>
      </c>
      <c r="D15" s="286">
        <f t="shared" si="1"/>
        <v>68</v>
      </c>
      <c r="E15" s="286">
        <f t="shared" si="0"/>
        <v>2</v>
      </c>
      <c r="F15" s="288">
        <f t="shared" si="4"/>
        <v>91</v>
      </c>
      <c r="G15" s="290">
        <f>IF(D15=D14,"",_xlfn.IFNA(VLOOKUP(D15,'인원 입력 기능'!$CD$5:$CG$55,4,FALSE),0))</f>
        <v>152</v>
      </c>
      <c r="H15" s="291">
        <f t="shared" si="2"/>
        <v>2.7641389343517002E-2</v>
      </c>
      <c r="I15" s="293">
        <f>SUM($G$7:G15)</f>
        <v>545</v>
      </c>
      <c r="J15" s="295">
        <f t="shared" si="3"/>
        <v>9.9108928896162934E-2</v>
      </c>
      <c r="K15" s="18"/>
      <c r="M15" s="1"/>
      <c r="O15" s="1">
        <v>9</v>
      </c>
      <c r="P15" s="1"/>
    </row>
    <row r="16" spans="1:16" ht="25" customHeight="1">
      <c r="A16" s="5"/>
      <c r="B16" s="17"/>
      <c r="C16" s="49">
        <v>41</v>
      </c>
      <c r="D16" s="285"/>
      <c r="E16" s="285"/>
      <c r="F16" s="287"/>
      <c r="G16" s="289"/>
      <c r="H16" s="292"/>
      <c r="I16" s="294"/>
      <c r="J16" s="296"/>
      <c r="K16" s="18"/>
      <c r="M16" s="1"/>
    </row>
    <row r="17" spans="1:16" ht="25" customHeight="1">
      <c r="A17" s="5"/>
      <c r="B17" s="17"/>
      <c r="C17" s="42">
        <v>40</v>
      </c>
      <c r="D17" s="43">
        <f t="shared" si="1"/>
        <v>67</v>
      </c>
      <c r="E17" s="43">
        <f t="shared" si="0"/>
        <v>2</v>
      </c>
      <c r="F17" s="44">
        <f t="shared" si="4"/>
        <v>89</v>
      </c>
      <c r="G17" s="45">
        <f>IF(D17=D16,"",_xlfn.IFNA(VLOOKUP(D17,'인원 입력 기능'!$CD$5:$CG$55,4,FALSE),0))</f>
        <v>95</v>
      </c>
      <c r="H17" s="46">
        <f t="shared" si="2"/>
        <v>1.7275868339698127E-2</v>
      </c>
      <c r="I17" s="50">
        <f>SUM($G$7:G17)</f>
        <v>640</v>
      </c>
      <c r="J17" s="48">
        <f t="shared" si="3"/>
        <v>0.11638479723586106</v>
      </c>
      <c r="K17" s="18"/>
      <c r="M17" s="1"/>
      <c r="P17" s="1">
        <f>H3*H4*J3*P7*IFERROR(IF(J57=1, 1, 0), 0)</f>
        <v>93340641.888000011</v>
      </c>
    </row>
    <row r="18" spans="1:16" ht="25" customHeight="1">
      <c r="A18" s="5"/>
      <c r="B18" s="17"/>
      <c r="C18" s="49">
        <v>39</v>
      </c>
      <c r="D18" s="43">
        <f t="shared" si="1"/>
        <v>66</v>
      </c>
      <c r="E18" s="43">
        <f t="shared" si="0"/>
        <v>3</v>
      </c>
      <c r="F18" s="44">
        <f t="shared" si="4"/>
        <v>88</v>
      </c>
      <c r="G18" s="45">
        <f>IF(D18=D17,"",_xlfn.IFNA(VLOOKUP(D18,'인원 입력 기능'!$CD$5:$CG$55,4,FALSE),0))</f>
        <v>75</v>
      </c>
      <c r="H18" s="46">
        <f t="shared" si="2"/>
        <v>1.3638843426077468E-2</v>
      </c>
      <c r="I18" s="50">
        <f>SUM($G$7:G18)</f>
        <v>715</v>
      </c>
      <c r="J18" s="48">
        <f t="shared" si="3"/>
        <v>0.13002364066193853</v>
      </c>
      <c r="K18" s="18"/>
      <c r="M18" s="1"/>
    </row>
    <row r="19" spans="1:16" ht="25" customHeight="1">
      <c r="A19" s="5"/>
      <c r="B19" s="17"/>
      <c r="C19" s="42">
        <v>38</v>
      </c>
      <c r="D19" s="43">
        <f t="shared" si="1"/>
        <v>65</v>
      </c>
      <c r="E19" s="43">
        <f t="shared" si="0"/>
        <v>3</v>
      </c>
      <c r="F19" s="44">
        <f t="shared" si="4"/>
        <v>86</v>
      </c>
      <c r="G19" s="45">
        <f>IF(D19=D18,"",_xlfn.IFNA(VLOOKUP(D19,'인원 입력 기능'!$CD$5:$CG$55,4,FALSE),0))</f>
        <v>56</v>
      </c>
      <c r="H19" s="46">
        <f t="shared" si="2"/>
        <v>1.0183669758137844E-2</v>
      </c>
      <c r="I19" s="50">
        <f>SUM($G$7:G19)</f>
        <v>771</v>
      </c>
      <c r="J19" s="48">
        <f t="shared" si="3"/>
        <v>0.14020731042007636</v>
      </c>
      <c r="K19" s="18"/>
      <c r="M19" s="1"/>
    </row>
    <row r="20" spans="1:16" ht="25" customHeight="1">
      <c r="A20" s="5"/>
      <c r="B20" s="17"/>
      <c r="C20" s="49">
        <v>37</v>
      </c>
      <c r="D20" s="43">
        <f t="shared" si="1"/>
        <v>64</v>
      </c>
      <c r="E20" s="43">
        <f t="shared" si="0"/>
        <v>3</v>
      </c>
      <c r="F20" s="44">
        <f t="shared" si="4"/>
        <v>85</v>
      </c>
      <c r="G20" s="45">
        <f>IF(D20=D19,"",_xlfn.IFNA(VLOOKUP(D20,'인원 입력 기능'!$CD$5:$CG$55,4,FALSE),0))</f>
        <v>82</v>
      </c>
      <c r="H20" s="46">
        <f t="shared" si="2"/>
        <v>1.4911802145844699E-2</v>
      </c>
      <c r="I20" s="50">
        <f>SUM($G$7:G20)</f>
        <v>853</v>
      </c>
      <c r="J20" s="48">
        <f t="shared" si="3"/>
        <v>0.15511911256592106</v>
      </c>
      <c r="K20" s="18"/>
      <c r="M20" s="1"/>
    </row>
    <row r="21" spans="1:16" ht="25" customHeight="1">
      <c r="A21" s="5"/>
      <c r="B21" s="17"/>
      <c r="C21" s="51">
        <v>36</v>
      </c>
      <c r="D21" s="298">
        <f t="shared" si="1"/>
        <v>63</v>
      </c>
      <c r="E21" s="298">
        <f t="shared" si="0"/>
        <v>3</v>
      </c>
      <c r="F21" s="288">
        <f t="shared" si="4"/>
        <v>83</v>
      </c>
      <c r="G21" s="290">
        <f>IF(D21=D20,"",_xlfn.IFNA(VLOOKUP(D21,'인원 입력 기능'!$CD$5:$CG$55,4,FALSE),0))</f>
        <v>114</v>
      </c>
      <c r="H21" s="291">
        <f t="shared" si="2"/>
        <v>2.0731042007637753E-2</v>
      </c>
      <c r="I21" s="293">
        <f>SUM($G$7:G21)</f>
        <v>967</v>
      </c>
      <c r="J21" s="295">
        <f t="shared" si="3"/>
        <v>0.17585015457355882</v>
      </c>
      <c r="K21" s="18"/>
      <c r="M21" s="1"/>
    </row>
    <row r="22" spans="1:16" ht="25" customHeight="1">
      <c r="A22" s="5"/>
      <c r="B22" s="17"/>
      <c r="C22" s="52">
        <v>35</v>
      </c>
      <c r="D22" s="297"/>
      <c r="E22" s="297"/>
      <c r="F22" s="287"/>
      <c r="G22" s="289"/>
      <c r="H22" s="292"/>
      <c r="I22" s="294"/>
      <c r="J22" s="296"/>
      <c r="K22" s="18"/>
      <c r="M22" s="1"/>
    </row>
    <row r="23" spans="1:16" ht="25" customHeight="1">
      <c r="A23" s="5"/>
      <c r="B23" s="17"/>
      <c r="C23" s="51">
        <v>34</v>
      </c>
      <c r="D23" s="53">
        <f t="shared" si="1"/>
        <v>62</v>
      </c>
      <c r="E23" s="53">
        <f t="shared" si="0"/>
        <v>3</v>
      </c>
      <c r="F23" s="44">
        <f t="shared" si="4"/>
        <v>82</v>
      </c>
      <c r="G23" s="45">
        <f>IF(D23=D22,"",_xlfn.IFNA(VLOOKUP(D23,'인원 입력 기능'!$CD$5:$CG$55,4,FALSE),0))</f>
        <v>60</v>
      </c>
      <c r="H23" s="46">
        <f t="shared" si="2"/>
        <v>1.0911074740861976E-2</v>
      </c>
      <c r="I23" s="50">
        <f>SUM($G$7:G23)</f>
        <v>1027</v>
      </c>
      <c r="J23" s="48">
        <f t="shared" si="3"/>
        <v>0.1867612293144208</v>
      </c>
      <c r="K23" s="18"/>
      <c r="M23" s="1"/>
    </row>
    <row r="24" spans="1:16" ht="25" customHeight="1">
      <c r="A24" s="5"/>
      <c r="B24" s="17"/>
      <c r="C24" s="52">
        <v>33</v>
      </c>
      <c r="D24" s="53">
        <f t="shared" si="1"/>
        <v>61</v>
      </c>
      <c r="E24" s="53">
        <f t="shared" si="0"/>
        <v>3</v>
      </c>
      <c r="F24" s="44">
        <f t="shared" si="4"/>
        <v>81</v>
      </c>
      <c r="G24" s="45">
        <f>IF(D24=D23,"",_xlfn.IFNA(VLOOKUP(D24,'인원 입력 기능'!$CD$5:$CG$55,4,FALSE),0))</f>
        <v>57</v>
      </c>
      <c r="H24" s="46">
        <f t="shared" si="2"/>
        <v>1.0365521003818877E-2</v>
      </c>
      <c r="I24" s="50">
        <f>SUM($G$7:G24)</f>
        <v>1084</v>
      </c>
      <c r="J24" s="48">
        <f t="shared" si="3"/>
        <v>0.19712675031823967</v>
      </c>
      <c r="K24" s="18"/>
      <c r="M24" s="1"/>
    </row>
    <row r="25" spans="1:16" ht="25" customHeight="1">
      <c r="A25" s="5"/>
      <c r="B25" s="17"/>
      <c r="C25" s="51">
        <v>32</v>
      </c>
      <c r="D25" s="53">
        <f t="shared" si="1"/>
        <v>60</v>
      </c>
      <c r="E25" s="53">
        <f t="shared" si="0"/>
        <v>3</v>
      </c>
      <c r="F25" s="44">
        <f t="shared" si="4"/>
        <v>80</v>
      </c>
      <c r="G25" s="45">
        <f>IF(D25=D24,"",_xlfn.IFNA(VLOOKUP(D25,'인원 입력 기능'!$CD$5:$CG$55,4,FALSE),0))</f>
        <v>53</v>
      </c>
      <c r="H25" s="46">
        <f t="shared" si="2"/>
        <v>9.6381160210947444E-3</v>
      </c>
      <c r="I25" s="50">
        <f>SUM($G$7:G25)</f>
        <v>1137</v>
      </c>
      <c r="J25" s="48">
        <f t="shared" si="3"/>
        <v>0.20676486633933441</v>
      </c>
      <c r="K25" s="18"/>
      <c r="M25" s="1"/>
    </row>
    <row r="26" spans="1:16" ht="25" customHeight="1">
      <c r="A26" s="5"/>
      <c r="B26" s="17"/>
      <c r="C26" s="52">
        <v>31</v>
      </c>
      <c r="D26" s="298">
        <f t="shared" si="1"/>
        <v>59</v>
      </c>
      <c r="E26" s="298">
        <f t="shared" si="0"/>
        <v>3</v>
      </c>
      <c r="F26" s="288">
        <f t="shared" si="4"/>
        <v>78</v>
      </c>
      <c r="G26" s="290">
        <f>IF(D26=D25,"",_xlfn.IFNA(VLOOKUP(D26,'인원 입력 기능'!$CD$5:$CG$55,4,FALSE),0))</f>
        <v>108</v>
      </c>
      <c r="H26" s="291">
        <f t="shared" si="2"/>
        <v>1.9639934533551555E-2</v>
      </c>
      <c r="I26" s="293">
        <f>SUM($G$7:G26)</f>
        <v>1245</v>
      </c>
      <c r="J26" s="295">
        <f t="shared" si="3"/>
        <v>0.22640480087288598</v>
      </c>
      <c r="K26" s="18"/>
      <c r="M26" s="1"/>
    </row>
    <row r="27" spans="1:16" ht="25" customHeight="1">
      <c r="A27" s="5"/>
      <c r="B27" s="17"/>
      <c r="C27" s="51">
        <v>30</v>
      </c>
      <c r="D27" s="297"/>
      <c r="E27" s="297"/>
      <c r="F27" s="287"/>
      <c r="G27" s="289"/>
      <c r="H27" s="292"/>
      <c r="I27" s="294"/>
      <c r="J27" s="296"/>
      <c r="K27" s="18"/>
      <c r="M27" s="1"/>
    </row>
    <row r="28" spans="1:16" ht="25" customHeight="1">
      <c r="A28" s="5"/>
      <c r="B28" s="17"/>
      <c r="C28" s="52">
        <v>29</v>
      </c>
      <c r="D28" s="53">
        <f t="shared" si="1"/>
        <v>58</v>
      </c>
      <c r="E28" s="53">
        <f t="shared" si="0"/>
        <v>3</v>
      </c>
      <c r="F28" s="44">
        <f t="shared" si="4"/>
        <v>77</v>
      </c>
      <c r="G28" s="45">
        <f>IF(D28=D27,"",_xlfn.IFNA(VLOOKUP(D28,'인원 입력 기능'!$CD$5:$CG$55,4,FALSE),0))</f>
        <v>55</v>
      </c>
      <c r="H28" s="46">
        <f t="shared" si="2"/>
        <v>1.000181851245681E-2</v>
      </c>
      <c r="I28" s="50">
        <f>SUM($G$7:G28)</f>
        <v>1300</v>
      </c>
      <c r="J28" s="48">
        <f t="shared" si="3"/>
        <v>0.2364066193853428</v>
      </c>
      <c r="K28" s="18"/>
      <c r="M28" s="1"/>
    </row>
    <row r="29" spans="1:16" ht="25" customHeight="1">
      <c r="A29" s="5"/>
      <c r="B29" s="17"/>
      <c r="C29" s="51">
        <v>28</v>
      </c>
      <c r="D29" s="53">
        <f t="shared" si="1"/>
        <v>57</v>
      </c>
      <c r="E29" s="53">
        <f t="shared" si="0"/>
        <v>4</v>
      </c>
      <c r="F29" s="44">
        <f t="shared" si="4"/>
        <v>76</v>
      </c>
      <c r="G29" s="45">
        <f>IF(D29=D28,"",_xlfn.IFNA(VLOOKUP(D29,'인원 입력 기능'!$CD$5:$CG$55,4,FALSE),0))</f>
        <v>53</v>
      </c>
      <c r="H29" s="46">
        <f t="shared" si="2"/>
        <v>9.6381160210947444E-3</v>
      </c>
      <c r="I29" s="50">
        <f>SUM($G$7:G29)</f>
        <v>1353</v>
      </c>
      <c r="J29" s="48">
        <f t="shared" si="3"/>
        <v>0.24604473540643754</v>
      </c>
      <c r="K29" s="18"/>
      <c r="M29" s="1"/>
    </row>
    <row r="30" spans="1:16" ht="25" customHeight="1">
      <c r="A30" s="5"/>
      <c r="B30" s="17"/>
      <c r="C30" s="52">
        <v>27</v>
      </c>
      <c r="D30" s="53">
        <f t="shared" si="1"/>
        <v>56</v>
      </c>
      <c r="E30" s="53">
        <f t="shared" si="0"/>
        <v>4</v>
      </c>
      <c r="F30" s="44">
        <f t="shared" si="4"/>
        <v>75</v>
      </c>
      <c r="G30" s="45">
        <f>IF(D30=D29,"",_xlfn.IFNA(VLOOKUP(D30,'인원 입력 기능'!$CD$5:$CG$55,4,FALSE),0))</f>
        <v>56</v>
      </c>
      <c r="H30" s="46">
        <f t="shared" si="2"/>
        <v>1.0183669758137844E-2</v>
      </c>
      <c r="I30" s="50">
        <f>SUM($G$7:G30)</f>
        <v>1409</v>
      </c>
      <c r="J30" s="48">
        <f t="shared" si="3"/>
        <v>0.2562284051645754</v>
      </c>
      <c r="K30" s="18"/>
      <c r="M30" s="1"/>
    </row>
    <row r="31" spans="1:16" ht="25" customHeight="1">
      <c r="A31" s="5"/>
      <c r="B31" s="17"/>
      <c r="C31" s="51">
        <v>26</v>
      </c>
      <c r="D31" s="298">
        <f t="shared" si="1"/>
        <v>55</v>
      </c>
      <c r="E31" s="298">
        <f t="shared" si="0"/>
        <v>4</v>
      </c>
      <c r="F31" s="288">
        <f t="shared" si="4"/>
        <v>73</v>
      </c>
      <c r="G31" s="290">
        <f>IF(D31=D30,"",_xlfn.IFNA(VLOOKUP(D31,'인원 입력 기능'!$CD$5:$CG$55,4,FALSE),0))</f>
        <v>121</v>
      </c>
      <c r="H31" s="291">
        <f t="shared" si="2"/>
        <v>2.2004000727404983E-2</v>
      </c>
      <c r="I31" s="293">
        <f>SUM($G$7:G31)</f>
        <v>1530</v>
      </c>
      <c r="J31" s="295">
        <f t="shared" si="3"/>
        <v>0.27823240589198034</v>
      </c>
      <c r="K31" s="18"/>
      <c r="M31" s="1"/>
    </row>
    <row r="32" spans="1:16" ht="25" customHeight="1">
      <c r="A32" s="5"/>
      <c r="B32" s="17"/>
      <c r="C32" s="52">
        <v>25</v>
      </c>
      <c r="D32" s="297"/>
      <c r="E32" s="297"/>
      <c r="F32" s="287"/>
      <c r="G32" s="289"/>
      <c r="H32" s="292"/>
      <c r="I32" s="294"/>
      <c r="J32" s="296"/>
      <c r="K32" s="18"/>
      <c r="M32" s="1"/>
    </row>
    <row r="33" spans="1:13" ht="25" customHeight="1">
      <c r="A33" s="5"/>
      <c r="B33" s="17"/>
      <c r="C33" s="51">
        <v>24</v>
      </c>
      <c r="D33" s="53">
        <f t="shared" si="1"/>
        <v>54</v>
      </c>
      <c r="E33" s="53">
        <f t="shared" si="0"/>
        <v>4</v>
      </c>
      <c r="F33" s="44">
        <f t="shared" si="4"/>
        <v>71</v>
      </c>
      <c r="G33" s="45">
        <f>IF(D33=D32,"",_xlfn.IFNA(VLOOKUP(D33,'인원 입력 기능'!$CD$5:$CG$55,4,FALSE),0))</f>
        <v>76</v>
      </c>
      <c r="H33" s="46">
        <f t="shared" si="2"/>
        <v>1.3820694671758501E-2</v>
      </c>
      <c r="I33" s="50">
        <f>SUM($G$7:G33)</f>
        <v>1606</v>
      </c>
      <c r="J33" s="48">
        <f t="shared" si="3"/>
        <v>0.29205310056373884</v>
      </c>
      <c r="K33" s="18"/>
      <c r="M33" s="1"/>
    </row>
    <row r="34" spans="1:13" ht="25" customHeight="1">
      <c r="A34" s="5"/>
      <c r="B34" s="17"/>
      <c r="C34" s="52">
        <v>23</v>
      </c>
      <c r="D34" s="53">
        <f t="shared" si="1"/>
        <v>53</v>
      </c>
      <c r="E34" s="53">
        <f t="shared" si="0"/>
        <v>4</v>
      </c>
      <c r="F34" s="44">
        <f t="shared" si="4"/>
        <v>70</v>
      </c>
      <c r="G34" s="45">
        <f>IF(D34=D33,"",_xlfn.IFNA(VLOOKUP(D34,'인원 입력 기능'!$CD$5:$CG$55,4,FALSE),0))</f>
        <v>60</v>
      </c>
      <c r="H34" s="46">
        <f t="shared" si="2"/>
        <v>1.0911074740861976E-2</v>
      </c>
      <c r="I34" s="50">
        <f>SUM($G$7:G34)</f>
        <v>1666</v>
      </c>
      <c r="J34" s="48">
        <f t="shared" si="3"/>
        <v>0.30296417530460085</v>
      </c>
      <c r="K34" s="18"/>
      <c r="M34" s="1"/>
    </row>
    <row r="35" spans="1:13" ht="25" customHeight="1">
      <c r="A35" s="5"/>
      <c r="B35" s="17"/>
      <c r="C35" s="51">
        <v>22</v>
      </c>
      <c r="D35" s="53">
        <f t="shared" si="1"/>
        <v>52</v>
      </c>
      <c r="E35" s="53">
        <f t="shared" si="0"/>
        <v>4</v>
      </c>
      <c r="F35" s="44">
        <f t="shared" si="4"/>
        <v>69</v>
      </c>
      <c r="G35" s="45">
        <f>IF(D35=D34,"",_xlfn.IFNA(VLOOKUP(D35,'인원 입력 기능'!$CD$5:$CG$55,4,FALSE),0))</f>
        <v>76</v>
      </c>
      <c r="H35" s="46">
        <f t="shared" si="2"/>
        <v>1.3820694671758501E-2</v>
      </c>
      <c r="I35" s="50">
        <f>SUM($G$7:G35)</f>
        <v>1742</v>
      </c>
      <c r="J35" s="48">
        <f t="shared" si="3"/>
        <v>0.31678486997635935</v>
      </c>
      <c r="K35" s="18"/>
      <c r="M35" s="1"/>
    </row>
    <row r="36" spans="1:13" ht="25" customHeight="1">
      <c r="A36" s="5"/>
      <c r="B36" s="17"/>
      <c r="C36" s="52">
        <v>21</v>
      </c>
      <c r="D36" s="298">
        <f t="shared" si="1"/>
        <v>51</v>
      </c>
      <c r="E36" s="298">
        <f t="shared" si="0"/>
        <v>4</v>
      </c>
      <c r="F36" s="288">
        <f t="shared" si="4"/>
        <v>67</v>
      </c>
      <c r="G36" s="290">
        <f>IF(D36=D35,"",_xlfn.IFNA(VLOOKUP(D36,'인원 입력 기능'!$CD$5:$CG$55,4,FALSE),0))</f>
        <v>192</v>
      </c>
      <c r="H36" s="291">
        <f t="shared" si="2"/>
        <v>3.4915439170758317E-2</v>
      </c>
      <c r="I36" s="293">
        <f>SUM($G$7:G36)</f>
        <v>1934</v>
      </c>
      <c r="J36" s="295">
        <f t="shared" si="3"/>
        <v>0.35170030914711764</v>
      </c>
      <c r="K36" s="18"/>
      <c r="M36" s="1"/>
    </row>
    <row r="37" spans="1:13" ht="25" customHeight="1">
      <c r="A37" s="5"/>
      <c r="B37" s="17"/>
      <c r="C37" s="51">
        <v>20</v>
      </c>
      <c r="D37" s="297"/>
      <c r="E37" s="297"/>
      <c r="F37" s="287"/>
      <c r="G37" s="289"/>
      <c r="H37" s="292"/>
      <c r="I37" s="294"/>
      <c r="J37" s="296"/>
      <c r="K37" s="18"/>
      <c r="M37" s="1"/>
    </row>
    <row r="38" spans="1:13" ht="25" customHeight="1">
      <c r="A38" s="5"/>
      <c r="B38" s="17"/>
      <c r="C38" s="52">
        <v>19</v>
      </c>
      <c r="D38" s="53">
        <f t="shared" si="1"/>
        <v>50</v>
      </c>
      <c r="E38" s="53">
        <f t="shared" si="0"/>
        <v>4</v>
      </c>
      <c r="F38" s="44">
        <f t="shared" si="4"/>
        <v>64</v>
      </c>
      <c r="G38" s="45">
        <f>IF(D38=D37,"",_xlfn.IFNA(VLOOKUP(D38,'인원 입력 기능'!$CD$5:$CG$55,4,FALSE),0))</f>
        <v>122</v>
      </c>
      <c r="H38" s="46">
        <f t="shared" si="2"/>
        <v>2.2185851973086014E-2</v>
      </c>
      <c r="I38" s="50">
        <f>SUM($G$7:G38)</f>
        <v>2056</v>
      </c>
      <c r="J38" s="48">
        <f t="shared" si="3"/>
        <v>0.37388616112020367</v>
      </c>
      <c r="K38" s="18"/>
      <c r="M38" s="1"/>
    </row>
    <row r="39" spans="1:13" ht="25" customHeight="1">
      <c r="A39" s="5"/>
      <c r="B39" s="17"/>
      <c r="C39" s="51">
        <v>18</v>
      </c>
      <c r="D39" s="53">
        <f t="shared" si="1"/>
        <v>49</v>
      </c>
      <c r="E39" s="53">
        <f t="shared" ref="E39:E57" si="5">IF(ROUND(D39,0)&gt;=$P$7,1,IF(ROUND(D39,0)&gt;=$P$8,2,IF(ROUND(D39,0)&gt;=$P$9,3,IF(ROUND(D39,0)&gt;=$P$10,4,IF(ROUND(D39,0)&gt;=$P$11,5,IF(ROUND(D39,0)&gt;=$P$12,6,IF(ROUND(D39,0)&gt;=$P$13,7,IF(ROUND(D39,0)&gt;=$P$14,8,9))))))))</f>
        <v>4</v>
      </c>
      <c r="F39" s="44">
        <f t="shared" si="4"/>
        <v>61</v>
      </c>
      <c r="G39" s="45">
        <f>IF(D39=D38,"",_xlfn.IFNA(VLOOKUP(D39,'인원 입력 기능'!$CD$5:$CG$55,4,FALSE),0))</f>
        <v>131</v>
      </c>
      <c r="H39" s="46">
        <f t="shared" si="2"/>
        <v>2.3822513184215313E-2</v>
      </c>
      <c r="I39" s="50">
        <f>SUM($G$7:G39)</f>
        <v>2187</v>
      </c>
      <c r="J39" s="48">
        <f t="shared" si="3"/>
        <v>0.39770867430441897</v>
      </c>
      <c r="K39" s="18"/>
      <c r="M39" s="1"/>
    </row>
    <row r="40" spans="1:13" ht="25" customHeight="1">
      <c r="A40" s="5"/>
      <c r="B40" s="17"/>
      <c r="C40" s="52">
        <v>17</v>
      </c>
      <c r="D40" s="53">
        <f t="shared" si="1"/>
        <v>48</v>
      </c>
      <c r="E40" s="53">
        <f t="shared" si="5"/>
        <v>4</v>
      </c>
      <c r="F40" s="44">
        <f t="shared" si="4"/>
        <v>59</v>
      </c>
      <c r="G40" s="45">
        <f>IF(D40=D39,"",_xlfn.IFNA(VLOOKUP(D40,'인원 입력 기능'!$CD$5:$CG$55,4,FALSE),0))</f>
        <v>137</v>
      </c>
      <c r="H40" s="46">
        <f t="shared" si="2"/>
        <v>2.4913620658301508E-2</v>
      </c>
      <c r="I40" s="50">
        <f>SUM($G$7:G40)</f>
        <v>2324</v>
      </c>
      <c r="J40" s="48">
        <f t="shared" si="3"/>
        <v>0.42262229496272047</v>
      </c>
      <c r="K40" s="18"/>
      <c r="M40" s="1"/>
    </row>
    <row r="41" spans="1:13" ht="25" customHeight="1">
      <c r="A41" s="5"/>
      <c r="B41" s="17"/>
      <c r="C41" s="51">
        <v>16</v>
      </c>
      <c r="D41" s="298">
        <f t="shared" si="1"/>
        <v>47</v>
      </c>
      <c r="E41" s="298">
        <f t="shared" si="5"/>
        <v>5</v>
      </c>
      <c r="F41" s="288">
        <f t="shared" si="4"/>
        <v>55</v>
      </c>
      <c r="G41" s="290">
        <f>IF(D41=D40,"",_xlfn.IFNA(VLOOKUP(D41,'인원 입력 기능'!$CD$5:$CG$55,4,FALSE),0))</f>
        <v>334</v>
      </c>
      <c r="H41" s="291">
        <f t="shared" si="2"/>
        <v>6.0738316057464992E-2</v>
      </c>
      <c r="I41" s="293">
        <f>SUM($G$7:G41)</f>
        <v>2658</v>
      </c>
      <c r="J41" s="295">
        <f t="shared" si="3"/>
        <v>0.48336061102018552</v>
      </c>
      <c r="K41" s="18"/>
      <c r="M41" s="1"/>
    </row>
    <row r="42" spans="1:13" ht="25" customHeight="1">
      <c r="A42" s="5"/>
      <c r="B42" s="17"/>
      <c r="C42" s="52">
        <v>15</v>
      </c>
      <c r="D42" s="297"/>
      <c r="E42" s="297"/>
      <c r="F42" s="287"/>
      <c r="G42" s="289"/>
      <c r="H42" s="292"/>
      <c r="I42" s="294"/>
      <c r="J42" s="296"/>
      <c r="K42" s="18"/>
      <c r="M42" s="1"/>
    </row>
    <row r="43" spans="1:13" ht="25" customHeight="1">
      <c r="A43" s="5"/>
      <c r="B43" s="17"/>
      <c r="C43" s="51">
        <v>14</v>
      </c>
      <c r="D43" s="53">
        <f t="shared" si="1"/>
        <v>46</v>
      </c>
      <c r="E43" s="53">
        <f t="shared" si="5"/>
        <v>5</v>
      </c>
      <c r="F43" s="44">
        <f t="shared" si="4"/>
        <v>50</v>
      </c>
      <c r="G43" s="45">
        <f>IF(D43=D42,"",_xlfn.IFNA(VLOOKUP(D43,'인원 입력 기능'!$CD$5:$CG$55,4,FALSE),0))</f>
        <v>219</v>
      </c>
      <c r="H43" s="46">
        <f t="shared" si="2"/>
        <v>3.9825422804146207E-2</v>
      </c>
      <c r="I43" s="50">
        <f>SUM($G$7:G43)</f>
        <v>2877</v>
      </c>
      <c r="J43" s="48">
        <f t="shared" si="3"/>
        <v>0.52318603382433171</v>
      </c>
      <c r="K43" s="18"/>
      <c r="M43" s="1"/>
    </row>
    <row r="44" spans="1:13" ht="25" customHeight="1">
      <c r="A44" s="5"/>
      <c r="B44" s="17"/>
      <c r="C44" s="52">
        <v>13</v>
      </c>
      <c r="D44" s="53">
        <f t="shared" si="1"/>
        <v>45</v>
      </c>
      <c r="E44" s="53">
        <f t="shared" si="5"/>
        <v>5</v>
      </c>
      <c r="F44" s="44">
        <f t="shared" si="4"/>
        <v>45</v>
      </c>
      <c r="G44" s="45">
        <f>IF(D44=D43,"",_xlfn.IFNA(VLOOKUP(D44,'인원 입력 기능'!$CD$5:$CG$55,4,FALSE),0))</f>
        <v>276</v>
      </c>
      <c r="H44" s="46">
        <f t="shared" si="2"/>
        <v>5.0190943807965085E-2</v>
      </c>
      <c r="I44" s="50">
        <f>SUM($G$7:G44)</f>
        <v>3153</v>
      </c>
      <c r="J44" s="48">
        <f t="shared" si="3"/>
        <v>0.57337697763229678</v>
      </c>
      <c r="K44" s="18"/>
      <c r="M44" s="1"/>
    </row>
    <row r="45" spans="1:13" ht="25" customHeight="1">
      <c r="A45" s="5"/>
      <c r="B45" s="17"/>
      <c r="C45" s="51">
        <v>12</v>
      </c>
      <c r="D45" s="53">
        <f t="shared" si="1"/>
        <v>44</v>
      </c>
      <c r="E45" s="53">
        <f t="shared" si="5"/>
        <v>5</v>
      </c>
      <c r="F45" s="44">
        <f t="shared" si="4"/>
        <v>40</v>
      </c>
      <c r="G45" s="45">
        <f>IF(D45=D44,"",_xlfn.IFNA(VLOOKUP(D45,'인원 입력 기능'!$CD$5:$CG$55,4,FALSE),0))</f>
        <v>262</v>
      </c>
      <c r="H45" s="46">
        <f t="shared" si="2"/>
        <v>4.7645026368430626E-2</v>
      </c>
      <c r="I45" s="50">
        <f>SUM($G$7:G45)</f>
        <v>3415</v>
      </c>
      <c r="J45" s="48">
        <f t="shared" si="3"/>
        <v>0.62102200400072738</v>
      </c>
      <c r="K45" s="18"/>
      <c r="M45" s="1"/>
    </row>
    <row r="46" spans="1:13" ht="25" customHeight="1">
      <c r="A46" s="5"/>
      <c r="B46" s="17"/>
      <c r="C46" s="52">
        <v>11</v>
      </c>
      <c r="D46" s="298">
        <f t="shared" si="1"/>
        <v>43</v>
      </c>
      <c r="E46" s="298">
        <f t="shared" si="5"/>
        <v>6</v>
      </c>
      <c r="F46" s="288">
        <f t="shared" si="4"/>
        <v>28</v>
      </c>
      <c r="G46" s="290">
        <f>IF(D46=D45,"",_xlfn.IFNA(VLOOKUP(D46,'인원 입력 기능'!$CD$5:$CG$55,4,FALSE),0))</f>
        <v>1115</v>
      </c>
      <c r="H46" s="291">
        <f t="shared" si="2"/>
        <v>0.20276413893435169</v>
      </c>
      <c r="I46" s="293">
        <f>SUM($G$7:G46)</f>
        <v>4530</v>
      </c>
      <c r="J46" s="295">
        <f t="shared" si="3"/>
        <v>0.82378614293507912</v>
      </c>
      <c r="K46" s="18"/>
      <c r="M46" s="1"/>
    </row>
    <row r="47" spans="1:13" ht="25" customHeight="1">
      <c r="A47" s="5"/>
      <c r="B47" s="17"/>
      <c r="C47" s="51">
        <v>10</v>
      </c>
      <c r="D47" s="297"/>
      <c r="E47" s="297"/>
      <c r="F47" s="287"/>
      <c r="G47" s="289"/>
      <c r="H47" s="292"/>
      <c r="I47" s="294"/>
      <c r="J47" s="296"/>
      <c r="K47" s="18"/>
      <c r="M47" s="1"/>
    </row>
    <row r="48" spans="1:13" ht="25" customHeight="1">
      <c r="A48" s="5"/>
      <c r="B48" s="17"/>
      <c r="C48" s="52">
        <v>9</v>
      </c>
      <c r="D48" s="53">
        <f t="shared" si="1"/>
        <v>42</v>
      </c>
      <c r="E48" s="53">
        <f t="shared" si="5"/>
        <v>7</v>
      </c>
      <c r="F48" s="44">
        <f t="shared" si="4"/>
        <v>15</v>
      </c>
      <c r="G48" s="45">
        <f>IF(D48=D47,"",_xlfn.IFNA(VLOOKUP(D48,'인원 입력 기능'!$CD$5:$CG$55,4,FALSE),0))</f>
        <v>260</v>
      </c>
      <c r="H48" s="46">
        <f t="shared" si="2"/>
        <v>4.7281323877068557E-2</v>
      </c>
      <c r="I48" s="50">
        <f>SUM($G$7:G48)</f>
        <v>4790</v>
      </c>
      <c r="J48" s="48">
        <f t="shared" si="3"/>
        <v>0.87106746681214764</v>
      </c>
      <c r="K48" s="18"/>
      <c r="M48" s="1"/>
    </row>
    <row r="49" spans="1:13" ht="25" customHeight="1">
      <c r="A49" s="5"/>
      <c r="B49" s="17"/>
      <c r="C49" s="51">
        <v>8</v>
      </c>
      <c r="D49" s="53">
        <f t="shared" si="1"/>
        <v>41</v>
      </c>
      <c r="E49" s="53">
        <f t="shared" si="5"/>
        <v>7</v>
      </c>
      <c r="F49" s="44">
        <f t="shared" si="4"/>
        <v>11</v>
      </c>
      <c r="G49" s="45">
        <f>IF(D49=D48,"",_xlfn.IFNA(VLOOKUP(D49,'인원 입력 기능'!$CD$5:$CG$55,4,FALSE),0))</f>
        <v>200</v>
      </c>
      <c r="H49" s="46">
        <f t="shared" si="2"/>
        <v>3.6370249136206581E-2</v>
      </c>
      <c r="I49" s="50">
        <f>SUM($G$7:G49)</f>
        <v>4990</v>
      </c>
      <c r="J49" s="48">
        <f t="shared" si="3"/>
        <v>0.90743771594835421</v>
      </c>
      <c r="K49" s="18"/>
      <c r="M49" s="1"/>
    </row>
    <row r="50" spans="1:13" ht="25" customHeight="1">
      <c r="A50" s="5"/>
      <c r="B50" s="17"/>
      <c r="C50" s="52">
        <v>7</v>
      </c>
      <c r="D50" s="53">
        <f t="shared" si="1"/>
        <v>40</v>
      </c>
      <c r="E50" s="53">
        <f t="shared" si="5"/>
        <v>8</v>
      </c>
      <c r="F50" s="44">
        <f t="shared" si="4"/>
        <v>8</v>
      </c>
      <c r="G50" s="45">
        <f>IF(D50=D49,"",_xlfn.IFNA(VLOOKUP(D50,'인원 입력 기능'!$CD$5:$CG$55,4,FALSE),0))</f>
        <v>156</v>
      </c>
      <c r="H50" s="46">
        <f t="shared" si="2"/>
        <v>2.8368794326241134E-2</v>
      </c>
      <c r="I50" s="50">
        <f>SUM($G$7:G50)</f>
        <v>5146</v>
      </c>
      <c r="J50" s="48">
        <f t="shared" si="3"/>
        <v>0.93580651027459538</v>
      </c>
      <c r="K50" s="18"/>
      <c r="M50" s="1"/>
    </row>
    <row r="51" spans="1:13" ht="25" customHeight="1">
      <c r="A51" s="5"/>
      <c r="B51" s="17"/>
      <c r="C51" s="51">
        <v>6</v>
      </c>
      <c r="D51" s="53">
        <f t="shared" si="1"/>
        <v>39</v>
      </c>
      <c r="E51" s="53">
        <f t="shared" si="5"/>
        <v>8</v>
      </c>
      <c r="F51" s="44">
        <f t="shared" si="4"/>
        <v>6</v>
      </c>
      <c r="G51" s="45">
        <f>IF(D51=D50,"",_xlfn.IFNA(VLOOKUP(D51,'인원 입력 기능'!$CD$5:$CG$55,4,FALSE),0))</f>
        <v>90</v>
      </c>
      <c r="H51" s="46">
        <f t="shared" si="2"/>
        <v>1.6366612111292964E-2</v>
      </c>
      <c r="I51" s="50">
        <f>SUM($G$7:G51)</f>
        <v>5236</v>
      </c>
      <c r="J51" s="48">
        <f t="shared" si="3"/>
        <v>0.95217312238588836</v>
      </c>
      <c r="K51" s="18"/>
      <c r="M51" s="1"/>
    </row>
    <row r="52" spans="1:13" ht="25" customHeight="1">
      <c r="A52" s="5"/>
      <c r="B52" s="17"/>
      <c r="C52" s="52">
        <v>5</v>
      </c>
      <c r="D52" s="298">
        <f t="shared" si="1"/>
        <v>38</v>
      </c>
      <c r="E52" s="298">
        <f t="shared" si="5"/>
        <v>8</v>
      </c>
      <c r="F52" s="288">
        <f t="shared" si="4"/>
        <v>3</v>
      </c>
      <c r="G52" s="290">
        <f>IF(D52=D51,"",_xlfn.IFNA(VLOOKUP(D52,'인원 입력 기능'!$CD$5:$CG$55,4,FALSE),0))</f>
        <v>174</v>
      </c>
      <c r="H52" s="291">
        <f t="shared" si="2"/>
        <v>3.1642116748499725E-2</v>
      </c>
      <c r="I52" s="293">
        <f>SUM($G$7:G52)</f>
        <v>5410</v>
      </c>
      <c r="J52" s="295">
        <f t="shared" si="3"/>
        <v>0.98381523913438806</v>
      </c>
      <c r="K52" s="18"/>
      <c r="M52" s="1"/>
    </row>
    <row r="53" spans="1:13" ht="25" customHeight="1">
      <c r="A53" s="5"/>
      <c r="B53" s="17"/>
      <c r="C53" s="42">
        <v>4</v>
      </c>
      <c r="D53" s="297"/>
      <c r="E53" s="297"/>
      <c r="F53" s="287"/>
      <c r="G53" s="289"/>
      <c r="H53" s="292"/>
      <c r="I53" s="294"/>
      <c r="J53" s="296"/>
      <c r="K53" s="18"/>
      <c r="M53" s="1"/>
    </row>
    <row r="54" spans="1:13" ht="25" customHeight="1">
      <c r="A54" s="5"/>
      <c r="B54" s="17"/>
      <c r="C54" s="49">
        <v>3</v>
      </c>
      <c r="D54" s="43">
        <f t="shared" si="1"/>
        <v>37</v>
      </c>
      <c r="E54" s="43">
        <f t="shared" si="5"/>
        <v>9</v>
      </c>
      <c r="F54" s="44">
        <f t="shared" si="4"/>
        <v>1</v>
      </c>
      <c r="G54" s="45">
        <f>IF(D54=D53,"",_xlfn.IFNA(VLOOKUP(D54,'인원 입력 기능'!$CD$5:$CG$55,4,FALSE),0))</f>
        <v>32</v>
      </c>
      <c r="H54" s="46">
        <f t="shared" si="2"/>
        <v>5.8192398617930531E-3</v>
      </c>
      <c r="I54" s="50">
        <f>SUM($G$7:G54)</f>
        <v>5442</v>
      </c>
      <c r="J54" s="48">
        <f t="shared" si="3"/>
        <v>0.98963447899618118</v>
      </c>
      <c r="K54" s="18"/>
      <c r="M54" s="1"/>
    </row>
    <row r="55" spans="1:13" ht="25" customHeight="1">
      <c r="A55" s="5"/>
      <c r="B55" s="17"/>
      <c r="C55" s="42">
        <v>2</v>
      </c>
      <c r="D55" s="43">
        <f t="shared" si="1"/>
        <v>36</v>
      </c>
      <c r="E55" s="43">
        <f t="shared" si="5"/>
        <v>9</v>
      </c>
      <c r="F55" s="44">
        <f t="shared" si="4"/>
        <v>1</v>
      </c>
      <c r="G55" s="45">
        <f>IF(D55=D54,"",_xlfn.IFNA(VLOOKUP(D55,'인원 입력 기능'!$CD$5:$CG$55,4,FALSE),0))</f>
        <v>47</v>
      </c>
      <c r="H55" s="46">
        <f t="shared" si="2"/>
        <v>8.5470085470085479E-3</v>
      </c>
      <c r="I55" s="50">
        <f>SUM($G$7:G55)</f>
        <v>5489</v>
      </c>
      <c r="J55" s="48">
        <f t="shared" si="3"/>
        <v>0.99818148754318969</v>
      </c>
      <c r="K55" s="18"/>
      <c r="M55" s="1"/>
    </row>
    <row r="56" spans="1:13" ht="25" customHeight="1">
      <c r="A56" s="5"/>
      <c r="B56" s="17"/>
      <c r="C56" s="49">
        <v>1</v>
      </c>
      <c r="D56" s="111" t="s">
        <v>31</v>
      </c>
      <c r="E56" s="112"/>
      <c r="F56" s="112"/>
      <c r="G56" s="112"/>
      <c r="H56" s="112"/>
      <c r="I56" s="112"/>
      <c r="J56" s="113"/>
      <c r="K56" s="18"/>
      <c r="M56" s="1"/>
    </row>
    <row r="57" spans="1:13" ht="25" customHeight="1" thickBot="1">
      <c r="A57" s="5"/>
      <c r="B57" s="17"/>
      <c r="C57" s="57">
        <v>0</v>
      </c>
      <c r="D57" s="58">
        <f>ROUND(10*(C57-$H$3)/$H$4+50,0)</f>
        <v>34</v>
      </c>
      <c r="E57" s="59">
        <f t="shared" si="5"/>
        <v>9</v>
      </c>
      <c r="F57" s="60">
        <f>IF(I55=0,ROUND(100*(1-(I54+I57)/2/$J$3),0),ROUND(100*(1-(I55+I57)/2/$J$3),0))</f>
        <v>0</v>
      </c>
      <c r="G57" s="61">
        <f>_xlfn.IFNA(VLOOKUP(D57,'인원 입력 기능'!$CD$5:$CG$55,4,FALSE),0)</f>
        <v>10</v>
      </c>
      <c r="H57" s="62">
        <f>G57/J3</f>
        <v>1.8185124568103291E-3</v>
      </c>
      <c r="I57" s="63">
        <f>SUM($G$7:G57)</f>
        <v>5499</v>
      </c>
      <c r="J57" s="64">
        <f>I57/J3</f>
        <v>1</v>
      </c>
      <c r="K57" s="18"/>
      <c r="M57" s="1"/>
    </row>
    <row r="58" spans="1:13" ht="6" customHeight="1">
      <c r="A58" s="5"/>
      <c r="B58" s="20"/>
      <c r="C58" s="21"/>
      <c r="D58" s="21"/>
      <c r="E58" s="21"/>
      <c r="F58" s="21"/>
      <c r="G58" s="21"/>
      <c r="H58" s="21"/>
      <c r="I58" s="21"/>
      <c r="J58" s="21"/>
      <c r="K58" s="22"/>
      <c r="M58" s="1"/>
    </row>
    <row r="59" spans="1:13">
      <c r="M59" s="1"/>
    </row>
    <row r="60" spans="1:13">
      <c r="M60" s="1"/>
    </row>
    <row r="61" spans="1:13">
      <c r="M61" s="1"/>
    </row>
    <row r="62" spans="1:13">
      <c r="M62" s="1"/>
    </row>
    <row r="63" spans="1:13">
      <c r="M63" s="1"/>
    </row>
    <row r="64" spans="1:13">
      <c r="M64" s="1"/>
    </row>
    <row r="65" spans="13:13">
      <c r="M65" s="1"/>
    </row>
    <row r="66" spans="13:13">
      <c r="M66" s="1"/>
    </row>
    <row r="67" spans="13:13">
      <c r="M67" s="1"/>
    </row>
    <row r="68" spans="13:13">
      <c r="M68" s="1"/>
    </row>
    <row r="69" spans="13:13">
      <c r="M69" s="1"/>
    </row>
    <row r="70" spans="13:13">
      <c r="M70" s="1"/>
    </row>
    <row r="71" spans="13:13">
      <c r="M71" s="1"/>
    </row>
    <row r="72" spans="13:13">
      <c r="M72" s="1"/>
    </row>
    <row r="73" spans="13:13">
      <c r="M73" s="1"/>
    </row>
    <row r="74" spans="13:13">
      <c r="M74" s="1"/>
    </row>
    <row r="75" spans="13:13">
      <c r="M75" s="1"/>
    </row>
    <row r="76" spans="13:13">
      <c r="M76" s="1"/>
    </row>
    <row r="77" spans="13:13">
      <c r="M77" s="1"/>
    </row>
    <row r="78" spans="13:13">
      <c r="M78" s="1"/>
    </row>
    <row r="79" spans="13:13">
      <c r="M79" s="1"/>
    </row>
    <row r="80" spans="13:13">
      <c r="M80" s="1"/>
    </row>
    <row r="81" spans="13:13">
      <c r="M81" s="1"/>
    </row>
    <row r="82" spans="13:13">
      <c r="M82" s="1"/>
    </row>
    <row r="83" spans="13:13">
      <c r="M83" s="1"/>
    </row>
    <row r="84" spans="13:13">
      <c r="M84" s="1"/>
    </row>
    <row r="85" spans="13:13">
      <c r="M85" s="1"/>
    </row>
    <row r="86" spans="13:13">
      <c r="M86" s="1"/>
    </row>
    <row r="87" spans="13:13">
      <c r="M87" s="1"/>
    </row>
    <row r="88" spans="13:13">
      <c r="M88" s="1"/>
    </row>
    <row r="89" spans="13:13">
      <c r="M89" s="1"/>
    </row>
    <row r="90" spans="13:13">
      <c r="M90" s="1"/>
    </row>
    <row r="91" spans="13:13">
      <c r="M91" s="1"/>
    </row>
    <row r="92" spans="13:13">
      <c r="M92" s="1"/>
    </row>
    <row r="93" spans="13:13">
      <c r="M93" s="1"/>
    </row>
    <row r="94" spans="13:13">
      <c r="M94" s="1"/>
    </row>
    <row r="95" spans="13:13">
      <c r="M95" s="1"/>
    </row>
    <row r="96" spans="13:13">
      <c r="M96" s="1"/>
    </row>
    <row r="97" spans="13:13">
      <c r="M97" s="1"/>
    </row>
    <row r="98" spans="13:13">
      <c r="M98" s="1"/>
    </row>
    <row r="99" spans="13:13">
      <c r="M99" s="1"/>
    </row>
    <row r="100" spans="13:13">
      <c r="M100" s="1"/>
    </row>
    <row r="101" spans="13:13">
      <c r="M101" s="1"/>
    </row>
    <row r="102" spans="13:13">
      <c r="M102" s="1"/>
    </row>
    <row r="103" spans="13:13">
      <c r="M103" s="1"/>
    </row>
    <row r="104" spans="13:13">
      <c r="M104" s="1"/>
    </row>
    <row r="105" spans="13:13">
      <c r="M105" s="1"/>
    </row>
  </sheetData>
  <mergeCells count="67">
    <mergeCell ref="I46:I47"/>
    <mergeCell ref="J46:J47"/>
    <mergeCell ref="D52:D53"/>
    <mergeCell ref="E52:E53"/>
    <mergeCell ref="F52:F53"/>
    <mergeCell ref="G52:G53"/>
    <mergeCell ref="H52:H53"/>
    <mergeCell ref="I52:I53"/>
    <mergeCell ref="J52:J53"/>
    <mergeCell ref="D46:D47"/>
    <mergeCell ref="E46:E47"/>
    <mergeCell ref="F46:F47"/>
    <mergeCell ref="G46:G47"/>
    <mergeCell ref="H46:H47"/>
    <mergeCell ref="I36:I37"/>
    <mergeCell ref="J36:J37"/>
    <mergeCell ref="D41:D42"/>
    <mergeCell ref="E41:E42"/>
    <mergeCell ref="F41:F42"/>
    <mergeCell ref="G41:G42"/>
    <mergeCell ref="H41:H42"/>
    <mergeCell ref="I41:I42"/>
    <mergeCell ref="J41:J42"/>
    <mergeCell ref="D36:D37"/>
    <mergeCell ref="E36:E37"/>
    <mergeCell ref="F36:F37"/>
    <mergeCell ref="G36:G37"/>
    <mergeCell ref="H36:H37"/>
    <mergeCell ref="I26:I27"/>
    <mergeCell ref="J26:J27"/>
    <mergeCell ref="D31:D32"/>
    <mergeCell ref="E31:E32"/>
    <mergeCell ref="F31:F32"/>
    <mergeCell ref="G31:G32"/>
    <mergeCell ref="H31:H32"/>
    <mergeCell ref="I31:I32"/>
    <mergeCell ref="J31:J32"/>
    <mergeCell ref="D26:D27"/>
    <mergeCell ref="E26:E27"/>
    <mergeCell ref="F26:F27"/>
    <mergeCell ref="G26:G27"/>
    <mergeCell ref="H26:H27"/>
    <mergeCell ref="I15:I16"/>
    <mergeCell ref="J15:J16"/>
    <mergeCell ref="D21:D22"/>
    <mergeCell ref="E21:E22"/>
    <mergeCell ref="F21:F22"/>
    <mergeCell ref="G21:G22"/>
    <mergeCell ref="H21:H22"/>
    <mergeCell ref="I21:I22"/>
    <mergeCell ref="J21:J22"/>
    <mergeCell ref="D3:F3"/>
    <mergeCell ref="D4:F4"/>
    <mergeCell ref="D56:J56"/>
    <mergeCell ref="D8:J8"/>
    <mergeCell ref="D10:D11"/>
    <mergeCell ref="E10:E11"/>
    <mergeCell ref="F10:F11"/>
    <mergeCell ref="G10:G11"/>
    <mergeCell ref="H10:H11"/>
    <mergeCell ref="I10:I11"/>
    <mergeCell ref="J10:J11"/>
    <mergeCell ref="D15:D16"/>
    <mergeCell ref="E15:E16"/>
    <mergeCell ref="F15:F16"/>
    <mergeCell ref="G15:G16"/>
    <mergeCell ref="H15:H16"/>
  </mergeCells>
  <phoneticPr fontId="1" type="noConversion"/>
  <conditionalFormatting sqref="D7:J7 D57:J57 D9:J10 D12:J15 D17:J21 D23:J26 D28:J31 D33:J36 D38:J41 D43:J46 D48:J52 D54:J55">
    <cfRule type="expression" dxfId="48" priority="7">
      <formula>OR($D7=$P$7:$P$14)</formula>
    </cfRule>
  </conditionalFormatting>
  <conditionalFormatting sqref="C7:C57">
    <cfRule type="expression" dxfId="47" priority="6">
      <formula>OR(AND($D7=0,OR($D6=$P$7:$P$14)),AND($D8&gt;0,OR($D7=$P$7:$P$14)))</formula>
    </cfRule>
  </conditionalFormatting>
  <conditionalFormatting sqref="D7 D57 D9:D10 D12:D15 D17:D21 D23:D26 D28:D31 D33:D36 D38:D41 D43:D46 D48:D52 D54:D55">
    <cfRule type="expression" dxfId="46" priority="5">
      <formula>$D7=$D8</formula>
    </cfRule>
  </conditionalFormatting>
  <conditionalFormatting sqref="D56">
    <cfRule type="expression" dxfId="45" priority="4">
      <formula>OR($D56=$P$7:$P$14)</formula>
    </cfRule>
  </conditionalFormatting>
  <conditionalFormatting sqref="D56">
    <cfRule type="expression" dxfId="44" priority="3">
      <formula>$D56=$D57</formula>
    </cfRule>
  </conditionalFormatting>
  <conditionalFormatting sqref="D8">
    <cfRule type="expression" dxfId="43" priority="2">
      <formula>OR($D8=$P$7:$P$14)</formula>
    </cfRule>
  </conditionalFormatting>
  <conditionalFormatting sqref="D8">
    <cfRule type="expression" dxfId="42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0E730-3DDC-4B1F-9703-C216C7179D26}">
  <sheetPr codeName="Sheet4"/>
  <dimension ref="A1:P105"/>
  <sheetViews>
    <sheetView zoomScaleNormal="100" workbookViewId="0">
      <selection activeCell="B2" sqref="B2:K58"/>
    </sheetView>
  </sheetViews>
  <sheetFormatPr defaultRowHeight="17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6">
      <c r="A1" s="5" t="s">
        <v>44</v>
      </c>
      <c r="C1" s="5"/>
      <c r="D1" s="5"/>
      <c r="E1" s="5"/>
      <c r="F1" s="5"/>
      <c r="G1" s="5"/>
      <c r="H1" s="5"/>
      <c r="I1" s="5"/>
      <c r="J1" s="5"/>
      <c r="K1" s="5"/>
    </row>
    <row r="2" spans="1:16" s="5" customFormat="1" ht="6" customHeight="1" thickBot="1">
      <c r="B2" s="15"/>
      <c r="C2" s="23"/>
      <c r="D2" s="23"/>
      <c r="E2" s="23"/>
      <c r="F2" s="23"/>
      <c r="G2" s="23"/>
      <c r="H2" s="23"/>
      <c r="I2" s="23"/>
      <c r="J2" s="23"/>
      <c r="K2" s="16"/>
    </row>
    <row r="3" spans="1:16" ht="25" customHeight="1" thickBot="1">
      <c r="A3" s="5"/>
      <c r="B3" s="17"/>
      <c r="C3" s="34" t="s">
        <v>47</v>
      </c>
      <c r="D3" s="105" t="s">
        <v>115</v>
      </c>
      <c r="E3" s="106"/>
      <c r="F3" s="107"/>
      <c r="G3" s="34" t="s">
        <v>48</v>
      </c>
      <c r="H3" s="101">
        <f>'통계 및 응시자 수 입력 기능'!D21</f>
        <v>23.18</v>
      </c>
      <c r="I3" s="103" t="s">
        <v>49</v>
      </c>
      <c r="J3" s="104">
        <f>'통계 및 응시자 수 입력 기능'!C21</f>
        <v>6719</v>
      </c>
      <c r="K3" s="18"/>
    </row>
    <row r="4" spans="1:16" ht="25" customHeight="1" thickBot="1">
      <c r="A4" s="5"/>
      <c r="B4" s="17"/>
      <c r="C4" s="35" t="s">
        <v>50</v>
      </c>
      <c r="D4" s="114" t="s">
        <v>56</v>
      </c>
      <c r="E4" s="109"/>
      <c r="F4" s="110"/>
      <c r="G4" s="36" t="s">
        <v>52</v>
      </c>
      <c r="H4" s="102">
        <f>'통계 및 응시자 수 입력 기능'!E21</f>
        <v>12.53</v>
      </c>
      <c r="I4" s="12"/>
      <c r="J4" s="12"/>
      <c r="K4" s="18"/>
    </row>
    <row r="5" spans="1:16" ht="25" customHeight="1" thickBot="1">
      <c r="A5" s="5"/>
      <c r="B5" s="17"/>
      <c r="C5" s="12"/>
      <c r="D5" s="12"/>
      <c r="E5" s="12"/>
      <c r="F5" s="12"/>
      <c r="G5" s="12"/>
      <c r="H5" s="19"/>
      <c r="I5" s="19"/>
      <c r="J5" s="19"/>
      <c r="K5" s="18"/>
    </row>
    <row r="6" spans="1:16" ht="25" customHeight="1" thickBot="1">
      <c r="A6" s="5"/>
      <c r="B6" s="17"/>
      <c r="C6" s="38" t="s">
        <v>73</v>
      </c>
      <c r="D6" s="39" t="s">
        <v>74</v>
      </c>
      <c r="E6" s="39" t="s">
        <v>75</v>
      </c>
      <c r="F6" s="39" t="s">
        <v>76</v>
      </c>
      <c r="G6" s="39" t="s">
        <v>77</v>
      </c>
      <c r="H6" s="40" t="s">
        <v>78</v>
      </c>
      <c r="I6" s="40" t="s">
        <v>79</v>
      </c>
      <c r="J6" s="41" t="s">
        <v>80</v>
      </c>
      <c r="K6" s="18"/>
      <c r="L6" s="3"/>
      <c r="M6" s="4"/>
    </row>
    <row r="7" spans="1:16" ht="25" customHeight="1">
      <c r="A7" s="5"/>
      <c r="B7" s="17"/>
      <c r="C7" s="42">
        <v>50</v>
      </c>
      <c r="D7" s="43">
        <f>ROUND(10*(C7-$H$3)/$H$4+50,0)</f>
        <v>71</v>
      </c>
      <c r="E7" s="43">
        <f t="shared" ref="E7:E57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44">
        <f>ROUND(100*(1-(0+I7)/2/$J$3),0)</f>
        <v>100</v>
      </c>
      <c r="G7" s="45">
        <f>_xlfn.IFNA(VLOOKUP(D7,'인원 입력 기능'!$CI$5:$CL$55,4,FALSE),0)</f>
        <v>16</v>
      </c>
      <c r="H7" s="46">
        <f>G7/J3</f>
        <v>2.3813067420747134E-3</v>
      </c>
      <c r="I7" s="47">
        <f>G7</f>
        <v>16</v>
      </c>
      <c r="J7" s="48">
        <f>I7/J3</f>
        <v>2.3813067420747134E-3</v>
      </c>
      <c r="K7" s="18"/>
      <c r="M7" s="1"/>
      <c r="O7" s="1">
        <v>1</v>
      </c>
      <c r="P7" s="1">
        <f>'표준점수 등급컷 입력기능'!B68</f>
        <v>67</v>
      </c>
    </row>
    <row r="8" spans="1:16" ht="25" customHeight="1">
      <c r="A8" s="5"/>
      <c r="B8" s="17"/>
      <c r="C8" s="49">
        <v>49</v>
      </c>
      <c r="D8" s="111" t="s">
        <v>31</v>
      </c>
      <c r="E8" s="112"/>
      <c r="F8" s="112"/>
      <c r="G8" s="112"/>
      <c r="H8" s="112"/>
      <c r="I8" s="112"/>
      <c r="J8" s="113"/>
      <c r="K8" s="18"/>
      <c r="M8" s="1"/>
      <c r="O8" s="1">
        <v>2</v>
      </c>
      <c r="P8" s="1">
        <f>'표준점수 등급컷 입력기능'!B69</f>
        <v>63</v>
      </c>
    </row>
    <row r="9" spans="1:16" ht="25" customHeight="1">
      <c r="A9" s="5"/>
      <c r="B9" s="17"/>
      <c r="C9" s="42">
        <v>48</v>
      </c>
      <c r="D9" s="43">
        <f>ROUND(10*(C9-$H$3)/$H$4+50,0)</f>
        <v>70</v>
      </c>
      <c r="E9" s="43">
        <f t="shared" si="0"/>
        <v>1</v>
      </c>
      <c r="F9" s="44">
        <f>IF(I8=0,ROUND(100*(1-(I7+I9)/2/$J$3),0),ROUND(100*(1-(I8+I9)/2/$J$3),0))</f>
        <v>100</v>
      </c>
      <c r="G9" s="45">
        <f>_xlfn.IFNA(VLOOKUP(D9,'인원 입력 기능'!$CI$5:$CL$55,4,FALSE),0)</f>
        <v>15</v>
      </c>
      <c r="H9" s="46">
        <f>G9/$J$3</f>
        <v>2.2324750706950438E-3</v>
      </c>
      <c r="I9" s="50">
        <f>SUM($G$7:G9)</f>
        <v>31</v>
      </c>
      <c r="J9" s="48">
        <f>I9/$J$3</f>
        <v>4.6137818127697577E-3</v>
      </c>
      <c r="K9" s="18"/>
      <c r="M9" s="1"/>
      <c r="O9" s="1">
        <v>3</v>
      </c>
      <c r="P9" s="1">
        <f>'표준점수 등급컷 입력기능'!B70</f>
        <v>59</v>
      </c>
    </row>
    <row r="10" spans="1:16" ht="25" customHeight="1">
      <c r="A10" s="5"/>
      <c r="B10" s="17"/>
      <c r="C10" s="49">
        <v>47</v>
      </c>
      <c r="D10" s="43">
        <f t="shared" ref="D10:D55" si="1">ROUND(10*(C10-$H$3)/$H$4+50,0)</f>
        <v>69</v>
      </c>
      <c r="E10" s="43">
        <f t="shared" si="0"/>
        <v>1</v>
      </c>
      <c r="F10" s="44">
        <f>IF(I9=0,ROUND(100*(1-(I8+I10)/2/$J$3),0),ROUND(100*(1-(I9+I10)/2/$J$3),0))</f>
        <v>99</v>
      </c>
      <c r="G10" s="45">
        <f>IF(D10=D9,"",_xlfn.IFNA(VLOOKUP(D10,'인원 입력 기능'!$CI$5:$CL$55,4,FALSE),0))</f>
        <v>77</v>
      </c>
      <c r="H10" s="46">
        <f t="shared" ref="H10:H55" si="2">G10/$J$3</f>
        <v>1.1460038696234558E-2</v>
      </c>
      <c r="I10" s="50">
        <f>SUM($G$7:G10)</f>
        <v>108</v>
      </c>
      <c r="J10" s="48">
        <f t="shared" ref="J10:J55" si="3">I10/$J$3</f>
        <v>1.6073820509004317E-2</v>
      </c>
      <c r="K10" s="18"/>
      <c r="M10" s="1"/>
      <c r="O10" s="1">
        <v>4</v>
      </c>
      <c r="P10" s="1">
        <f>'표준점수 등급컷 입력기능'!B71</f>
        <v>55</v>
      </c>
    </row>
    <row r="11" spans="1:16" ht="25" customHeight="1">
      <c r="A11" s="5"/>
      <c r="B11" s="17"/>
      <c r="C11" s="42">
        <v>46</v>
      </c>
      <c r="D11" s="43">
        <f t="shared" si="1"/>
        <v>68</v>
      </c>
      <c r="E11" s="43">
        <f t="shared" si="0"/>
        <v>1</v>
      </c>
      <c r="F11" s="44">
        <f t="shared" ref="F11:F55" si="4">IF(I10=0,ROUND(100*(1-(I9+I11)/2/$J$3),0),ROUND(100*(1-(I10+I11)/2/$J$3),0))</f>
        <v>98</v>
      </c>
      <c r="G11" s="45">
        <f>IF(D11=D10,"",_xlfn.IFNA(VLOOKUP(D11,'인원 입력 기능'!$CI$5:$CL$55,4,FALSE),0))</f>
        <v>6</v>
      </c>
      <c r="H11" s="46">
        <f t="shared" si="2"/>
        <v>8.929900282780176E-4</v>
      </c>
      <c r="I11" s="50">
        <f>SUM($G$7:G11)</f>
        <v>114</v>
      </c>
      <c r="J11" s="48">
        <f t="shared" si="3"/>
        <v>1.6966810537282332E-2</v>
      </c>
      <c r="K11" s="18"/>
      <c r="M11" s="1"/>
      <c r="O11" s="1">
        <v>5</v>
      </c>
      <c r="P11" s="1">
        <f>'표준점수 등급컷 입력기능'!B72</f>
        <v>45</v>
      </c>
    </row>
    <row r="12" spans="1:16" ht="25" customHeight="1">
      <c r="A12" s="5"/>
      <c r="B12" s="17"/>
      <c r="C12" s="49">
        <v>45</v>
      </c>
      <c r="D12" s="286">
        <f t="shared" si="1"/>
        <v>67</v>
      </c>
      <c r="E12" s="286">
        <f t="shared" si="0"/>
        <v>1</v>
      </c>
      <c r="F12" s="288">
        <f t="shared" si="4"/>
        <v>97</v>
      </c>
      <c r="G12" s="290">
        <f>IF(D12=D11,"",_xlfn.IFNA(VLOOKUP(D12,'인원 입력 기능'!$CI$5:$CL$55,4,FALSE),0))</f>
        <v>173</v>
      </c>
      <c r="H12" s="291">
        <f t="shared" si="2"/>
        <v>2.5747879148682838E-2</v>
      </c>
      <c r="I12" s="293">
        <f>SUM($G$7:G12)</f>
        <v>287</v>
      </c>
      <c r="J12" s="295">
        <f t="shared" si="3"/>
        <v>4.2714689685965174E-2</v>
      </c>
      <c r="K12" s="18"/>
      <c r="M12" s="1"/>
      <c r="O12" s="1">
        <v>6</v>
      </c>
      <c r="P12" s="1">
        <f>'표준점수 등급컷 입력기능'!B73</f>
        <v>39</v>
      </c>
    </row>
    <row r="13" spans="1:16" ht="25" customHeight="1">
      <c r="A13" s="5"/>
      <c r="B13" s="17"/>
      <c r="C13" s="42">
        <v>44</v>
      </c>
      <c r="D13" s="285"/>
      <c r="E13" s="285"/>
      <c r="F13" s="287"/>
      <c r="G13" s="289"/>
      <c r="H13" s="292"/>
      <c r="I13" s="294"/>
      <c r="J13" s="296"/>
      <c r="K13" s="18"/>
      <c r="M13" s="1"/>
      <c r="O13" s="1">
        <v>7</v>
      </c>
      <c r="P13" s="1">
        <f>'표준점수 등급컷 입력기능'!B74</f>
        <v>38</v>
      </c>
    </row>
    <row r="14" spans="1:16" ht="25" customHeight="1">
      <c r="A14" s="5"/>
      <c r="B14" s="17"/>
      <c r="C14" s="49">
        <v>43</v>
      </c>
      <c r="D14" s="43">
        <f t="shared" si="1"/>
        <v>66</v>
      </c>
      <c r="E14" s="43">
        <f t="shared" si="0"/>
        <v>2</v>
      </c>
      <c r="F14" s="44">
        <f t="shared" si="4"/>
        <v>95</v>
      </c>
      <c r="G14" s="45">
        <f>IF(D14=D13,"",_xlfn.IFNA(VLOOKUP(D14,'인원 입력 기능'!$CI$5:$CL$55,4,FALSE),0))</f>
        <v>41</v>
      </c>
      <c r="H14" s="46">
        <f t="shared" si="2"/>
        <v>6.102098526566453E-3</v>
      </c>
      <c r="I14" s="50">
        <f>SUM($G$7:G14)</f>
        <v>328</v>
      </c>
      <c r="J14" s="48">
        <f t="shared" si="3"/>
        <v>4.8816788212531624E-2</v>
      </c>
      <c r="K14" s="18"/>
      <c r="M14" s="1"/>
      <c r="O14" s="1">
        <v>8</v>
      </c>
      <c r="P14" s="1">
        <f>'표준점수 등급컷 입력기능'!B75</f>
        <v>35</v>
      </c>
    </row>
    <row r="15" spans="1:16" ht="25" customHeight="1">
      <c r="A15" s="5"/>
      <c r="B15" s="17"/>
      <c r="C15" s="42">
        <v>42</v>
      </c>
      <c r="D15" s="43">
        <f t="shared" si="1"/>
        <v>65</v>
      </c>
      <c r="E15" s="43">
        <f t="shared" si="0"/>
        <v>2</v>
      </c>
      <c r="F15" s="44">
        <f t="shared" si="4"/>
        <v>94</v>
      </c>
      <c r="G15" s="45">
        <f>IF(D15=D14,"",_xlfn.IFNA(VLOOKUP(D15,'인원 입력 기능'!$CI$5:$CL$55,4,FALSE),0))</f>
        <v>131</v>
      </c>
      <c r="H15" s="46">
        <f t="shared" si="2"/>
        <v>1.9496948950736715E-2</v>
      </c>
      <c r="I15" s="50">
        <f>SUM($G$7:G15)</f>
        <v>459</v>
      </c>
      <c r="J15" s="48">
        <f t="shared" si="3"/>
        <v>6.8313737163268343E-2</v>
      </c>
      <c r="K15" s="18"/>
      <c r="M15" s="1"/>
      <c r="O15" s="1">
        <v>9</v>
      </c>
      <c r="P15" s="1"/>
    </row>
    <row r="16" spans="1:16" ht="25" customHeight="1">
      <c r="A16" s="5"/>
      <c r="B16" s="17"/>
      <c r="C16" s="49">
        <v>41</v>
      </c>
      <c r="D16" s="43">
        <f t="shared" si="1"/>
        <v>64</v>
      </c>
      <c r="E16" s="43">
        <f t="shared" si="0"/>
        <v>2</v>
      </c>
      <c r="F16" s="44">
        <f t="shared" si="4"/>
        <v>92</v>
      </c>
      <c r="G16" s="45">
        <f>IF(D16=D15,"",_xlfn.IFNA(VLOOKUP(D16,'인원 입력 기능'!$CI$5:$CL$55,4,FALSE),0))</f>
        <v>133</v>
      </c>
      <c r="H16" s="46">
        <f t="shared" si="2"/>
        <v>1.9794612293496057E-2</v>
      </c>
      <c r="I16" s="50">
        <f>SUM($G$7:G16)</f>
        <v>592</v>
      </c>
      <c r="J16" s="48">
        <f t="shared" si="3"/>
        <v>8.8108349456764393E-2</v>
      </c>
      <c r="K16" s="18"/>
      <c r="M16" s="1"/>
    </row>
    <row r="17" spans="1:16" ht="25" customHeight="1">
      <c r="A17" s="5"/>
      <c r="B17" s="17"/>
      <c r="C17" s="42">
        <v>40</v>
      </c>
      <c r="D17" s="286">
        <f t="shared" si="1"/>
        <v>63</v>
      </c>
      <c r="E17" s="286">
        <f t="shared" si="0"/>
        <v>2</v>
      </c>
      <c r="F17" s="288">
        <f t="shared" si="4"/>
        <v>89</v>
      </c>
      <c r="G17" s="290">
        <f>IF(D17=D16,"",_xlfn.IFNA(VLOOKUP(D17,'인원 입력 기능'!$CI$5:$CL$55,4,FALSE),0))</f>
        <v>290</v>
      </c>
      <c r="H17" s="291">
        <f t="shared" si="2"/>
        <v>4.3161184700104181E-2</v>
      </c>
      <c r="I17" s="293">
        <f>SUM($G$7:G17)</f>
        <v>882</v>
      </c>
      <c r="J17" s="295">
        <f t="shared" si="3"/>
        <v>0.13126953415686859</v>
      </c>
      <c r="K17" s="18"/>
      <c r="M17" s="1"/>
      <c r="P17" s="1">
        <f>H3*H4*J3*P7*IFERROR(IF(J57=1, 1, 0), 0)</f>
        <v>130750677.05420001</v>
      </c>
    </row>
    <row r="18" spans="1:16" ht="25" customHeight="1">
      <c r="A18" s="5"/>
      <c r="B18" s="17"/>
      <c r="C18" s="49">
        <v>39</v>
      </c>
      <c r="D18" s="285"/>
      <c r="E18" s="285"/>
      <c r="F18" s="287"/>
      <c r="G18" s="289"/>
      <c r="H18" s="292"/>
      <c r="I18" s="294"/>
      <c r="J18" s="296"/>
      <c r="K18" s="18"/>
      <c r="M18" s="1"/>
    </row>
    <row r="19" spans="1:16" ht="25" customHeight="1">
      <c r="A19" s="5"/>
      <c r="B19" s="17"/>
      <c r="C19" s="42">
        <v>38</v>
      </c>
      <c r="D19" s="43">
        <f t="shared" si="1"/>
        <v>62</v>
      </c>
      <c r="E19" s="43">
        <f t="shared" si="0"/>
        <v>3</v>
      </c>
      <c r="F19" s="44">
        <f t="shared" si="4"/>
        <v>86</v>
      </c>
      <c r="G19" s="45">
        <f>IF(D19=D18,"",_xlfn.IFNA(VLOOKUP(D19,'인원 입력 기능'!$CI$5:$CL$55,4,FALSE),0))</f>
        <v>116</v>
      </c>
      <c r="H19" s="46">
        <f t="shared" si="2"/>
        <v>1.7264473880041674E-2</v>
      </c>
      <c r="I19" s="50">
        <f>SUM($G$7:G19)</f>
        <v>998</v>
      </c>
      <c r="J19" s="48">
        <f t="shared" si="3"/>
        <v>0.14853400803691025</v>
      </c>
      <c r="K19" s="18"/>
      <c r="M19" s="1"/>
    </row>
    <row r="20" spans="1:16" ht="25" customHeight="1">
      <c r="A20" s="5"/>
      <c r="B20" s="17"/>
      <c r="C20" s="49">
        <v>37</v>
      </c>
      <c r="D20" s="43">
        <f t="shared" si="1"/>
        <v>61</v>
      </c>
      <c r="E20" s="43">
        <f t="shared" si="0"/>
        <v>3</v>
      </c>
      <c r="F20" s="44">
        <f t="shared" si="4"/>
        <v>84</v>
      </c>
      <c r="G20" s="45">
        <f>IF(D20=D19,"",_xlfn.IFNA(VLOOKUP(D20,'인원 입력 기능'!$CI$5:$CL$55,4,FALSE),0))</f>
        <v>172</v>
      </c>
      <c r="H20" s="46">
        <f t="shared" si="2"/>
        <v>2.5599047477303169E-2</v>
      </c>
      <c r="I20" s="50">
        <f>SUM($G$7:G20)</f>
        <v>1170</v>
      </c>
      <c r="J20" s="48">
        <f t="shared" si="3"/>
        <v>0.17413305551421343</v>
      </c>
      <c r="K20" s="18"/>
      <c r="M20" s="1"/>
    </row>
    <row r="21" spans="1:16" ht="25" customHeight="1">
      <c r="A21" s="5"/>
      <c r="B21" s="17"/>
      <c r="C21" s="51">
        <v>36</v>
      </c>
      <c r="D21" s="53">
        <f t="shared" si="1"/>
        <v>60</v>
      </c>
      <c r="E21" s="53">
        <f t="shared" si="0"/>
        <v>3</v>
      </c>
      <c r="F21" s="44">
        <f t="shared" si="4"/>
        <v>81</v>
      </c>
      <c r="G21" s="45">
        <f>IF(D21=D20,"",_xlfn.IFNA(VLOOKUP(D21,'인원 입력 기능'!$CI$5:$CL$55,4,FALSE),0))</f>
        <v>215</v>
      </c>
      <c r="H21" s="46">
        <f t="shared" si="2"/>
        <v>3.1998809346628965E-2</v>
      </c>
      <c r="I21" s="50">
        <f>SUM($G$7:G21)</f>
        <v>1385</v>
      </c>
      <c r="J21" s="48">
        <f t="shared" si="3"/>
        <v>0.2061318648608424</v>
      </c>
      <c r="K21" s="18"/>
      <c r="M21" s="1"/>
    </row>
    <row r="22" spans="1:16" ht="25" customHeight="1">
      <c r="A22" s="5"/>
      <c r="B22" s="17"/>
      <c r="C22" s="52">
        <v>35</v>
      </c>
      <c r="D22" s="298">
        <f t="shared" si="1"/>
        <v>59</v>
      </c>
      <c r="E22" s="298">
        <f t="shared" si="0"/>
        <v>3</v>
      </c>
      <c r="F22" s="288">
        <f t="shared" si="4"/>
        <v>76</v>
      </c>
      <c r="G22" s="290">
        <f>IF(D22=D21,"",_xlfn.IFNA(VLOOKUP(D22,'인원 입력 기능'!$CI$5:$CL$55,4,FALSE),0))</f>
        <v>402</v>
      </c>
      <c r="H22" s="291">
        <f t="shared" si="2"/>
        <v>5.9830331894627178E-2</v>
      </c>
      <c r="I22" s="293">
        <f>SUM($G$7:G22)</f>
        <v>1787</v>
      </c>
      <c r="J22" s="295">
        <f t="shared" si="3"/>
        <v>0.26596219675546956</v>
      </c>
      <c r="K22" s="18"/>
      <c r="M22" s="1"/>
    </row>
    <row r="23" spans="1:16" ht="25" customHeight="1">
      <c r="A23" s="5"/>
      <c r="B23" s="17"/>
      <c r="C23" s="51">
        <v>34</v>
      </c>
      <c r="D23" s="297"/>
      <c r="E23" s="297"/>
      <c r="F23" s="287"/>
      <c r="G23" s="289"/>
      <c r="H23" s="292"/>
      <c r="I23" s="294"/>
      <c r="J23" s="296"/>
      <c r="K23" s="18"/>
      <c r="M23" s="1"/>
    </row>
    <row r="24" spans="1:16" ht="25" customHeight="1">
      <c r="A24" s="5"/>
      <c r="B24" s="17"/>
      <c r="C24" s="52">
        <v>33</v>
      </c>
      <c r="D24" s="53">
        <f t="shared" si="1"/>
        <v>58</v>
      </c>
      <c r="E24" s="53">
        <f t="shared" si="0"/>
        <v>4</v>
      </c>
      <c r="F24" s="44">
        <f t="shared" si="4"/>
        <v>72</v>
      </c>
      <c r="G24" s="45">
        <f>IF(D24=D23,"",_xlfn.IFNA(VLOOKUP(D24,'인원 입력 기능'!$CI$5:$CL$55,4,FALSE),0))</f>
        <v>185</v>
      </c>
      <c r="H24" s="46">
        <f t="shared" si="2"/>
        <v>2.7533859205238875E-2</v>
      </c>
      <c r="I24" s="50">
        <f>SUM($G$7:G24)</f>
        <v>1972</v>
      </c>
      <c r="J24" s="48">
        <f t="shared" si="3"/>
        <v>0.29349605596070844</v>
      </c>
      <c r="K24" s="18"/>
      <c r="M24" s="1"/>
    </row>
    <row r="25" spans="1:16" ht="25" customHeight="1">
      <c r="A25" s="5"/>
      <c r="B25" s="17"/>
      <c r="C25" s="51">
        <v>32</v>
      </c>
      <c r="D25" s="53">
        <f t="shared" si="1"/>
        <v>57</v>
      </c>
      <c r="E25" s="53">
        <f t="shared" si="0"/>
        <v>4</v>
      </c>
      <c r="F25" s="44">
        <f t="shared" si="4"/>
        <v>69</v>
      </c>
      <c r="G25" s="45">
        <f>IF(D25=D24,"",_xlfn.IFNA(VLOOKUP(D25,'인원 입력 기능'!$CI$5:$CL$55,4,FALSE),0))</f>
        <v>185</v>
      </c>
      <c r="H25" s="46">
        <f t="shared" si="2"/>
        <v>2.7533859205238875E-2</v>
      </c>
      <c r="I25" s="50">
        <f>SUM($G$7:G25)</f>
        <v>2157</v>
      </c>
      <c r="J25" s="48">
        <f t="shared" si="3"/>
        <v>0.32102991516594731</v>
      </c>
      <c r="K25" s="18"/>
      <c r="M25" s="1"/>
    </row>
    <row r="26" spans="1:16" ht="25" customHeight="1">
      <c r="A26" s="5"/>
      <c r="B26" s="17"/>
      <c r="C26" s="52">
        <v>31</v>
      </c>
      <c r="D26" s="53">
        <f t="shared" si="1"/>
        <v>56</v>
      </c>
      <c r="E26" s="53">
        <f t="shared" si="0"/>
        <v>4</v>
      </c>
      <c r="F26" s="44">
        <f t="shared" si="4"/>
        <v>66</v>
      </c>
      <c r="G26" s="45">
        <f>IF(D26=D25,"",_xlfn.IFNA(VLOOKUP(D26,'인원 입력 기능'!$CI$5:$CL$55,4,FALSE),0))</f>
        <v>206</v>
      </c>
      <c r="H26" s="46">
        <f t="shared" si="2"/>
        <v>3.0659324304211935E-2</v>
      </c>
      <c r="I26" s="50">
        <f>SUM($G$7:G26)</f>
        <v>2363</v>
      </c>
      <c r="J26" s="48">
        <f t="shared" si="3"/>
        <v>0.35168923947015923</v>
      </c>
      <c r="K26" s="18"/>
      <c r="M26" s="1"/>
    </row>
    <row r="27" spans="1:16" ht="25" customHeight="1">
      <c r="A27" s="5"/>
      <c r="B27" s="17"/>
      <c r="C27" s="51">
        <v>30</v>
      </c>
      <c r="D27" s="298">
        <f t="shared" si="1"/>
        <v>55</v>
      </c>
      <c r="E27" s="298">
        <f t="shared" si="0"/>
        <v>4</v>
      </c>
      <c r="F27" s="288">
        <f t="shared" si="4"/>
        <v>62</v>
      </c>
      <c r="G27" s="290">
        <f>IF(D27=D26,"",_xlfn.IFNA(VLOOKUP(D27,'인원 입력 기능'!$CI$5:$CL$55,4,FALSE),0))</f>
        <v>358</v>
      </c>
      <c r="H27" s="291">
        <f t="shared" si="2"/>
        <v>5.3281738353921713E-2</v>
      </c>
      <c r="I27" s="293">
        <f>SUM($G$7:G27)</f>
        <v>2721</v>
      </c>
      <c r="J27" s="295">
        <f t="shared" si="3"/>
        <v>0.40497097782408098</v>
      </c>
      <c r="K27" s="18"/>
      <c r="M27" s="1"/>
    </row>
    <row r="28" spans="1:16" ht="25" customHeight="1">
      <c r="A28" s="5"/>
      <c r="B28" s="17"/>
      <c r="C28" s="52">
        <v>29</v>
      </c>
      <c r="D28" s="297"/>
      <c r="E28" s="297"/>
      <c r="F28" s="287"/>
      <c r="G28" s="289"/>
      <c r="H28" s="292"/>
      <c r="I28" s="294"/>
      <c r="J28" s="296"/>
      <c r="K28" s="18"/>
      <c r="M28" s="1"/>
    </row>
    <row r="29" spans="1:16" ht="25" customHeight="1">
      <c r="A29" s="5"/>
      <c r="B29" s="17"/>
      <c r="C29" s="51">
        <v>28</v>
      </c>
      <c r="D29" s="53">
        <f t="shared" si="1"/>
        <v>54</v>
      </c>
      <c r="E29" s="53">
        <f t="shared" si="0"/>
        <v>5</v>
      </c>
      <c r="F29" s="44">
        <f t="shared" si="4"/>
        <v>58</v>
      </c>
      <c r="G29" s="45">
        <f>IF(D29=D28,"",_xlfn.IFNA(VLOOKUP(D29,'인원 입력 기능'!$CI$5:$CL$55,4,FALSE),0))</f>
        <v>163</v>
      </c>
      <c r="H29" s="46">
        <f t="shared" si="2"/>
        <v>2.4259562434886143E-2</v>
      </c>
      <c r="I29" s="50">
        <f>SUM($G$7:G29)</f>
        <v>2884</v>
      </c>
      <c r="J29" s="48">
        <f t="shared" si="3"/>
        <v>0.42923054025896712</v>
      </c>
      <c r="K29" s="18"/>
      <c r="M29" s="1"/>
    </row>
    <row r="30" spans="1:16" ht="25" customHeight="1">
      <c r="A30" s="5"/>
      <c r="B30" s="17"/>
      <c r="C30" s="52">
        <v>27</v>
      </c>
      <c r="D30" s="53">
        <f t="shared" si="1"/>
        <v>53</v>
      </c>
      <c r="E30" s="53">
        <f t="shared" si="0"/>
        <v>5</v>
      </c>
      <c r="F30" s="44">
        <f t="shared" si="4"/>
        <v>56</v>
      </c>
      <c r="G30" s="45">
        <f>IF(D30=D29,"",_xlfn.IFNA(VLOOKUP(D30,'인원 입력 기능'!$CI$5:$CL$55,4,FALSE),0))</f>
        <v>146</v>
      </c>
      <c r="H30" s="46">
        <f t="shared" si="2"/>
        <v>2.172942402143176E-2</v>
      </c>
      <c r="I30" s="50">
        <f>SUM($G$7:G30)</f>
        <v>3030</v>
      </c>
      <c r="J30" s="48">
        <f t="shared" si="3"/>
        <v>0.45095996428039886</v>
      </c>
      <c r="K30" s="18"/>
      <c r="M30" s="1"/>
    </row>
    <row r="31" spans="1:16" ht="25" customHeight="1">
      <c r="A31" s="5"/>
      <c r="B31" s="17"/>
      <c r="C31" s="51">
        <v>26</v>
      </c>
      <c r="D31" s="53">
        <f t="shared" si="1"/>
        <v>52</v>
      </c>
      <c r="E31" s="53">
        <f t="shared" si="0"/>
        <v>5</v>
      </c>
      <c r="F31" s="44">
        <f t="shared" si="4"/>
        <v>54</v>
      </c>
      <c r="G31" s="45">
        <f>IF(D31=D30,"",_xlfn.IFNA(VLOOKUP(D31,'인원 입력 기능'!$CI$5:$CL$55,4,FALSE),0))</f>
        <v>149</v>
      </c>
      <c r="H31" s="46">
        <f t="shared" si="2"/>
        <v>2.2175919035570771E-2</v>
      </c>
      <c r="I31" s="50">
        <f>SUM($G$7:G31)</f>
        <v>3179</v>
      </c>
      <c r="J31" s="48">
        <f t="shared" si="3"/>
        <v>0.47313588331596962</v>
      </c>
      <c r="K31" s="18"/>
      <c r="M31" s="1"/>
    </row>
    <row r="32" spans="1:16" ht="25" customHeight="1">
      <c r="A32" s="5"/>
      <c r="B32" s="17"/>
      <c r="C32" s="52">
        <v>25</v>
      </c>
      <c r="D32" s="298">
        <f t="shared" si="1"/>
        <v>51</v>
      </c>
      <c r="E32" s="298">
        <f t="shared" si="0"/>
        <v>5</v>
      </c>
      <c r="F32" s="288">
        <f t="shared" si="4"/>
        <v>51</v>
      </c>
      <c r="G32" s="290">
        <f>IF(D32=D31,"",_xlfn.IFNA(VLOOKUP(D32,'인원 입력 기능'!$CI$5:$CL$55,4,FALSE),0))</f>
        <v>253</v>
      </c>
      <c r="H32" s="291">
        <f t="shared" si="2"/>
        <v>3.7654412859056408E-2</v>
      </c>
      <c r="I32" s="293">
        <f>SUM($G$7:G32)</f>
        <v>3432</v>
      </c>
      <c r="J32" s="295">
        <f t="shared" si="3"/>
        <v>0.51079029617502603</v>
      </c>
      <c r="K32" s="18"/>
      <c r="M32" s="1"/>
    </row>
    <row r="33" spans="1:13" ht="25" customHeight="1">
      <c r="A33" s="5"/>
      <c r="B33" s="17"/>
      <c r="C33" s="51">
        <v>24</v>
      </c>
      <c r="D33" s="297"/>
      <c r="E33" s="297"/>
      <c r="F33" s="287"/>
      <c r="G33" s="289"/>
      <c r="H33" s="292"/>
      <c r="I33" s="294"/>
      <c r="J33" s="296"/>
      <c r="K33" s="18"/>
      <c r="M33" s="1"/>
    </row>
    <row r="34" spans="1:13" ht="25" customHeight="1">
      <c r="A34" s="5"/>
      <c r="B34" s="17"/>
      <c r="C34" s="52">
        <v>23</v>
      </c>
      <c r="D34" s="53">
        <f t="shared" si="1"/>
        <v>50</v>
      </c>
      <c r="E34" s="53">
        <f t="shared" si="0"/>
        <v>5</v>
      </c>
      <c r="F34" s="44">
        <f t="shared" si="4"/>
        <v>48</v>
      </c>
      <c r="G34" s="45">
        <f>IF(D34=D33,"",_xlfn.IFNA(VLOOKUP(D34,'인원 입력 기능'!$CI$5:$CL$55,4,FALSE),0))</f>
        <v>108</v>
      </c>
      <c r="H34" s="46">
        <f t="shared" si="2"/>
        <v>1.6073820509004317E-2</v>
      </c>
      <c r="I34" s="50">
        <f>SUM($G$7:G34)</f>
        <v>3540</v>
      </c>
      <c r="J34" s="48">
        <f t="shared" si="3"/>
        <v>0.52686411668403033</v>
      </c>
      <c r="K34" s="18"/>
      <c r="M34" s="1"/>
    </row>
    <row r="35" spans="1:13" ht="25" customHeight="1">
      <c r="A35" s="5"/>
      <c r="B35" s="17"/>
      <c r="C35" s="51">
        <v>22</v>
      </c>
      <c r="D35" s="53">
        <f t="shared" si="1"/>
        <v>49</v>
      </c>
      <c r="E35" s="53">
        <f t="shared" si="0"/>
        <v>5</v>
      </c>
      <c r="F35" s="44">
        <f t="shared" si="4"/>
        <v>47</v>
      </c>
      <c r="G35" s="45">
        <f>IF(D35=D34,"",_xlfn.IFNA(VLOOKUP(D35,'인원 입력 기능'!$CI$5:$CL$55,4,FALSE),0))</f>
        <v>91</v>
      </c>
      <c r="H35" s="46">
        <f t="shared" si="2"/>
        <v>1.3543682095549934E-2</v>
      </c>
      <c r="I35" s="50">
        <f>SUM($G$7:G35)</f>
        <v>3631</v>
      </c>
      <c r="J35" s="48">
        <f t="shared" si="3"/>
        <v>0.54040779877958034</v>
      </c>
      <c r="K35" s="18"/>
      <c r="M35" s="1"/>
    </row>
    <row r="36" spans="1:13" ht="25" customHeight="1">
      <c r="A36" s="5"/>
      <c r="B36" s="17"/>
      <c r="C36" s="52">
        <v>21</v>
      </c>
      <c r="D36" s="53">
        <f t="shared" si="1"/>
        <v>48</v>
      </c>
      <c r="E36" s="53">
        <f t="shared" si="0"/>
        <v>5</v>
      </c>
      <c r="F36" s="44">
        <f t="shared" si="4"/>
        <v>45</v>
      </c>
      <c r="G36" s="45">
        <f>IF(D36=D35,"",_xlfn.IFNA(VLOOKUP(D36,'인원 입력 기능'!$CI$5:$CL$55,4,FALSE),0))</f>
        <v>118</v>
      </c>
      <c r="H36" s="46">
        <f t="shared" si="2"/>
        <v>1.7562137222801012E-2</v>
      </c>
      <c r="I36" s="50">
        <f>SUM($G$7:G36)</f>
        <v>3749</v>
      </c>
      <c r="J36" s="48">
        <f t="shared" si="3"/>
        <v>0.55796993600238132</v>
      </c>
      <c r="K36" s="18"/>
      <c r="M36" s="1"/>
    </row>
    <row r="37" spans="1:13" ht="25" customHeight="1">
      <c r="A37" s="5"/>
      <c r="B37" s="17"/>
      <c r="C37" s="51">
        <v>20</v>
      </c>
      <c r="D37" s="298">
        <f t="shared" si="1"/>
        <v>47</v>
      </c>
      <c r="E37" s="298">
        <f t="shared" si="0"/>
        <v>5</v>
      </c>
      <c r="F37" s="288">
        <f t="shared" si="4"/>
        <v>43</v>
      </c>
      <c r="G37" s="290">
        <f>IF(D37=D36,"",_xlfn.IFNA(VLOOKUP(D37,'인원 입력 기능'!$CI$5:$CL$55,4,FALSE),0))</f>
        <v>189</v>
      </c>
      <c r="H37" s="291">
        <f t="shared" si="2"/>
        <v>2.8129185890757552E-2</v>
      </c>
      <c r="I37" s="293">
        <f>SUM($G$7:G37)</f>
        <v>3938</v>
      </c>
      <c r="J37" s="295">
        <f t="shared" si="3"/>
        <v>0.58609912189313884</v>
      </c>
      <c r="K37" s="18"/>
      <c r="M37" s="1"/>
    </row>
    <row r="38" spans="1:13" ht="25" customHeight="1">
      <c r="A38" s="5"/>
      <c r="B38" s="17"/>
      <c r="C38" s="52">
        <v>19</v>
      </c>
      <c r="D38" s="297"/>
      <c r="E38" s="297"/>
      <c r="F38" s="287"/>
      <c r="G38" s="289"/>
      <c r="H38" s="292"/>
      <c r="I38" s="294"/>
      <c r="J38" s="296"/>
      <c r="K38" s="18"/>
      <c r="M38" s="1"/>
    </row>
    <row r="39" spans="1:13" ht="25" customHeight="1">
      <c r="A39" s="5"/>
      <c r="B39" s="17"/>
      <c r="C39" s="51">
        <v>18</v>
      </c>
      <c r="D39" s="53">
        <f t="shared" si="1"/>
        <v>46</v>
      </c>
      <c r="E39" s="53">
        <f t="shared" si="0"/>
        <v>5</v>
      </c>
      <c r="F39" s="44">
        <f t="shared" si="4"/>
        <v>41</v>
      </c>
      <c r="G39" s="45">
        <f>IF(D39=D38,"",_xlfn.IFNA(VLOOKUP(D39,'인원 입력 기능'!$CI$5:$CL$55,4,FALSE),0))</f>
        <v>62</v>
      </c>
      <c r="H39" s="46">
        <f t="shared" si="2"/>
        <v>9.2275636255395154E-3</v>
      </c>
      <c r="I39" s="50">
        <f>SUM($G$7:G39)</f>
        <v>4000</v>
      </c>
      <c r="J39" s="48">
        <f t="shared" si="3"/>
        <v>0.5953266855186784</v>
      </c>
      <c r="K39" s="18"/>
      <c r="M39" s="1"/>
    </row>
    <row r="40" spans="1:13" ht="25" customHeight="1">
      <c r="A40" s="5"/>
      <c r="B40" s="17"/>
      <c r="C40" s="52">
        <v>17</v>
      </c>
      <c r="D40" s="53">
        <f t="shared" si="1"/>
        <v>45</v>
      </c>
      <c r="E40" s="53">
        <f t="shared" si="0"/>
        <v>5</v>
      </c>
      <c r="F40" s="44">
        <f t="shared" si="4"/>
        <v>40</v>
      </c>
      <c r="G40" s="45">
        <f>IF(D40=D39,"",_xlfn.IFNA(VLOOKUP(D40,'인원 입력 기능'!$CI$5:$CL$55,4,FALSE),0))</f>
        <v>105</v>
      </c>
      <c r="H40" s="46">
        <f t="shared" si="2"/>
        <v>1.5627325494865306E-2</v>
      </c>
      <c r="I40" s="50">
        <f>SUM($G$7:G40)</f>
        <v>4105</v>
      </c>
      <c r="J40" s="48">
        <f t="shared" si="3"/>
        <v>0.61095401101354363</v>
      </c>
      <c r="K40" s="18"/>
      <c r="M40" s="1"/>
    </row>
    <row r="41" spans="1:13" ht="25" customHeight="1">
      <c r="A41" s="5"/>
      <c r="B41" s="17"/>
      <c r="C41" s="51">
        <v>16</v>
      </c>
      <c r="D41" s="53">
        <f t="shared" si="1"/>
        <v>44</v>
      </c>
      <c r="E41" s="53">
        <f t="shared" si="0"/>
        <v>6</v>
      </c>
      <c r="F41" s="44">
        <f t="shared" si="4"/>
        <v>38</v>
      </c>
      <c r="G41" s="45">
        <f>IF(D41=D40,"",_xlfn.IFNA(VLOOKUP(D41,'인원 입력 기능'!$CI$5:$CL$55,4,FALSE),0))</f>
        <v>91</v>
      </c>
      <c r="H41" s="46">
        <f t="shared" si="2"/>
        <v>1.3543682095549934E-2</v>
      </c>
      <c r="I41" s="50">
        <f>SUM($G$7:G41)</f>
        <v>4196</v>
      </c>
      <c r="J41" s="48">
        <f t="shared" si="3"/>
        <v>0.62449769310909364</v>
      </c>
      <c r="K41" s="18"/>
      <c r="M41" s="1"/>
    </row>
    <row r="42" spans="1:13" ht="25" customHeight="1">
      <c r="A42" s="5"/>
      <c r="B42" s="17"/>
      <c r="C42" s="52">
        <v>15</v>
      </c>
      <c r="D42" s="298">
        <f t="shared" si="1"/>
        <v>43</v>
      </c>
      <c r="E42" s="298">
        <f t="shared" si="0"/>
        <v>6</v>
      </c>
      <c r="F42" s="288">
        <f t="shared" si="4"/>
        <v>36</v>
      </c>
      <c r="G42" s="290">
        <f>IF(D42=D41,"",_xlfn.IFNA(VLOOKUP(D42,'인원 입력 기능'!$CI$5:$CL$55,4,FALSE),0))</f>
        <v>249</v>
      </c>
      <c r="H42" s="291">
        <f t="shared" si="2"/>
        <v>3.7059086173537731E-2</v>
      </c>
      <c r="I42" s="293">
        <f>SUM($G$7:G42)</f>
        <v>4445</v>
      </c>
      <c r="J42" s="295">
        <f t="shared" si="3"/>
        <v>0.66155677928263135</v>
      </c>
      <c r="K42" s="18"/>
      <c r="M42" s="1"/>
    </row>
    <row r="43" spans="1:13" ht="25" customHeight="1">
      <c r="A43" s="5"/>
      <c r="B43" s="17"/>
      <c r="C43" s="51">
        <v>14</v>
      </c>
      <c r="D43" s="297"/>
      <c r="E43" s="297"/>
      <c r="F43" s="287"/>
      <c r="G43" s="289"/>
      <c r="H43" s="292"/>
      <c r="I43" s="294"/>
      <c r="J43" s="296"/>
      <c r="K43" s="18"/>
      <c r="M43" s="1"/>
    </row>
    <row r="44" spans="1:13" ht="25" customHeight="1">
      <c r="A44" s="5"/>
      <c r="B44" s="17"/>
      <c r="C44" s="52">
        <v>13</v>
      </c>
      <c r="D44" s="53">
        <f t="shared" si="1"/>
        <v>42</v>
      </c>
      <c r="E44" s="53">
        <f t="shared" si="0"/>
        <v>6</v>
      </c>
      <c r="F44" s="44">
        <f t="shared" si="4"/>
        <v>33</v>
      </c>
      <c r="G44" s="45">
        <f>IF(D44=D43,"",_xlfn.IFNA(VLOOKUP(D44,'인원 입력 기능'!$CI$5:$CL$55,4,FALSE),0))</f>
        <v>121</v>
      </c>
      <c r="H44" s="46">
        <f t="shared" si="2"/>
        <v>1.800863223694002E-2</v>
      </c>
      <c r="I44" s="50">
        <f>SUM($G$7:G44)</f>
        <v>4566</v>
      </c>
      <c r="J44" s="48">
        <f t="shared" si="3"/>
        <v>0.67956541151957139</v>
      </c>
      <c r="K44" s="18"/>
      <c r="M44" s="1"/>
    </row>
    <row r="45" spans="1:13" ht="25" customHeight="1">
      <c r="A45" s="5"/>
      <c r="B45" s="17"/>
      <c r="C45" s="51">
        <v>12</v>
      </c>
      <c r="D45" s="53">
        <f t="shared" si="1"/>
        <v>41</v>
      </c>
      <c r="E45" s="53">
        <f t="shared" si="0"/>
        <v>6</v>
      </c>
      <c r="F45" s="44">
        <f t="shared" si="4"/>
        <v>30</v>
      </c>
      <c r="G45" s="45">
        <f>IF(D45=D44,"",_xlfn.IFNA(VLOOKUP(D45,'인원 입력 기능'!$CI$5:$CL$55,4,FALSE),0))</f>
        <v>321</v>
      </c>
      <c r="H45" s="46">
        <f t="shared" si="2"/>
        <v>4.777496651287394E-2</v>
      </c>
      <c r="I45" s="50">
        <f>SUM($G$7:G45)</f>
        <v>4887</v>
      </c>
      <c r="J45" s="48">
        <f t="shared" si="3"/>
        <v>0.72734037803244533</v>
      </c>
      <c r="K45" s="18"/>
      <c r="M45" s="1"/>
    </row>
    <row r="46" spans="1:13" ht="25" customHeight="1">
      <c r="A46" s="5"/>
      <c r="B46" s="17"/>
      <c r="C46" s="52">
        <v>11</v>
      </c>
      <c r="D46" s="53">
        <f t="shared" si="1"/>
        <v>40</v>
      </c>
      <c r="E46" s="53">
        <f t="shared" si="0"/>
        <v>6</v>
      </c>
      <c r="F46" s="44">
        <f t="shared" si="4"/>
        <v>26</v>
      </c>
      <c r="G46" s="45">
        <f>IF(D46=D45,"",_xlfn.IFNA(VLOOKUP(D46,'인원 입력 기능'!$CI$5:$CL$55,4,FALSE),0))</f>
        <v>140</v>
      </c>
      <c r="H46" s="46">
        <f t="shared" si="2"/>
        <v>2.0836433993153745E-2</v>
      </c>
      <c r="I46" s="50">
        <f>SUM($G$7:G46)</f>
        <v>5027</v>
      </c>
      <c r="J46" s="48">
        <f t="shared" si="3"/>
        <v>0.74817681202559905</v>
      </c>
      <c r="K46" s="18"/>
      <c r="M46" s="1"/>
    </row>
    <row r="47" spans="1:13" ht="25" customHeight="1">
      <c r="A47" s="5"/>
      <c r="B47" s="17"/>
      <c r="C47" s="51">
        <v>10</v>
      </c>
      <c r="D47" s="298">
        <f t="shared" si="1"/>
        <v>39</v>
      </c>
      <c r="E47" s="298">
        <f t="shared" si="0"/>
        <v>6</v>
      </c>
      <c r="F47" s="288">
        <f t="shared" si="4"/>
        <v>21</v>
      </c>
      <c r="G47" s="290">
        <f>IF(D47=D46,"",_xlfn.IFNA(VLOOKUP(D47,'인원 입력 기능'!$CI$5:$CL$55,4,FALSE),0))</f>
        <v>565</v>
      </c>
      <c r="H47" s="291">
        <f t="shared" si="2"/>
        <v>8.4089894329513318E-2</v>
      </c>
      <c r="I47" s="293">
        <f>SUM($G$7:G47)</f>
        <v>5592</v>
      </c>
      <c r="J47" s="295">
        <f t="shared" si="3"/>
        <v>0.83226670635511235</v>
      </c>
      <c r="K47" s="18"/>
      <c r="M47" s="1"/>
    </row>
    <row r="48" spans="1:13" ht="25" customHeight="1">
      <c r="A48" s="5"/>
      <c r="B48" s="17"/>
      <c r="C48" s="52">
        <v>9</v>
      </c>
      <c r="D48" s="297"/>
      <c r="E48" s="297"/>
      <c r="F48" s="287"/>
      <c r="G48" s="289"/>
      <c r="H48" s="292"/>
      <c r="I48" s="294"/>
      <c r="J48" s="296"/>
      <c r="K48" s="18"/>
      <c r="M48" s="1"/>
    </row>
    <row r="49" spans="1:13" ht="25" customHeight="1">
      <c r="A49" s="5"/>
      <c r="B49" s="17"/>
      <c r="C49" s="51">
        <v>8</v>
      </c>
      <c r="D49" s="53">
        <f t="shared" si="1"/>
        <v>38</v>
      </c>
      <c r="E49" s="53">
        <f t="shared" si="0"/>
        <v>7</v>
      </c>
      <c r="F49" s="44">
        <f t="shared" si="4"/>
        <v>12</v>
      </c>
      <c r="G49" s="45">
        <f>IF(D49=D48,"",_xlfn.IFNA(VLOOKUP(D49,'인원 입력 기능'!$CI$5:$CL$55,4,FALSE),0))</f>
        <v>604</v>
      </c>
      <c r="H49" s="46">
        <f t="shared" si="2"/>
        <v>8.9894329513320437E-2</v>
      </c>
      <c r="I49" s="50">
        <f>SUM($G$7:G49)</f>
        <v>6196</v>
      </c>
      <c r="J49" s="48">
        <f t="shared" si="3"/>
        <v>0.92216103586843279</v>
      </c>
      <c r="K49" s="18"/>
      <c r="M49" s="1"/>
    </row>
    <row r="50" spans="1:13" ht="25" customHeight="1">
      <c r="A50" s="5"/>
      <c r="B50" s="17"/>
      <c r="C50" s="52">
        <v>7</v>
      </c>
      <c r="D50" s="53">
        <f t="shared" si="1"/>
        <v>37</v>
      </c>
      <c r="E50" s="53">
        <f t="shared" si="0"/>
        <v>8</v>
      </c>
      <c r="F50" s="44">
        <f t="shared" si="4"/>
        <v>7</v>
      </c>
      <c r="G50" s="45">
        <f>IF(D50=D49,"",_xlfn.IFNA(VLOOKUP(D50,'인원 입력 기능'!$CI$5:$CL$55,4,FALSE),0))</f>
        <v>168</v>
      </c>
      <c r="H50" s="46">
        <f t="shared" si="2"/>
        <v>2.5003720791784492E-2</v>
      </c>
      <c r="I50" s="50">
        <f>SUM($G$7:G50)</f>
        <v>6364</v>
      </c>
      <c r="J50" s="48">
        <f t="shared" si="3"/>
        <v>0.94716475666021727</v>
      </c>
      <c r="K50" s="18"/>
      <c r="M50" s="1"/>
    </row>
    <row r="51" spans="1:13" ht="25" customHeight="1">
      <c r="A51" s="5"/>
      <c r="B51" s="17"/>
      <c r="C51" s="51">
        <v>6</v>
      </c>
      <c r="D51" s="53">
        <f t="shared" si="1"/>
        <v>36</v>
      </c>
      <c r="E51" s="53">
        <f t="shared" si="0"/>
        <v>8</v>
      </c>
      <c r="F51" s="44">
        <f t="shared" si="4"/>
        <v>5</v>
      </c>
      <c r="G51" s="45">
        <f>IF(D51=D50,"",_xlfn.IFNA(VLOOKUP(D51,'인원 입력 기능'!$CI$5:$CL$55,4,FALSE),0))</f>
        <v>66</v>
      </c>
      <c r="H51" s="46">
        <f t="shared" si="2"/>
        <v>9.8228903110581939E-3</v>
      </c>
      <c r="I51" s="50">
        <f>SUM($G$7:G51)</f>
        <v>6430</v>
      </c>
      <c r="J51" s="48">
        <f t="shared" si="3"/>
        <v>0.95698764697127547</v>
      </c>
      <c r="K51" s="18"/>
      <c r="M51" s="1"/>
    </row>
    <row r="52" spans="1:13" ht="25" customHeight="1">
      <c r="A52" s="5"/>
      <c r="B52" s="17"/>
      <c r="C52" s="52">
        <v>5</v>
      </c>
      <c r="D52" s="298">
        <f t="shared" si="1"/>
        <v>35</v>
      </c>
      <c r="E52" s="298">
        <f t="shared" si="0"/>
        <v>8</v>
      </c>
      <c r="F52" s="288">
        <f t="shared" si="4"/>
        <v>3</v>
      </c>
      <c r="G52" s="290">
        <f>IF(D52=D51,"",_xlfn.IFNA(VLOOKUP(D52,'인원 입력 기능'!$CI$5:$CL$55,4,FALSE),0))</f>
        <v>205</v>
      </c>
      <c r="H52" s="291">
        <f t="shared" si="2"/>
        <v>3.0510492632832266E-2</v>
      </c>
      <c r="I52" s="293">
        <f>SUM($G$7:G52)</f>
        <v>6635</v>
      </c>
      <c r="J52" s="295">
        <f t="shared" si="3"/>
        <v>0.98749813960410771</v>
      </c>
      <c r="K52" s="18"/>
      <c r="M52" s="1"/>
    </row>
    <row r="53" spans="1:13" ht="25" customHeight="1">
      <c r="A53" s="5"/>
      <c r="B53" s="17"/>
      <c r="C53" s="42">
        <v>4</v>
      </c>
      <c r="D53" s="297"/>
      <c r="E53" s="297"/>
      <c r="F53" s="287"/>
      <c r="G53" s="289"/>
      <c r="H53" s="292"/>
      <c r="I53" s="294"/>
      <c r="J53" s="296"/>
      <c r="K53" s="18"/>
      <c r="M53" s="1"/>
    </row>
    <row r="54" spans="1:13" ht="25" customHeight="1">
      <c r="A54" s="5"/>
      <c r="B54" s="17"/>
      <c r="C54" s="49">
        <v>3</v>
      </c>
      <c r="D54" s="43">
        <f t="shared" si="1"/>
        <v>34</v>
      </c>
      <c r="E54" s="43">
        <f t="shared" si="0"/>
        <v>9</v>
      </c>
      <c r="F54" s="44">
        <f t="shared" si="4"/>
        <v>1</v>
      </c>
      <c r="G54" s="45">
        <f>IF(D54=D53,"",_xlfn.IFNA(VLOOKUP(D54,'인원 입력 기능'!$CI$5:$CL$55,4,FALSE),0))</f>
        <v>44</v>
      </c>
      <c r="H54" s="46">
        <f t="shared" si="2"/>
        <v>6.5485935407054623E-3</v>
      </c>
      <c r="I54" s="50">
        <f>SUM($G$7:G54)</f>
        <v>6679</v>
      </c>
      <c r="J54" s="48">
        <f t="shared" si="3"/>
        <v>0.99404673314481318</v>
      </c>
      <c r="K54" s="18"/>
      <c r="M54" s="1"/>
    </row>
    <row r="55" spans="1:13" ht="25" customHeight="1">
      <c r="A55" s="5"/>
      <c r="B55" s="17"/>
      <c r="C55" s="42">
        <v>2</v>
      </c>
      <c r="D55" s="43">
        <f t="shared" si="1"/>
        <v>33</v>
      </c>
      <c r="E55" s="43">
        <f t="shared" si="0"/>
        <v>9</v>
      </c>
      <c r="F55" s="44">
        <f t="shared" si="4"/>
        <v>0</v>
      </c>
      <c r="G55" s="45">
        <f>IF(D55=D54,"",_xlfn.IFNA(VLOOKUP(D55,'인원 입력 기능'!$CI$5:$CL$55,4,FALSE),0))</f>
        <v>27</v>
      </c>
      <c r="H55" s="46">
        <f t="shared" si="2"/>
        <v>4.0184551272510792E-3</v>
      </c>
      <c r="I55" s="50">
        <f>SUM($G$7:G55)</f>
        <v>6706</v>
      </c>
      <c r="J55" s="48">
        <f t="shared" si="3"/>
        <v>0.99806518827206425</v>
      </c>
      <c r="K55" s="18"/>
      <c r="M55" s="1"/>
    </row>
    <row r="56" spans="1:13" ht="25" customHeight="1">
      <c r="A56" s="5"/>
      <c r="B56" s="17"/>
      <c r="C56" s="49">
        <v>1</v>
      </c>
      <c r="D56" s="111" t="s">
        <v>31</v>
      </c>
      <c r="E56" s="112"/>
      <c r="F56" s="112"/>
      <c r="G56" s="112"/>
      <c r="H56" s="112"/>
      <c r="I56" s="112"/>
      <c r="J56" s="113"/>
      <c r="K56" s="18"/>
      <c r="M56" s="1"/>
    </row>
    <row r="57" spans="1:13" ht="25" customHeight="1" thickBot="1">
      <c r="A57" s="5"/>
      <c r="B57" s="17"/>
      <c r="C57" s="57">
        <v>0</v>
      </c>
      <c r="D57" s="58">
        <f>ROUND(10*(C57-$H$3)/$H$4+50,0)</f>
        <v>32</v>
      </c>
      <c r="E57" s="59">
        <f t="shared" si="0"/>
        <v>9</v>
      </c>
      <c r="F57" s="60">
        <f>IF(I55=0,ROUND(100*(1-(I54+I57)/2/$J$3),0),ROUND(100*(1-(I55+I57)/2/$J$3),0))</f>
        <v>0</v>
      </c>
      <c r="G57" s="61">
        <f>_xlfn.IFNA(VLOOKUP(D57,'인원 입력 기능'!$CI$5:$CL$55,4,FALSE),0)</f>
        <v>13</v>
      </c>
      <c r="H57" s="62">
        <f>G57/J3</f>
        <v>1.9348117279357048E-3</v>
      </c>
      <c r="I57" s="63">
        <f>SUM($G$7:G57)</f>
        <v>6719</v>
      </c>
      <c r="J57" s="64">
        <f>I57/J3</f>
        <v>1</v>
      </c>
      <c r="K57" s="18"/>
      <c r="M57" s="1"/>
    </row>
    <row r="58" spans="1:13" ht="6" customHeight="1">
      <c r="A58" s="5"/>
      <c r="B58" s="20"/>
      <c r="C58" s="21"/>
      <c r="D58" s="21"/>
      <c r="E58" s="21"/>
      <c r="F58" s="21"/>
      <c r="G58" s="21"/>
      <c r="H58" s="21"/>
      <c r="I58" s="21"/>
      <c r="J58" s="21"/>
      <c r="K58" s="22"/>
      <c r="M58" s="1"/>
    </row>
    <row r="59" spans="1:13">
      <c r="M59" s="1"/>
    </row>
    <row r="60" spans="1:13">
      <c r="M60" s="1"/>
    </row>
    <row r="61" spans="1:13">
      <c r="M61" s="1"/>
    </row>
    <row r="62" spans="1:13">
      <c r="M62" s="1"/>
    </row>
    <row r="63" spans="1:13">
      <c r="M63" s="1"/>
    </row>
    <row r="64" spans="1:13">
      <c r="M64" s="1"/>
    </row>
    <row r="65" spans="13:13">
      <c r="M65" s="1"/>
    </row>
    <row r="66" spans="13:13">
      <c r="M66" s="1"/>
    </row>
    <row r="67" spans="13:13">
      <c r="M67" s="1"/>
    </row>
    <row r="68" spans="13:13">
      <c r="M68" s="1"/>
    </row>
    <row r="69" spans="13:13">
      <c r="M69" s="1"/>
    </row>
    <row r="70" spans="13:13">
      <c r="M70" s="1"/>
    </row>
    <row r="71" spans="13:13">
      <c r="M71" s="1"/>
    </row>
    <row r="72" spans="13:13">
      <c r="M72" s="1"/>
    </row>
    <row r="73" spans="13:13">
      <c r="M73" s="1"/>
    </row>
    <row r="74" spans="13:13">
      <c r="M74" s="1"/>
    </row>
    <row r="75" spans="13:13">
      <c r="M75" s="1"/>
    </row>
    <row r="76" spans="13:13">
      <c r="M76" s="1"/>
    </row>
    <row r="77" spans="13:13">
      <c r="M77" s="1"/>
    </row>
    <row r="78" spans="13:13">
      <c r="M78" s="1"/>
    </row>
    <row r="79" spans="13:13">
      <c r="M79" s="1"/>
    </row>
    <row r="80" spans="13:13">
      <c r="M80" s="1"/>
    </row>
    <row r="81" spans="13:13">
      <c r="M81" s="1"/>
    </row>
    <row r="82" spans="13:13">
      <c r="M82" s="1"/>
    </row>
    <row r="83" spans="13:13">
      <c r="M83" s="1"/>
    </row>
    <row r="84" spans="13:13">
      <c r="M84" s="1"/>
    </row>
    <row r="85" spans="13:13">
      <c r="M85" s="1"/>
    </row>
    <row r="86" spans="13:13">
      <c r="M86" s="1"/>
    </row>
    <row r="87" spans="13:13">
      <c r="M87" s="1"/>
    </row>
    <row r="88" spans="13:13">
      <c r="M88" s="1"/>
    </row>
    <row r="89" spans="13:13">
      <c r="M89" s="1"/>
    </row>
    <row r="90" spans="13:13">
      <c r="M90" s="1"/>
    </row>
    <row r="91" spans="13:13">
      <c r="M91" s="1"/>
    </row>
    <row r="92" spans="13:13">
      <c r="M92" s="1"/>
    </row>
    <row r="93" spans="13:13">
      <c r="M93" s="1"/>
    </row>
    <row r="94" spans="13:13">
      <c r="M94" s="1"/>
    </row>
    <row r="95" spans="13:13">
      <c r="M95" s="1"/>
    </row>
    <row r="96" spans="13:13">
      <c r="M96" s="1"/>
    </row>
    <row r="97" spans="13:13">
      <c r="M97" s="1"/>
    </row>
    <row r="98" spans="13:13">
      <c r="M98" s="1"/>
    </row>
    <row r="99" spans="13:13">
      <c r="M99" s="1"/>
    </row>
    <row r="100" spans="13:13">
      <c r="M100" s="1"/>
    </row>
    <row r="101" spans="13:13">
      <c r="M101" s="1"/>
    </row>
    <row r="102" spans="13:13">
      <c r="M102" s="1"/>
    </row>
    <row r="103" spans="13:13">
      <c r="M103" s="1"/>
    </row>
    <row r="104" spans="13:13">
      <c r="M104" s="1"/>
    </row>
    <row r="105" spans="13:13">
      <c r="M105" s="1"/>
    </row>
  </sheetData>
  <mergeCells count="67">
    <mergeCell ref="I47:I48"/>
    <mergeCell ref="J47:J48"/>
    <mergeCell ref="D52:D53"/>
    <mergeCell ref="E52:E53"/>
    <mergeCell ref="F52:F53"/>
    <mergeCell ref="G52:G53"/>
    <mergeCell ref="H52:H53"/>
    <mergeCell ref="I52:I53"/>
    <mergeCell ref="J52:J53"/>
    <mergeCell ref="D47:D48"/>
    <mergeCell ref="E47:E48"/>
    <mergeCell ref="F47:F48"/>
    <mergeCell ref="G47:G48"/>
    <mergeCell ref="H47:H48"/>
    <mergeCell ref="I37:I38"/>
    <mergeCell ref="J37:J38"/>
    <mergeCell ref="D42:D43"/>
    <mergeCell ref="E42:E43"/>
    <mergeCell ref="F42:F43"/>
    <mergeCell ref="G42:G43"/>
    <mergeCell ref="H42:H43"/>
    <mergeCell ref="I42:I43"/>
    <mergeCell ref="J42:J43"/>
    <mergeCell ref="D37:D38"/>
    <mergeCell ref="E37:E38"/>
    <mergeCell ref="F37:F38"/>
    <mergeCell ref="G37:G38"/>
    <mergeCell ref="H37:H38"/>
    <mergeCell ref="I27:I28"/>
    <mergeCell ref="J27:J28"/>
    <mergeCell ref="D32:D33"/>
    <mergeCell ref="E32:E33"/>
    <mergeCell ref="F32:F33"/>
    <mergeCell ref="G32:G33"/>
    <mergeCell ref="H32:H33"/>
    <mergeCell ref="I32:I33"/>
    <mergeCell ref="J32:J33"/>
    <mergeCell ref="D27:D28"/>
    <mergeCell ref="E27:E28"/>
    <mergeCell ref="F27:F28"/>
    <mergeCell ref="G27:G28"/>
    <mergeCell ref="H27:H28"/>
    <mergeCell ref="I17:I18"/>
    <mergeCell ref="J17:J18"/>
    <mergeCell ref="D22:D23"/>
    <mergeCell ref="E22:E23"/>
    <mergeCell ref="F22:F23"/>
    <mergeCell ref="G22:G23"/>
    <mergeCell ref="H22:H23"/>
    <mergeCell ref="I22:I23"/>
    <mergeCell ref="J22:J23"/>
    <mergeCell ref="D3:F3"/>
    <mergeCell ref="D4:F4"/>
    <mergeCell ref="D8:J8"/>
    <mergeCell ref="D56:J56"/>
    <mergeCell ref="D12:D13"/>
    <mergeCell ref="E12:E13"/>
    <mergeCell ref="F12:F13"/>
    <mergeCell ref="G12:G13"/>
    <mergeCell ref="H12:H13"/>
    <mergeCell ref="I12:I13"/>
    <mergeCell ref="J12:J13"/>
    <mergeCell ref="D17:D18"/>
    <mergeCell ref="E17:E18"/>
    <mergeCell ref="F17:F18"/>
    <mergeCell ref="G17:G18"/>
    <mergeCell ref="H17:H18"/>
  </mergeCells>
  <phoneticPr fontId="1" type="noConversion"/>
  <conditionalFormatting sqref="D7:J7 D57:J57 D9:J12 D14:J17 D19:J22 D24:J27 D29:J32 D34:J37 D39:J42 D44:J47 D49:J52 D54:J55">
    <cfRule type="expression" dxfId="41" priority="7">
      <formula>OR($D7=$P$7:$P$14)</formula>
    </cfRule>
  </conditionalFormatting>
  <conditionalFormatting sqref="C7:C57">
    <cfRule type="expression" dxfId="40" priority="6">
      <formula>OR(AND($D7=0,OR($D6=$P$7:$P$14)),AND($D8&gt;0,OR($D7=$P$7:$P$14)))</formula>
    </cfRule>
  </conditionalFormatting>
  <conditionalFormatting sqref="D7 D57 D9:D12 D14:D17 D19:D22 D24:D27 D29:D32 D34:D37 D39:D42 D44:D47 D49:D52 D54:D55">
    <cfRule type="expression" dxfId="39" priority="5">
      <formula>$D7=$D8</formula>
    </cfRule>
  </conditionalFormatting>
  <conditionalFormatting sqref="D56">
    <cfRule type="expression" dxfId="38" priority="4">
      <formula>OR($D56=$P$7:$P$14)</formula>
    </cfRule>
  </conditionalFormatting>
  <conditionalFormatting sqref="D56">
    <cfRule type="expression" dxfId="37" priority="3">
      <formula>$D56=$D57</formula>
    </cfRule>
  </conditionalFormatting>
  <conditionalFormatting sqref="D8">
    <cfRule type="expression" dxfId="36" priority="2">
      <formula>OR($D8=$P$7:$P$14)</formula>
    </cfRule>
  </conditionalFormatting>
  <conditionalFormatting sqref="D8">
    <cfRule type="expression" dxfId="35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99E68-2E5B-43D8-8ACE-9A5C7E18EA00}">
  <sheetPr codeName="Sheet5"/>
  <dimension ref="A1:P105"/>
  <sheetViews>
    <sheetView zoomScaleNormal="100" workbookViewId="0">
      <selection activeCell="B2" sqref="B2:K58"/>
    </sheetView>
  </sheetViews>
  <sheetFormatPr defaultRowHeight="17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6">
      <c r="A1" s="5" t="s">
        <v>44</v>
      </c>
      <c r="C1" s="5"/>
      <c r="D1" s="5"/>
      <c r="E1" s="5"/>
      <c r="F1" s="5"/>
      <c r="G1" s="5"/>
      <c r="H1" s="5"/>
      <c r="I1" s="5"/>
      <c r="J1" s="5"/>
      <c r="K1" s="5"/>
    </row>
    <row r="2" spans="1:16" s="5" customFormat="1" ht="6" customHeight="1" thickBot="1">
      <c r="B2" s="15"/>
      <c r="C2" s="23"/>
      <c r="D2" s="23"/>
      <c r="E2" s="23"/>
      <c r="F2" s="23"/>
      <c r="G2" s="23"/>
      <c r="H2" s="23"/>
      <c r="I2" s="23"/>
      <c r="J2" s="23"/>
      <c r="K2" s="16"/>
    </row>
    <row r="3" spans="1:16" ht="25" customHeight="1" thickBot="1">
      <c r="A3" s="5"/>
      <c r="B3" s="17"/>
      <c r="C3" s="34" t="s">
        <v>47</v>
      </c>
      <c r="D3" s="105" t="s">
        <v>115</v>
      </c>
      <c r="E3" s="106"/>
      <c r="F3" s="107"/>
      <c r="G3" s="34" t="s">
        <v>48</v>
      </c>
      <c r="H3" s="101">
        <f>'통계 및 응시자 수 입력 기능'!D22</f>
        <v>14.516470588235293</v>
      </c>
      <c r="I3" s="103" t="s">
        <v>49</v>
      </c>
      <c r="J3" s="104">
        <f>'통계 및 응시자 수 입력 기능'!C22</f>
        <v>850</v>
      </c>
      <c r="K3" s="18"/>
    </row>
    <row r="4" spans="1:16" ht="25" customHeight="1" thickBot="1">
      <c r="A4" s="5"/>
      <c r="B4" s="17"/>
      <c r="C4" s="35" t="s">
        <v>50</v>
      </c>
      <c r="D4" s="115" t="s">
        <v>114</v>
      </c>
      <c r="E4" s="116"/>
      <c r="F4" s="117"/>
      <c r="G4" s="36" t="s">
        <v>52</v>
      </c>
      <c r="H4" s="102">
        <f>'통계 및 응시자 수 입력 기능'!E22</f>
        <v>8.5045502984312318</v>
      </c>
      <c r="I4" s="12"/>
      <c r="J4" s="12"/>
      <c r="K4" s="18"/>
    </row>
    <row r="5" spans="1:16" ht="25" customHeight="1" thickBot="1">
      <c r="A5" s="5"/>
      <c r="B5" s="17"/>
      <c r="C5" s="12"/>
      <c r="D5" s="12"/>
      <c r="E5" s="12"/>
      <c r="F5" s="12"/>
      <c r="G5" s="12"/>
      <c r="H5" s="19"/>
      <c r="I5" s="19"/>
      <c r="J5" s="19"/>
      <c r="K5" s="18"/>
    </row>
    <row r="6" spans="1:16" ht="25" customHeight="1" thickBot="1">
      <c r="A6" s="5"/>
      <c r="B6" s="17"/>
      <c r="C6" s="38" t="s">
        <v>73</v>
      </c>
      <c r="D6" s="39" t="s">
        <v>74</v>
      </c>
      <c r="E6" s="39" t="s">
        <v>75</v>
      </c>
      <c r="F6" s="39" t="s">
        <v>76</v>
      </c>
      <c r="G6" s="39" t="s">
        <v>77</v>
      </c>
      <c r="H6" s="40" t="s">
        <v>78</v>
      </c>
      <c r="I6" s="40" t="s">
        <v>79</v>
      </c>
      <c r="J6" s="41" t="s">
        <v>80</v>
      </c>
      <c r="K6" s="18"/>
      <c r="L6" s="3"/>
      <c r="M6" s="4"/>
    </row>
    <row r="7" spans="1:16" ht="25" customHeight="1">
      <c r="A7" s="5"/>
      <c r="B7" s="17"/>
      <c r="C7" s="42">
        <v>50</v>
      </c>
      <c r="D7" s="43">
        <f>ROUND(10*(C7-$H$3)/$H$4+50,0)</f>
        <v>92</v>
      </c>
      <c r="E7" s="43">
        <f t="shared" ref="E7:E57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44">
        <f>ROUND(100*(1-(0+I7)/2/$J$3),0)</f>
        <v>100</v>
      </c>
      <c r="G7" s="45">
        <f>_xlfn.IFNA(VLOOKUP(D7,'인원 입력 기능'!$CN$5:$CQ$55,4,FALSE),0)</f>
        <v>0</v>
      </c>
      <c r="H7" s="46">
        <f>G7/J3</f>
        <v>0</v>
      </c>
      <c r="I7" s="47">
        <f>G7</f>
        <v>0</v>
      </c>
      <c r="J7" s="48">
        <f>I7/J3</f>
        <v>0</v>
      </c>
      <c r="K7" s="18"/>
      <c r="M7" s="1"/>
      <c r="O7" s="1">
        <v>1</v>
      </c>
      <c r="P7" s="1">
        <f>'표준점수 등급컷 입력기능'!E68</f>
        <v>72</v>
      </c>
    </row>
    <row r="8" spans="1:16" ht="25" customHeight="1">
      <c r="A8" s="5"/>
      <c r="B8" s="17"/>
      <c r="C8" s="49">
        <v>49</v>
      </c>
      <c r="D8" s="111" t="s">
        <v>31</v>
      </c>
      <c r="E8" s="112"/>
      <c r="F8" s="112"/>
      <c r="G8" s="112"/>
      <c r="H8" s="112"/>
      <c r="I8" s="112"/>
      <c r="J8" s="113"/>
      <c r="K8" s="18"/>
      <c r="M8" s="1"/>
      <c r="O8" s="1">
        <v>2</v>
      </c>
      <c r="P8" s="1">
        <f>'표준점수 등급컷 입력기능'!E69</f>
        <v>65</v>
      </c>
    </row>
    <row r="9" spans="1:16" ht="25" customHeight="1">
      <c r="A9" s="5"/>
      <c r="B9" s="17"/>
      <c r="C9" s="42">
        <v>48</v>
      </c>
      <c r="D9" s="43">
        <f>ROUND(10*(C9-$H$3)/$H$4+50,0)</f>
        <v>89</v>
      </c>
      <c r="E9" s="43">
        <f t="shared" si="0"/>
        <v>1</v>
      </c>
      <c r="F9" s="44">
        <f>IF(I8=0,ROUND(100*(1-(I7+I9)/2/$J$3),0),ROUND(100*(1-(I8+I9)/2/$J$3),0))</f>
        <v>100</v>
      </c>
      <c r="G9" s="45">
        <f>_xlfn.IFNA(VLOOKUP(D9,'인원 입력 기능'!$CN$5:$CQ$55,4,FALSE),0)</f>
        <v>0</v>
      </c>
      <c r="H9" s="46">
        <f>G9/$J$3</f>
        <v>0</v>
      </c>
      <c r="I9" s="50">
        <f>SUM($G$7:G9)</f>
        <v>0</v>
      </c>
      <c r="J9" s="48">
        <f>I9/$J$3</f>
        <v>0</v>
      </c>
      <c r="K9" s="18"/>
      <c r="M9" s="1"/>
      <c r="O9" s="1">
        <v>3</v>
      </c>
      <c r="P9" s="1">
        <f>'표준점수 등급컷 입력기능'!E70</f>
        <v>54</v>
      </c>
    </row>
    <row r="10" spans="1:16" ht="25" customHeight="1">
      <c r="A10" s="5"/>
      <c r="B10" s="17"/>
      <c r="C10" s="49">
        <v>47</v>
      </c>
      <c r="D10" s="43">
        <f t="shared" ref="D10:D55" si="1">ROUND(10*(C10-$H$3)/$H$4+50,0)</f>
        <v>88</v>
      </c>
      <c r="E10" s="43">
        <f t="shared" si="0"/>
        <v>1</v>
      </c>
      <c r="F10" s="44">
        <f>IF(I9=0,ROUND(100*(1-(I8+I10)/2/$J$3),0),ROUND(100*(1-(I9+I10)/2/$J$3),0))</f>
        <v>100</v>
      </c>
      <c r="G10" s="45">
        <f>IF(D10=D9,"",_xlfn.IFNA(VLOOKUP(D10,'인원 입력 기능'!$CN$5:$CQ$55,4,FALSE),0))</f>
        <v>2</v>
      </c>
      <c r="H10" s="46">
        <f t="shared" ref="H10:H55" si="2">G10/$J$3</f>
        <v>2.352941176470588E-3</v>
      </c>
      <c r="I10" s="50">
        <f>SUM($G$7:G10)</f>
        <v>2</v>
      </c>
      <c r="J10" s="48">
        <f t="shared" ref="J10:J55" si="3">I10/$J$3</f>
        <v>2.352941176470588E-3</v>
      </c>
      <c r="K10" s="18"/>
      <c r="M10" s="1"/>
      <c r="O10" s="1">
        <v>4</v>
      </c>
      <c r="P10" s="1">
        <f>'표준점수 등급컷 입력기능'!E71</f>
        <v>48</v>
      </c>
    </row>
    <row r="11" spans="1:16" ht="25" customHeight="1">
      <c r="A11" s="5"/>
      <c r="B11" s="17"/>
      <c r="C11" s="42">
        <v>46</v>
      </c>
      <c r="D11" s="43">
        <f t="shared" si="1"/>
        <v>87</v>
      </c>
      <c r="E11" s="43">
        <f t="shared" si="0"/>
        <v>1</v>
      </c>
      <c r="F11" s="44">
        <f t="shared" ref="F11:F55" si="4">IF(I10=0,ROUND(100*(1-(I9+I11)/2/$J$3),0),ROUND(100*(1-(I10+I11)/2/$J$3),0))</f>
        <v>100</v>
      </c>
      <c r="G11" s="45">
        <f>IF(D11=D10,"",_xlfn.IFNA(VLOOKUP(D11,'인원 입력 기능'!$CN$5:$CQ$55,4,FALSE),0))</f>
        <v>0</v>
      </c>
      <c r="H11" s="46">
        <f t="shared" si="2"/>
        <v>0</v>
      </c>
      <c r="I11" s="50">
        <f>SUM($G$7:G11)</f>
        <v>2</v>
      </c>
      <c r="J11" s="48">
        <f t="shared" si="3"/>
        <v>2.352941176470588E-3</v>
      </c>
      <c r="K11" s="18"/>
      <c r="M11" s="1"/>
      <c r="O11" s="1">
        <v>5</v>
      </c>
      <c r="P11" s="1">
        <f>'표준점수 등급컷 입력기능'!E72</f>
        <v>46</v>
      </c>
    </row>
    <row r="12" spans="1:16" ht="25" customHeight="1">
      <c r="A12" s="5"/>
      <c r="B12" s="17"/>
      <c r="C12" s="49">
        <v>45</v>
      </c>
      <c r="D12" s="43">
        <f t="shared" si="1"/>
        <v>86</v>
      </c>
      <c r="E12" s="43">
        <f t="shared" si="0"/>
        <v>1</v>
      </c>
      <c r="F12" s="44">
        <f t="shared" si="4"/>
        <v>100</v>
      </c>
      <c r="G12" s="45">
        <f>IF(D12=D11,"",_xlfn.IFNA(VLOOKUP(D12,'인원 입력 기능'!$CN$5:$CQ$55,4,FALSE),0))</f>
        <v>0</v>
      </c>
      <c r="H12" s="46">
        <f t="shared" si="2"/>
        <v>0</v>
      </c>
      <c r="I12" s="50">
        <f>SUM($G$7:G12)</f>
        <v>2</v>
      </c>
      <c r="J12" s="48">
        <f t="shared" si="3"/>
        <v>2.352941176470588E-3</v>
      </c>
      <c r="K12" s="18"/>
      <c r="M12" s="1"/>
      <c r="O12" s="1">
        <v>6</v>
      </c>
      <c r="P12" s="1">
        <f>'표준점수 등급컷 입력기능'!E73</f>
        <v>45</v>
      </c>
    </row>
    <row r="13" spans="1:16" ht="25" customHeight="1">
      <c r="A13" s="5"/>
      <c r="B13" s="17"/>
      <c r="C13" s="42">
        <v>44</v>
      </c>
      <c r="D13" s="43">
        <f t="shared" si="1"/>
        <v>85</v>
      </c>
      <c r="E13" s="43">
        <f t="shared" si="0"/>
        <v>1</v>
      </c>
      <c r="F13" s="44">
        <f t="shared" si="4"/>
        <v>100</v>
      </c>
      <c r="G13" s="45">
        <f>IF(D13=D12,"",_xlfn.IFNA(VLOOKUP(D13,'인원 입력 기능'!$CN$5:$CQ$55,4,FALSE),0))</f>
        <v>0</v>
      </c>
      <c r="H13" s="46">
        <f t="shared" si="2"/>
        <v>0</v>
      </c>
      <c r="I13" s="50">
        <f>SUM($G$7:G13)</f>
        <v>2</v>
      </c>
      <c r="J13" s="48">
        <f t="shared" si="3"/>
        <v>2.352941176470588E-3</v>
      </c>
      <c r="K13" s="18"/>
      <c r="M13" s="1"/>
      <c r="O13" s="1">
        <v>7</v>
      </c>
      <c r="P13" s="1">
        <f>'표준점수 등급컷 입력기능'!E74</f>
        <v>39</v>
      </c>
    </row>
    <row r="14" spans="1:16" ht="25" customHeight="1">
      <c r="A14" s="5"/>
      <c r="B14" s="17"/>
      <c r="C14" s="49">
        <v>43</v>
      </c>
      <c r="D14" s="43">
        <f t="shared" si="1"/>
        <v>83</v>
      </c>
      <c r="E14" s="43">
        <f t="shared" si="0"/>
        <v>1</v>
      </c>
      <c r="F14" s="44">
        <f t="shared" si="4"/>
        <v>99</v>
      </c>
      <c r="G14" s="45">
        <f>IF(D14=D13,"",_xlfn.IFNA(VLOOKUP(D14,'인원 입력 기능'!$CN$5:$CQ$55,4,FALSE),0))</f>
        <v>5</v>
      </c>
      <c r="H14" s="46">
        <f t="shared" si="2"/>
        <v>5.8823529411764705E-3</v>
      </c>
      <c r="I14" s="50">
        <f>SUM($G$7:G14)</f>
        <v>7</v>
      </c>
      <c r="J14" s="48">
        <f t="shared" si="3"/>
        <v>8.2352941176470594E-3</v>
      </c>
      <c r="K14" s="18"/>
      <c r="M14" s="1"/>
      <c r="O14" s="1">
        <v>8</v>
      </c>
      <c r="P14" s="1" t="str">
        <f>'표준점수 등급컷 입력기능'!E75</f>
        <v>ㅡ</v>
      </c>
    </row>
    <row r="15" spans="1:16" ht="25" customHeight="1">
      <c r="A15" s="5"/>
      <c r="B15" s="17"/>
      <c r="C15" s="42">
        <v>42</v>
      </c>
      <c r="D15" s="43">
        <f t="shared" si="1"/>
        <v>82</v>
      </c>
      <c r="E15" s="43">
        <f t="shared" si="0"/>
        <v>1</v>
      </c>
      <c r="F15" s="44">
        <f t="shared" si="4"/>
        <v>99</v>
      </c>
      <c r="G15" s="45">
        <f>IF(D15=D14,"",_xlfn.IFNA(VLOOKUP(D15,'인원 입력 기능'!$CN$5:$CQ$55,4,FALSE),0))</f>
        <v>0</v>
      </c>
      <c r="H15" s="46">
        <f t="shared" si="2"/>
        <v>0</v>
      </c>
      <c r="I15" s="50">
        <f>SUM($G$7:G15)</f>
        <v>7</v>
      </c>
      <c r="J15" s="48">
        <f t="shared" si="3"/>
        <v>8.2352941176470594E-3</v>
      </c>
      <c r="K15" s="18"/>
      <c r="M15" s="1"/>
      <c r="O15" s="1">
        <v>9</v>
      </c>
      <c r="P15" s="1"/>
    </row>
    <row r="16" spans="1:16" ht="25" customHeight="1">
      <c r="A16" s="5"/>
      <c r="B16" s="17"/>
      <c r="C16" s="49">
        <v>41</v>
      </c>
      <c r="D16" s="43">
        <f t="shared" si="1"/>
        <v>81</v>
      </c>
      <c r="E16" s="43">
        <f t="shared" si="0"/>
        <v>1</v>
      </c>
      <c r="F16" s="44">
        <f t="shared" si="4"/>
        <v>99</v>
      </c>
      <c r="G16" s="45">
        <f>IF(D16=D15,"",_xlfn.IFNA(VLOOKUP(D16,'인원 입력 기능'!$CN$5:$CQ$55,4,FALSE),0))</f>
        <v>1</v>
      </c>
      <c r="H16" s="46">
        <f t="shared" si="2"/>
        <v>1.176470588235294E-3</v>
      </c>
      <c r="I16" s="50">
        <f>SUM($G$7:G16)</f>
        <v>8</v>
      </c>
      <c r="J16" s="48">
        <f t="shared" si="3"/>
        <v>9.4117647058823521E-3</v>
      </c>
      <c r="K16" s="18"/>
      <c r="M16" s="1"/>
    </row>
    <row r="17" spans="1:16" ht="25" customHeight="1">
      <c r="A17" s="5"/>
      <c r="B17" s="17"/>
      <c r="C17" s="42">
        <v>40</v>
      </c>
      <c r="D17" s="43">
        <f t="shared" si="1"/>
        <v>80</v>
      </c>
      <c r="E17" s="43">
        <f t="shared" si="0"/>
        <v>1</v>
      </c>
      <c r="F17" s="44">
        <f t="shared" si="4"/>
        <v>99</v>
      </c>
      <c r="G17" s="45">
        <f>IF(D17=D16,"",_xlfn.IFNA(VLOOKUP(D17,'인원 입력 기능'!$CN$5:$CQ$55,4,FALSE),0))</f>
        <v>4</v>
      </c>
      <c r="H17" s="46">
        <f t="shared" si="2"/>
        <v>4.7058823529411761E-3</v>
      </c>
      <c r="I17" s="50">
        <f>SUM($G$7:G17)</f>
        <v>12</v>
      </c>
      <c r="J17" s="48">
        <f t="shared" si="3"/>
        <v>1.411764705882353E-2</v>
      </c>
      <c r="K17" s="18"/>
      <c r="M17" s="1"/>
      <c r="P17" s="1">
        <f>H3*H4*J3*P7*IFERROR(IF(J57=1, 1, 0), 0)</f>
        <v>7555510.5215286938</v>
      </c>
    </row>
    <row r="18" spans="1:16" ht="25" customHeight="1">
      <c r="A18" s="5"/>
      <c r="B18" s="17"/>
      <c r="C18" s="49">
        <v>39</v>
      </c>
      <c r="D18" s="43">
        <f t="shared" si="1"/>
        <v>79</v>
      </c>
      <c r="E18" s="43">
        <f t="shared" si="0"/>
        <v>1</v>
      </c>
      <c r="F18" s="44">
        <f t="shared" si="4"/>
        <v>98</v>
      </c>
      <c r="G18" s="45">
        <f>IF(D18=D17,"",_xlfn.IFNA(VLOOKUP(D18,'인원 입력 기능'!$CN$5:$CQ$55,4,FALSE),0))</f>
        <v>2</v>
      </c>
      <c r="H18" s="46">
        <f t="shared" si="2"/>
        <v>2.352941176470588E-3</v>
      </c>
      <c r="I18" s="50">
        <f>SUM($G$7:G18)</f>
        <v>14</v>
      </c>
      <c r="J18" s="48">
        <f t="shared" si="3"/>
        <v>1.6470588235294119E-2</v>
      </c>
      <c r="K18" s="18"/>
      <c r="M18" s="1"/>
    </row>
    <row r="19" spans="1:16" ht="25" customHeight="1">
      <c r="A19" s="5"/>
      <c r="B19" s="17"/>
      <c r="C19" s="42">
        <v>38</v>
      </c>
      <c r="D19" s="43">
        <f t="shared" si="1"/>
        <v>78</v>
      </c>
      <c r="E19" s="43">
        <f t="shared" si="0"/>
        <v>1</v>
      </c>
      <c r="F19" s="44">
        <f t="shared" si="4"/>
        <v>98</v>
      </c>
      <c r="G19" s="45">
        <f>IF(D19=D18,"",_xlfn.IFNA(VLOOKUP(D19,'인원 입력 기능'!$CN$5:$CQ$55,4,FALSE),0))</f>
        <v>3</v>
      </c>
      <c r="H19" s="46">
        <f t="shared" si="2"/>
        <v>3.5294117647058825E-3</v>
      </c>
      <c r="I19" s="50">
        <f>SUM($G$7:G19)</f>
        <v>17</v>
      </c>
      <c r="J19" s="48">
        <f t="shared" si="3"/>
        <v>0.02</v>
      </c>
      <c r="K19" s="18"/>
      <c r="M19" s="1"/>
    </row>
    <row r="20" spans="1:16" ht="25" customHeight="1">
      <c r="A20" s="5"/>
      <c r="B20" s="17"/>
      <c r="C20" s="49">
        <v>37</v>
      </c>
      <c r="D20" s="43">
        <f t="shared" si="1"/>
        <v>76</v>
      </c>
      <c r="E20" s="43">
        <f t="shared" si="0"/>
        <v>1</v>
      </c>
      <c r="F20" s="44">
        <f t="shared" si="4"/>
        <v>98</v>
      </c>
      <c r="G20" s="45">
        <f>IF(D20=D19,"",_xlfn.IFNA(VLOOKUP(D20,'인원 입력 기능'!$CN$5:$CQ$55,4,FALSE),0))</f>
        <v>4</v>
      </c>
      <c r="H20" s="46">
        <f t="shared" si="2"/>
        <v>4.7058823529411761E-3</v>
      </c>
      <c r="I20" s="50">
        <f>SUM($G$7:G20)</f>
        <v>21</v>
      </c>
      <c r="J20" s="48">
        <f t="shared" si="3"/>
        <v>2.4705882352941175E-2</v>
      </c>
      <c r="K20" s="18"/>
      <c r="M20" s="1"/>
    </row>
    <row r="21" spans="1:16" ht="25" customHeight="1">
      <c r="A21" s="5"/>
      <c r="B21" s="17"/>
      <c r="C21" s="51">
        <v>36</v>
      </c>
      <c r="D21" s="53">
        <f t="shared" si="1"/>
        <v>75</v>
      </c>
      <c r="E21" s="53">
        <f t="shared" si="0"/>
        <v>1</v>
      </c>
      <c r="F21" s="44">
        <f t="shared" si="4"/>
        <v>97</v>
      </c>
      <c r="G21" s="45">
        <f>IF(D21=D20,"",_xlfn.IFNA(VLOOKUP(D21,'인원 입력 기능'!$CN$5:$CQ$55,4,FALSE),0))</f>
        <v>2</v>
      </c>
      <c r="H21" s="46">
        <f t="shared" si="2"/>
        <v>2.352941176470588E-3</v>
      </c>
      <c r="I21" s="50">
        <f>SUM($G$7:G21)</f>
        <v>23</v>
      </c>
      <c r="J21" s="48">
        <f t="shared" si="3"/>
        <v>2.7058823529411764E-2</v>
      </c>
      <c r="K21" s="18"/>
      <c r="M21" s="1"/>
    </row>
    <row r="22" spans="1:16" ht="25" customHeight="1">
      <c r="A22" s="5"/>
      <c r="B22" s="17"/>
      <c r="C22" s="52">
        <v>35</v>
      </c>
      <c r="D22" s="53">
        <f t="shared" si="1"/>
        <v>74</v>
      </c>
      <c r="E22" s="53">
        <f t="shared" si="0"/>
        <v>1</v>
      </c>
      <c r="F22" s="44">
        <f t="shared" si="4"/>
        <v>97</v>
      </c>
      <c r="G22" s="45">
        <f>IF(D22=D21,"",_xlfn.IFNA(VLOOKUP(D22,'인원 입력 기능'!$CN$5:$CQ$55,4,FALSE),0))</f>
        <v>7</v>
      </c>
      <c r="H22" s="46">
        <f t="shared" si="2"/>
        <v>8.2352941176470594E-3</v>
      </c>
      <c r="I22" s="50">
        <f>SUM($G$7:G22)</f>
        <v>30</v>
      </c>
      <c r="J22" s="48">
        <f t="shared" si="3"/>
        <v>3.5294117647058823E-2</v>
      </c>
      <c r="K22" s="18"/>
      <c r="M22" s="1"/>
    </row>
    <row r="23" spans="1:16" ht="25" customHeight="1">
      <c r="A23" s="5"/>
      <c r="B23" s="17"/>
      <c r="C23" s="51">
        <v>34</v>
      </c>
      <c r="D23" s="53">
        <f t="shared" si="1"/>
        <v>73</v>
      </c>
      <c r="E23" s="53">
        <f t="shared" si="0"/>
        <v>1</v>
      </c>
      <c r="F23" s="44">
        <f t="shared" si="4"/>
        <v>96</v>
      </c>
      <c r="G23" s="45">
        <f>IF(D23=D22,"",_xlfn.IFNA(VLOOKUP(D23,'인원 입력 기능'!$CN$5:$CQ$55,4,FALSE),0))</f>
        <v>2</v>
      </c>
      <c r="H23" s="46">
        <f t="shared" si="2"/>
        <v>2.352941176470588E-3</v>
      </c>
      <c r="I23" s="50">
        <f>SUM($G$7:G23)</f>
        <v>32</v>
      </c>
      <c r="J23" s="48">
        <f t="shared" si="3"/>
        <v>3.7647058823529408E-2</v>
      </c>
      <c r="K23" s="18"/>
      <c r="M23" s="1"/>
    </row>
    <row r="24" spans="1:16" ht="25" customHeight="1">
      <c r="A24" s="5"/>
      <c r="B24" s="17"/>
      <c r="C24" s="52">
        <v>33</v>
      </c>
      <c r="D24" s="53">
        <f t="shared" si="1"/>
        <v>72</v>
      </c>
      <c r="E24" s="53">
        <f t="shared" si="0"/>
        <v>1</v>
      </c>
      <c r="F24" s="44">
        <f t="shared" si="4"/>
        <v>96</v>
      </c>
      <c r="G24" s="45">
        <f>IF(D24=D23,"",_xlfn.IFNA(VLOOKUP(D24,'인원 입력 기능'!$CN$5:$CQ$55,4,FALSE),0))</f>
        <v>10</v>
      </c>
      <c r="H24" s="46">
        <f t="shared" si="2"/>
        <v>1.1764705882352941E-2</v>
      </c>
      <c r="I24" s="50">
        <f>SUM($G$7:G24)</f>
        <v>42</v>
      </c>
      <c r="J24" s="48">
        <f t="shared" si="3"/>
        <v>4.9411764705882349E-2</v>
      </c>
      <c r="K24" s="18"/>
      <c r="M24" s="1"/>
    </row>
    <row r="25" spans="1:16" ht="25" customHeight="1">
      <c r="A25" s="5"/>
      <c r="B25" s="17"/>
      <c r="C25" s="51">
        <v>32</v>
      </c>
      <c r="D25" s="53">
        <f t="shared" si="1"/>
        <v>71</v>
      </c>
      <c r="E25" s="53">
        <f t="shared" si="0"/>
        <v>2</v>
      </c>
      <c r="F25" s="44">
        <f t="shared" si="4"/>
        <v>95</v>
      </c>
      <c r="G25" s="45">
        <f>IF(D25=D24,"",_xlfn.IFNA(VLOOKUP(D25,'인원 입력 기능'!$CN$5:$CQ$55,4,FALSE),0))</f>
        <v>7</v>
      </c>
      <c r="H25" s="46">
        <f t="shared" si="2"/>
        <v>8.2352941176470594E-3</v>
      </c>
      <c r="I25" s="50">
        <f>SUM($G$7:G25)</f>
        <v>49</v>
      </c>
      <c r="J25" s="48">
        <f t="shared" si="3"/>
        <v>5.7647058823529412E-2</v>
      </c>
      <c r="K25" s="18"/>
      <c r="M25" s="1"/>
    </row>
    <row r="26" spans="1:16" ht="25" customHeight="1">
      <c r="A26" s="5"/>
      <c r="B26" s="17"/>
      <c r="C26" s="52">
        <v>31</v>
      </c>
      <c r="D26" s="53">
        <f t="shared" si="1"/>
        <v>69</v>
      </c>
      <c r="E26" s="53">
        <f t="shared" si="0"/>
        <v>2</v>
      </c>
      <c r="F26" s="44">
        <f t="shared" si="4"/>
        <v>94</v>
      </c>
      <c r="G26" s="45">
        <f>IF(D26=D25,"",_xlfn.IFNA(VLOOKUP(D26,'인원 입력 기능'!$CN$5:$CQ$55,4,FALSE),0))</f>
        <v>8</v>
      </c>
      <c r="H26" s="46">
        <f t="shared" si="2"/>
        <v>9.4117647058823521E-3</v>
      </c>
      <c r="I26" s="50">
        <f>SUM($G$7:G26)</f>
        <v>57</v>
      </c>
      <c r="J26" s="48">
        <f t="shared" si="3"/>
        <v>6.7058823529411768E-2</v>
      </c>
      <c r="K26" s="18"/>
      <c r="M26" s="1"/>
    </row>
    <row r="27" spans="1:16" ht="25" customHeight="1">
      <c r="A27" s="5"/>
      <c r="B27" s="17"/>
      <c r="C27" s="51">
        <v>30</v>
      </c>
      <c r="D27" s="53">
        <f t="shared" si="1"/>
        <v>68</v>
      </c>
      <c r="E27" s="53">
        <f t="shared" si="0"/>
        <v>2</v>
      </c>
      <c r="F27" s="44">
        <f t="shared" si="4"/>
        <v>93</v>
      </c>
      <c r="G27" s="45">
        <f>IF(D27=D26,"",_xlfn.IFNA(VLOOKUP(D27,'인원 입력 기능'!$CN$5:$CQ$55,4,FALSE),0))</f>
        <v>11</v>
      </c>
      <c r="H27" s="46">
        <f t="shared" si="2"/>
        <v>1.2941176470588235E-2</v>
      </c>
      <c r="I27" s="50">
        <f>SUM($G$7:G27)</f>
        <v>68</v>
      </c>
      <c r="J27" s="48">
        <f t="shared" si="3"/>
        <v>0.08</v>
      </c>
      <c r="K27" s="18"/>
      <c r="M27" s="1"/>
    </row>
    <row r="28" spans="1:16" ht="25" customHeight="1">
      <c r="A28" s="5"/>
      <c r="B28" s="17"/>
      <c r="C28" s="52">
        <v>29</v>
      </c>
      <c r="D28" s="53">
        <f t="shared" si="1"/>
        <v>67</v>
      </c>
      <c r="E28" s="53">
        <f t="shared" si="0"/>
        <v>2</v>
      </c>
      <c r="F28" s="44">
        <f t="shared" si="4"/>
        <v>91</v>
      </c>
      <c r="G28" s="45">
        <f>IF(D28=D27,"",_xlfn.IFNA(VLOOKUP(D28,'인원 입력 기능'!$CN$5:$CQ$55,4,FALSE),0))</f>
        <v>10</v>
      </c>
      <c r="H28" s="46">
        <f t="shared" si="2"/>
        <v>1.1764705882352941E-2</v>
      </c>
      <c r="I28" s="50">
        <f>SUM($G$7:G28)</f>
        <v>78</v>
      </c>
      <c r="J28" s="48">
        <f t="shared" si="3"/>
        <v>9.1764705882352943E-2</v>
      </c>
      <c r="K28" s="18"/>
      <c r="M28" s="1"/>
    </row>
    <row r="29" spans="1:16" ht="25" customHeight="1">
      <c r="A29" s="5"/>
      <c r="B29" s="17"/>
      <c r="C29" s="51">
        <v>28</v>
      </c>
      <c r="D29" s="53">
        <f t="shared" si="1"/>
        <v>66</v>
      </c>
      <c r="E29" s="53">
        <f t="shared" si="0"/>
        <v>2</v>
      </c>
      <c r="F29" s="44">
        <f t="shared" si="4"/>
        <v>90</v>
      </c>
      <c r="G29" s="45">
        <f>IF(D29=D28,"",_xlfn.IFNA(VLOOKUP(D29,'인원 입력 기능'!$CN$5:$CQ$55,4,FALSE),0))</f>
        <v>12</v>
      </c>
      <c r="H29" s="46">
        <f t="shared" si="2"/>
        <v>1.411764705882353E-2</v>
      </c>
      <c r="I29" s="50">
        <f>SUM($G$7:G29)</f>
        <v>90</v>
      </c>
      <c r="J29" s="48">
        <f t="shared" si="3"/>
        <v>0.10588235294117647</v>
      </c>
      <c r="K29" s="18"/>
      <c r="M29" s="1"/>
    </row>
    <row r="30" spans="1:16" ht="25" customHeight="1">
      <c r="A30" s="5"/>
      <c r="B30" s="17"/>
      <c r="C30" s="52">
        <v>27</v>
      </c>
      <c r="D30" s="53">
        <f t="shared" si="1"/>
        <v>65</v>
      </c>
      <c r="E30" s="53">
        <f t="shared" si="0"/>
        <v>2</v>
      </c>
      <c r="F30" s="44">
        <f t="shared" si="4"/>
        <v>89</v>
      </c>
      <c r="G30" s="45">
        <f>IF(D30=D29,"",_xlfn.IFNA(VLOOKUP(D30,'인원 입력 기능'!$CN$5:$CQ$55,4,FALSE),0))</f>
        <v>9</v>
      </c>
      <c r="H30" s="46">
        <f t="shared" si="2"/>
        <v>1.0588235294117647E-2</v>
      </c>
      <c r="I30" s="50">
        <f>SUM($G$7:G30)</f>
        <v>99</v>
      </c>
      <c r="J30" s="48">
        <f t="shared" si="3"/>
        <v>0.11647058823529412</v>
      </c>
      <c r="K30" s="18"/>
      <c r="M30" s="1"/>
    </row>
    <row r="31" spans="1:16" ht="25" customHeight="1">
      <c r="A31" s="5"/>
      <c r="B31" s="17"/>
      <c r="C31" s="51">
        <v>26</v>
      </c>
      <c r="D31" s="53">
        <f t="shared" si="1"/>
        <v>64</v>
      </c>
      <c r="E31" s="53">
        <f t="shared" si="0"/>
        <v>3</v>
      </c>
      <c r="F31" s="44">
        <f t="shared" si="4"/>
        <v>88</v>
      </c>
      <c r="G31" s="45">
        <f>IF(D31=D30,"",_xlfn.IFNA(VLOOKUP(D31,'인원 입력 기능'!$CN$5:$CQ$55,4,FALSE),0))</f>
        <v>13</v>
      </c>
      <c r="H31" s="46">
        <f t="shared" si="2"/>
        <v>1.5294117647058824E-2</v>
      </c>
      <c r="I31" s="50">
        <f>SUM($G$7:G31)</f>
        <v>112</v>
      </c>
      <c r="J31" s="48">
        <f t="shared" si="3"/>
        <v>0.13176470588235295</v>
      </c>
      <c r="K31" s="18"/>
      <c r="M31" s="1"/>
    </row>
    <row r="32" spans="1:16" ht="25" customHeight="1">
      <c r="A32" s="5"/>
      <c r="B32" s="17"/>
      <c r="C32" s="52">
        <v>25</v>
      </c>
      <c r="D32" s="53">
        <f t="shared" si="1"/>
        <v>62</v>
      </c>
      <c r="E32" s="53">
        <f t="shared" si="0"/>
        <v>3</v>
      </c>
      <c r="F32" s="44">
        <f t="shared" si="4"/>
        <v>86</v>
      </c>
      <c r="G32" s="45">
        <f>IF(D32=D31,"",_xlfn.IFNA(VLOOKUP(D32,'인원 입력 기능'!$CN$5:$CQ$55,4,FALSE),0))</f>
        <v>16</v>
      </c>
      <c r="H32" s="46">
        <f t="shared" si="2"/>
        <v>1.8823529411764704E-2</v>
      </c>
      <c r="I32" s="50">
        <f>SUM($G$7:G32)</f>
        <v>128</v>
      </c>
      <c r="J32" s="48">
        <f t="shared" si="3"/>
        <v>0.15058823529411763</v>
      </c>
      <c r="K32" s="18"/>
      <c r="M32" s="1"/>
    </row>
    <row r="33" spans="1:13" ht="25" customHeight="1">
      <c r="A33" s="5"/>
      <c r="B33" s="17"/>
      <c r="C33" s="51">
        <v>24</v>
      </c>
      <c r="D33" s="53">
        <f t="shared" si="1"/>
        <v>61</v>
      </c>
      <c r="E33" s="53">
        <f t="shared" si="0"/>
        <v>3</v>
      </c>
      <c r="F33" s="44">
        <f t="shared" si="4"/>
        <v>84</v>
      </c>
      <c r="G33" s="45">
        <f>IF(D33=D32,"",_xlfn.IFNA(VLOOKUP(D33,'인원 입력 기능'!$CN$5:$CQ$55,4,FALSE),0))</f>
        <v>14</v>
      </c>
      <c r="H33" s="46">
        <f t="shared" si="2"/>
        <v>1.6470588235294119E-2</v>
      </c>
      <c r="I33" s="50">
        <f>SUM($G$7:G33)</f>
        <v>142</v>
      </c>
      <c r="J33" s="48">
        <f t="shared" si="3"/>
        <v>0.16705882352941176</v>
      </c>
      <c r="K33" s="18"/>
      <c r="M33" s="1"/>
    </row>
    <row r="34" spans="1:13" ht="25" customHeight="1">
      <c r="A34" s="5"/>
      <c r="B34" s="17"/>
      <c r="C34" s="52">
        <v>23</v>
      </c>
      <c r="D34" s="53">
        <f t="shared" si="1"/>
        <v>60</v>
      </c>
      <c r="E34" s="53">
        <f t="shared" si="0"/>
        <v>3</v>
      </c>
      <c r="F34" s="44">
        <f t="shared" si="4"/>
        <v>83</v>
      </c>
      <c r="G34" s="45">
        <f>IF(D34=D33,"",_xlfn.IFNA(VLOOKUP(D34,'인원 입력 기능'!$CN$5:$CQ$55,4,FALSE),0))</f>
        <v>7</v>
      </c>
      <c r="H34" s="46">
        <f t="shared" si="2"/>
        <v>8.2352941176470594E-3</v>
      </c>
      <c r="I34" s="50">
        <f>SUM($G$7:G34)</f>
        <v>149</v>
      </c>
      <c r="J34" s="48">
        <f t="shared" si="3"/>
        <v>0.17529411764705882</v>
      </c>
      <c r="K34" s="18"/>
      <c r="M34" s="1"/>
    </row>
    <row r="35" spans="1:13" ht="25" customHeight="1">
      <c r="A35" s="5"/>
      <c r="B35" s="17"/>
      <c r="C35" s="51">
        <v>22</v>
      </c>
      <c r="D35" s="53">
        <f t="shared" si="1"/>
        <v>59</v>
      </c>
      <c r="E35" s="53">
        <f t="shared" si="0"/>
        <v>3</v>
      </c>
      <c r="F35" s="44">
        <f t="shared" si="4"/>
        <v>82</v>
      </c>
      <c r="G35" s="45">
        <f>IF(D35=D34,"",_xlfn.IFNA(VLOOKUP(D35,'인원 입력 기능'!$CN$5:$CQ$55,4,FALSE),0))</f>
        <v>12</v>
      </c>
      <c r="H35" s="46">
        <f t="shared" si="2"/>
        <v>1.411764705882353E-2</v>
      </c>
      <c r="I35" s="50">
        <f>SUM($G$7:G35)</f>
        <v>161</v>
      </c>
      <c r="J35" s="48">
        <f t="shared" si="3"/>
        <v>0.18941176470588236</v>
      </c>
      <c r="K35" s="18"/>
      <c r="M35" s="1"/>
    </row>
    <row r="36" spans="1:13" ht="25" customHeight="1">
      <c r="A36" s="5"/>
      <c r="B36" s="17"/>
      <c r="C36" s="52">
        <v>21</v>
      </c>
      <c r="D36" s="53">
        <f t="shared" si="1"/>
        <v>58</v>
      </c>
      <c r="E36" s="53">
        <f t="shared" si="0"/>
        <v>3</v>
      </c>
      <c r="F36" s="44">
        <f t="shared" si="4"/>
        <v>81</v>
      </c>
      <c r="G36" s="45">
        <f>IF(D36=D35,"",_xlfn.IFNA(VLOOKUP(D36,'인원 입력 기능'!$CN$5:$CQ$55,4,FALSE),0))</f>
        <v>9</v>
      </c>
      <c r="H36" s="46">
        <f t="shared" si="2"/>
        <v>1.0588235294117647E-2</v>
      </c>
      <c r="I36" s="50">
        <f>SUM($G$7:G36)</f>
        <v>170</v>
      </c>
      <c r="J36" s="48">
        <f t="shared" si="3"/>
        <v>0.2</v>
      </c>
      <c r="K36" s="18"/>
      <c r="M36" s="1"/>
    </row>
    <row r="37" spans="1:13" ht="25" customHeight="1">
      <c r="A37" s="5"/>
      <c r="B37" s="17"/>
      <c r="C37" s="51">
        <v>20</v>
      </c>
      <c r="D37" s="53">
        <f t="shared" si="1"/>
        <v>56</v>
      </c>
      <c r="E37" s="53">
        <f t="shared" si="0"/>
        <v>3</v>
      </c>
      <c r="F37" s="44">
        <f t="shared" si="4"/>
        <v>79</v>
      </c>
      <c r="G37" s="45">
        <f>IF(D37=D36,"",_xlfn.IFNA(VLOOKUP(D37,'인원 입력 기능'!$CN$5:$CQ$55,4,FALSE),0))</f>
        <v>12</v>
      </c>
      <c r="H37" s="46">
        <f t="shared" si="2"/>
        <v>1.411764705882353E-2</v>
      </c>
      <c r="I37" s="50">
        <f>SUM($G$7:G37)</f>
        <v>182</v>
      </c>
      <c r="J37" s="48">
        <f t="shared" si="3"/>
        <v>0.21411764705882352</v>
      </c>
      <c r="K37" s="18"/>
      <c r="M37" s="1"/>
    </row>
    <row r="38" spans="1:13" ht="25" customHeight="1">
      <c r="A38" s="5"/>
      <c r="B38" s="17"/>
      <c r="C38" s="52">
        <v>19</v>
      </c>
      <c r="D38" s="53">
        <f t="shared" si="1"/>
        <v>55</v>
      </c>
      <c r="E38" s="53">
        <f t="shared" si="0"/>
        <v>3</v>
      </c>
      <c r="F38" s="44">
        <f t="shared" si="4"/>
        <v>78</v>
      </c>
      <c r="G38" s="45">
        <f>IF(D38=D37,"",_xlfn.IFNA(VLOOKUP(D38,'인원 입력 기능'!$CN$5:$CQ$55,4,FALSE),0))</f>
        <v>11</v>
      </c>
      <c r="H38" s="46">
        <f t="shared" si="2"/>
        <v>1.2941176470588235E-2</v>
      </c>
      <c r="I38" s="50">
        <f>SUM($G$7:G38)</f>
        <v>193</v>
      </c>
      <c r="J38" s="48">
        <f t="shared" si="3"/>
        <v>0.22705882352941176</v>
      </c>
      <c r="K38" s="18"/>
      <c r="M38" s="1"/>
    </row>
    <row r="39" spans="1:13" ht="25" customHeight="1">
      <c r="A39" s="5"/>
      <c r="B39" s="17"/>
      <c r="C39" s="51">
        <v>18</v>
      </c>
      <c r="D39" s="53">
        <f t="shared" si="1"/>
        <v>54</v>
      </c>
      <c r="E39" s="53">
        <f t="shared" si="0"/>
        <v>3</v>
      </c>
      <c r="F39" s="44">
        <f t="shared" si="4"/>
        <v>76</v>
      </c>
      <c r="G39" s="45">
        <f>IF(D39=D38,"",_xlfn.IFNA(VLOOKUP(D39,'인원 입력 기능'!$CN$5:$CQ$55,4,FALSE),0))</f>
        <v>25</v>
      </c>
      <c r="H39" s="46">
        <f t="shared" si="2"/>
        <v>2.9411764705882353E-2</v>
      </c>
      <c r="I39" s="50">
        <f>SUM($G$7:G39)</f>
        <v>218</v>
      </c>
      <c r="J39" s="48">
        <f t="shared" si="3"/>
        <v>0.25647058823529412</v>
      </c>
      <c r="K39" s="18"/>
      <c r="M39" s="1"/>
    </row>
    <row r="40" spans="1:13" ht="25" customHeight="1">
      <c r="A40" s="5"/>
      <c r="B40" s="17"/>
      <c r="C40" s="52">
        <v>17</v>
      </c>
      <c r="D40" s="53">
        <f t="shared" si="1"/>
        <v>53</v>
      </c>
      <c r="E40" s="53">
        <f t="shared" si="0"/>
        <v>4</v>
      </c>
      <c r="F40" s="44">
        <f t="shared" si="4"/>
        <v>73</v>
      </c>
      <c r="G40" s="45">
        <f>IF(D40=D39,"",_xlfn.IFNA(VLOOKUP(D40,'인원 입력 기능'!$CN$5:$CQ$55,4,FALSE),0))</f>
        <v>23</v>
      </c>
      <c r="H40" s="46">
        <f t="shared" si="2"/>
        <v>2.7058823529411764E-2</v>
      </c>
      <c r="I40" s="50">
        <f>SUM($G$7:G40)</f>
        <v>241</v>
      </c>
      <c r="J40" s="48">
        <f t="shared" si="3"/>
        <v>0.28352941176470586</v>
      </c>
      <c r="K40" s="18"/>
      <c r="M40" s="1"/>
    </row>
    <row r="41" spans="1:13" ht="25" customHeight="1">
      <c r="A41" s="5"/>
      <c r="B41" s="17"/>
      <c r="C41" s="51">
        <v>16</v>
      </c>
      <c r="D41" s="53">
        <f t="shared" si="1"/>
        <v>52</v>
      </c>
      <c r="E41" s="53">
        <f t="shared" si="0"/>
        <v>4</v>
      </c>
      <c r="F41" s="44">
        <f t="shared" si="4"/>
        <v>70</v>
      </c>
      <c r="G41" s="45">
        <f>IF(D41=D40,"",_xlfn.IFNA(VLOOKUP(D41,'인원 입력 기능'!$CN$5:$CQ$55,4,FALSE),0))</f>
        <v>28</v>
      </c>
      <c r="H41" s="46">
        <f t="shared" si="2"/>
        <v>3.2941176470588238E-2</v>
      </c>
      <c r="I41" s="50">
        <f>SUM($G$7:G41)</f>
        <v>269</v>
      </c>
      <c r="J41" s="48">
        <f t="shared" si="3"/>
        <v>0.31647058823529411</v>
      </c>
      <c r="K41" s="18"/>
      <c r="M41" s="1"/>
    </row>
    <row r="42" spans="1:13" ht="25" customHeight="1">
      <c r="A42" s="5"/>
      <c r="B42" s="17"/>
      <c r="C42" s="52">
        <v>15</v>
      </c>
      <c r="D42" s="53">
        <f t="shared" si="1"/>
        <v>51</v>
      </c>
      <c r="E42" s="53">
        <f t="shared" si="0"/>
        <v>4</v>
      </c>
      <c r="F42" s="44">
        <f t="shared" si="4"/>
        <v>66</v>
      </c>
      <c r="G42" s="45">
        <f>IF(D42=D41,"",_xlfn.IFNA(VLOOKUP(D42,'인원 입력 기능'!$CN$5:$CQ$55,4,FALSE),0))</f>
        <v>32</v>
      </c>
      <c r="H42" s="46">
        <f t="shared" si="2"/>
        <v>3.7647058823529408E-2</v>
      </c>
      <c r="I42" s="50">
        <f>SUM($G$7:G42)</f>
        <v>301</v>
      </c>
      <c r="J42" s="48">
        <f t="shared" si="3"/>
        <v>0.35411764705882354</v>
      </c>
      <c r="K42" s="18"/>
      <c r="M42" s="1"/>
    </row>
    <row r="43" spans="1:13" ht="25" customHeight="1">
      <c r="A43" s="5"/>
      <c r="B43" s="17"/>
      <c r="C43" s="51">
        <v>14</v>
      </c>
      <c r="D43" s="53">
        <f t="shared" si="1"/>
        <v>49</v>
      </c>
      <c r="E43" s="53">
        <f t="shared" si="0"/>
        <v>4</v>
      </c>
      <c r="F43" s="44">
        <f t="shared" si="4"/>
        <v>63</v>
      </c>
      <c r="G43" s="45">
        <f>IF(D43=D42,"",_xlfn.IFNA(VLOOKUP(D43,'인원 입력 기능'!$CN$5:$CQ$55,4,FALSE),0))</f>
        <v>27</v>
      </c>
      <c r="H43" s="46">
        <f t="shared" si="2"/>
        <v>3.1764705882352938E-2</v>
      </c>
      <c r="I43" s="50">
        <f>SUM($G$7:G43)</f>
        <v>328</v>
      </c>
      <c r="J43" s="48">
        <f t="shared" si="3"/>
        <v>0.38588235294117645</v>
      </c>
      <c r="K43" s="18"/>
      <c r="M43" s="1"/>
    </row>
    <row r="44" spans="1:13" ht="25" customHeight="1">
      <c r="A44" s="5"/>
      <c r="B44" s="17"/>
      <c r="C44" s="52">
        <v>13</v>
      </c>
      <c r="D44" s="53">
        <f t="shared" si="1"/>
        <v>48</v>
      </c>
      <c r="E44" s="53">
        <f t="shared" si="0"/>
        <v>4</v>
      </c>
      <c r="F44" s="44">
        <f t="shared" si="4"/>
        <v>58</v>
      </c>
      <c r="G44" s="45">
        <f>IF(D44=D43,"",_xlfn.IFNA(VLOOKUP(D44,'인원 입력 기능'!$CN$5:$CQ$55,4,FALSE),0))</f>
        <v>52</v>
      </c>
      <c r="H44" s="46">
        <f t="shared" si="2"/>
        <v>6.1176470588235297E-2</v>
      </c>
      <c r="I44" s="50">
        <f>SUM($G$7:G44)</f>
        <v>380</v>
      </c>
      <c r="J44" s="48">
        <f t="shared" si="3"/>
        <v>0.44705882352941179</v>
      </c>
      <c r="K44" s="18"/>
      <c r="M44" s="1"/>
    </row>
    <row r="45" spans="1:13" ht="25" customHeight="1">
      <c r="A45" s="5"/>
      <c r="B45" s="17"/>
      <c r="C45" s="51">
        <v>12</v>
      </c>
      <c r="D45" s="53">
        <f t="shared" si="1"/>
        <v>47</v>
      </c>
      <c r="E45" s="53">
        <f t="shared" si="0"/>
        <v>5</v>
      </c>
      <c r="F45" s="44">
        <f t="shared" si="4"/>
        <v>54</v>
      </c>
      <c r="G45" s="45">
        <f>IF(D45=D44,"",_xlfn.IFNA(VLOOKUP(D45,'인원 입력 기능'!$CN$5:$CQ$55,4,FALSE),0))</f>
        <v>25</v>
      </c>
      <c r="H45" s="46">
        <f t="shared" si="2"/>
        <v>2.9411764705882353E-2</v>
      </c>
      <c r="I45" s="50">
        <f>SUM($G$7:G45)</f>
        <v>405</v>
      </c>
      <c r="J45" s="48">
        <f t="shared" si="3"/>
        <v>0.47647058823529409</v>
      </c>
      <c r="K45" s="18"/>
      <c r="M45" s="1"/>
    </row>
    <row r="46" spans="1:13" ht="25" customHeight="1">
      <c r="A46" s="5"/>
      <c r="B46" s="17"/>
      <c r="C46" s="52">
        <v>11</v>
      </c>
      <c r="D46" s="53">
        <f t="shared" si="1"/>
        <v>46</v>
      </c>
      <c r="E46" s="53">
        <f t="shared" si="0"/>
        <v>5</v>
      </c>
      <c r="F46" s="44">
        <f t="shared" si="4"/>
        <v>42</v>
      </c>
      <c r="G46" s="45">
        <f>IF(D46=D45,"",_xlfn.IFNA(VLOOKUP(D46,'인원 입력 기능'!$CN$5:$CQ$55,4,FALSE),0))</f>
        <v>175</v>
      </c>
      <c r="H46" s="46">
        <f t="shared" si="2"/>
        <v>0.20588235294117646</v>
      </c>
      <c r="I46" s="50">
        <f>SUM($G$7:G46)</f>
        <v>580</v>
      </c>
      <c r="J46" s="48">
        <f t="shared" si="3"/>
        <v>0.68235294117647061</v>
      </c>
      <c r="K46" s="18"/>
      <c r="M46" s="1"/>
    </row>
    <row r="47" spans="1:13" ht="25" customHeight="1">
      <c r="A47" s="5"/>
      <c r="B47" s="17"/>
      <c r="C47" s="51">
        <v>10</v>
      </c>
      <c r="D47" s="53">
        <f t="shared" si="1"/>
        <v>45</v>
      </c>
      <c r="E47" s="53">
        <f t="shared" si="0"/>
        <v>6</v>
      </c>
      <c r="F47" s="44">
        <f t="shared" si="4"/>
        <v>27</v>
      </c>
      <c r="G47" s="45">
        <f>IF(D47=D46,"",_xlfn.IFNA(VLOOKUP(D47,'인원 입력 기능'!$CN$5:$CQ$55,4,FALSE),0))</f>
        <v>79</v>
      </c>
      <c r="H47" s="46">
        <f t="shared" si="2"/>
        <v>9.2941176470588235E-2</v>
      </c>
      <c r="I47" s="50">
        <f>SUM($G$7:G47)</f>
        <v>659</v>
      </c>
      <c r="J47" s="48">
        <f t="shared" si="3"/>
        <v>0.7752941176470588</v>
      </c>
      <c r="K47" s="18"/>
      <c r="M47" s="1"/>
    </row>
    <row r="48" spans="1:13" ht="25" customHeight="1">
      <c r="A48" s="5"/>
      <c r="B48" s="17"/>
      <c r="C48" s="52">
        <v>9</v>
      </c>
      <c r="D48" s="53">
        <f t="shared" si="1"/>
        <v>44</v>
      </c>
      <c r="E48" s="53">
        <f t="shared" si="0"/>
        <v>7</v>
      </c>
      <c r="F48" s="44">
        <f t="shared" si="4"/>
        <v>21</v>
      </c>
      <c r="G48" s="45">
        <f>IF(D48=D47,"",_xlfn.IFNA(VLOOKUP(D48,'인원 입력 기능'!$CN$5:$CQ$55,4,FALSE),0))</f>
        <v>22</v>
      </c>
      <c r="H48" s="46">
        <f t="shared" si="2"/>
        <v>2.5882352941176471E-2</v>
      </c>
      <c r="I48" s="50">
        <f>SUM($G$7:G48)</f>
        <v>681</v>
      </c>
      <c r="J48" s="48">
        <f t="shared" si="3"/>
        <v>0.80117647058823527</v>
      </c>
      <c r="K48" s="18"/>
      <c r="M48" s="1"/>
    </row>
    <row r="49" spans="1:13" ht="25" customHeight="1">
      <c r="A49" s="5"/>
      <c r="B49" s="17"/>
      <c r="C49" s="51">
        <v>8</v>
      </c>
      <c r="D49" s="53">
        <f t="shared" si="1"/>
        <v>42</v>
      </c>
      <c r="E49" s="53">
        <f t="shared" si="0"/>
        <v>7</v>
      </c>
      <c r="F49" s="44">
        <f t="shared" si="4"/>
        <v>18</v>
      </c>
      <c r="G49" s="45">
        <f>IF(D49=D48,"",_xlfn.IFNA(VLOOKUP(D49,'인원 입력 기능'!$CN$5:$CQ$55,4,FALSE),0))</f>
        <v>30</v>
      </c>
      <c r="H49" s="46">
        <f t="shared" si="2"/>
        <v>3.5294117647058823E-2</v>
      </c>
      <c r="I49" s="50">
        <f>SUM($G$7:G49)</f>
        <v>711</v>
      </c>
      <c r="J49" s="48">
        <f t="shared" si="3"/>
        <v>0.83647058823529408</v>
      </c>
      <c r="K49" s="18"/>
      <c r="M49" s="1"/>
    </row>
    <row r="50" spans="1:13" ht="25" customHeight="1">
      <c r="A50" s="5"/>
      <c r="B50" s="17"/>
      <c r="C50" s="52">
        <v>7</v>
      </c>
      <c r="D50" s="53">
        <f t="shared" si="1"/>
        <v>41</v>
      </c>
      <c r="E50" s="53">
        <f t="shared" si="0"/>
        <v>7</v>
      </c>
      <c r="F50" s="44">
        <f t="shared" si="4"/>
        <v>15</v>
      </c>
      <c r="G50" s="45">
        <f>IF(D50=D49,"",_xlfn.IFNA(VLOOKUP(D50,'인원 입력 기능'!$CN$5:$CQ$55,4,FALSE),0))</f>
        <v>31</v>
      </c>
      <c r="H50" s="46">
        <f t="shared" si="2"/>
        <v>3.6470588235294116E-2</v>
      </c>
      <c r="I50" s="50">
        <f>SUM($G$7:G50)</f>
        <v>742</v>
      </c>
      <c r="J50" s="48">
        <f t="shared" si="3"/>
        <v>0.87294117647058822</v>
      </c>
      <c r="K50" s="18"/>
      <c r="M50" s="1"/>
    </row>
    <row r="51" spans="1:13" ht="25" customHeight="1">
      <c r="A51" s="5"/>
      <c r="B51" s="17"/>
      <c r="C51" s="51">
        <v>6</v>
      </c>
      <c r="D51" s="53">
        <f t="shared" si="1"/>
        <v>40</v>
      </c>
      <c r="E51" s="53">
        <f t="shared" si="0"/>
        <v>7</v>
      </c>
      <c r="F51" s="44">
        <f t="shared" si="4"/>
        <v>12</v>
      </c>
      <c r="G51" s="45">
        <f>IF(D51=D50,"",_xlfn.IFNA(VLOOKUP(D51,'인원 입력 기능'!$CN$5:$CQ$55,4,FALSE),0))</f>
        <v>14</v>
      </c>
      <c r="H51" s="46">
        <f t="shared" si="2"/>
        <v>1.6470588235294119E-2</v>
      </c>
      <c r="I51" s="50">
        <f>SUM($G$7:G51)</f>
        <v>756</v>
      </c>
      <c r="J51" s="48">
        <f t="shared" si="3"/>
        <v>0.88941176470588235</v>
      </c>
      <c r="K51" s="18"/>
      <c r="M51" s="1"/>
    </row>
    <row r="52" spans="1:13" ht="25" customHeight="1">
      <c r="A52" s="5"/>
      <c r="B52" s="17"/>
      <c r="C52" s="299">
        <v>5</v>
      </c>
      <c r="D52" s="312">
        <f t="shared" si="1"/>
        <v>39</v>
      </c>
      <c r="E52" s="312">
        <f t="shared" si="0"/>
        <v>7</v>
      </c>
      <c r="F52" s="313">
        <f t="shared" si="4"/>
        <v>8</v>
      </c>
      <c r="G52" s="314">
        <f>IF(D52=D51,"",_xlfn.IFNA(VLOOKUP(D52,'인원 입력 기능'!$CN$5:$CQ$55,4,FALSE),0))</f>
        <v>60</v>
      </c>
      <c r="H52" s="315">
        <f t="shared" si="2"/>
        <v>7.0588235294117646E-2</v>
      </c>
      <c r="I52" s="316">
        <f>SUM($G$7:G52)</f>
        <v>816</v>
      </c>
      <c r="J52" s="317">
        <f t="shared" si="3"/>
        <v>0.96</v>
      </c>
      <c r="K52" s="18"/>
      <c r="M52" s="1"/>
    </row>
    <row r="53" spans="1:13" ht="25" customHeight="1">
      <c r="A53" s="5"/>
      <c r="B53" s="17"/>
      <c r="C53" s="42">
        <v>4</v>
      </c>
      <c r="D53" s="43">
        <f t="shared" si="1"/>
        <v>38</v>
      </c>
      <c r="E53" s="43">
        <f t="shared" si="0"/>
        <v>9</v>
      </c>
      <c r="F53" s="44">
        <f t="shared" si="4"/>
        <v>3</v>
      </c>
      <c r="G53" s="45">
        <f>IF(D53=D52,"",_xlfn.IFNA(VLOOKUP(D53,'인원 입력 기능'!$CN$5:$CQ$55,4,FALSE),0))</f>
        <v>12</v>
      </c>
      <c r="H53" s="46">
        <f t="shared" si="2"/>
        <v>1.411764705882353E-2</v>
      </c>
      <c r="I53" s="50">
        <f>SUM($G$7:G53)</f>
        <v>828</v>
      </c>
      <c r="J53" s="48">
        <f t="shared" si="3"/>
        <v>0.97411764705882353</v>
      </c>
      <c r="K53" s="18"/>
      <c r="M53" s="1"/>
    </row>
    <row r="54" spans="1:13" ht="25" customHeight="1">
      <c r="A54" s="5"/>
      <c r="B54" s="17"/>
      <c r="C54" s="49">
        <v>3</v>
      </c>
      <c r="D54" s="43">
        <f t="shared" si="1"/>
        <v>36</v>
      </c>
      <c r="E54" s="43">
        <f t="shared" si="0"/>
        <v>9</v>
      </c>
      <c r="F54" s="44">
        <f t="shared" si="4"/>
        <v>2</v>
      </c>
      <c r="G54" s="45">
        <f>IF(D54=D53,"",_xlfn.IFNA(VLOOKUP(D54,'인원 입력 기능'!$CN$5:$CQ$55,4,FALSE),0))</f>
        <v>9</v>
      </c>
      <c r="H54" s="46">
        <f t="shared" si="2"/>
        <v>1.0588235294117647E-2</v>
      </c>
      <c r="I54" s="50">
        <f>SUM($G$7:G54)</f>
        <v>837</v>
      </c>
      <c r="J54" s="48">
        <f t="shared" si="3"/>
        <v>0.98470588235294121</v>
      </c>
      <c r="K54" s="18"/>
      <c r="M54" s="1"/>
    </row>
    <row r="55" spans="1:13" ht="25" customHeight="1">
      <c r="A55" s="5"/>
      <c r="B55" s="17"/>
      <c r="C55" s="42">
        <v>2</v>
      </c>
      <c r="D55" s="43">
        <f t="shared" si="1"/>
        <v>35</v>
      </c>
      <c r="E55" s="43">
        <f t="shared" si="0"/>
        <v>9</v>
      </c>
      <c r="F55" s="44">
        <f t="shared" si="4"/>
        <v>1</v>
      </c>
      <c r="G55" s="45">
        <f>IF(D55=D54,"",_xlfn.IFNA(VLOOKUP(D55,'인원 입력 기능'!$CN$5:$CQ$55,4,FALSE),0))</f>
        <v>7</v>
      </c>
      <c r="H55" s="46">
        <f t="shared" si="2"/>
        <v>8.2352941176470594E-3</v>
      </c>
      <c r="I55" s="50">
        <f>SUM($G$7:G55)</f>
        <v>844</v>
      </c>
      <c r="J55" s="48">
        <f t="shared" si="3"/>
        <v>0.99294117647058822</v>
      </c>
      <c r="K55" s="18"/>
      <c r="M55" s="1"/>
    </row>
    <row r="56" spans="1:13" ht="25" customHeight="1">
      <c r="A56" s="5"/>
      <c r="B56" s="17"/>
      <c r="C56" s="49">
        <v>1</v>
      </c>
      <c r="D56" s="111" t="s">
        <v>31</v>
      </c>
      <c r="E56" s="112"/>
      <c r="F56" s="112"/>
      <c r="G56" s="112"/>
      <c r="H56" s="112"/>
      <c r="I56" s="112"/>
      <c r="J56" s="113"/>
      <c r="K56" s="18"/>
      <c r="M56" s="1"/>
    </row>
    <row r="57" spans="1:13" ht="25" customHeight="1" thickBot="1">
      <c r="A57" s="5"/>
      <c r="B57" s="17"/>
      <c r="C57" s="57">
        <v>0</v>
      </c>
      <c r="D57" s="58">
        <f>ROUND(10*(C57-$H$3)/$H$4+50,0)</f>
        <v>33</v>
      </c>
      <c r="E57" s="59">
        <f t="shared" si="0"/>
        <v>9</v>
      </c>
      <c r="F57" s="60">
        <f>IF(I55=0,ROUND(100*(1-(I54+I57)/2/$J$3),0),ROUND(100*(1-(I55+I57)/2/$J$3),0))</f>
        <v>0</v>
      </c>
      <c r="G57" s="61">
        <f>_xlfn.IFNA(VLOOKUP(D57,'인원 입력 기능'!$CN$5:$CQ$55,4,FALSE),0)</f>
        <v>6</v>
      </c>
      <c r="H57" s="62">
        <f>G57/J3</f>
        <v>7.058823529411765E-3</v>
      </c>
      <c r="I57" s="63">
        <f>SUM($G$7:G57)</f>
        <v>850</v>
      </c>
      <c r="J57" s="64">
        <f>I57/J3</f>
        <v>1</v>
      </c>
      <c r="K57" s="18"/>
      <c r="M57" s="1"/>
    </row>
    <row r="58" spans="1:13" ht="6" customHeight="1">
      <c r="A58" s="5"/>
      <c r="B58" s="20"/>
      <c r="C58" s="21"/>
      <c r="D58" s="21"/>
      <c r="E58" s="21"/>
      <c r="F58" s="21"/>
      <c r="G58" s="21"/>
      <c r="H58" s="21"/>
      <c r="I58" s="21"/>
      <c r="J58" s="21"/>
      <c r="K58" s="22"/>
      <c r="M58" s="1"/>
    </row>
    <row r="59" spans="1:13">
      <c r="M59" s="1"/>
    </row>
    <row r="60" spans="1:13">
      <c r="M60" s="1"/>
    </row>
    <row r="61" spans="1:13">
      <c r="M61" s="1"/>
    </row>
    <row r="62" spans="1:13">
      <c r="M62" s="1"/>
    </row>
    <row r="63" spans="1:13">
      <c r="M63" s="1"/>
    </row>
    <row r="64" spans="1:13">
      <c r="M64" s="1"/>
    </row>
    <row r="65" spans="13:13">
      <c r="M65" s="1"/>
    </row>
    <row r="66" spans="13:13">
      <c r="M66" s="1"/>
    </row>
    <row r="67" spans="13:13">
      <c r="M67" s="1"/>
    </row>
    <row r="68" spans="13:13">
      <c r="M68" s="1"/>
    </row>
    <row r="69" spans="13:13">
      <c r="M69" s="1"/>
    </row>
    <row r="70" spans="13:13">
      <c r="M70" s="1"/>
    </row>
    <row r="71" spans="13:13">
      <c r="M71" s="1"/>
    </row>
    <row r="72" spans="13:13">
      <c r="M72" s="1"/>
    </row>
    <row r="73" spans="13:13">
      <c r="M73" s="1"/>
    </row>
    <row r="74" spans="13:13">
      <c r="M74" s="1"/>
    </row>
    <row r="75" spans="13:13">
      <c r="M75" s="1"/>
    </row>
    <row r="76" spans="13:13">
      <c r="M76" s="1"/>
    </row>
    <row r="77" spans="13:13">
      <c r="M77" s="1"/>
    </row>
    <row r="78" spans="13:13">
      <c r="M78" s="1"/>
    </row>
    <row r="79" spans="13:13">
      <c r="M79" s="1"/>
    </row>
    <row r="80" spans="13:13">
      <c r="M80" s="1"/>
    </row>
    <row r="81" spans="13:13">
      <c r="M81" s="1"/>
    </row>
    <row r="82" spans="13:13">
      <c r="M82" s="1"/>
    </row>
    <row r="83" spans="13:13">
      <c r="M83" s="1"/>
    </row>
    <row r="84" spans="13:13">
      <c r="M84" s="1"/>
    </row>
    <row r="85" spans="13:13">
      <c r="M85" s="1"/>
    </row>
    <row r="86" spans="13:13">
      <c r="M86" s="1"/>
    </row>
    <row r="87" spans="13:13">
      <c r="M87" s="1"/>
    </row>
    <row r="88" spans="13:13">
      <c r="M88" s="1"/>
    </row>
    <row r="89" spans="13:13">
      <c r="M89" s="1"/>
    </row>
    <row r="90" spans="13:13">
      <c r="M90" s="1"/>
    </row>
    <row r="91" spans="13:13">
      <c r="M91" s="1"/>
    </row>
    <row r="92" spans="13:13">
      <c r="M92" s="1"/>
    </row>
    <row r="93" spans="13:13">
      <c r="M93" s="1"/>
    </row>
    <row r="94" spans="13:13">
      <c r="M94" s="1"/>
    </row>
    <row r="95" spans="13:13">
      <c r="M95" s="1"/>
    </row>
    <row r="96" spans="13:13">
      <c r="M96" s="1"/>
    </row>
    <row r="97" spans="13:13">
      <c r="M97" s="1"/>
    </row>
    <row r="98" spans="13:13">
      <c r="M98" s="1"/>
    </row>
    <row r="99" spans="13:13">
      <c r="M99" s="1"/>
    </row>
    <row r="100" spans="13:13">
      <c r="M100" s="1"/>
    </row>
    <row r="101" spans="13:13">
      <c r="M101" s="1"/>
    </row>
    <row r="102" spans="13:13">
      <c r="M102" s="1"/>
    </row>
    <row r="103" spans="13:13">
      <c r="M103" s="1"/>
    </row>
    <row r="104" spans="13:13">
      <c r="M104" s="1"/>
    </row>
    <row r="105" spans="13:13">
      <c r="M105" s="1"/>
    </row>
  </sheetData>
  <mergeCells count="4">
    <mergeCell ref="D3:F3"/>
    <mergeCell ref="D4:F4"/>
    <mergeCell ref="D8:J8"/>
    <mergeCell ref="D56:J56"/>
  </mergeCells>
  <phoneticPr fontId="1" type="noConversion"/>
  <conditionalFormatting sqref="D7:J7 D57:J57 D9:J51 D53:J55">
    <cfRule type="expression" dxfId="34" priority="7">
      <formula>OR($D7=$P$7:$P$14)</formula>
    </cfRule>
  </conditionalFormatting>
  <conditionalFormatting sqref="C7:C51 C53:C57">
    <cfRule type="expression" dxfId="33" priority="6">
      <formula>OR(AND($D7=0,OR($D6=$P$7:$P$14)),AND($D8&gt;0,OR($D7=$P$7:$P$14)))</formula>
    </cfRule>
  </conditionalFormatting>
  <conditionalFormatting sqref="D7 D57 D9:D51 D53:D55">
    <cfRule type="expression" dxfId="32" priority="5">
      <formula>$D7=$D8</formula>
    </cfRule>
  </conditionalFormatting>
  <conditionalFormatting sqref="D56">
    <cfRule type="expression" dxfId="31" priority="4">
      <formula>OR($D56=$P$7:$P$14)</formula>
    </cfRule>
  </conditionalFormatting>
  <conditionalFormatting sqref="D56">
    <cfRule type="expression" dxfId="30" priority="3">
      <formula>$D56=$D57</formula>
    </cfRule>
  </conditionalFormatting>
  <conditionalFormatting sqref="D8">
    <cfRule type="expression" dxfId="29" priority="2">
      <formula>OR($D8=$P$7:$P$14)</formula>
    </cfRule>
  </conditionalFormatting>
  <conditionalFormatting sqref="D8">
    <cfRule type="expression" dxfId="28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4E3C1-F94F-4141-A300-81A31FEFB9D2}">
  <sheetPr codeName="Sheet6"/>
  <dimension ref="A1:P105"/>
  <sheetViews>
    <sheetView zoomScaleNormal="100" workbookViewId="0">
      <selection activeCell="B2" sqref="B2:K58"/>
    </sheetView>
  </sheetViews>
  <sheetFormatPr defaultRowHeight="17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6">
      <c r="A1" s="5" t="s">
        <v>44</v>
      </c>
      <c r="C1" s="5"/>
      <c r="D1" s="5"/>
      <c r="E1" s="5"/>
      <c r="F1" s="5"/>
      <c r="G1" s="5"/>
      <c r="H1" s="5"/>
      <c r="I1" s="5"/>
      <c r="J1" s="5"/>
      <c r="K1" s="5"/>
    </row>
    <row r="2" spans="1:16" s="5" customFormat="1" ht="6" customHeight="1" thickBot="1">
      <c r="B2" s="15"/>
      <c r="C2" s="23"/>
      <c r="D2" s="23"/>
      <c r="E2" s="23"/>
      <c r="F2" s="23"/>
      <c r="G2" s="23"/>
      <c r="H2" s="23"/>
      <c r="I2" s="23"/>
      <c r="J2" s="23"/>
      <c r="K2" s="16"/>
    </row>
    <row r="3" spans="1:16" ht="25" customHeight="1" thickBot="1">
      <c r="A3" s="5"/>
      <c r="B3" s="17"/>
      <c r="C3" s="34" t="s">
        <v>47</v>
      </c>
      <c r="D3" s="105" t="s">
        <v>115</v>
      </c>
      <c r="E3" s="106"/>
      <c r="F3" s="107"/>
      <c r="G3" s="34" t="s">
        <v>48</v>
      </c>
      <c r="H3" s="101">
        <f>'통계 및 응시자 수 입력 기능'!D23</f>
        <v>20.27</v>
      </c>
      <c r="I3" s="103" t="s">
        <v>49</v>
      </c>
      <c r="J3" s="104">
        <f>'통계 및 응시자 수 입력 기능'!C23</f>
        <v>1471</v>
      </c>
      <c r="K3" s="18"/>
    </row>
    <row r="4" spans="1:16" ht="25" customHeight="1" thickBot="1">
      <c r="A4" s="5"/>
      <c r="B4" s="17"/>
      <c r="C4" s="35" t="s">
        <v>50</v>
      </c>
      <c r="D4" s="114" t="s">
        <v>55</v>
      </c>
      <c r="E4" s="109"/>
      <c r="F4" s="110"/>
      <c r="G4" s="36" t="s">
        <v>52</v>
      </c>
      <c r="H4" s="102">
        <f>'통계 및 응시자 수 입력 기능'!E23</f>
        <v>12.85</v>
      </c>
      <c r="I4" s="12"/>
      <c r="J4" s="12"/>
      <c r="K4" s="18"/>
    </row>
    <row r="5" spans="1:16" ht="25" customHeight="1" thickBot="1">
      <c r="A5" s="5"/>
      <c r="B5" s="17"/>
      <c r="C5" s="12"/>
      <c r="D5" s="12"/>
      <c r="E5" s="12"/>
      <c r="F5" s="12"/>
      <c r="G5" s="12"/>
      <c r="H5" s="19"/>
      <c r="I5" s="19"/>
      <c r="J5" s="19"/>
      <c r="K5" s="18"/>
    </row>
    <row r="6" spans="1:16" ht="25" customHeight="1" thickBot="1">
      <c r="A6" s="5"/>
      <c r="B6" s="17"/>
      <c r="C6" s="38" t="s">
        <v>73</v>
      </c>
      <c r="D6" s="39" t="s">
        <v>74</v>
      </c>
      <c r="E6" s="39" t="s">
        <v>75</v>
      </c>
      <c r="F6" s="39" t="s">
        <v>76</v>
      </c>
      <c r="G6" s="39" t="s">
        <v>77</v>
      </c>
      <c r="H6" s="40" t="s">
        <v>78</v>
      </c>
      <c r="I6" s="40" t="s">
        <v>79</v>
      </c>
      <c r="J6" s="41" t="s">
        <v>80</v>
      </c>
      <c r="K6" s="18"/>
      <c r="L6" s="3"/>
      <c r="M6" s="4"/>
    </row>
    <row r="7" spans="1:16" ht="25" customHeight="1">
      <c r="A7" s="5"/>
      <c r="B7" s="17"/>
      <c r="C7" s="42">
        <v>50</v>
      </c>
      <c r="D7" s="43">
        <f>ROUND(10*(C7-$H$3)/$H$4+50,0)</f>
        <v>73</v>
      </c>
      <c r="E7" s="43">
        <f t="shared" ref="E7:E57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44">
        <f>ROUND(100*(1-(0+I7)/2/$J$3),0)</f>
        <v>99</v>
      </c>
      <c r="G7" s="45">
        <f>_xlfn.IFNA(VLOOKUP(D7,'인원 입력 기능'!$CS$5:$CV$55,4,FALSE),0)</f>
        <v>24</v>
      </c>
      <c r="H7" s="46">
        <f>G7/J3</f>
        <v>1.6315431679129844E-2</v>
      </c>
      <c r="I7" s="47">
        <f>G7</f>
        <v>24</v>
      </c>
      <c r="J7" s="48">
        <f>I7/J3</f>
        <v>1.6315431679129844E-2</v>
      </c>
      <c r="K7" s="18"/>
      <c r="M7" s="1"/>
      <c r="O7" s="1">
        <v>1</v>
      </c>
      <c r="P7" s="1">
        <f>'표준점수 등급컷 입력기능'!H68</f>
        <v>71</v>
      </c>
    </row>
    <row r="8" spans="1:16" ht="25" customHeight="1">
      <c r="A8" s="5"/>
      <c r="B8" s="17"/>
      <c r="C8" s="49">
        <v>49</v>
      </c>
      <c r="D8" s="111" t="s">
        <v>31</v>
      </c>
      <c r="E8" s="112"/>
      <c r="F8" s="112"/>
      <c r="G8" s="112"/>
      <c r="H8" s="112"/>
      <c r="I8" s="112"/>
      <c r="J8" s="113"/>
      <c r="K8" s="18"/>
      <c r="M8" s="1"/>
      <c r="O8" s="1">
        <v>2</v>
      </c>
      <c r="P8" s="1">
        <f>'표준점수 등급컷 입력기능'!H69</f>
        <v>65</v>
      </c>
    </row>
    <row r="9" spans="1:16" ht="25" customHeight="1">
      <c r="A9" s="5"/>
      <c r="B9" s="17"/>
      <c r="C9" s="42">
        <v>48</v>
      </c>
      <c r="D9" s="43">
        <f t="shared" ref="D9:D55" si="1">ROUND(10*(C9-$H$3)/$H$4+50,0)</f>
        <v>72</v>
      </c>
      <c r="E9" s="43">
        <f t="shared" si="0"/>
        <v>1</v>
      </c>
      <c r="F9" s="44">
        <f>IF(I8=0,ROUND(100*(1-(I7+I9)/2/$J$3),0),ROUND(100*(1-(I8+I9)/2/$J$3),0))</f>
        <v>98</v>
      </c>
      <c r="G9" s="45">
        <f>_xlfn.IFNA(VLOOKUP(D9,'인원 입력 기능'!$CS$5:$CV$55,4,FALSE),0)</f>
        <v>10</v>
      </c>
      <c r="H9" s="46">
        <f>G9/$J$3</f>
        <v>6.7980965329707682E-3</v>
      </c>
      <c r="I9" s="50">
        <f>SUM($G$7:G9)</f>
        <v>34</v>
      </c>
      <c r="J9" s="48">
        <f>I9/$J$3</f>
        <v>2.3113528212100613E-2</v>
      </c>
      <c r="K9" s="18"/>
      <c r="M9" s="1"/>
      <c r="O9" s="1">
        <v>3</v>
      </c>
      <c r="P9" s="1">
        <f>'표준점수 등급컷 입력기능'!H70</f>
        <v>58</v>
      </c>
    </row>
    <row r="10" spans="1:16" ht="25" customHeight="1">
      <c r="A10" s="5"/>
      <c r="B10" s="17"/>
      <c r="C10" s="49">
        <v>47</v>
      </c>
      <c r="D10" s="43">
        <f t="shared" si="1"/>
        <v>71</v>
      </c>
      <c r="E10" s="43">
        <f t="shared" si="0"/>
        <v>1</v>
      </c>
      <c r="F10" s="44">
        <f>IF(I9=0,ROUND(100*(1-(I8+I10)/2/$J$3),0),ROUND(100*(1-(I9+I10)/2/$J$3),0))</f>
        <v>97</v>
      </c>
      <c r="G10" s="45">
        <f>IF(D10=D9,"",_xlfn.IFNA(VLOOKUP(D10,'인원 입력 기능'!$CS$5:$CV$55,4,FALSE),0))</f>
        <v>27</v>
      </c>
      <c r="H10" s="46">
        <f t="shared" ref="H10:H55" si="2">G10/$J$3</f>
        <v>1.8354860639021073E-2</v>
      </c>
      <c r="I10" s="50">
        <f>SUM($G$7:G10)</f>
        <v>61</v>
      </c>
      <c r="J10" s="48">
        <f t="shared" ref="J10:J55" si="3">I10/$J$3</f>
        <v>4.1468388851121689E-2</v>
      </c>
      <c r="K10" s="18"/>
      <c r="M10" s="1"/>
      <c r="O10" s="1">
        <v>4</v>
      </c>
      <c r="P10" s="1">
        <f>'표준점수 등급컷 입력기능'!H71</f>
        <v>51</v>
      </c>
    </row>
    <row r="11" spans="1:16" ht="25" customHeight="1">
      <c r="A11" s="5"/>
      <c r="B11" s="17"/>
      <c r="C11" s="42">
        <v>46</v>
      </c>
      <c r="D11" s="43">
        <f t="shared" si="1"/>
        <v>70</v>
      </c>
      <c r="E11" s="43">
        <f t="shared" si="0"/>
        <v>2</v>
      </c>
      <c r="F11" s="44">
        <f t="shared" ref="F11:F55" si="4">IF(I10=0,ROUND(100*(1-(I9+I11)/2/$J$3),0),ROUND(100*(1-(I10+I11)/2/$J$3),0))</f>
        <v>96</v>
      </c>
      <c r="G11" s="45">
        <f>IF(D11=D10,"",_xlfn.IFNA(VLOOKUP(D11,'인원 입력 기능'!$CS$5:$CV$55,4,FALSE),0))</f>
        <v>6</v>
      </c>
      <c r="H11" s="46">
        <f t="shared" si="2"/>
        <v>4.0788579197824611E-3</v>
      </c>
      <c r="I11" s="50">
        <f>SUM($G$7:G11)</f>
        <v>67</v>
      </c>
      <c r="J11" s="48">
        <f t="shared" si="3"/>
        <v>4.5547246770904146E-2</v>
      </c>
      <c r="K11" s="18"/>
      <c r="M11" s="1"/>
      <c r="O11" s="1">
        <v>5</v>
      </c>
      <c r="P11" s="1">
        <f>'표준점수 등급컷 입력기능'!H72</f>
        <v>45</v>
      </c>
    </row>
    <row r="12" spans="1:16" ht="25" customHeight="1">
      <c r="A12" s="5"/>
      <c r="B12" s="17"/>
      <c r="C12" s="49">
        <v>45</v>
      </c>
      <c r="D12" s="43">
        <f t="shared" si="1"/>
        <v>69</v>
      </c>
      <c r="E12" s="43">
        <f t="shared" si="0"/>
        <v>2</v>
      </c>
      <c r="F12" s="44">
        <f t="shared" si="4"/>
        <v>95</v>
      </c>
      <c r="G12" s="45">
        <f>IF(D12=D11,"",_xlfn.IFNA(VLOOKUP(D12,'인원 입력 기능'!$CS$5:$CV$55,4,FALSE),0))</f>
        <v>16</v>
      </c>
      <c r="H12" s="46">
        <f t="shared" si="2"/>
        <v>1.0876954452753228E-2</v>
      </c>
      <c r="I12" s="50">
        <f>SUM($G$7:G12)</f>
        <v>83</v>
      </c>
      <c r="J12" s="48">
        <f t="shared" si="3"/>
        <v>5.6424201223657378E-2</v>
      </c>
      <c r="K12" s="18"/>
      <c r="M12" s="1"/>
      <c r="O12" s="1">
        <v>6</v>
      </c>
      <c r="P12" s="1">
        <f>'표준점수 등급컷 입력기능'!H73</f>
        <v>41</v>
      </c>
    </row>
    <row r="13" spans="1:16" ht="25" customHeight="1">
      <c r="A13" s="5"/>
      <c r="B13" s="17"/>
      <c r="C13" s="42">
        <v>44</v>
      </c>
      <c r="D13" s="286">
        <f t="shared" si="1"/>
        <v>68</v>
      </c>
      <c r="E13" s="286">
        <f t="shared" si="0"/>
        <v>2</v>
      </c>
      <c r="F13" s="288">
        <f t="shared" si="4"/>
        <v>93</v>
      </c>
      <c r="G13" s="290">
        <f>IF(D13=D12,"",_xlfn.IFNA(VLOOKUP(D13,'인원 입력 기능'!$CS$5:$CV$55,4,FALSE),0))</f>
        <v>36</v>
      </c>
      <c r="H13" s="291">
        <f t="shared" si="2"/>
        <v>2.4473147518694765E-2</v>
      </c>
      <c r="I13" s="293">
        <f>SUM($G$7:G13)</f>
        <v>119</v>
      </c>
      <c r="J13" s="295">
        <f t="shared" si="3"/>
        <v>8.0897348742352146E-2</v>
      </c>
      <c r="K13" s="18"/>
      <c r="M13" s="1"/>
      <c r="O13" s="1">
        <v>7</v>
      </c>
      <c r="P13" s="1">
        <f>'표준점수 등급컷 입력기능'!H74</f>
        <v>40</v>
      </c>
    </row>
    <row r="14" spans="1:16" ht="25" customHeight="1">
      <c r="A14" s="5"/>
      <c r="B14" s="17"/>
      <c r="C14" s="49">
        <v>43</v>
      </c>
      <c r="D14" s="285"/>
      <c r="E14" s="285"/>
      <c r="F14" s="287"/>
      <c r="G14" s="289"/>
      <c r="H14" s="292"/>
      <c r="I14" s="294"/>
      <c r="J14" s="296"/>
      <c r="K14" s="18"/>
      <c r="M14" s="1"/>
      <c r="O14" s="1">
        <v>8</v>
      </c>
      <c r="P14" s="1">
        <f>'표준점수 등급컷 입력기능'!H75</f>
        <v>38</v>
      </c>
    </row>
    <row r="15" spans="1:16" ht="25" customHeight="1">
      <c r="A15" s="5"/>
      <c r="B15" s="17"/>
      <c r="C15" s="42">
        <v>42</v>
      </c>
      <c r="D15" s="43">
        <f t="shared" si="1"/>
        <v>67</v>
      </c>
      <c r="E15" s="43">
        <f t="shared" si="0"/>
        <v>2</v>
      </c>
      <c r="F15" s="44">
        <f t="shared" si="4"/>
        <v>91</v>
      </c>
      <c r="G15" s="45">
        <f>IF(D15=D14,"",_xlfn.IFNA(VLOOKUP(D15,'인원 입력 기능'!$CS$5:$CV$55,4,FALSE),0))</f>
        <v>20</v>
      </c>
      <c r="H15" s="46">
        <f t="shared" si="2"/>
        <v>1.3596193065941536E-2</v>
      </c>
      <c r="I15" s="50">
        <f>SUM($G$7:G15)</f>
        <v>139</v>
      </c>
      <c r="J15" s="48">
        <f t="shared" si="3"/>
        <v>9.4493541808293682E-2</v>
      </c>
      <c r="K15" s="18"/>
      <c r="M15" s="1"/>
      <c r="O15" s="1">
        <v>9</v>
      </c>
      <c r="P15" s="1"/>
    </row>
    <row r="16" spans="1:16" ht="25" customHeight="1">
      <c r="A16" s="5"/>
      <c r="B16" s="17"/>
      <c r="C16" s="49">
        <v>41</v>
      </c>
      <c r="D16" s="43">
        <f t="shared" si="1"/>
        <v>66</v>
      </c>
      <c r="E16" s="43">
        <f t="shared" si="0"/>
        <v>2</v>
      </c>
      <c r="F16" s="44">
        <f t="shared" si="4"/>
        <v>90</v>
      </c>
      <c r="G16" s="45">
        <f>IF(D16=D15,"",_xlfn.IFNA(VLOOKUP(D16,'인원 입력 기능'!$CS$5:$CV$55,4,FALSE),0))</f>
        <v>11</v>
      </c>
      <c r="H16" s="46">
        <f t="shared" si="2"/>
        <v>7.4779061862678452E-3</v>
      </c>
      <c r="I16" s="50">
        <f>SUM($G$7:G16)</f>
        <v>150</v>
      </c>
      <c r="J16" s="48">
        <f t="shared" si="3"/>
        <v>0.10197144799456152</v>
      </c>
      <c r="K16" s="18"/>
      <c r="M16" s="1"/>
    </row>
    <row r="17" spans="1:16" ht="25" customHeight="1">
      <c r="A17" s="5"/>
      <c r="B17" s="17"/>
      <c r="C17" s="42">
        <v>40</v>
      </c>
      <c r="D17" s="286">
        <f t="shared" si="1"/>
        <v>65</v>
      </c>
      <c r="E17" s="286">
        <f t="shared" si="0"/>
        <v>2</v>
      </c>
      <c r="F17" s="288">
        <f t="shared" si="4"/>
        <v>89</v>
      </c>
      <c r="G17" s="290">
        <f>IF(D17=D16,"",_xlfn.IFNA(VLOOKUP(D17,'인원 입력 기능'!$CS$5:$CV$55,4,FALSE),0))</f>
        <v>37</v>
      </c>
      <c r="H17" s="291">
        <f t="shared" si="2"/>
        <v>2.5152957171991841E-2</v>
      </c>
      <c r="I17" s="293">
        <f>SUM($G$7:G17)</f>
        <v>187</v>
      </c>
      <c r="J17" s="295">
        <f t="shared" si="3"/>
        <v>0.12712440516655338</v>
      </c>
      <c r="K17" s="18"/>
      <c r="M17" s="1"/>
      <c r="P17" s="1">
        <f>H3*H4*J3*P7*IFERROR(IF(J57=1, 1, 0), 0)</f>
        <v>27203695.0495</v>
      </c>
    </row>
    <row r="18" spans="1:16" ht="25" customHeight="1">
      <c r="A18" s="5"/>
      <c r="B18" s="17"/>
      <c r="C18" s="49">
        <v>39</v>
      </c>
      <c r="D18" s="285"/>
      <c r="E18" s="285"/>
      <c r="F18" s="287"/>
      <c r="G18" s="289"/>
      <c r="H18" s="292"/>
      <c r="I18" s="294"/>
      <c r="J18" s="296"/>
      <c r="K18" s="18"/>
      <c r="M18" s="1"/>
    </row>
    <row r="19" spans="1:16" ht="25" customHeight="1">
      <c r="A19" s="5"/>
      <c r="B19" s="17"/>
      <c r="C19" s="42">
        <v>38</v>
      </c>
      <c r="D19" s="43">
        <f t="shared" si="1"/>
        <v>64</v>
      </c>
      <c r="E19" s="43">
        <f t="shared" si="0"/>
        <v>3</v>
      </c>
      <c r="F19" s="44">
        <f t="shared" si="4"/>
        <v>87</v>
      </c>
      <c r="G19" s="45">
        <f>IF(D19=D18,"",_xlfn.IFNA(VLOOKUP(D19,'인원 입력 기능'!$CS$5:$CV$55,4,FALSE),0))</f>
        <v>23</v>
      </c>
      <c r="H19" s="46">
        <f t="shared" si="2"/>
        <v>1.5635622025832768E-2</v>
      </c>
      <c r="I19" s="50">
        <f>SUM($G$7:G19)</f>
        <v>210</v>
      </c>
      <c r="J19" s="48">
        <f t="shared" si="3"/>
        <v>0.14276002719238612</v>
      </c>
      <c r="K19" s="18"/>
      <c r="M19" s="1"/>
    </row>
    <row r="20" spans="1:16" ht="25" customHeight="1">
      <c r="A20" s="5"/>
      <c r="B20" s="17"/>
      <c r="C20" s="49">
        <v>37</v>
      </c>
      <c r="D20" s="43">
        <f t="shared" si="1"/>
        <v>63</v>
      </c>
      <c r="E20" s="43">
        <f t="shared" si="0"/>
        <v>3</v>
      </c>
      <c r="F20" s="44">
        <f t="shared" si="4"/>
        <v>85</v>
      </c>
      <c r="G20" s="45">
        <f>IF(D20=D19,"",_xlfn.IFNA(VLOOKUP(D20,'인원 입력 기능'!$CS$5:$CV$55,4,FALSE),0))</f>
        <v>12</v>
      </c>
      <c r="H20" s="46">
        <f t="shared" si="2"/>
        <v>8.1577158395649222E-3</v>
      </c>
      <c r="I20" s="50">
        <f>SUM($G$7:G20)</f>
        <v>222</v>
      </c>
      <c r="J20" s="48">
        <f t="shared" si="3"/>
        <v>0.15091774303195105</v>
      </c>
      <c r="K20" s="18"/>
      <c r="M20" s="1"/>
    </row>
    <row r="21" spans="1:16" ht="25" customHeight="1">
      <c r="A21" s="5"/>
      <c r="B21" s="17"/>
      <c r="C21" s="51">
        <v>36</v>
      </c>
      <c r="D21" s="53">
        <f t="shared" si="1"/>
        <v>62</v>
      </c>
      <c r="E21" s="53">
        <f t="shared" si="0"/>
        <v>3</v>
      </c>
      <c r="F21" s="44">
        <f t="shared" si="4"/>
        <v>84</v>
      </c>
      <c r="G21" s="45">
        <f>IF(D21=D20,"",_xlfn.IFNA(VLOOKUP(D21,'인원 입력 기능'!$CS$5:$CV$55,4,FALSE),0))</f>
        <v>17</v>
      </c>
      <c r="H21" s="46">
        <f t="shared" si="2"/>
        <v>1.1556764106050306E-2</v>
      </c>
      <c r="I21" s="50">
        <f>SUM($G$7:G21)</f>
        <v>239</v>
      </c>
      <c r="J21" s="48">
        <f t="shared" si="3"/>
        <v>0.16247450713800135</v>
      </c>
      <c r="K21" s="18"/>
      <c r="M21" s="1"/>
    </row>
    <row r="22" spans="1:16" ht="25" customHeight="1">
      <c r="A22" s="5"/>
      <c r="B22" s="17"/>
      <c r="C22" s="52">
        <v>35</v>
      </c>
      <c r="D22" s="298">
        <f t="shared" si="1"/>
        <v>61</v>
      </c>
      <c r="E22" s="298">
        <f t="shared" si="0"/>
        <v>3</v>
      </c>
      <c r="F22" s="288">
        <f t="shared" si="4"/>
        <v>82</v>
      </c>
      <c r="G22" s="290">
        <f>IF(D22=D21,"",_xlfn.IFNA(VLOOKUP(D22,'인원 입력 기능'!$CS$5:$CV$55,4,FALSE),0))</f>
        <v>42</v>
      </c>
      <c r="H22" s="291">
        <f t="shared" si="2"/>
        <v>2.8552005438477225E-2</v>
      </c>
      <c r="I22" s="293">
        <f>SUM($G$7:G22)</f>
        <v>281</v>
      </c>
      <c r="J22" s="295">
        <f t="shared" si="3"/>
        <v>0.1910265125764786</v>
      </c>
      <c r="K22" s="18"/>
      <c r="M22" s="1"/>
    </row>
    <row r="23" spans="1:16" ht="25" customHeight="1">
      <c r="A23" s="5"/>
      <c r="B23" s="17"/>
      <c r="C23" s="51">
        <v>34</v>
      </c>
      <c r="D23" s="297"/>
      <c r="E23" s="297"/>
      <c r="F23" s="287"/>
      <c r="G23" s="289"/>
      <c r="H23" s="292"/>
      <c r="I23" s="294"/>
      <c r="J23" s="296"/>
      <c r="K23" s="18"/>
      <c r="M23" s="1"/>
    </row>
    <row r="24" spans="1:16" ht="25" customHeight="1">
      <c r="A24" s="5"/>
      <c r="B24" s="17"/>
      <c r="C24" s="52">
        <v>33</v>
      </c>
      <c r="D24" s="53">
        <f t="shared" si="1"/>
        <v>60</v>
      </c>
      <c r="E24" s="53">
        <f t="shared" si="0"/>
        <v>3</v>
      </c>
      <c r="F24" s="44">
        <f t="shared" si="4"/>
        <v>80</v>
      </c>
      <c r="G24" s="45">
        <f>IF(D24=D23,"",_xlfn.IFNA(VLOOKUP(D24,'인원 입력 기능'!$CS$5:$CV$55,4,FALSE),0))</f>
        <v>21</v>
      </c>
      <c r="H24" s="46">
        <f t="shared" si="2"/>
        <v>1.4276002719238613E-2</v>
      </c>
      <c r="I24" s="50">
        <f>SUM($G$7:G24)</f>
        <v>302</v>
      </c>
      <c r="J24" s="48">
        <f t="shared" si="3"/>
        <v>0.20530251529571719</v>
      </c>
      <c r="K24" s="18"/>
      <c r="M24" s="1"/>
    </row>
    <row r="25" spans="1:16" ht="25" customHeight="1">
      <c r="A25" s="5"/>
      <c r="B25" s="17"/>
      <c r="C25" s="51">
        <v>32</v>
      </c>
      <c r="D25" s="53">
        <f t="shared" si="1"/>
        <v>59</v>
      </c>
      <c r="E25" s="53">
        <f t="shared" si="0"/>
        <v>3</v>
      </c>
      <c r="F25" s="44">
        <f t="shared" si="4"/>
        <v>79</v>
      </c>
      <c r="G25" s="45">
        <f>IF(D25=D24,"",_xlfn.IFNA(VLOOKUP(D25,'인원 입력 기능'!$CS$5:$CV$55,4,FALSE),0))</f>
        <v>20</v>
      </c>
      <c r="H25" s="46">
        <f t="shared" si="2"/>
        <v>1.3596193065941536E-2</v>
      </c>
      <c r="I25" s="50">
        <f>SUM($G$7:G25)</f>
        <v>322</v>
      </c>
      <c r="J25" s="48">
        <f t="shared" si="3"/>
        <v>0.21889870836165873</v>
      </c>
      <c r="K25" s="18"/>
      <c r="M25" s="1"/>
    </row>
    <row r="26" spans="1:16" ht="25" customHeight="1">
      <c r="A26" s="5"/>
      <c r="B26" s="17"/>
      <c r="C26" s="52">
        <v>31</v>
      </c>
      <c r="D26" s="298">
        <f t="shared" si="1"/>
        <v>58</v>
      </c>
      <c r="E26" s="298">
        <f t="shared" si="0"/>
        <v>3</v>
      </c>
      <c r="F26" s="288">
        <f t="shared" si="4"/>
        <v>77</v>
      </c>
      <c r="G26" s="290">
        <f>IF(D26=D25,"",_xlfn.IFNA(VLOOKUP(D26,'인원 입력 기능'!$CS$5:$CV$55,4,FALSE),0))</f>
        <v>47</v>
      </c>
      <c r="H26" s="291">
        <f t="shared" si="2"/>
        <v>3.1951053704962609E-2</v>
      </c>
      <c r="I26" s="293">
        <f>SUM($G$7:G26)</f>
        <v>369</v>
      </c>
      <c r="J26" s="295">
        <f t="shared" si="3"/>
        <v>0.25084976206662135</v>
      </c>
      <c r="K26" s="18"/>
      <c r="M26" s="1"/>
    </row>
    <row r="27" spans="1:16" ht="25" customHeight="1">
      <c r="A27" s="5"/>
      <c r="B27" s="17"/>
      <c r="C27" s="51">
        <v>30</v>
      </c>
      <c r="D27" s="297"/>
      <c r="E27" s="297"/>
      <c r="F27" s="287"/>
      <c r="G27" s="289"/>
      <c r="H27" s="292"/>
      <c r="I27" s="294"/>
      <c r="J27" s="296"/>
      <c r="K27" s="18"/>
      <c r="M27" s="1"/>
    </row>
    <row r="28" spans="1:16" ht="25" customHeight="1">
      <c r="A28" s="5"/>
      <c r="B28" s="17"/>
      <c r="C28" s="52">
        <v>29</v>
      </c>
      <c r="D28" s="53">
        <f t="shared" si="1"/>
        <v>57</v>
      </c>
      <c r="E28" s="53">
        <f t="shared" si="0"/>
        <v>4</v>
      </c>
      <c r="F28" s="44">
        <f t="shared" si="4"/>
        <v>74</v>
      </c>
      <c r="G28" s="45">
        <f>IF(D28=D27,"",_xlfn.IFNA(VLOOKUP(D28,'인원 입력 기능'!$CS$5:$CV$55,4,FALSE),0))</f>
        <v>37</v>
      </c>
      <c r="H28" s="46">
        <f t="shared" si="2"/>
        <v>2.5152957171991841E-2</v>
      </c>
      <c r="I28" s="50">
        <f>SUM($G$7:G28)</f>
        <v>406</v>
      </c>
      <c r="J28" s="48">
        <f t="shared" si="3"/>
        <v>0.27600271923861319</v>
      </c>
      <c r="K28" s="18"/>
      <c r="M28" s="1"/>
    </row>
    <row r="29" spans="1:16" ht="25" customHeight="1">
      <c r="A29" s="5"/>
      <c r="B29" s="17"/>
      <c r="C29" s="51">
        <v>28</v>
      </c>
      <c r="D29" s="53">
        <f t="shared" si="1"/>
        <v>56</v>
      </c>
      <c r="E29" s="53">
        <f t="shared" si="0"/>
        <v>4</v>
      </c>
      <c r="F29" s="44">
        <f t="shared" si="4"/>
        <v>72</v>
      </c>
      <c r="G29" s="45">
        <f>IF(D29=D28,"",_xlfn.IFNA(VLOOKUP(D29,'인원 입력 기능'!$CS$5:$CV$55,4,FALSE),0))</f>
        <v>23</v>
      </c>
      <c r="H29" s="46">
        <f t="shared" si="2"/>
        <v>1.5635622025832768E-2</v>
      </c>
      <c r="I29" s="50">
        <f>SUM($G$7:G29)</f>
        <v>429</v>
      </c>
      <c r="J29" s="48">
        <f t="shared" si="3"/>
        <v>0.29163834126444593</v>
      </c>
      <c r="K29" s="18"/>
      <c r="M29" s="1"/>
    </row>
    <row r="30" spans="1:16" ht="25" customHeight="1">
      <c r="A30" s="5"/>
      <c r="B30" s="17"/>
      <c r="C30" s="52">
        <v>27</v>
      </c>
      <c r="D30" s="53">
        <f t="shared" si="1"/>
        <v>55</v>
      </c>
      <c r="E30" s="53">
        <f t="shared" si="0"/>
        <v>4</v>
      </c>
      <c r="F30" s="44">
        <f t="shared" si="4"/>
        <v>70</v>
      </c>
      <c r="G30" s="45">
        <f>IF(D30=D29,"",_xlfn.IFNA(VLOOKUP(D30,'인원 입력 기능'!$CS$5:$CV$55,4,FALSE),0))</f>
        <v>15</v>
      </c>
      <c r="H30" s="46">
        <f t="shared" si="2"/>
        <v>1.0197144799456152E-2</v>
      </c>
      <c r="I30" s="50">
        <f>SUM($G$7:G30)</f>
        <v>444</v>
      </c>
      <c r="J30" s="48">
        <f t="shared" si="3"/>
        <v>0.30183548606390209</v>
      </c>
      <c r="K30" s="18"/>
      <c r="M30" s="1"/>
    </row>
    <row r="31" spans="1:16" ht="25" customHeight="1">
      <c r="A31" s="5"/>
      <c r="B31" s="17"/>
      <c r="C31" s="51">
        <v>26</v>
      </c>
      <c r="D31" s="298">
        <f t="shared" si="1"/>
        <v>54</v>
      </c>
      <c r="E31" s="298">
        <f t="shared" si="0"/>
        <v>4</v>
      </c>
      <c r="F31" s="288">
        <f t="shared" si="4"/>
        <v>68</v>
      </c>
      <c r="G31" s="290">
        <f>IF(D31=D30,"",_xlfn.IFNA(VLOOKUP(D31,'인원 입력 기능'!$CS$5:$CV$55,4,FALSE),0))</f>
        <v>48</v>
      </c>
      <c r="H31" s="291">
        <f t="shared" si="2"/>
        <v>3.2630863358259689E-2</v>
      </c>
      <c r="I31" s="293">
        <f>SUM($G$7:G31)</f>
        <v>492</v>
      </c>
      <c r="J31" s="295">
        <f t="shared" si="3"/>
        <v>0.3344663494221618</v>
      </c>
      <c r="K31" s="18"/>
      <c r="M31" s="1"/>
    </row>
    <row r="32" spans="1:16" ht="25" customHeight="1">
      <c r="A32" s="5"/>
      <c r="B32" s="17"/>
      <c r="C32" s="52">
        <v>25</v>
      </c>
      <c r="D32" s="297"/>
      <c r="E32" s="297"/>
      <c r="F32" s="287"/>
      <c r="G32" s="289"/>
      <c r="H32" s="292"/>
      <c r="I32" s="294"/>
      <c r="J32" s="296"/>
      <c r="K32" s="18"/>
      <c r="M32" s="1"/>
    </row>
    <row r="33" spans="1:13" ht="25" customHeight="1">
      <c r="A33" s="5"/>
      <c r="B33" s="17"/>
      <c r="C33" s="51">
        <v>24</v>
      </c>
      <c r="D33" s="53">
        <f t="shared" si="1"/>
        <v>53</v>
      </c>
      <c r="E33" s="53">
        <f t="shared" si="0"/>
        <v>4</v>
      </c>
      <c r="F33" s="44">
        <f t="shared" si="4"/>
        <v>65</v>
      </c>
      <c r="G33" s="45">
        <f>IF(D33=D32,"",_xlfn.IFNA(VLOOKUP(D33,'인원 입력 기능'!$CS$5:$CV$55,4,FALSE),0))</f>
        <v>33</v>
      </c>
      <c r="H33" s="46">
        <f t="shared" si="2"/>
        <v>2.2433718558803536E-2</v>
      </c>
      <c r="I33" s="50">
        <f>SUM($G$7:G33)</f>
        <v>525</v>
      </c>
      <c r="J33" s="48">
        <f t="shared" si="3"/>
        <v>0.35690006798096535</v>
      </c>
      <c r="K33" s="18"/>
      <c r="M33" s="1"/>
    </row>
    <row r="34" spans="1:13" ht="25" customHeight="1">
      <c r="A34" s="5"/>
      <c r="B34" s="17"/>
      <c r="C34" s="52">
        <v>23</v>
      </c>
      <c r="D34" s="53">
        <f t="shared" si="1"/>
        <v>52</v>
      </c>
      <c r="E34" s="53">
        <f t="shared" si="0"/>
        <v>4</v>
      </c>
      <c r="F34" s="44">
        <f t="shared" si="4"/>
        <v>63</v>
      </c>
      <c r="G34" s="45">
        <f>IF(D34=D33,"",_xlfn.IFNA(VLOOKUP(D34,'인원 입력 기능'!$CS$5:$CV$55,4,FALSE),0))</f>
        <v>27</v>
      </c>
      <c r="H34" s="46">
        <f t="shared" si="2"/>
        <v>1.8354860639021073E-2</v>
      </c>
      <c r="I34" s="50">
        <f>SUM($G$7:G34)</f>
        <v>552</v>
      </c>
      <c r="J34" s="48">
        <f t="shared" si="3"/>
        <v>0.37525492861998638</v>
      </c>
      <c r="K34" s="18"/>
      <c r="M34" s="1"/>
    </row>
    <row r="35" spans="1:13" ht="25" customHeight="1">
      <c r="A35" s="5"/>
      <c r="B35" s="17"/>
      <c r="C35" s="51">
        <v>22</v>
      </c>
      <c r="D35" s="298">
        <f t="shared" si="1"/>
        <v>51</v>
      </c>
      <c r="E35" s="298">
        <f t="shared" si="0"/>
        <v>4</v>
      </c>
      <c r="F35" s="288">
        <f t="shared" si="4"/>
        <v>60</v>
      </c>
      <c r="G35" s="290">
        <f>IF(D35=D34,"",_xlfn.IFNA(VLOOKUP(D35,'인원 입력 기능'!$CS$5:$CV$55,4,FALSE),0))</f>
        <v>59</v>
      </c>
      <c r="H35" s="291">
        <f t="shared" si="2"/>
        <v>4.010876954452753E-2</v>
      </c>
      <c r="I35" s="293">
        <f>SUM($G$7:G35)</f>
        <v>611</v>
      </c>
      <c r="J35" s="295">
        <f t="shared" si="3"/>
        <v>0.41536369816451396</v>
      </c>
      <c r="K35" s="18"/>
      <c r="M35" s="1"/>
    </row>
    <row r="36" spans="1:13" ht="25" customHeight="1">
      <c r="A36" s="5"/>
      <c r="B36" s="17"/>
      <c r="C36" s="52">
        <v>21</v>
      </c>
      <c r="D36" s="297"/>
      <c r="E36" s="297"/>
      <c r="F36" s="287"/>
      <c r="G36" s="289"/>
      <c r="H36" s="292"/>
      <c r="I36" s="294"/>
      <c r="J36" s="296"/>
      <c r="K36" s="18"/>
      <c r="M36" s="1"/>
    </row>
    <row r="37" spans="1:13" ht="25" customHeight="1">
      <c r="A37" s="5"/>
      <c r="B37" s="17"/>
      <c r="C37" s="51">
        <v>20</v>
      </c>
      <c r="D37" s="53">
        <f t="shared" si="1"/>
        <v>50</v>
      </c>
      <c r="E37" s="53">
        <f t="shared" si="0"/>
        <v>5</v>
      </c>
      <c r="F37" s="44">
        <f t="shared" si="4"/>
        <v>58</v>
      </c>
      <c r="G37" s="45">
        <f>IF(D37=D36,"",_xlfn.IFNA(VLOOKUP(D37,'인원 입력 기능'!$CS$5:$CV$55,4,FALSE),0))</f>
        <v>27</v>
      </c>
      <c r="H37" s="46">
        <f t="shared" si="2"/>
        <v>1.8354860639021073E-2</v>
      </c>
      <c r="I37" s="50">
        <f>SUM($G$7:G37)</f>
        <v>638</v>
      </c>
      <c r="J37" s="48">
        <f t="shared" si="3"/>
        <v>0.43371855880353499</v>
      </c>
      <c r="K37" s="18"/>
      <c r="M37" s="1"/>
    </row>
    <row r="38" spans="1:13" ht="25" customHeight="1">
      <c r="A38" s="5"/>
      <c r="B38" s="17"/>
      <c r="C38" s="52">
        <v>19</v>
      </c>
      <c r="D38" s="53">
        <f t="shared" si="1"/>
        <v>49</v>
      </c>
      <c r="E38" s="53">
        <f t="shared" si="0"/>
        <v>5</v>
      </c>
      <c r="F38" s="44">
        <f t="shared" si="4"/>
        <v>56</v>
      </c>
      <c r="G38" s="45">
        <f>IF(D38=D37,"",_xlfn.IFNA(VLOOKUP(D38,'인원 입력 기능'!$CS$5:$CV$55,4,FALSE),0))</f>
        <v>19</v>
      </c>
      <c r="H38" s="46">
        <f t="shared" si="2"/>
        <v>1.291638341264446E-2</v>
      </c>
      <c r="I38" s="50">
        <f>SUM($G$7:G38)</f>
        <v>657</v>
      </c>
      <c r="J38" s="48">
        <f t="shared" si="3"/>
        <v>0.44663494221617944</v>
      </c>
      <c r="K38" s="18"/>
      <c r="M38" s="1"/>
    </row>
    <row r="39" spans="1:13" ht="25" customHeight="1">
      <c r="A39" s="5"/>
      <c r="B39" s="17"/>
      <c r="C39" s="51">
        <v>18</v>
      </c>
      <c r="D39" s="53">
        <f t="shared" si="1"/>
        <v>48</v>
      </c>
      <c r="E39" s="53">
        <f t="shared" si="0"/>
        <v>5</v>
      </c>
      <c r="F39" s="44">
        <f t="shared" si="4"/>
        <v>55</v>
      </c>
      <c r="G39" s="45">
        <f>IF(D39=D38,"",_xlfn.IFNA(VLOOKUP(D39,'인원 입력 기능'!$CS$5:$CV$55,4,FALSE),0))</f>
        <v>21</v>
      </c>
      <c r="H39" s="46">
        <f t="shared" si="2"/>
        <v>1.4276002719238613E-2</v>
      </c>
      <c r="I39" s="50">
        <f>SUM($G$7:G39)</f>
        <v>678</v>
      </c>
      <c r="J39" s="48">
        <f t="shared" si="3"/>
        <v>0.46091094493541807</v>
      </c>
      <c r="K39" s="18"/>
      <c r="M39" s="1"/>
    </row>
    <row r="40" spans="1:13" ht="25" customHeight="1">
      <c r="A40" s="5"/>
      <c r="B40" s="17"/>
      <c r="C40" s="52">
        <v>17</v>
      </c>
      <c r="D40" s="298">
        <f t="shared" si="1"/>
        <v>47</v>
      </c>
      <c r="E40" s="298">
        <f t="shared" si="0"/>
        <v>5</v>
      </c>
      <c r="F40" s="288">
        <f t="shared" si="4"/>
        <v>51</v>
      </c>
      <c r="G40" s="290">
        <f>IF(D40=D39,"",_xlfn.IFNA(VLOOKUP(D40,'인원 입력 기능'!$CS$5:$CV$55,4,FALSE),0))</f>
        <v>84</v>
      </c>
      <c r="H40" s="291">
        <f t="shared" si="2"/>
        <v>5.710401087695445E-2</v>
      </c>
      <c r="I40" s="293">
        <f>SUM($G$7:G40)</f>
        <v>762</v>
      </c>
      <c r="J40" s="295">
        <f t="shared" si="3"/>
        <v>0.51801495581237256</v>
      </c>
      <c r="K40" s="18"/>
      <c r="M40" s="1"/>
    </row>
    <row r="41" spans="1:13" ht="25" customHeight="1">
      <c r="A41" s="5"/>
      <c r="B41" s="17"/>
      <c r="C41" s="51">
        <v>16</v>
      </c>
      <c r="D41" s="297"/>
      <c r="E41" s="297"/>
      <c r="F41" s="287"/>
      <c r="G41" s="289"/>
      <c r="H41" s="292"/>
      <c r="I41" s="294"/>
      <c r="J41" s="296"/>
      <c r="K41" s="18"/>
      <c r="M41" s="1"/>
    </row>
    <row r="42" spans="1:13" ht="25" customHeight="1">
      <c r="A42" s="5"/>
      <c r="B42" s="17"/>
      <c r="C42" s="52">
        <v>15</v>
      </c>
      <c r="D42" s="53">
        <f t="shared" si="1"/>
        <v>46</v>
      </c>
      <c r="E42" s="53">
        <f t="shared" si="0"/>
        <v>5</v>
      </c>
      <c r="F42" s="44">
        <f t="shared" si="4"/>
        <v>45</v>
      </c>
      <c r="G42" s="45">
        <f>IF(D42=D41,"",_xlfn.IFNA(VLOOKUP(D42,'인원 입력 기능'!$CS$5:$CV$55,4,FALSE),0))</f>
        <v>82</v>
      </c>
      <c r="H42" s="46">
        <f t="shared" si="2"/>
        <v>5.5744391570360298E-2</v>
      </c>
      <c r="I42" s="50">
        <f>SUM($G$7:G42)</f>
        <v>844</v>
      </c>
      <c r="J42" s="48">
        <f t="shared" si="3"/>
        <v>0.57375934738273282</v>
      </c>
      <c r="K42" s="18"/>
      <c r="M42" s="1"/>
    </row>
    <row r="43" spans="1:13" ht="25" customHeight="1">
      <c r="A43" s="5"/>
      <c r="B43" s="17"/>
      <c r="C43" s="51">
        <v>14</v>
      </c>
      <c r="D43" s="53">
        <f t="shared" si="1"/>
        <v>45</v>
      </c>
      <c r="E43" s="53">
        <f t="shared" si="0"/>
        <v>5</v>
      </c>
      <c r="F43" s="44">
        <f t="shared" si="4"/>
        <v>41</v>
      </c>
      <c r="G43" s="45">
        <f>IF(D43=D42,"",_xlfn.IFNA(VLOOKUP(D43,'인원 입력 기능'!$CS$5:$CV$55,4,FALSE),0))</f>
        <v>46</v>
      </c>
      <c r="H43" s="46">
        <f t="shared" si="2"/>
        <v>3.1271244051665537E-2</v>
      </c>
      <c r="I43" s="50">
        <f>SUM($G$7:G43)</f>
        <v>890</v>
      </c>
      <c r="J43" s="48">
        <f t="shared" si="3"/>
        <v>0.60503059143439841</v>
      </c>
      <c r="K43" s="18"/>
      <c r="M43" s="1"/>
    </row>
    <row r="44" spans="1:13" ht="25" customHeight="1">
      <c r="A44" s="5"/>
      <c r="B44" s="17"/>
      <c r="C44" s="52">
        <v>13</v>
      </c>
      <c r="D44" s="298">
        <f t="shared" si="1"/>
        <v>44</v>
      </c>
      <c r="E44" s="298">
        <f t="shared" si="0"/>
        <v>6</v>
      </c>
      <c r="F44" s="288">
        <f t="shared" si="4"/>
        <v>37</v>
      </c>
      <c r="G44" s="290">
        <f>IF(D44=D43,"",_xlfn.IFNA(VLOOKUP(D44,'인원 입력 기능'!$CS$5:$CV$55,4,FALSE),0))</f>
        <v>77</v>
      </c>
      <c r="H44" s="291">
        <f t="shared" si="2"/>
        <v>5.2345343303874914E-2</v>
      </c>
      <c r="I44" s="293">
        <f>SUM($G$7:G44)</f>
        <v>967</v>
      </c>
      <c r="J44" s="295">
        <f t="shared" si="3"/>
        <v>0.65737593473827327</v>
      </c>
      <c r="K44" s="18"/>
      <c r="M44" s="1"/>
    </row>
    <row r="45" spans="1:13" ht="25" customHeight="1">
      <c r="A45" s="5"/>
      <c r="B45" s="17"/>
      <c r="C45" s="51">
        <v>12</v>
      </c>
      <c r="D45" s="297"/>
      <c r="E45" s="297"/>
      <c r="F45" s="287"/>
      <c r="G45" s="289"/>
      <c r="H45" s="292"/>
      <c r="I45" s="294"/>
      <c r="J45" s="296"/>
      <c r="K45" s="18"/>
      <c r="M45" s="1"/>
    </row>
    <row r="46" spans="1:13" ht="25" customHeight="1">
      <c r="A46" s="5"/>
      <c r="B46" s="17"/>
      <c r="C46" s="52">
        <v>11</v>
      </c>
      <c r="D46" s="53">
        <f t="shared" si="1"/>
        <v>43</v>
      </c>
      <c r="E46" s="53">
        <f t="shared" si="0"/>
        <v>6</v>
      </c>
      <c r="F46" s="44">
        <f t="shared" si="4"/>
        <v>32</v>
      </c>
      <c r="G46" s="45">
        <f>IF(D46=D45,"",_xlfn.IFNA(VLOOKUP(D46,'인원 입력 기능'!$CS$5:$CV$55,4,FALSE),0))</f>
        <v>76</v>
      </c>
      <c r="H46" s="46">
        <f t="shared" si="2"/>
        <v>5.1665533650577841E-2</v>
      </c>
      <c r="I46" s="50">
        <f>SUM($G$7:G46)</f>
        <v>1043</v>
      </c>
      <c r="J46" s="48">
        <f t="shared" si="3"/>
        <v>0.70904146838885107</v>
      </c>
      <c r="K46" s="18"/>
      <c r="M46" s="1"/>
    </row>
    <row r="47" spans="1:13" ht="25" customHeight="1">
      <c r="A47" s="5"/>
      <c r="B47" s="17"/>
      <c r="C47" s="51">
        <v>10</v>
      </c>
      <c r="D47" s="53">
        <f t="shared" si="1"/>
        <v>42</v>
      </c>
      <c r="E47" s="53">
        <f t="shared" si="0"/>
        <v>6</v>
      </c>
      <c r="F47" s="44">
        <f t="shared" si="4"/>
        <v>27</v>
      </c>
      <c r="G47" s="45">
        <f>IF(D47=D46,"",_xlfn.IFNA(VLOOKUP(D47,'인원 입력 기능'!$CS$5:$CV$55,4,FALSE),0))</f>
        <v>48</v>
      </c>
      <c r="H47" s="46">
        <f t="shared" si="2"/>
        <v>3.2630863358259689E-2</v>
      </c>
      <c r="I47" s="50">
        <f>SUM($G$7:G47)</f>
        <v>1091</v>
      </c>
      <c r="J47" s="48">
        <f t="shared" si="3"/>
        <v>0.74167233174711078</v>
      </c>
      <c r="K47" s="18"/>
      <c r="M47" s="1"/>
    </row>
    <row r="48" spans="1:13" ht="25" customHeight="1">
      <c r="A48" s="5"/>
      <c r="B48" s="17"/>
      <c r="C48" s="52">
        <v>9</v>
      </c>
      <c r="D48" s="53">
        <f t="shared" si="1"/>
        <v>41</v>
      </c>
      <c r="E48" s="53">
        <f t="shared" si="0"/>
        <v>6</v>
      </c>
      <c r="F48" s="44">
        <f t="shared" si="4"/>
        <v>24</v>
      </c>
      <c r="G48" s="45">
        <f>IF(D48=D47,"",_xlfn.IFNA(VLOOKUP(D48,'인원 입력 기능'!$CS$5:$CV$55,4,FALSE),0))</f>
        <v>60</v>
      </c>
      <c r="H48" s="46">
        <f t="shared" si="2"/>
        <v>4.0788579197824609E-2</v>
      </c>
      <c r="I48" s="50">
        <f>SUM($G$7:G48)</f>
        <v>1151</v>
      </c>
      <c r="J48" s="48">
        <f t="shared" si="3"/>
        <v>0.78246091094493542</v>
      </c>
      <c r="K48" s="18"/>
      <c r="M48" s="1"/>
    </row>
    <row r="49" spans="1:13" ht="25" customHeight="1">
      <c r="A49" s="5"/>
      <c r="B49" s="17"/>
      <c r="C49" s="51">
        <v>8</v>
      </c>
      <c r="D49" s="298">
        <f t="shared" si="1"/>
        <v>40</v>
      </c>
      <c r="E49" s="298">
        <f t="shared" si="0"/>
        <v>7</v>
      </c>
      <c r="F49" s="288">
        <f t="shared" si="4"/>
        <v>14</v>
      </c>
      <c r="G49" s="290">
        <f>IF(D49=D48,"",_xlfn.IFNA(VLOOKUP(D49,'인원 입력 기능'!$CS$5:$CV$55,4,FALSE),0))</f>
        <v>233</v>
      </c>
      <c r="H49" s="291">
        <f t="shared" si="2"/>
        <v>0.15839564921821889</v>
      </c>
      <c r="I49" s="293">
        <f>SUM($G$7:G49)</f>
        <v>1384</v>
      </c>
      <c r="J49" s="295">
        <f t="shared" si="3"/>
        <v>0.94085656016315433</v>
      </c>
      <c r="K49" s="18"/>
      <c r="M49" s="1"/>
    </row>
    <row r="50" spans="1:13" ht="25" customHeight="1">
      <c r="A50" s="5"/>
      <c r="B50" s="17"/>
      <c r="C50" s="52">
        <v>7</v>
      </c>
      <c r="D50" s="297"/>
      <c r="E50" s="297"/>
      <c r="F50" s="287"/>
      <c r="G50" s="289"/>
      <c r="H50" s="292"/>
      <c r="I50" s="294"/>
      <c r="J50" s="296"/>
      <c r="K50" s="18"/>
      <c r="M50" s="1"/>
    </row>
    <row r="51" spans="1:13" ht="25" customHeight="1">
      <c r="A51" s="5"/>
      <c r="B51" s="17"/>
      <c r="C51" s="51">
        <v>6</v>
      </c>
      <c r="D51" s="53">
        <f t="shared" si="1"/>
        <v>39</v>
      </c>
      <c r="E51" s="53">
        <f t="shared" si="0"/>
        <v>8</v>
      </c>
      <c r="F51" s="44">
        <f t="shared" si="4"/>
        <v>5</v>
      </c>
      <c r="G51" s="45">
        <f>IF(D51=D50,"",_xlfn.IFNA(VLOOKUP(D51,'인원 입력 기능'!$CS$5:$CV$55,4,FALSE),0))</f>
        <v>23</v>
      </c>
      <c r="H51" s="46">
        <f t="shared" si="2"/>
        <v>1.5635622025832768E-2</v>
      </c>
      <c r="I51" s="50">
        <f>SUM($G$7:G51)</f>
        <v>1407</v>
      </c>
      <c r="J51" s="48">
        <f t="shared" si="3"/>
        <v>0.95649218218898713</v>
      </c>
      <c r="K51" s="18"/>
      <c r="M51" s="1"/>
    </row>
    <row r="52" spans="1:13" ht="25" customHeight="1">
      <c r="A52" s="5"/>
      <c r="B52" s="17"/>
      <c r="C52" s="52">
        <v>5</v>
      </c>
      <c r="D52" s="53">
        <f t="shared" si="1"/>
        <v>38</v>
      </c>
      <c r="E52" s="53">
        <f t="shared" si="0"/>
        <v>8</v>
      </c>
      <c r="F52" s="44">
        <f t="shared" si="4"/>
        <v>3</v>
      </c>
      <c r="G52" s="45">
        <f>IF(D52=D51,"",_xlfn.IFNA(VLOOKUP(D52,'인원 입력 기능'!$CS$5:$CV$55,4,FALSE),0))</f>
        <v>26</v>
      </c>
      <c r="H52" s="46">
        <f t="shared" si="2"/>
        <v>1.7675050985723997E-2</v>
      </c>
      <c r="I52" s="50">
        <f>SUM($G$7:G52)</f>
        <v>1433</v>
      </c>
      <c r="J52" s="48">
        <f t="shared" si="3"/>
        <v>0.9741672331747111</v>
      </c>
      <c r="K52" s="18"/>
      <c r="M52" s="1"/>
    </row>
    <row r="53" spans="1:13" ht="25" customHeight="1">
      <c r="A53" s="5"/>
      <c r="B53" s="17"/>
      <c r="C53" s="42">
        <v>4</v>
      </c>
      <c r="D53" s="286">
        <f t="shared" si="1"/>
        <v>37</v>
      </c>
      <c r="E53" s="286">
        <f t="shared" si="0"/>
        <v>9</v>
      </c>
      <c r="F53" s="288">
        <f t="shared" si="4"/>
        <v>2</v>
      </c>
      <c r="G53" s="290">
        <f>IF(D53=D52,"",_xlfn.IFNA(VLOOKUP(D53,'인원 입력 기능'!$CS$5:$CV$55,4,FALSE),0))</f>
        <v>27</v>
      </c>
      <c r="H53" s="291">
        <f t="shared" si="2"/>
        <v>1.8354860639021073E-2</v>
      </c>
      <c r="I53" s="293">
        <f>SUM($G$7:G53)</f>
        <v>1460</v>
      </c>
      <c r="J53" s="295">
        <f t="shared" si="3"/>
        <v>0.99252209381373213</v>
      </c>
      <c r="K53" s="18"/>
      <c r="M53" s="1"/>
    </row>
    <row r="54" spans="1:13" ht="25" customHeight="1">
      <c r="A54" s="5"/>
      <c r="B54" s="17"/>
      <c r="C54" s="49">
        <v>3</v>
      </c>
      <c r="D54" s="285"/>
      <c r="E54" s="285"/>
      <c r="F54" s="287"/>
      <c r="G54" s="289"/>
      <c r="H54" s="292"/>
      <c r="I54" s="294"/>
      <c r="J54" s="296"/>
      <c r="K54" s="18"/>
      <c r="M54" s="1"/>
    </row>
    <row r="55" spans="1:13" ht="25" customHeight="1">
      <c r="A55" s="5"/>
      <c r="B55" s="17"/>
      <c r="C55" s="42">
        <v>2</v>
      </c>
      <c r="D55" s="43">
        <f t="shared" si="1"/>
        <v>36</v>
      </c>
      <c r="E55" s="43">
        <f t="shared" si="0"/>
        <v>9</v>
      </c>
      <c r="F55" s="44">
        <f t="shared" si="4"/>
        <v>0</v>
      </c>
      <c r="G55" s="45">
        <f>IF(D55=D54,"",_xlfn.IFNA(VLOOKUP(D55,'인원 입력 기능'!$CS$5:$CV$55,4,FALSE),0))</f>
        <v>8</v>
      </c>
      <c r="H55" s="46">
        <f t="shared" si="2"/>
        <v>5.4384772263766142E-3</v>
      </c>
      <c r="I55" s="50">
        <f>SUM($G$7:G55)</f>
        <v>1468</v>
      </c>
      <c r="J55" s="48">
        <f t="shared" si="3"/>
        <v>0.99796057104010882</v>
      </c>
      <c r="K55" s="18"/>
      <c r="M55" s="1"/>
    </row>
    <row r="56" spans="1:13" ht="25" customHeight="1">
      <c r="A56" s="5"/>
      <c r="B56" s="17"/>
      <c r="C56" s="49">
        <v>1</v>
      </c>
      <c r="D56" s="111" t="s">
        <v>31</v>
      </c>
      <c r="E56" s="112"/>
      <c r="F56" s="112"/>
      <c r="G56" s="112"/>
      <c r="H56" s="112"/>
      <c r="I56" s="112"/>
      <c r="J56" s="113"/>
      <c r="K56" s="18"/>
      <c r="M56" s="1"/>
    </row>
    <row r="57" spans="1:13" ht="25" customHeight="1" thickBot="1">
      <c r="A57" s="5"/>
      <c r="B57" s="17"/>
      <c r="C57" s="57">
        <v>0</v>
      </c>
      <c r="D57" s="58">
        <f>ROUND(10*(C57-$H$3)/$H$4+50,0)</f>
        <v>34</v>
      </c>
      <c r="E57" s="59">
        <f t="shared" si="0"/>
        <v>9</v>
      </c>
      <c r="F57" s="60">
        <f>IF(I55=0,ROUND(100*(1-(I54+I57)/2/$J$3),0),ROUND(100*(1-(I55+I57)/2/$J$3),0))</f>
        <v>0</v>
      </c>
      <c r="G57" s="61">
        <f>_xlfn.IFNA(VLOOKUP(D57,'인원 입력 기능'!$CS$5:$CV$55,4,FALSE),0)</f>
        <v>3</v>
      </c>
      <c r="H57" s="62">
        <f>G57/J3</f>
        <v>2.0394289598912306E-3</v>
      </c>
      <c r="I57" s="63">
        <f>SUM($G$7:G57)</f>
        <v>1471</v>
      </c>
      <c r="J57" s="64">
        <f>I57/J3</f>
        <v>1</v>
      </c>
      <c r="K57" s="18"/>
      <c r="M57" s="1"/>
    </row>
    <row r="58" spans="1:13" ht="6" customHeight="1">
      <c r="A58" s="5"/>
      <c r="B58" s="20"/>
      <c r="C58" s="21"/>
      <c r="D58" s="21"/>
      <c r="E58" s="21"/>
      <c r="F58" s="21"/>
      <c r="G58" s="21"/>
      <c r="H58" s="21"/>
      <c r="I58" s="21"/>
      <c r="J58" s="21"/>
      <c r="K58" s="22"/>
      <c r="M58" s="1"/>
    </row>
    <row r="59" spans="1:13">
      <c r="M59" s="1"/>
    </row>
    <row r="60" spans="1:13">
      <c r="M60" s="1"/>
    </row>
    <row r="61" spans="1:13">
      <c r="M61" s="1"/>
    </row>
    <row r="62" spans="1:13">
      <c r="M62" s="1"/>
    </row>
    <row r="63" spans="1:13">
      <c r="M63" s="1"/>
    </row>
    <row r="64" spans="1:13">
      <c r="M64" s="1"/>
    </row>
    <row r="65" spans="13:13">
      <c r="M65" s="1"/>
    </row>
    <row r="66" spans="13:13">
      <c r="M66" s="1"/>
    </row>
    <row r="67" spans="13:13">
      <c r="M67" s="1"/>
    </row>
    <row r="68" spans="13:13">
      <c r="M68" s="1"/>
    </row>
    <row r="69" spans="13:13">
      <c r="M69" s="1"/>
    </row>
    <row r="70" spans="13:13">
      <c r="M70" s="1"/>
    </row>
    <row r="71" spans="13:13">
      <c r="M71" s="1"/>
    </row>
    <row r="72" spans="13:13">
      <c r="M72" s="1"/>
    </row>
    <row r="73" spans="13:13">
      <c r="M73" s="1"/>
    </row>
    <row r="74" spans="13:13">
      <c r="M74" s="1"/>
    </row>
    <row r="75" spans="13:13">
      <c r="M75" s="1"/>
    </row>
    <row r="76" spans="13:13">
      <c r="M76" s="1"/>
    </row>
    <row r="77" spans="13:13">
      <c r="M77" s="1"/>
    </row>
    <row r="78" spans="13:13">
      <c r="M78" s="1"/>
    </row>
    <row r="79" spans="13:13">
      <c r="M79" s="1"/>
    </row>
    <row r="80" spans="13:13">
      <c r="M80" s="1"/>
    </row>
    <row r="81" spans="13:13">
      <c r="M81" s="1"/>
    </row>
    <row r="82" spans="13:13">
      <c r="M82" s="1"/>
    </row>
    <row r="83" spans="13:13">
      <c r="M83" s="1"/>
    </row>
    <row r="84" spans="13:13">
      <c r="M84" s="1"/>
    </row>
    <row r="85" spans="13:13">
      <c r="M85" s="1"/>
    </row>
    <row r="86" spans="13:13">
      <c r="M86" s="1"/>
    </row>
    <row r="87" spans="13:13">
      <c r="M87" s="1"/>
    </row>
    <row r="88" spans="13:13">
      <c r="M88" s="1"/>
    </row>
    <row r="89" spans="13:13">
      <c r="M89" s="1"/>
    </row>
    <row r="90" spans="13:13">
      <c r="M90" s="1"/>
    </row>
    <row r="91" spans="13:13">
      <c r="M91" s="1"/>
    </row>
    <row r="92" spans="13:13">
      <c r="M92" s="1"/>
    </row>
    <row r="93" spans="13:13">
      <c r="M93" s="1"/>
    </row>
    <row r="94" spans="13:13">
      <c r="M94" s="1"/>
    </row>
    <row r="95" spans="13:13">
      <c r="M95" s="1"/>
    </row>
    <row r="96" spans="13:13">
      <c r="M96" s="1"/>
    </row>
    <row r="97" spans="13:13">
      <c r="M97" s="1"/>
    </row>
    <row r="98" spans="13:13">
      <c r="M98" s="1"/>
    </row>
    <row r="99" spans="13:13">
      <c r="M99" s="1"/>
    </row>
    <row r="100" spans="13:13">
      <c r="M100" s="1"/>
    </row>
    <row r="101" spans="13:13">
      <c r="M101" s="1"/>
    </row>
    <row r="102" spans="13:13">
      <c r="M102" s="1"/>
    </row>
    <row r="103" spans="13:13">
      <c r="M103" s="1"/>
    </row>
    <row r="104" spans="13:13">
      <c r="M104" s="1"/>
    </row>
    <row r="105" spans="13:13">
      <c r="M105" s="1"/>
    </row>
  </sheetData>
  <mergeCells count="74">
    <mergeCell ref="I53:I54"/>
    <mergeCell ref="J53:J54"/>
    <mergeCell ref="D53:D54"/>
    <mergeCell ref="E53:E54"/>
    <mergeCell ref="F53:F54"/>
    <mergeCell ref="G53:G54"/>
    <mergeCell ref="H53:H54"/>
    <mergeCell ref="I44:I45"/>
    <mergeCell ref="J44:J45"/>
    <mergeCell ref="D49:D50"/>
    <mergeCell ref="E49:E50"/>
    <mergeCell ref="F49:F50"/>
    <mergeCell ref="G49:G50"/>
    <mergeCell ref="H49:H50"/>
    <mergeCell ref="I49:I50"/>
    <mergeCell ref="J49:J50"/>
    <mergeCell ref="D44:D45"/>
    <mergeCell ref="E44:E45"/>
    <mergeCell ref="F44:F45"/>
    <mergeCell ref="G44:G45"/>
    <mergeCell ref="H44:H45"/>
    <mergeCell ref="I35:I36"/>
    <mergeCell ref="J35:J36"/>
    <mergeCell ref="D40:D41"/>
    <mergeCell ref="E40:E41"/>
    <mergeCell ref="F40:F41"/>
    <mergeCell ref="G40:G41"/>
    <mergeCell ref="H40:H41"/>
    <mergeCell ref="I40:I41"/>
    <mergeCell ref="J40:J41"/>
    <mergeCell ref="D35:D36"/>
    <mergeCell ref="E35:E36"/>
    <mergeCell ref="F35:F36"/>
    <mergeCell ref="G35:G36"/>
    <mergeCell ref="H35:H36"/>
    <mergeCell ref="I26:I27"/>
    <mergeCell ref="J26:J27"/>
    <mergeCell ref="D31:D32"/>
    <mergeCell ref="E31:E32"/>
    <mergeCell ref="F31:F32"/>
    <mergeCell ref="G31:G32"/>
    <mergeCell ref="H31:H32"/>
    <mergeCell ref="I31:I32"/>
    <mergeCell ref="J31:J32"/>
    <mergeCell ref="D26:D27"/>
    <mergeCell ref="E26:E27"/>
    <mergeCell ref="F26:F27"/>
    <mergeCell ref="G26:G27"/>
    <mergeCell ref="H26:H27"/>
    <mergeCell ref="I17:I18"/>
    <mergeCell ref="J17:J18"/>
    <mergeCell ref="D22:D23"/>
    <mergeCell ref="E22:E23"/>
    <mergeCell ref="F22:F23"/>
    <mergeCell ref="G22:G23"/>
    <mergeCell ref="H22:H23"/>
    <mergeCell ref="I22:I23"/>
    <mergeCell ref="J22:J23"/>
    <mergeCell ref="D3:F3"/>
    <mergeCell ref="D4:F4"/>
    <mergeCell ref="D8:J8"/>
    <mergeCell ref="D56:J56"/>
    <mergeCell ref="D13:D14"/>
    <mergeCell ref="E13:E14"/>
    <mergeCell ref="F13:F14"/>
    <mergeCell ref="G13:G14"/>
    <mergeCell ref="H13:H14"/>
    <mergeCell ref="I13:I14"/>
    <mergeCell ref="J13:J14"/>
    <mergeCell ref="D17:D18"/>
    <mergeCell ref="E17:E18"/>
    <mergeCell ref="F17:F18"/>
    <mergeCell ref="G17:G18"/>
    <mergeCell ref="H17:H18"/>
  </mergeCells>
  <phoneticPr fontId="1" type="noConversion"/>
  <conditionalFormatting sqref="D7:J7 D57:J57 D9:J13 D15:J17 D19:J22 D24:J26 D28:J31 D33:J35 D37:J40 D42:J44 D46:J49 D51:J53 D55:J55">
    <cfRule type="expression" dxfId="27" priority="7">
      <formula>OR($D7=$P$7:$P$14)</formula>
    </cfRule>
  </conditionalFormatting>
  <conditionalFormatting sqref="C7:C57">
    <cfRule type="expression" dxfId="26" priority="6">
      <formula>OR(AND($D7=0,OR($D6=$P$7:$P$14)),AND($D8&gt;0,OR($D7=$P$7:$P$14)))</formula>
    </cfRule>
  </conditionalFormatting>
  <conditionalFormatting sqref="D7 D57 D9:D13 D15:D17 D19:D22 D24:D26 D28:D31 D33:D35 D37:D40 D42:D44 D46:D49 D51:D53 D55">
    <cfRule type="expression" dxfId="25" priority="5">
      <formula>$D7=$D8</formula>
    </cfRule>
  </conditionalFormatting>
  <conditionalFormatting sqref="D56">
    <cfRule type="expression" dxfId="24" priority="4">
      <formula>OR($D56=$P$7:$P$14)</formula>
    </cfRule>
  </conditionalFormatting>
  <conditionalFormatting sqref="D56">
    <cfRule type="expression" dxfId="23" priority="3">
      <formula>$D56=$D57</formula>
    </cfRule>
  </conditionalFormatting>
  <conditionalFormatting sqref="D8">
    <cfRule type="expression" dxfId="22" priority="2">
      <formula>OR($D8=$P$7:$P$14)</formula>
    </cfRule>
  </conditionalFormatting>
  <conditionalFormatting sqref="D8">
    <cfRule type="expression" dxfId="21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0714C5-BFF2-41C5-8461-5D09FA7C7BC5}">
  <sheetPr codeName="Sheet7"/>
  <dimension ref="A1:P105"/>
  <sheetViews>
    <sheetView zoomScaleNormal="100" workbookViewId="0">
      <selection activeCell="B2" sqref="B2:K58"/>
    </sheetView>
  </sheetViews>
  <sheetFormatPr defaultRowHeight="17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6">
      <c r="A1" s="5" t="s">
        <v>44</v>
      </c>
      <c r="C1" s="5"/>
      <c r="D1" s="5"/>
      <c r="E1" s="5"/>
      <c r="F1" s="5"/>
      <c r="G1" s="5"/>
      <c r="H1" s="5"/>
      <c r="I1" s="5"/>
      <c r="J1" s="5"/>
      <c r="K1" s="5"/>
    </row>
    <row r="2" spans="1:16" s="5" customFormat="1" ht="6" customHeight="1" thickBot="1">
      <c r="B2" s="15"/>
      <c r="C2" s="23"/>
      <c r="D2" s="23"/>
      <c r="E2" s="23"/>
      <c r="F2" s="23"/>
      <c r="G2" s="23"/>
      <c r="H2" s="23"/>
      <c r="I2" s="23"/>
      <c r="J2" s="23"/>
      <c r="K2" s="16"/>
    </row>
    <row r="3" spans="1:16" ht="25" customHeight="1" thickBot="1">
      <c r="A3" s="5"/>
      <c r="B3" s="17"/>
      <c r="C3" s="34" t="s">
        <v>47</v>
      </c>
      <c r="D3" s="105" t="s">
        <v>115</v>
      </c>
      <c r="E3" s="106"/>
      <c r="F3" s="107"/>
      <c r="G3" s="34" t="s">
        <v>48</v>
      </c>
      <c r="H3" s="101">
        <f>'통계 및 응시자 수 입력 기능'!D24</f>
        <v>17.457940780619111</v>
      </c>
      <c r="I3" s="103" t="s">
        <v>49</v>
      </c>
      <c r="J3" s="104">
        <f>'통계 및 응시자 수 입력 기능'!C24</f>
        <v>2972</v>
      </c>
      <c r="K3" s="18"/>
    </row>
    <row r="4" spans="1:16" ht="25" customHeight="1" thickBot="1">
      <c r="A4" s="5"/>
      <c r="B4" s="17"/>
      <c r="C4" s="35" t="s">
        <v>50</v>
      </c>
      <c r="D4" s="114" t="s">
        <v>54</v>
      </c>
      <c r="E4" s="109"/>
      <c r="F4" s="110"/>
      <c r="G4" s="36" t="s">
        <v>52</v>
      </c>
      <c r="H4" s="102">
        <f>'통계 및 응시자 수 입력 기능'!E24</f>
        <v>9.7159479317170234</v>
      </c>
      <c r="I4" s="12"/>
      <c r="J4" s="12"/>
      <c r="K4" s="18"/>
    </row>
    <row r="5" spans="1:16" ht="25" customHeight="1" thickBot="1">
      <c r="A5" s="5"/>
      <c r="B5" s="17"/>
      <c r="C5" s="12"/>
      <c r="D5" s="12"/>
      <c r="E5" s="12"/>
      <c r="F5" s="12"/>
      <c r="G5" s="12"/>
      <c r="H5" s="19"/>
      <c r="I5" s="19"/>
      <c r="J5" s="19"/>
      <c r="K5" s="18"/>
    </row>
    <row r="6" spans="1:16" ht="25" customHeight="1" thickBot="1">
      <c r="A6" s="5"/>
      <c r="B6" s="17"/>
      <c r="C6" s="38" t="s">
        <v>73</v>
      </c>
      <c r="D6" s="39" t="s">
        <v>74</v>
      </c>
      <c r="E6" s="39" t="s">
        <v>75</v>
      </c>
      <c r="F6" s="39" t="s">
        <v>76</v>
      </c>
      <c r="G6" s="39" t="s">
        <v>77</v>
      </c>
      <c r="H6" s="40" t="s">
        <v>78</v>
      </c>
      <c r="I6" s="40" t="s">
        <v>79</v>
      </c>
      <c r="J6" s="41" t="s">
        <v>80</v>
      </c>
      <c r="K6" s="18"/>
      <c r="L6" s="3"/>
      <c r="M6" s="4"/>
    </row>
    <row r="7" spans="1:16" ht="25" customHeight="1">
      <c r="A7" s="5"/>
      <c r="B7" s="17"/>
      <c r="C7" s="42">
        <v>50</v>
      </c>
      <c r="D7" s="43">
        <f>ROUND(10*(C7-$H$3)/$H$4+50,0)</f>
        <v>83</v>
      </c>
      <c r="E7" s="43">
        <f t="shared" ref="E7:E57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44">
        <f>ROUND(100*(1-(0+I7)/2/$J$3),0)</f>
        <v>100</v>
      </c>
      <c r="G7" s="45">
        <f>_xlfn.IFNA(VLOOKUP(D7,'인원 입력 기능'!$CX$5:$DA$55,4,FALSE),0)</f>
        <v>13</v>
      </c>
      <c r="H7" s="46">
        <f>G7/J3</f>
        <v>4.3741588156123818E-3</v>
      </c>
      <c r="I7" s="47">
        <f>G7</f>
        <v>13</v>
      </c>
      <c r="J7" s="48">
        <f>I7/J3</f>
        <v>4.3741588156123818E-3</v>
      </c>
      <c r="K7" s="18"/>
      <c r="M7" s="1"/>
      <c r="O7" s="1">
        <v>1</v>
      </c>
      <c r="P7" s="1">
        <f>'표준점수 등급컷 입력기능'!K68</f>
        <v>72</v>
      </c>
    </row>
    <row r="8" spans="1:16" ht="25" customHeight="1">
      <c r="A8" s="5"/>
      <c r="B8" s="17"/>
      <c r="C8" s="49">
        <v>49</v>
      </c>
      <c r="D8" s="111" t="s">
        <v>31</v>
      </c>
      <c r="E8" s="112"/>
      <c r="F8" s="112"/>
      <c r="G8" s="112"/>
      <c r="H8" s="112"/>
      <c r="I8" s="112"/>
      <c r="J8" s="113"/>
      <c r="K8" s="18"/>
      <c r="M8" s="1"/>
      <c r="O8" s="1">
        <v>2</v>
      </c>
      <c r="P8" s="1">
        <f>'표준점수 등급컷 입력기능'!K69</f>
        <v>64</v>
      </c>
    </row>
    <row r="9" spans="1:16" ht="25" customHeight="1">
      <c r="A9" s="5"/>
      <c r="B9" s="17"/>
      <c r="C9" s="42">
        <v>48</v>
      </c>
      <c r="D9" s="43">
        <f>ROUND(10*(C9-$H$3)/$H$4+50,0)</f>
        <v>81</v>
      </c>
      <c r="E9" s="43">
        <f t="shared" si="0"/>
        <v>1</v>
      </c>
      <c r="F9" s="44">
        <f>IF(I8=0,ROUND(100*(1-(I7+I9)/2/$J$3),0),ROUND(100*(1-(I8+I9)/2/$J$3),0))</f>
        <v>99</v>
      </c>
      <c r="G9" s="45">
        <f>_xlfn.IFNA(VLOOKUP(D9,'인원 입력 기능'!$CX$5:$DA$55,4,FALSE),0)</f>
        <v>8</v>
      </c>
      <c r="H9" s="46">
        <f>G9/$J$3</f>
        <v>2.6917900403768506E-3</v>
      </c>
      <c r="I9" s="50">
        <f>SUM($G$7:G9)</f>
        <v>21</v>
      </c>
      <c r="J9" s="48">
        <f>I9/$J$3</f>
        <v>7.0659488559892325E-3</v>
      </c>
      <c r="K9" s="18"/>
      <c r="M9" s="1"/>
      <c r="O9" s="1">
        <v>3</v>
      </c>
      <c r="P9" s="1">
        <f>'표준점수 등급컷 입력기능'!K70</f>
        <v>57</v>
      </c>
    </row>
    <row r="10" spans="1:16" ht="25" customHeight="1">
      <c r="A10" s="5"/>
      <c r="B10" s="17"/>
      <c r="C10" s="49">
        <v>47</v>
      </c>
      <c r="D10" s="43">
        <f t="shared" ref="D10:D55" si="1">ROUND(10*(C10-$H$3)/$H$4+50,0)</f>
        <v>80</v>
      </c>
      <c r="E10" s="43">
        <f t="shared" si="0"/>
        <v>1</v>
      </c>
      <c r="F10" s="44">
        <f>IF(I9=0,ROUND(100*(1-(I8+I10)/2/$J$3),0),ROUND(100*(1-(I9+I10)/2/$J$3),0))</f>
        <v>99</v>
      </c>
      <c r="G10" s="45">
        <f>IF(D10=D9,"",_xlfn.IFNA(VLOOKUP(D10,'인원 입력 기능'!$CX$5:$DA$55,4,FALSE),0))</f>
        <v>11</v>
      </c>
      <c r="H10" s="46">
        <f t="shared" ref="H10:H55" si="2">G10/$J$3</f>
        <v>3.7012113055181696E-3</v>
      </c>
      <c r="I10" s="50">
        <f>SUM($G$7:G10)</f>
        <v>32</v>
      </c>
      <c r="J10" s="48">
        <f t="shared" ref="J10:J55" si="3">I10/$J$3</f>
        <v>1.0767160161507403E-2</v>
      </c>
      <c r="K10" s="18"/>
      <c r="M10" s="1"/>
      <c r="O10" s="1">
        <v>4</v>
      </c>
      <c r="P10" s="1">
        <f>'표준점수 등급컷 입력기능'!K71</f>
        <v>51</v>
      </c>
    </row>
    <row r="11" spans="1:16" ht="25" customHeight="1">
      <c r="A11" s="5"/>
      <c r="B11" s="17"/>
      <c r="C11" s="42">
        <v>46</v>
      </c>
      <c r="D11" s="43">
        <f t="shared" si="1"/>
        <v>79</v>
      </c>
      <c r="E11" s="43">
        <f t="shared" si="0"/>
        <v>1</v>
      </c>
      <c r="F11" s="44">
        <f t="shared" ref="F11:F55" si="4">IF(I10=0,ROUND(100*(1-(I9+I11)/2/$J$3),0),ROUND(100*(1-(I10+I11)/2/$J$3),0))</f>
        <v>99</v>
      </c>
      <c r="G11" s="45">
        <f>IF(D11=D10,"",_xlfn.IFNA(VLOOKUP(D11,'인원 입력 기능'!$CX$5:$DA$55,4,FALSE),0))</f>
        <v>3</v>
      </c>
      <c r="H11" s="46">
        <f t="shared" si="2"/>
        <v>1.009421265141319E-3</v>
      </c>
      <c r="I11" s="50">
        <f>SUM($G$7:G11)</f>
        <v>35</v>
      </c>
      <c r="J11" s="48">
        <f t="shared" si="3"/>
        <v>1.1776581426648721E-2</v>
      </c>
      <c r="K11" s="18"/>
      <c r="M11" s="1"/>
      <c r="O11" s="1">
        <v>5</v>
      </c>
      <c r="P11" s="1">
        <f>'표준점수 등급컷 입력기능'!K72</f>
        <v>44</v>
      </c>
    </row>
    <row r="12" spans="1:16" ht="25" customHeight="1">
      <c r="A12" s="5"/>
      <c r="B12" s="17"/>
      <c r="C12" s="49">
        <v>45</v>
      </c>
      <c r="D12" s="43">
        <f t="shared" si="1"/>
        <v>78</v>
      </c>
      <c r="E12" s="43">
        <f t="shared" si="0"/>
        <v>1</v>
      </c>
      <c r="F12" s="44">
        <f t="shared" si="4"/>
        <v>99</v>
      </c>
      <c r="G12" s="45">
        <f>IF(D12=D11,"",_xlfn.IFNA(VLOOKUP(D12,'인원 입력 기능'!$CX$5:$DA$55,4,FALSE),0))</f>
        <v>9</v>
      </c>
      <c r="H12" s="46">
        <f t="shared" si="2"/>
        <v>3.028263795423957E-3</v>
      </c>
      <c r="I12" s="50">
        <f>SUM($G$7:G12)</f>
        <v>44</v>
      </c>
      <c r="J12" s="48">
        <f t="shared" si="3"/>
        <v>1.4804845222072678E-2</v>
      </c>
      <c r="K12" s="18"/>
      <c r="M12" s="1"/>
      <c r="O12" s="1">
        <v>6</v>
      </c>
      <c r="P12" s="1">
        <f>'표준점수 등급컷 입력기능'!K73</f>
        <v>42</v>
      </c>
    </row>
    <row r="13" spans="1:16" ht="25" customHeight="1">
      <c r="A13" s="5"/>
      <c r="B13" s="17"/>
      <c r="C13" s="42">
        <v>44</v>
      </c>
      <c r="D13" s="43">
        <f t="shared" si="1"/>
        <v>77</v>
      </c>
      <c r="E13" s="43">
        <f t="shared" si="0"/>
        <v>1</v>
      </c>
      <c r="F13" s="44">
        <f t="shared" si="4"/>
        <v>98</v>
      </c>
      <c r="G13" s="45">
        <f>IF(D13=D12,"",_xlfn.IFNA(VLOOKUP(D13,'인원 입력 기능'!$CX$5:$DA$55,4,FALSE),0))</f>
        <v>18</v>
      </c>
      <c r="H13" s="46">
        <f t="shared" si="2"/>
        <v>6.0565275908479139E-3</v>
      </c>
      <c r="I13" s="50">
        <f>SUM($G$7:G13)</f>
        <v>62</v>
      </c>
      <c r="J13" s="48">
        <f t="shared" si="3"/>
        <v>2.0861372812920592E-2</v>
      </c>
      <c r="K13" s="18"/>
      <c r="M13" s="1"/>
      <c r="O13" s="1">
        <v>7</v>
      </c>
      <c r="P13" s="1">
        <f>'표준점수 등급컷 입력기능'!K74</f>
        <v>40</v>
      </c>
    </row>
    <row r="14" spans="1:16" ht="25" customHeight="1">
      <c r="A14" s="5"/>
      <c r="B14" s="17"/>
      <c r="C14" s="49">
        <v>43</v>
      </c>
      <c r="D14" s="43">
        <f t="shared" si="1"/>
        <v>76</v>
      </c>
      <c r="E14" s="43">
        <f t="shared" si="0"/>
        <v>1</v>
      </c>
      <c r="F14" s="44">
        <f t="shared" si="4"/>
        <v>98</v>
      </c>
      <c r="G14" s="45">
        <f>IF(D14=D13,"",_xlfn.IFNA(VLOOKUP(D14,'인원 입력 기능'!$CX$5:$DA$55,4,FALSE),0))</f>
        <v>5</v>
      </c>
      <c r="H14" s="46">
        <f t="shared" si="2"/>
        <v>1.6823687752355316E-3</v>
      </c>
      <c r="I14" s="50">
        <f>SUM($G$7:G14)</f>
        <v>67</v>
      </c>
      <c r="J14" s="48">
        <f t="shared" si="3"/>
        <v>2.2543741588156124E-2</v>
      </c>
      <c r="K14" s="18"/>
      <c r="M14" s="1"/>
      <c r="O14" s="1">
        <v>8</v>
      </c>
      <c r="P14" s="1">
        <f>'표준점수 등급컷 입력기능'!K75</f>
        <v>37</v>
      </c>
    </row>
    <row r="15" spans="1:16" ht="25" customHeight="1">
      <c r="A15" s="5"/>
      <c r="B15" s="17"/>
      <c r="C15" s="42">
        <v>42</v>
      </c>
      <c r="D15" s="43">
        <f t="shared" si="1"/>
        <v>75</v>
      </c>
      <c r="E15" s="43">
        <f t="shared" si="0"/>
        <v>1</v>
      </c>
      <c r="F15" s="44">
        <f t="shared" si="4"/>
        <v>97</v>
      </c>
      <c r="G15" s="45">
        <f>IF(D15=D14,"",_xlfn.IFNA(VLOOKUP(D15,'인원 입력 기능'!$CX$5:$DA$55,4,FALSE),0))</f>
        <v>16</v>
      </c>
      <c r="H15" s="46">
        <f t="shared" si="2"/>
        <v>5.3835800807537013E-3</v>
      </c>
      <c r="I15" s="50">
        <f>SUM($G$7:G15)</f>
        <v>83</v>
      </c>
      <c r="J15" s="48">
        <f t="shared" si="3"/>
        <v>2.7927321668909825E-2</v>
      </c>
      <c r="K15" s="18"/>
      <c r="M15" s="1"/>
      <c r="O15" s="1">
        <v>9</v>
      </c>
      <c r="P15" s="1"/>
    </row>
    <row r="16" spans="1:16" ht="25" customHeight="1">
      <c r="A16" s="5"/>
      <c r="B16" s="17"/>
      <c r="C16" s="49">
        <v>41</v>
      </c>
      <c r="D16" s="43">
        <f t="shared" si="1"/>
        <v>74</v>
      </c>
      <c r="E16" s="43">
        <f t="shared" si="0"/>
        <v>1</v>
      </c>
      <c r="F16" s="44">
        <f t="shared" si="4"/>
        <v>97</v>
      </c>
      <c r="G16" s="45">
        <f>IF(D16=D15,"",_xlfn.IFNA(VLOOKUP(D16,'인원 입력 기능'!$CX$5:$DA$55,4,FALSE),0))</f>
        <v>15</v>
      </c>
      <c r="H16" s="46">
        <f t="shared" si="2"/>
        <v>5.0471063257065945E-3</v>
      </c>
      <c r="I16" s="50">
        <f>SUM($G$7:G16)</f>
        <v>98</v>
      </c>
      <c r="J16" s="48">
        <f t="shared" si="3"/>
        <v>3.2974427994616418E-2</v>
      </c>
      <c r="K16" s="18"/>
      <c r="M16" s="1"/>
    </row>
    <row r="17" spans="1:16" ht="25" customHeight="1">
      <c r="A17" s="5"/>
      <c r="B17" s="17"/>
      <c r="C17" s="42">
        <v>40</v>
      </c>
      <c r="D17" s="43">
        <f t="shared" si="1"/>
        <v>73</v>
      </c>
      <c r="E17" s="43">
        <f t="shared" si="0"/>
        <v>1</v>
      </c>
      <c r="F17" s="44">
        <f t="shared" si="4"/>
        <v>97</v>
      </c>
      <c r="G17" s="45">
        <f>IF(D17=D16,"",_xlfn.IFNA(VLOOKUP(D17,'인원 입력 기능'!$CX$5:$DA$55,4,FALSE),0))</f>
        <v>11</v>
      </c>
      <c r="H17" s="46">
        <f t="shared" si="2"/>
        <v>3.7012113055181696E-3</v>
      </c>
      <c r="I17" s="50">
        <f>SUM($G$7:G17)</f>
        <v>109</v>
      </c>
      <c r="J17" s="48">
        <f t="shared" si="3"/>
        <v>3.6675639300134587E-2</v>
      </c>
      <c r="K17" s="18"/>
      <c r="M17" s="1"/>
      <c r="P17" s="1">
        <f>H3*H4*J3*P7*IFERROR(IF(J57=1, 1, 0), 0)</f>
        <v>36296061.007473916</v>
      </c>
    </row>
    <row r="18" spans="1:16" ht="25" customHeight="1">
      <c r="A18" s="5"/>
      <c r="B18" s="17"/>
      <c r="C18" s="49">
        <v>39</v>
      </c>
      <c r="D18" s="43">
        <f t="shared" si="1"/>
        <v>72</v>
      </c>
      <c r="E18" s="43">
        <f t="shared" si="0"/>
        <v>1</v>
      </c>
      <c r="F18" s="44">
        <f t="shared" si="4"/>
        <v>96</v>
      </c>
      <c r="G18" s="45">
        <f>IF(D18=D17,"",_xlfn.IFNA(VLOOKUP(D18,'인원 입력 기능'!$CX$5:$DA$55,4,FALSE),0))</f>
        <v>22</v>
      </c>
      <c r="H18" s="46">
        <f t="shared" si="2"/>
        <v>7.4024226110363392E-3</v>
      </c>
      <c r="I18" s="50">
        <f>SUM($G$7:G18)</f>
        <v>131</v>
      </c>
      <c r="J18" s="48">
        <f t="shared" si="3"/>
        <v>4.4078061911170932E-2</v>
      </c>
      <c r="K18" s="18"/>
      <c r="M18" s="1"/>
    </row>
    <row r="19" spans="1:16" ht="25" customHeight="1">
      <c r="A19" s="5"/>
      <c r="B19" s="17"/>
      <c r="C19" s="42">
        <v>38</v>
      </c>
      <c r="D19" s="43">
        <f t="shared" si="1"/>
        <v>71</v>
      </c>
      <c r="E19" s="43">
        <f t="shared" si="0"/>
        <v>2</v>
      </c>
      <c r="F19" s="44">
        <f t="shared" si="4"/>
        <v>95</v>
      </c>
      <c r="G19" s="45">
        <f>IF(D19=D18,"",_xlfn.IFNA(VLOOKUP(D19,'인원 입력 기능'!$CX$5:$DA$55,4,FALSE),0))</f>
        <v>14</v>
      </c>
      <c r="H19" s="46">
        <f t="shared" si="2"/>
        <v>4.7106325706594886E-3</v>
      </c>
      <c r="I19" s="50">
        <f>SUM($G$7:G19)</f>
        <v>145</v>
      </c>
      <c r="J19" s="48">
        <f t="shared" si="3"/>
        <v>4.8788694481830416E-2</v>
      </c>
      <c r="K19" s="18"/>
      <c r="M19" s="1"/>
    </row>
    <row r="20" spans="1:16" ht="25" customHeight="1">
      <c r="A20" s="5"/>
      <c r="B20" s="17"/>
      <c r="C20" s="49">
        <v>37</v>
      </c>
      <c r="D20" s="43">
        <f t="shared" si="1"/>
        <v>70</v>
      </c>
      <c r="E20" s="43">
        <f t="shared" si="0"/>
        <v>2</v>
      </c>
      <c r="F20" s="44">
        <f t="shared" si="4"/>
        <v>95</v>
      </c>
      <c r="G20" s="45">
        <f>IF(D20=D19,"",_xlfn.IFNA(VLOOKUP(D20,'인원 입력 기능'!$CX$5:$DA$55,4,FALSE),0))</f>
        <v>9</v>
      </c>
      <c r="H20" s="46">
        <f t="shared" si="2"/>
        <v>3.028263795423957E-3</v>
      </c>
      <c r="I20" s="50">
        <f>SUM($G$7:G20)</f>
        <v>154</v>
      </c>
      <c r="J20" s="48">
        <f t="shared" si="3"/>
        <v>5.1816958277254375E-2</v>
      </c>
      <c r="K20" s="18"/>
      <c r="M20" s="1"/>
    </row>
    <row r="21" spans="1:16" ht="25" customHeight="1">
      <c r="A21" s="5"/>
      <c r="B21" s="17"/>
      <c r="C21" s="51">
        <v>36</v>
      </c>
      <c r="D21" s="53">
        <f t="shared" si="1"/>
        <v>69</v>
      </c>
      <c r="E21" s="53">
        <f t="shared" si="0"/>
        <v>2</v>
      </c>
      <c r="F21" s="44">
        <f t="shared" si="4"/>
        <v>94</v>
      </c>
      <c r="G21" s="45">
        <f>IF(D21=D20,"",_xlfn.IFNA(VLOOKUP(D21,'인원 입력 기능'!$CX$5:$DA$55,4,FALSE),0))</f>
        <v>27</v>
      </c>
      <c r="H21" s="46">
        <f t="shared" si="2"/>
        <v>9.0847913862718704E-3</v>
      </c>
      <c r="I21" s="50">
        <f>SUM($G$7:G21)</f>
        <v>181</v>
      </c>
      <c r="J21" s="48">
        <f t="shared" si="3"/>
        <v>6.0901749663526246E-2</v>
      </c>
      <c r="K21" s="18"/>
      <c r="M21" s="1"/>
    </row>
    <row r="22" spans="1:16" ht="25" customHeight="1">
      <c r="A22" s="5"/>
      <c r="B22" s="17"/>
      <c r="C22" s="52">
        <v>35</v>
      </c>
      <c r="D22" s="53">
        <f t="shared" si="1"/>
        <v>68</v>
      </c>
      <c r="E22" s="53">
        <f t="shared" si="0"/>
        <v>2</v>
      </c>
      <c r="F22" s="44">
        <f t="shared" si="4"/>
        <v>93</v>
      </c>
      <c r="G22" s="45">
        <f>IF(D22=D21,"",_xlfn.IFNA(VLOOKUP(D22,'인원 입력 기능'!$CX$5:$DA$55,4,FALSE),0))</f>
        <v>25</v>
      </c>
      <c r="H22" s="46">
        <f t="shared" si="2"/>
        <v>8.4118438761776586E-3</v>
      </c>
      <c r="I22" s="50">
        <f>SUM($G$7:G22)</f>
        <v>206</v>
      </c>
      <c r="J22" s="48">
        <f t="shared" si="3"/>
        <v>6.9313593539703899E-2</v>
      </c>
      <c r="K22" s="18"/>
      <c r="M22" s="1"/>
    </row>
    <row r="23" spans="1:16" ht="25" customHeight="1">
      <c r="A23" s="5"/>
      <c r="B23" s="17"/>
      <c r="C23" s="51">
        <v>34</v>
      </c>
      <c r="D23" s="53">
        <f t="shared" si="1"/>
        <v>67</v>
      </c>
      <c r="E23" s="53">
        <f t="shared" si="0"/>
        <v>2</v>
      </c>
      <c r="F23" s="44">
        <f t="shared" si="4"/>
        <v>93</v>
      </c>
      <c r="G23" s="45">
        <f>IF(D23=D22,"",_xlfn.IFNA(VLOOKUP(D23,'인원 입력 기능'!$CX$5:$DA$55,4,FALSE),0))</f>
        <v>19</v>
      </c>
      <c r="H23" s="46">
        <f t="shared" si="2"/>
        <v>6.3930013458950198E-3</v>
      </c>
      <c r="I23" s="50">
        <f>SUM($G$7:G23)</f>
        <v>225</v>
      </c>
      <c r="J23" s="48">
        <f t="shared" si="3"/>
        <v>7.570659488559893E-2</v>
      </c>
      <c r="K23" s="18"/>
      <c r="M23" s="1"/>
    </row>
    <row r="24" spans="1:16" ht="25" customHeight="1">
      <c r="A24" s="5"/>
      <c r="B24" s="17"/>
      <c r="C24" s="52">
        <v>33</v>
      </c>
      <c r="D24" s="53">
        <f t="shared" si="1"/>
        <v>66</v>
      </c>
      <c r="E24" s="53">
        <f t="shared" si="0"/>
        <v>2</v>
      </c>
      <c r="F24" s="44">
        <f t="shared" si="4"/>
        <v>92</v>
      </c>
      <c r="G24" s="45">
        <f>IF(D24=D23,"",_xlfn.IFNA(VLOOKUP(D24,'인원 입력 기능'!$CX$5:$DA$55,4,FALSE),0))</f>
        <v>43</v>
      </c>
      <c r="H24" s="46">
        <f t="shared" si="2"/>
        <v>1.4468371467025572E-2</v>
      </c>
      <c r="I24" s="50">
        <f>SUM($G$7:G24)</f>
        <v>268</v>
      </c>
      <c r="J24" s="48">
        <f t="shared" si="3"/>
        <v>9.0174966352624494E-2</v>
      </c>
      <c r="K24" s="18"/>
      <c r="M24" s="1"/>
    </row>
    <row r="25" spans="1:16" ht="25" customHeight="1">
      <c r="A25" s="5"/>
      <c r="B25" s="17"/>
      <c r="C25" s="51">
        <v>32</v>
      </c>
      <c r="D25" s="53">
        <f t="shared" si="1"/>
        <v>65</v>
      </c>
      <c r="E25" s="53">
        <f t="shared" si="0"/>
        <v>2</v>
      </c>
      <c r="F25" s="44">
        <f t="shared" si="4"/>
        <v>90</v>
      </c>
      <c r="G25" s="45">
        <f>IF(D25=D24,"",_xlfn.IFNA(VLOOKUP(D25,'인원 입력 기능'!$CX$5:$DA$55,4,FALSE),0))</f>
        <v>29</v>
      </c>
      <c r="H25" s="46">
        <f t="shared" si="2"/>
        <v>9.757738896366084E-3</v>
      </c>
      <c r="I25" s="50">
        <f>SUM($G$7:G25)</f>
        <v>297</v>
      </c>
      <c r="J25" s="48">
        <f t="shared" si="3"/>
        <v>9.9932705248990575E-2</v>
      </c>
      <c r="K25" s="18"/>
      <c r="M25" s="1"/>
    </row>
    <row r="26" spans="1:16" ht="25" customHeight="1">
      <c r="A26" s="5"/>
      <c r="B26" s="17"/>
      <c r="C26" s="52">
        <v>31</v>
      </c>
      <c r="D26" s="53">
        <f t="shared" si="1"/>
        <v>64</v>
      </c>
      <c r="E26" s="53">
        <f t="shared" si="0"/>
        <v>2</v>
      </c>
      <c r="F26" s="44">
        <f t="shared" si="4"/>
        <v>89</v>
      </c>
      <c r="G26" s="45">
        <f>IF(D26=D25,"",_xlfn.IFNA(VLOOKUP(D26,'인원 입력 기능'!$CX$5:$DA$55,4,FALSE),0))</f>
        <v>39</v>
      </c>
      <c r="H26" s="46">
        <f t="shared" si="2"/>
        <v>1.3122476446837146E-2</v>
      </c>
      <c r="I26" s="50">
        <f>SUM($G$7:G26)</f>
        <v>336</v>
      </c>
      <c r="J26" s="48">
        <f t="shared" si="3"/>
        <v>0.11305518169582772</v>
      </c>
      <c r="K26" s="18"/>
      <c r="M26" s="1"/>
    </row>
    <row r="27" spans="1:16" ht="25" customHeight="1">
      <c r="A27" s="5"/>
      <c r="B27" s="17"/>
      <c r="C27" s="51">
        <v>30</v>
      </c>
      <c r="D27" s="53">
        <f t="shared" si="1"/>
        <v>63</v>
      </c>
      <c r="E27" s="53">
        <f t="shared" si="0"/>
        <v>3</v>
      </c>
      <c r="F27" s="44">
        <f t="shared" si="4"/>
        <v>88</v>
      </c>
      <c r="G27" s="45">
        <f>IF(D27=D26,"",_xlfn.IFNA(VLOOKUP(D27,'인원 입력 기능'!$CX$5:$DA$55,4,FALSE),0))</f>
        <v>35</v>
      </c>
      <c r="H27" s="46">
        <f t="shared" si="2"/>
        <v>1.1776581426648721E-2</v>
      </c>
      <c r="I27" s="50">
        <f>SUM($G$7:G27)</f>
        <v>371</v>
      </c>
      <c r="J27" s="48">
        <f t="shared" si="3"/>
        <v>0.12483176312247644</v>
      </c>
      <c r="K27" s="18"/>
      <c r="M27" s="1"/>
    </row>
    <row r="28" spans="1:16" ht="25" customHeight="1">
      <c r="A28" s="5"/>
      <c r="B28" s="17"/>
      <c r="C28" s="52">
        <v>29</v>
      </c>
      <c r="D28" s="53">
        <f t="shared" si="1"/>
        <v>62</v>
      </c>
      <c r="E28" s="53">
        <f t="shared" si="0"/>
        <v>3</v>
      </c>
      <c r="F28" s="44">
        <f t="shared" si="4"/>
        <v>87</v>
      </c>
      <c r="G28" s="45">
        <f>IF(D28=D27,"",_xlfn.IFNA(VLOOKUP(D28,'인원 입력 기능'!$CX$5:$DA$55,4,FALSE),0))</f>
        <v>33</v>
      </c>
      <c r="H28" s="46">
        <f t="shared" si="2"/>
        <v>1.1103633916554509E-2</v>
      </c>
      <c r="I28" s="50">
        <f>SUM($G$7:G28)</f>
        <v>404</v>
      </c>
      <c r="J28" s="48">
        <f t="shared" si="3"/>
        <v>0.13593539703903096</v>
      </c>
      <c r="K28" s="18"/>
      <c r="M28" s="1"/>
    </row>
    <row r="29" spans="1:16" ht="25" customHeight="1">
      <c r="A29" s="5"/>
      <c r="B29" s="17"/>
      <c r="C29" s="51">
        <v>28</v>
      </c>
      <c r="D29" s="53">
        <f t="shared" si="1"/>
        <v>61</v>
      </c>
      <c r="E29" s="53">
        <f t="shared" si="0"/>
        <v>3</v>
      </c>
      <c r="F29" s="44">
        <f t="shared" si="4"/>
        <v>85</v>
      </c>
      <c r="G29" s="45">
        <f>IF(D29=D28,"",_xlfn.IFNA(VLOOKUP(D29,'인원 입력 기능'!$CX$5:$DA$55,4,FALSE),0))</f>
        <v>64</v>
      </c>
      <c r="H29" s="46">
        <f t="shared" si="2"/>
        <v>2.1534320323014805E-2</v>
      </c>
      <c r="I29" s="50">
        <f>SUM($G$7:G29)</f>
        <v>468</v>
      </c>
      <c r="J29" s="48">
        <f t="shared" si="3"/>
        <v>0.15746971736204576</v>
      </c>
      <c r="K29" s="18"/>
      <c r="M29" s="1"/>
    </row>
    <row r="30" spans="1:16" ht="25" customHeight="1">
      <c r="A30" s="5"/>
      <c r="B30" s="17"/>
      <c r="C30" s="52">
        <v>27</v>
      </c>
      <c r="D30" s="53">
        <f t="shared" si="1"/>
        <v>60</v>
      </c>
      <c r="E30" s="53">
        <f t="shared" si="0"/>
        <v>3</v>
      </c>
      <c r="F30" s="44">
        <f t="shared" si="4"/>
        <v>83</v>
      </c>
      <c r="G30" s="45">
        <f>IF(D30=D29,"",_xlfn.IFNA(VLOOKUP(D30,'인원 입력 기능'!$CX$5:$DA$55,4,FALSE),0))</f>
        <v>60</v>
      </c>
      <c r="H30" s="46">
        <f t="shared" si="2"/>
        <v>2.0188425302826378E-2</v>
      </c>
      <c r="I30" s="50">
        <f>SUM($G$7:G30)</f>
        <v>528</v>
      </c>
      <c r="J30" s="48">
        <f t="shared" si="3"/>
        <v>0.17765814266487215</v>
      </c>
      <c r="K30" s="18"/>
      <c r="M30" s="1"/>
    </row>
    <row r="31" spans="1:16" ht="25" customHeight="1">
      <c r="A31" s="5"/>
      <c r="B31" s="17"/>
      <c r="C31" s="51">
        <v>26</v>
      </c>
      <c r="D31" s="53">
        <f t="shared" si="1"/>
        <v>59</v>
      </c>
      <c r="E31" s="53">
        <f t="shared" si="0"/>
        <v>3</v>
      </c>
      <c r="F31" s="44">
        <f t="shared" si="4"/>
        <v>81</v>
      </c>
      <c r="G31" s="45">
        <f>IF(D31=D30,"",_xlfn.IFNA(VLOOKUP(D31,'인원 입력 기능'!$CX$5:$DA$55,4,FALSE),0))</f>
        <v>46</v>
      </c>
      <c r="H31" s="46">
        <f t="shared" si="2"/>
        <v>1.547779273216689E-2</v>
      </c>
      <c r="I31" s="50">
        <f>SUM($G$7:G31)</f>
        <v>574</v>
      </c>
      <c r="J31" s="48">
        <f t="shared" si="3"/>
        <v>0.19313593539703902</v>
      </c>
      <c r="K31" s="18"/>
      <c r="M31" s="1"/>
    </row>
    <row r="32" spans="1:16" ht="25" customHeight="1">
      <c r="A32" s="5"/>
      <c r="B32" s="17"/>
      <c r="C32" s="52">
        <v>25</v>
      </c>
      <c r="D32" s="53">
        <f t="shared" si="1"/>
        <v>58</v>
      </c>
      <c r="E32" s="53">
        <f t="shared" si="0"/>
        <v>3</v>
      </c>
      <c r="F32" s="44">
        <f t="shared" si="4"/>
        <v>79</v>
      </c>
      <c r="G32" s="45">
        <f>IF(D32=D31,"",_xlfn.IFNA(VLOOKUP(D32,'인원 입력 기능'!$CX$5:$DA$55,4,FALSE),0))</f>
        <v>72</v>
      </c>
      <c r="H32" s="46">
        <f t="shared" si="2"/>
        <v>2.4226110363391656E-2</v>
      </c>
      <c r="I32" s="50">
        <f>SUM($G$7:G32)</f>
        <v>646</v>
      </c>
      <c r="J32" s="48">
        <f t="shared" si="3"/>
        <v>0.21736204576043069</v>
      </c>
      <c r="K32" s="18"/>
      <c r="M32" s="1"/>
    </row>
    <row r="33" spans="1:13" ht="25" customHeight="1">
      <c r="A33" s="5"/>
      <c r="B33" s="17"/>
      <c r="C33" s="51">
        <v>24</v>
      </c>
      <c r="D33" s="53">
        <f t="shared" si="1"/>
        <v>57</v>
      </c>
      <c r="E33" s="53">
        <f t="shared" si="0"/>
        <v>3</v>
      </c>
      <c r="F33" s="44">
        <f t="shared" si="4"/>
        <v>77</v>
      </c>
      <c r="G33" s="45">
        <f>IF(D33=D32,"",_xlfn.IFNA(VLOOKUP(D33,'인원 입력 기능'!$CX$5:$DA$55,4,FALSE),0))</f>
        <v>62</v>
      </c>
      <c r="H33" s="46">
        <f t="shared" si="2"/>
        <v>2.0861372812920592E-2</v>
      </c>
      <c r="I33" s="50">
        <f>SUM($G$7:G33)</f>
        <v>708</v>
      </c>
      <c r="J33" s="48">
        <f t="shared" si="3"/>
        <v>0.23822341857335128</v>
      </c>
      <c r="K33" s="18"/>
      <c r="M33" s="1"/>
    </row>
    <row r="34" spans="1:13" ht="25" customHeight="1">
      <c r="A34" s="5"/>
      <c r="B34" s="17"/>
      <c r="C34" s="52">
        <v>23</v>
      </c>
      <c r="D34" s="53">
        <f t="shared" si="1"/>
        <v>56</v>
      </c>
      <c r="E34" s="53">
        <f t="shared" si="0"/>
        <v>4</v>
      </c>
      <c r="F34" s="44">
        <f t="shared" si="4"/>
        <v>75</v>
      </c>
      <c r="G34" s="45">
        <f>IF(D34=D33,"",_xlfn.IFNA(VLOOKUP(D34,'인원 입력 기능'!$CX$5:$DA$55,4,FALSE),0))</f>
        <v>77</v>
      </c>
      <c r="H34" s="46">
        <f t="shared" si="2"/>
        <v>2.5908479138627188E-2</v>
      </c>
      <c r="I34" s="50">
        <f>SUM($G$7:G34)</f>
        <v>785</v>
      </c>
      <c r="J34" s="48">
        <f t="shared" si="3"/>
        <v>0.26413189771197848</v>
      </c>
      <c r="K34" s="18"/>
      <c r="M34" s="1"/>
    </row>
    <row r="35" spans="1:13" ht="25" customHeight="1">
      <c r="A35" s="5"/>
      <c r="B35" s="17"/>
      <c r="C35" s="51">
        <v>22</v>
      </c>
      <c r="D35" s="53">
        <f t="shared" si="1"/>
        <v>55</v>
      </c>
      <c r="E35" s="53">
        <f t="shared" si="0"/>
        <v>4</v>
      </c>
      <c r="F35" s="44">
        <f t="shared" si="4"/>
        <v>72</v>
      </c>
      <c r="G35" s="45">
        <f>IF(D35=D34,"",_xlfn.IFNA(VLOOKUP(D35,'인원 입력 기능'!$CX$5:$DA$55,4,FALSE),0))</f>
        <v>67</v>
      </c>
      <c r="H35" s="46">
        <f t="shared" si="2"/>
        <v>2.2543741588156124E-2</v>
      </c>
      <c r="I35" s="50">
        <f>SUM($G$7:G35)</f>
        <v>852</v>
      </c>
      <c r="J35" s="48">
        <f t="shared" si="3"/>
        <v>0.28667563930013457</v>
      </c>
      <c r="K35" s="18"/>
      <c r="M35" s="1"/>
    </row>
    <row r="36" spans="1:13" ht="25" customHeight="1">
      <c r="A36" s="5"/>
      <c r="B36" s="17"/>
      <c r="C36" s="52">
        <v>21</v>
      </c>
      <c r="D36" s="53">
        <f t="shared" si="1"/>
        <v>54</v>
      </c>
      <c r="E36" s="53">
        <f t="shared" si="0"/>
        <v>4</v>
      </c>
      <c r="F36" s="44">
        <f t="shared" si="4"/>
        <v>70</v>
      </c>
      <c r="G36" s="45">
        <f>IF(D36=D35,"",_xlfn.IFNA(VLOOKUP(D36,'인원 입력 기능'!$CX$5:$DA$55,4,FALSE),0))</f>
        <v>79</v>
      </c>
      <c r="H36" s="46">
        <f t="shared" si="2"/>
        <v>2.6581426648721401E-2</v>
      </c>
      <c r="I36" s="50">
        <f>SUM($G$7:G36)</f>
        <v>931</v>
      </c>
      <c r="J36" s="48">
        <f t="shared" si="3"/>
        <v>0.31325706594885599</v>
      </c>
      <c r="K36" s="18"/>
      <c r="M36" s="1"/>
    </row>
    <row r="37" spans="1:13" ht="25" customHeight="1">
      <c r="A37" s="5"/>
      <c r="B37" s="17"/>
      <c r="C37" s="51">
        <v>20</v>
      </c>
      <c r="D37" s="53">
        <f t="shared" si="1"/>
        <v>53</v>
      </c>
      <c r="E37" s="53">
        <f t="shared" si="0"/>
        <v>4</v>
      </c>
      <c r="F37" s="44">
        <f t="shared" si="4"/>
        <v>67</v>
      </c>
      <c r="G37" s="45">
        <f>IF(D37=D36,"",_xlfn.IFNA(VLOOKUP(D37,'인원 입력 기능'!$CX$5:$DA$55,4,FALSE),0))</f>
        <v>76</v>
      </c>
      <c r="H37" s="46">
        <f t="shared" si="2"/>
        <v>2.5572005383580079E-2</v>
      </c>
      <c r="I37" s="50">
        <f>SUM($G$7:G37)</f>
        <v>1007</v>
      </c>
      <c r="J37" s="48">
        <f t="shared" si="3"/>
        <v>0.33882907133243606</v>
      </c>
      <c r="K37" s="18"/>
      <c r="M37" s="1"/>
    </row>
    <row r="38" spans="1:13" ht="25" customHeight="1">
      <c r="A38" s="5"/>
      <c r="B38" s="17"/>
      <c r="C38" s="52">
        <v>19</v>
      </c>
      <c r="D38" s="53">
        <f t="shared" si="1"/>
        <v>52</v>
      </c>
      <c r="E38" s="53">
        <f t="shared" si="0"/>
        <v>4</v>
      </c>
      <c r="F38" s="44">
        <f t="shared" si="4"/>
        <v>65</v>
      </c>
      <c r="G38" s="45">
        <f>IF(D38=D37,"",_xlfn.IFNA(VLOOKUP(D38,'인원 입력 기능'!$CX$5:$DA$55,4,FALSE),0))</f>
        <v>96</v>
      </c>
      <c r="H38" s="46">
        <f t="shared" si="2"/>
        <v>3.2301480484522208E-2</v>
      </c>
      <c r="I38" s="50">
        <f>SUM($G$7:G38)</f>
        <v>1103</v>
      </c>
      <c r="J38" s="48">
        <f t="shared" si="3"/>
        <v>0.37113055181695825</v>
      </c>
      <c r="K38" s="18"/>
      <c r="M38" s="1"/>
    </row>
    <row r="39" spans="1:13" ht="25" customHeight="1">
      <c r="A39" s="5"/>
      <c r="B39" s="17"/>
      <c r="C39" s="51">
        <v>18</v>
      </c>
      <c r="D39" s="53">
        <f t="shared" si="1"/>
        <v>51</v>
      </c>
      <c r="E39" s="53">
        <f t="shared" si="0"/>
        <v>4</v>
      </c>
      <c r="F39" s="44">
        <f t="shared" si="4"/>
        <v>61</v>
      </c>
      <c r="G39" s="45">
        <f>IF(D39=D38,"",_xlfn.IFNA(VLOOKUP(D39,'인원 입력 기능'!$CX$5:$DA$55,4,FALSE),0))</f>
        <v>105</v>
      </c>
      <c r="H39" s="46">
        <f t="shared" si="2"/>
        <v>3.5329744279946167E-2</v>
      </c>
      <c r="I39" s="50">
        <f>SUM($G$7:G39)</f>
        <v>1208</v>
      </c>
      <c r="J39" s="48">
        <f t="shared" si="3"/>
        <v>0.40646029609690443</v>
      </c>
      <c r="K39" s="18"/>
      <c r="M39" s="1"/>
    </row>
    <row r="40" spans="1:13" ht="25" customHeight="1">
      <c r="A40" s="5"/>
      <c r="B40" s="17"/>
      <c r="C40" s="52">
        <v>17</v>
      </c>
      <c r="D40" s="53">
        <f t="shared" si="1"/>
        <v>50</v>
      </c>
      <c r="E40" s="53">
        <f t="shared" si="0"/>
        <v>5</v>
      </c>
      <c r="F40" s="44">
        <f t="shared" si="4"/>
        <v>58</v>
      </c>
      <c r="G40" s="45">
        <f>IF(D40=D39,"",_xlfn.IFNA(VLOOKUP(D40,'인원 입력 기능'!$CX$5:$DA$55,4,FALSE),0))</f>
        <v>92</v>
      </c>
      <c r="H40" s="46">
        <f t="shared" si="2"/>
        <v>3.095558546433378E-2</v>
      </c>
      <c r="I40" s="50">
        <f>SUM($G$7:G40)</f>
        <v>1300</v>
      </c>
      <c r="J40" s="48">
        <f t="shared" si="3"/>
        <v>0.43741588156123823</v>
      </c>
      <c r="K40" s="18"/>
      <c r="M40" s="1"/>
    </row>
    <row r="41" spans="1:13" ht="25" customHeight="1">
      <c r="A41" s="5"/>
      <c r="B41" s="17"/>
      <c r="C41" s="51">
        <v>16</v>
      </c>
      <c r="D41" s="53">
        <f t="shared" si="1"/>
        <v>48</v>
      </c>
      <c r="E41" s="53">
        <f t="shared" si="0"/>
        <v>5</v>
      </c>
      <c r="F41" s="44">
        <f t="shared" si="4"/>
        <v>54</v>
      </c>
      <c r="G41" s="45">
        <f>IF(D41=D40,"",_xlfn.IFNA(VLOOKUP(D41,'인원 입력 기능'!$CX$5:$DA$55,4,FALSE),0))</f>
        <v>111</v>
      </c>
      <c r="H41" s="46">
        <f t="shared" si="2"/>
        <v>3.7348586810228804E-2</v>
      </c>
      <c r="I41" s="50">
        <f>SUM($G$7:G41)</f>
        <v>1411</v>
      </c>
      <c r="J41" s="48">
        <f t="shared" si="3"/>
        <v>0.47476446837146702</v>
      </c>
      <c r="K41" s="18"/>
      <c r="M41" s="1"/>
    </row>
    <row r="42" spans="1:13" ht="25" customHeight="1">
      <c r="A42" s="5"/>
      <c r="B42" s="17"/>
      <c r="C42" s="52">
        <v>15</v>
      </c>
      <c r="D42" s="53">
        <f t="shared" si="1"/>
        <v>47</v>
      </c>
      <c r="E42" s="53">
        <f t="shared" si="0"/>
        <v>5</v>
      </c>
      <c r="F42" s="44">
        <f t="shared" si="4"/>
        <v>51</v>
      </c>
      <c r="G42" s="45">
        <f>IF(D42=D41,"",_xlfn.IFNA(VLOOKUP(D42,'인원 입력 기능'!$CX$5:$DA$55,4,FALSE),0))</f>
        <v>119</v>
      </c>
      <c r="H42" s="46">
        <f t="shared" si="2"/>
        <v>4.0040376850605651E-2</v>
      </c>
      <c r="I42" s="50">
        <f>SUM($G$7:G42)</f>
        <v>1530</v>
      </c>
      <c r="J42" s="48">
        <f t="shared" si="3"/>
        <v>0.5148048452220727</v>
      </c>
      <c r="K42" s="18"/>
      <c r="M42" s="1"/>
    </row>
    <row r="43" spans="1:13" ht="25" customHeight="1">
      <c r="A43" s="5"/>
      <c r="B43" s="17"/>
      <c r="C43" s="51">
        <v>14</v>
      </c>
      <c r="D43" s="53">
        <f t="shared" si="1"/>
        <v>46</v>
      </c>
      <c r="E43" s="53">
        <f t="shared" si="0"/>
        <v>5</v>
      </c>
      <c r="F43" s="44">
        <f t="shared" si="4"/>
        <v>47</v>
      </c>
      <c r="G43" s="45">
        <f>IF(D43=D42,"",_xlfn.IFNA(VLOOKUP(D43,'인원 입력 기능'!$CX$5:$DA$55,4,FALSE),0))</f>
        <v>119</v>
      </c>
      <c r="H43" s="46">
        <f t="shared" si="2"/>
        <v>4.0040376850605651E-2</v>
      </c>
      <c r="I43" s="50">
        <f>SUM($G$7:G43)</f>
        <v>1649</v>
      </c>
      <c r="J43" s="48">
        <f t="shared" si="3"/>
        <v>0.55484522207267828</v>
      </c>
      <c r="K43" s="18"/>
      <c r="M43" s="1"/>
    </row>
    <row r="44" spans="1:13" ht="25" customHeight="1">
      <c r="A44" s="5"/>
      <c r="B44" s="17"/>
      <c r="C44" s="52">
        <v>13</v>
      </c>
      <c r="D44" s="53">
        <f t="shared" si="1"/>
        <v>45</v>
      </c>
      <c r="E44" s="53">
        <f t="shared" si="0"/>
        <v>5</v>
      </c>
      <c r="F44" s="44">
        <f t="shared" si="4"/>
        <v>42</v>
      </c>
      <c r="G44" s="45">
        <f>IF(D44=D43,"",_xlfn.IFNA(VLOOKUP(D44,'인원 입력 기능'!$CX$5:$DA$55,4,FALSE),0))</f>
        <v>129</v>
      </c>
      <c r="H44" s="46">
        <f t="shared" si="2"/>
        <v>4.3405114401076715E-2</v>
      </c>
      <c r="I44" s="50">
        <f>SUM($G$7:G44)</f>
        <v>1778</v>
      </c>
      <c r="J44" s="48">
        <f t="shared" si="3"/>
        <v>0.59825033647375503</v>
      </c>
      <c r="K44" s="18"/>
      <c r="M44" s="1"/>
    </row>
    <row r="45" spans="1:13" ht="25" customHeight="1">
      <c r="A45" s="5"/>
      <c r="B45" s="17"/>
      <c r="C45" s="51">
        <v>12</v>
      </c>
      <c r="D45" s="53">
        <f t="shared" si="1"/>
        <v>44</v>
      </c>
      <c r="E45" s="53">
        <f t="shared" si="0"/>
        <v>5</v>
      </c>
      <c r="F45" s="44">
        <f t="shared" si="4"/>
        <v>37</v>
      </c>
      <c r="G45" s="45">
        <f>IF(D45=D44,"",_xlfn.IFNA(VLOOKUP(D45,'인원 입력 기능'!$CX$5:$DA$55,4,FALSE),0))</f>
        <v>188</v>
      </c>
      <c r="H45" s="46">
        <f t="shared" si="2"/>
        <v>6.3257065948855995E-2</v>
      </c>
      <c r="I45" s="50">
        <f>SUM($G$7:G45)</f>
        <v>1966</v>
      </c>
      <c r="J45" s="48">
        <f t="shared" si="3"/>
        <v>0.66150740242261108</v>
      </c>
      <c r="K45" s="18"/>
      <c r="M45" s="1"/>
    </row>
    <row r="46" spans="1:13" ht="25" customHeight="1">
      <c r="A46" s="5"/>
      <c r="B46" s="17"/>
      <c r="C46" s="52">
        <v>11</v>
      </c>
      <c r="D46" s="53">
        <f t="shared" si="1"/>
        <v>43</v>
      </c>
      <c r="E46" s="53">
        <f t="shared" si="0"/>
        <v>6</v>
      </c>
      <c r="F46" s="44">
        <f t="shared" si="4"/>
        <v>32</v>
      </c>
      <c r="G46" s="45">
        <f>IF(D46=D45,"",_xlfn.IFNA(VLOOKUP(D46,'인원 입력 기능'!$CX$5:$DA$55,4,FALSE),0))</f>
        <v>112</v>
      </c>
      <c r="H46" s="46">
        <f t="shared" si="2"/>
        <v>3.7685060565275909E-2</v>
      </c>
      <c r="I46" s="50">
        <f>SUM($G$7:G46)</f>
        <v>2078</v>
      </c>
      <c r="J46" s="48">
        <f t="shared" si="3"/>
        <v>0.69919246298788695</v>
      </c>
      <c r="K46" s="18"/>
      <c r="M46" s="1"/>
    </row>
    <row r="47" spans="1:13" ht="25" customHeight="1">
      <c r="A47" s="5"/>
      <c r="B47" s="17"/>
      <c r="C47" s="51">
        <v>10</v>
      </c>
      <c r="D47" s="53">
        <f t="shared" si="1"/>
        <v>42</v>
      </c>
      <c r="E47" s="53">
        <f t="shared" si="0"/>
        <v>6</v>
      </c>
      <c r="F47" s="44">
        <f t="shared" si="4"/>
        <v>23</v>
      </c>
      <c r="G47" s="45">
        <f>IF(D47=D46,"",_xlfn.IFNA(VLOOKUP(D47,'인원 입력 기능'!$CX$5:$DA$55,4,FALSE),0))</f>
        <v>416</v>
      </c>
      <c r="H47" s="46">
        <f t="shared" si="2"/>
        <v>0.13997308209959622</v>
      </c>
      <c r="I47" s="50">
        <f>SUM($G$7:G47)</f>
        <v>2494</v>
      </c>
      <c r="J47" s="48">
        <f t="shared" si="3"/>
        <v>0.8391655450874832</v>
      </c>
      <c r="K47" s="18"/>
      <c r="M47" s="1"/>
    </row>
    <row r="48" spans="1:13" ht="25" customHeight="1">
      <c r="A48" s="5"/>
      <c r="B48" s="17"/>
      <c r="C48" s="52">
        <v>9</v>
      </c>
      <c r="D48" s="53">
        <f t="shared" si="1"/>
        <v>41</v>
      </c>
      <c r="E48" s="53">
        <f t="shared" si="0"/>
        <v>7</v>
      </c>
      <c r="F48" s="44">
        <f t="shared" si="4"/>
        <v>15</v>
      </c>
      <c r="G48" s="45">
        <f>IF(D48=D47,"",_xlfn.IFNA(VLOOKUP(D48,'인원 입력 기능'!$CX$5:$DA$55,4,FALSE),0))</f>
        <v>83</v>
      </c>
      <c r="H48" s="46">
        <f t="shared" si="2"/>
        <v>2.7927321668909825E-2</v>
      </c>
      <c r="I48" s="50">
        <f>SUM($G$7:G48)</f>
        <v>2577</v>
      </c>
      <c r="J48" s="48">
        <f t="shared" si="3"/>
        <v>0.86709286675639297</v>
      </c>
      <c r="K48" s="18"/>
      <c r="M48" s="1"/>
    </row>
    <row r="49" spans="1:13" ht="25" customHeight="1">
      <c r="A49" s="5"/>
      <c r="B49" s="17"/>
      <c r="C49" s="51">
        <v>8</v>
      </c>
      <c r="D49" s="53">
        <f t="shared" si="1"/>
        <v>40</v>
      </c>
      <c r="E49" s="53">
        <f t="shared" si="0"/>
        <v>7</v>
      </c>
      <c r="F49" s="44">
        <f t="shared" si="4"/>
        <v>11</v>
      </c>
      <c r="G49" s="45">
        <f>IF(D49=D48,"",_xlfn.IFNA(VLOOKUP(D49,'인원 입력 기능'!$CX$5:$DA$55,4,FALSE),0))</f>
        <v>125</v>
      </c>
      <c r="H49" s="46">
        <f t="shared" si="2"/>
        <v>4.2059219380888288E-2</v>
      </c>
      <c r="I49" s="50">
        <f>SUM($G$7:G49)</f>
        <v>2702</v>
      </c>
      <c r="J49" s="48">
        <f t="shared" si="3"/>
        <v>0.90915208613728127</v>
      </c>
      <c r="K49" s="18"/>
      <c r="M49" s="1"/>
    </row>
    <row r="50" spans="1:13" ht="25" customHeight="1">
      <c r="A50" s="5"/>
      <c r="B50" s="17"/>
      <c r="C50" s="52">
        <v>7</v>
      </c>
      <c r="D50" s="53">
        <f t="shared" si="1"/>
        <v>39</v>
      </c>
      <c r="E50" s="53">
        <f t="shared" si="0"/>
        <v>8</v>
      </c>
      <c r="F50" s="44">
        <f t="shared" si="4"/>
        <v>8</v>
      </c>
      <c r="G50" s="45">
        <f>IF(D50=D49,"",_xlfn.IFNA(VLOOKUP(D50,'인원 입력 기능'!$CX$5:$DA$55,4,FALSE),0))</f>
        <v>82</v>
      </c>
      <c r="H50" s="46">
        <f t="shared" si="2"/>
        <v>2.759084791386272E-2</v>
      </c>
      <c r="I50" s="50">
        <f>SUM($G$7:G50)</f>
        <v>2784</v>
      </c>
      <c r="J50" s="48">
        <f t="shared" si="3"/>
        <v>0.93674293405114406</v>
      </c>
      <c r="K50" s="18"/>
      <c r="M50" s="1"/>
    </row>
    <row r="51" spans="1:13" ht="25" customHeight="1">
      <c r="A51" s="5"/>
      <c r="B51" s="17"/>
      <c r="C51" s="51">
        <v>6</v>
      </c>
      <c r="D51" s="53">
        <f t="shared" si="1"/>
        <v>38</v>
      </c>
      <c r="E51" s="53">
        <f t="shared" si="0"/>
        <v>8</v>
      </c>
      <c r="F51" s="44">
        <f t="shared" si="4"/>
        <v>5</v>
      </c>
      <c r="G51" s="45">
        <f>IF(D51=D50,"",_xlfn.IFNA(VLOOKUP(D51,'인원 입력 기능'!$CX$5:$DA$55,4,FALSE),0))</f>
        <v>50</v>
      </c>
      <c r="H51" s="46">
        <f t="shared" si="2"/>
        <v>1.6823687752355317E-2</v>
      </c>
      <c r="I51" s="50">
        <f>SUM($G$7:G51)</f>
        <v>2834</v>
      </c>
      <c r="J51" s="48">
        <f t="shared" si="3"/>
        <v>0.95356662180349938</v>
      </c>
      <c r="K51" s="18"/>
      <c r="M51" s="1"/>
    </row>
    <row r="52" spans="1:13" ht="25" customHeight="1">
      <c r="A52" s="5"/>
      <c r="B52" s="17"/>
      <c r="C52" s="52">
        <v>5</v>
      </c>
      <c r="D52" s="53">
        <f t="shared" si="1"/>
        <v>37</v>
      </c>
      <c r="E52" s="53">
        <f t="shared" si="0"/>
        <v>8</v>
      </c>
      <c r="F52" s="44">
        <f t="shared" si="4"/>
        <v>4</v>
      </c>
      <c r="G52" s="45">
        <f>IF(D52=D51,"",_xlfn.IFNA(VLOOKUP(D52,'인원 입력 기능'!$CX$5:$DA$55,4,FALSE),0))</f>
        <v>50</v>
      </c>
      <c r="H52" s="46">
        <f t="shared" si="2"/>
        <v>1.6823687752355317E-2</v>
      </c>
      <c r="I52" s="50">
        <f>SUM($G$7:G52)</f>
        <v>2884</v>
      </c>
      <c r="J52" s="48">
        <f t="shared" si="3"/>
        <v>0.97039030955585459</v>
      </c>
      <c r="K52" s="18"/>
      <c r="M52" s="1"/>
    </row>
    <row r="53" spans="1:13" ht="25" customHeight="1">
      <c r="A53" s="5"/>
      <c r="B53" s="17"/>
      <c r="C53" s="42">
        <v>4</v>
      </c>
      <c r="D53" s="43">
        <f t="shared" si="1"/>
        <v>36</v>
      </c>
      <c r="E53" s="43">
        <f t="shared" si="0"/>
        <v>9</v>
      </c>
      <c r="F53" s="44">
        <f t="shared" si="4"/>
        <v>2</v>
      </c>
      <c r="G53" s="45">
        <f>IF(D53=D52,"",_xlfn.IFNA(VLOOKUP(D53,'인원 입력 기능'!$CX$5:$DA$55,4,FALSE),0))</f>
        <v>39</v>
      </c>
      <c r="H53" s="46">
        <f t="shared" si="2"/>
        <v>1.3122476446837146E-2</v>
      </c>
      <c r="I53" s="50">
        <f>SUM($G$7:G53)</f>
        <v>2923</v>
      </c>
      <c r="J53" s="48">
        <f t="shared" si="3"/>
        <v>0.98351278600269176</v>
      </c>
      <c r="K53" s="18"/>
      <c r="M53" s="1"/>
    </row>
    <row r="54" spans="1:13" ht="25" customHeight="1">
      <c r="A54" s="5"/>
      <c r="B54" s="17"/>
      <c r="C54" s="49">
        <v>3</v>
      </c>
      <c r="D54" s="43">
        <f t="shared" si="1"/>
        <v>35</v>
      </c>
      <c r="E54" s="43">
        <f t="shared" si="0"/>
        <v>9</v>
      </c>
      <c r="F54" s="44">
        <f t="shared" si="4"/>
        <v>1</v>
      </c>
      <c r="G54" s="45">
        <f>IF(D54=D53,"",_xlfn.IFNA(VLOOKUP(D54,'인원 입력 기능'!$CX$5:$DA$55,4,FALSE),0))</f>
        <v>15</v>
      </c>
      <c r="H54" s="46">
        <f t="shared" si="2"/>
        <v>5.0471063257065945E-3</v>
      </c>
      <c r="I54" s="50">
        <f>SUM($G$7:G54)</f>
        <v>2938</v>
      </c>
      <c r="J54" s="48">
        <f t="shared" si="3"/>
        <v>0.98855989232839836</v>
      </c>
      <c r="K54" s="18"/>
      <c r="M54" s="1"/>
    </row>
    <row r="55" spans="1:13" ht="25" customHeight="1">
      <c r="A55" s="5"/>
      <c r="B55" s="17"/>
      <c r="C55" s="42">
        <v>2</v>
      </c>
      <c r="D55" s="43">
        <f t="shared" si="1"/>
        <v>34</v>
      </c>
      <c r="E55" s="43">
        <f t="shared" si="0"/>
        <v>9</v>
      </c>
      <c r="F55" s="44">
        <f t="shared" si="4"/>
        <v>1</v>
      </c>
      <c r="G55" s="45">
        <f>IF(D55=D54,"",_xlfn.IFNA(VLOOKUP(D55,'인원 입력 기능'!$CX$5:$DA$55,4,FALSE),0))</f>
        <v>28</v>
      </c>
      <c r="H55" s="46">
        <f t="shared" si="2"/>
        <v>9.4212651413189772E-3</v>
      </c>
      <c r="I55" s="50">
        <f>SUM($G$7:G55)</f>
        <v>2966</v>
      </c>
      <c r="J55" s="48">
        <f t="shared" si="3"/>
        <v>0.99798115746971738</v>
      </c>
      <c r="K55" s="18"/>
      <c r="M55" s="1"/>
    </row>
    <row r="56" spans="1:13" ht="25" customHeight="1">
      <c r="A56" s="5"/>
      <c r="B56" s="17"/>
      <c r="C56" s="49">
        <v>1</v>
      </c>
      <c r="D56" s="111" t="s">
        <v>31</v>
      </c>
      <c r="E56" s="112"/>
      <c r="F56" s="112"/>
      <c r="G56" s="112"/>
      <c r="H56" s="112"/>
      <c r="I56" s="112"/>
      <c r="J56" s="113"/>
      <c r="K56" s="18"/>
      <c r="M56" s="1"/>
    </row>
    <row r="57" spans="1:13" ht="25" customHeight="1" thickBot="1">
      <c r="A57" s="5"/>
      <c r="B57" s="17"/>
      <c r="C57" s="57">
        <v>0</v>
      </c>
      <c r="D57" s="58">
        <f>ROUND(10*(C57-$H$3)/$H$4+50,0)</f>
        <v>32</v>
      </c>
      <c r="E57" s="59">
        <f t="shared" si="0"/>
        <v>9</v>
      </c>
      <c r="F57" s="60">
        <f>IF(I55=0,ROUND(100*(1-(I54+I57)/2/$J$3),0),ROUND(100*(1-(I55+I57)/2/$J$3),0))</f>
        <v>0</v>
      </c>
      <c r="G57" s="61">
        <f>_xlfn.IFNA(VLOOKUP(D57,'인원 입력 기능'!$CX$5:$DA$55,4,FALSE),0)</f>
        <v>6</v>
      </c>
      <c r="H57" s="62">
        <f>G57/J3</f>
        <v>2.018842530282638E-3</v>
      </c>
      <c r="I57" s="63">
        <f>SUM($G$7:G57)</f>
        <v>2972</v>
      </c>
      <c r="J57" s="64">
        <f>I57/J3</f>
        <v>1</v>
      </c>
      <c r="K57" s="18"/>
      <c r="M57" s="1"/>
    </row>
    <row r="58" spans="1:13" ht="6" customHeight="1">
      <c r="A58" s="5"/>
      <c r="B58" s="20"/>
      <c r="C58" s="21"/>
      <c r="D58" s="21"/>
      <c r="E58" s="21"/>
      <c r="F58" s="21"/>
      <c r="G58" s="21"/>
      <c r="H58" s="21"/>
      <c r="I58" s="21"/>
      <c r="J58" s="21"/>
      <c r="K58" s="22"/>
      <c r="M58" s="1"/>
    </row>
    <row r="59" spans="1:13">
      <c r="M59" s="1"/>
    </row>
    <row r="60" spans="1:13">
      <c r="M60" s="1"/>
    </row>
    <row r="61" spans="1:13">
      <c r="M61" s="1"/>
    </row>
    <row r="62" spans="1:13">
      <c r="M62" s="1"/>
    </row>
    <row r="63" spans="1:13">
      <c r="M63" s="1"/>
    </row>
    <row r="64" spans="1:13">
      <c r="M64" s="1"/>
    </row>
    <row r="65" spans="13:13">
      <c r="M65" s="1"/>
    </row>
    <row r="66" spans="13:13">
      <c r="M66" s="1"/>
    </row>
    <row r="67" spans="13:13">
      <c r="M67" s="1"/>
    </row>
    <row r="68" spans="13:13">
      <c r="M68" s="1"/>
    </row>
    <row r="69" spans="13:13">
      <c r="M69" s="1"/>
    </row>
    <row r="70" spans="13:13">
      <c r="M70" s="1"/>
    </row>
    <row r="71" spans="13:13">
      <c r="M71" s="1"/>
    </row>
    <row r="72" spans="13:13">
      <c r="M72" s="1"/>
    </row>
    <row r="73" spans="13:13">
      <c r="M73" s="1"/>
    </row>
    <row r="74" spans="13:13">
      <c r="M74" s="1"/>
    </row>
    <row r="75" spans="13:13">
      <c r="M75" s="1"/>
    </row>
    <row r="76" spans="13:13">
      <c r="M76" s="1"/>
    </row>
    <row r="77" spans="13:13">
      <c r="M77" s="1"/>
    </row>
    <row r="78" spans="13:13">
      <c r="M78" s="1"/>
    </row>
    <row r="79" spans="13:13">
      <c r="M79" s="1"/>
    </row>
    <row r="80" spans="13:13">
      <c r="M80" s="1"/>
    </row>
    <row r="81" spans="13:13">
      <c r="M81" s="1"/>
    </row>
    <row r="82" spans="13:13">
      <c r="M82" s="1"/>
    </row>
    <row r="83" spans="13:13">
      <c r="M83" s="1"/>
    </row>
    <row r="84" spans="13:13">
      <c r="M84" s="1"/>
    </row>
    <row r="85" spans="13:13">
      <c r="M85" s="1"/>
    </row>
    <row r="86" spans="13:13">
      <c r="M86" s="1"/>
    </row>
    <row r="87" spans="13:13">
      <c r="M87" s="1"/>
    </row>
    <row r="88" spans="13:13">
      <c r="M88" s="1"/>
    </row>
    <row r="89" spans="13:13">
      <c r="M89" s="1"/>
    </row>
    <row r="90" spans="13:13">
      <c r="M90" s="1"/>
    </row>
    <row r="91" spans="13:13">
      <c r="M91" s="1"/>
    </row>
    <row r="92" spans="13:13">
      <c r="M92" s="1"/>
    </row>
    <row r="93" spans="13:13">
      <c r="M93" s="1"/>
    </row>
    <row r="94" spans="13:13">
      <c r="M94" s="1"/>
    </row>
    <row r="95" spans="13:13">
      <c r="M95" s="1"/>
    </row>
    <row r="96" spans="13:13">
      <c r="M96" s="1"/>
    </row>
    <row r="97" spans="13:13">
      <c r="M97" s="1"/>
    </row>
    <row r="98" spans="13:13">
      <c r="M98" s="1"/>
    </row>
    <row r="99" spans="13:13">
      <c r="M99" s="1"/>
    </row>
    <row r="100" spans="13:13">
      <c r="M100" s="1"/>
    </row>
    <row r="101" spans="13:13">
      <c r="M101" s="1"/>
    </row>
    <row r="102" spans="13:13">
      <c r="M102" s="1"/>
    </row>
    <row r="103" spans="13:13">
      <c r="M103" s="1"/>
    </row>
    <row r="104" spans="13:13">
      <c r="M104" s="1"/>
    </row>
    <row r="105" spans="13:13">
      <c r="M105" s="1"/>
    </row>
  </sheetData>
  <mergeCells count="4">
    <mergeCell ref="D3:F3"/>
    <mergeCell ref="D4:F4"/>
    <mergeCell ref="D8:J8"/>
    <mergeCell ref="D56:J56"/>
  </mergeCells>
  <phoneticPr fontId="1" type="noConversion"/>
  <conditionalFormatting sqref="D7:J7 D57:J57 D9:J55">
    <cfRule type="expression" dxfId="20" priority="7">
      <formula>OR($D7=$P$7:$P$14)</formula>
    </cfRule>
  </conditionalFormatting>
  <conditionalFormatting sqref="C7:C57">
    <cfRule type="expression" dxfId="19" priority="6">
      <formula>OR(AND($D7=0,OR($D6=$P$7:$P$14)),AND($D8&gt;0,OR($D7=$P$7:$P$14)))</formula>
    </cfRule>
  </conditionalFormatting>
  <conditionalFormatting sqref="D7 D57 D9:D55">
    <cfRule type="expression" dxfId="18" priority="5">
      <formula>$D7=$D8</formula>
    </cfRule>
  </conditionalFormatting>
  <conditionalFormatting sqref="D56">
    <cfRule type="expression" dxfId="17" priority="4">
      <formula>OR($D56=$P$7:$P$14)</formula>
    </cfRule>
  </conditionalFormatting>
  <conditionalFormatting sqref="D56">
    <cfRule type="expression" dxfId="16" priority="3">
      <formula>$D56=$D57</formula>
    </cfRule>
  </conditionalFormatting>
  <conditionalFormatting sqref="D8">
    <cfRule type="expression" dxfId="15" priority="2">
      <formula>OR($D8=$P$7:$P$14)</formula>
    </cfRule>
  </conditionalFormatting>
  <conditionalFormatting sqref="D8">
    <cfRule type="expression" dxfId="14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F6E4B-89B4-44BC-A079-77F89F579B6D}">
  <sheetPr codeName="Sheet25"/>
  <dimension ref="A1:P105"/>
  <sheetViews>
    <sheetView zoomScaleNormal="100" workbookViewId="0">
      <selection activeCell="B2" sqref="B2:K58"/>
    </sheetView>
  </sheetViews>
  <sheetFormatPr defaultRowHeight="17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6">
      <c r="A1" s="5" t="s">
        <v>44</v>
      </c>
      <c r="C1" s="5"/>
      <c r="D1" s="5"/>
      <c r="E1" s="5"/>
      <c r="F1" s="5"/>
      <c r="G1" s="5"/>
      <c r="H1" s="5"/>
      <c r="I1" s="5"/>
      <c r="J1" s="5"/>
      <c r="K1" s="5"/>
    </row>
    <row r="2" spans="1:16" s="5" customFormat="1" ht="6" customHeight="1" thickBot="1">
      <c r="B2" s="15"/>
      <c r="C2" s="23"/>
      <c r="D2" s="23"/>
      <c r="E2" s="23"/>
      <c r="F2" s="23"/>
      <c r="G2" s="23"/>
      <c r="H2" s="23"/>
      <c r="I2" s="23"/>
      <c r="J2" s="23"/>
      <c r="K2" s="16"/>
    </row>
    <row r="3" spans="1:16" ht="25" customHeight="1" thickBot="1">
      <c r="A3" s="5"/>
      <c r="B3" s="17"/>
      <c r="C3" s="37" t="s">
        <v>42</v>
      </c>
      <c r="D3" s="105" t="s">
        <v>115</v>
      </c>
      <c r="E3" s="106"/>
      <c r="F3" s="107"/>
      <c r="G3" s="34" t="s">
        <v>48</v>
      </c>
      <c r="H3" s="101">
        <f>'통계 및 응시자 수 입력 기능'!D25</f>
        <v>13.234567901234568</v>
      </c>
      <c r="I3" s="103" t="s">
        <v>49</v>
      </c>
      <c r="J3" s="104">
        <f>'통계 및 응시자 수 입력 기능'!C25</f>
        <v>162</v>
      </c>
      <c r="K3" s="18"/>
    </row>
    <row r="4" spans="1:16" ht="25" customHeight="1" thickBot="1">
      <c r="A4" s="5"/>
      <c r="B4" s="17"/>
      <c r="C4" s="35" t="s">
        <v>50</v>
      </c>
      <c r="D4" s="118" t="s">
        <v>43</v>
      </c>
      <c r="E4" s="109"/>
      <c r="F4" s="110"/>
      <c r="G4" s="36" t="s">
        <v>52</v>
      </c>
      <c r="H4" s="102">
        <f>'통계 및 응시자 수 입력 기능'!E25</f>
        <v>5.2617220223469756</v>
      </c>
      <c r="I4" s="12"/>
      <c r="J4" s="12"/>
      <c r="K4" s="18"/>
    </row>
    <row r="5" spans="1:16" ht="25" customHeight="1" thickBot="1">
      <c r="A5" s="5"/>
      <c r="B5" s="17"/>
      <c r="C5" s="12"/>
      <c r="D5" s="12"/>
      <c r="E5" s="12"/>
      <c r="F5" s="12"/>
      <c r="G5" s="12"/>
      <c r="H5" s="19"/>
      <c r="I5" s="19"/>
      <c r="J5" s="19"/>
      <c r="K5" s="18"/>
    </row>
    <row r="6" spans="1:16" ht="25" customHeight="1" thickBot="1">
      <c r="A6" s="5"/>
      <c r="B6" s="17"/>
      <c r="C6" s="38" t="s">
        <v>73</v>
      </c>
      <c r="D6" s="39" t="s">
        <v>74</v>
      </c>
      <c r="E6" s="39" t="s">
        <v>75</v>
      </c>
      <c r="F6" s="39" t="s">
        <v>76</v>
      </c>
      <c r="G6" s="39" t="s">
        <v>77</v>
      </c>
      <c r="H6" s="40" t="s">
        <v>78</v>
      </c>
      <c r="I6" s="40" t="s">
        <v>79</v>
      </c>
      <c r="J6" s="41" t="s">
        <v>80</v>
      </c>
      <c r="K6" s="18"/>
      <c r="L6" s="3"/>
      <c r="M6" s="4"/>
    </row>
    <row r="7" spans="1:16" ht="25" customHeight="1">
      <c r="A7" s="5"/>
      <c r="B7" s="17"/>
      <c r="C7" s="42">
        <v>50</v>
      </c>
      <c r="D7" s="43">
        <f>ROUND(10*(C7-$H$3)/$H$4+50,0)</f>
        <v>120</v>
      </c>
      <c r="E7" s="43">
        <f t="shared" ref="E7:E57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44">
        <f>ROUND(100*(1-(0+I7)/2/$J$3),0)</f>
        <v>100</v>
      </c>
      <c r="G7" s="45">
        <f>_xlfn.IFNA(VLOOKUP(D7,'인원 입력 기능'!$DC$5:$DF$55,4,FALSE),0)</f>
        <v>0</v>
      </c>
      <c r="H7" s="46">
        <f>G7/J3</f>
        <v>0</v>
      </c>
      <c r="I7" s="47">
        <f>G7</f>
        <v>0</v>
      </c>
      <c r="J7" s="48">
        <f>I7/J3</f>
        <v>0</v>
      </c>
      <c r="K7" s="18"/>
      <c r="M7" s="1"/>
      <c r="O7" s="1">
        <v>1</v>
      </c>
      <c r="P7" s="1">
        <f>'표준점수 등급컷 입력기능'!B80</f>
        <v>74</v>
      </c>
    </row>
    <row r="8" spans="1:16" ht="25" customHeight="1">
      <c r="A8" s="5"/>
      <c r="B8" s="17"/>
      <c r="C8" s="49">
        <v>49</v>
      </c>
      <c r="D8" s="111" t="s">
        <v>31</v>
      </c>
      <c r="E8" s="112"/>
      <c r="F8" s="112"/>
      <c r="G8" s="112"/>
      <c r="H8" s="112"/>
      <c r="I8" s="112"/>
      <c r="J8" s="113"/>
      <c r="K8" s="18"/>
      <c r="M8" s="1"/>
      <c r="O8" s="1">
        <v>2</v>
      </c>
      <c r="P8" s="1">
        <f>'표준점수 등급컷 입력기능'!B81</f>
        <v>63</v>
      </c>
    </row>
    <row r="9" spans="1:16" ht="25" customHeight="1">
      <c r="A9" s="5"/>
      <c r="B9" s="17"/>
      <c r="C9" s="42">
        <v>48</v>
      </c>
      <c r="D9" s="43">
        <f>ROUND(10*(C9-$H$3)/$H$4+50,0)</f>
        <v>116</v>
      </c>
      <c r="E9" s="43">
        <f t="shared" si="0"/>
        <v>1</v>
      </c>
      <c r="F9" s="44">
        <f>IF(I8=0,ROUND(100*(1-(I7+I9)/2/$J$3),0),ROUND(100*(1-(I8+I9)/2/$J$3),0))</f>
        <v>100</v>
      </c>
      <c r="G9" s="45">
        <f>_xlfn.IFNA(VLOOKUP(D9,'인원 입력 기능'!$DC$5:$DF$55,4,FALSE),0)</f>
        <v>0</v>
      </c>
      <c r="H9" s="46">
        <f>G9/$J$3</f>
        <v>0</v>
      </c>
      <c r="I9" s="50">
        <f>SUM($G$7:G9)</f>
        <v>0</v>
      </c>
      <c r="J9" s="48">
        <f>I9/$J$3</f>
        <v>0</v>
      </c>
      <c r="K9" s="18"/>
      <c r="M9" s="1"/>
      <c r="O9" s="1">
        <v>3</v>
      </c>
      <c r="P9" s="1">
        <f>'표준점수 등급컷 입력기능'!B82</f>
        <v>53</v>
      </c>
    </row>
    <row r="10" spans="1:16" ht="25" customHeight="1">
      <c r="A10" s="5"/>
      <c r="B10" s="17"/>
      <c r="C10" s="49">
        <v>47</v>
      </c>
      <c r="D10" s="43">
        <f t="shared" ref="D10:D55" si="1">ROUND(10*(C10-$H$3)/$H$4+50,0)</f>
        <v>114</v>
      </c>
      <c r="E10" s="43">
        <f t="shared" si="0"/>
        <v>1</v>
      </c>
      <c r="F10" s="44">
        <f>IF(I9=0,ROUND(100*(1-(I8+I10)/2/$J$3),0),ROUND(100*(1-(I9+I10)/2/$J$3),0))</f>
        <v>100</v>
      </c>
      <c r="G10" s="45">
        <f>IF(D10=D9,"",_xlfn.IFNA(VLOOKUP(D10,'인원 입력 기능'!$DC$5:$DF$55,4,FALSE),0))</f>
        <v>0</v>
      </c>
      <c r="H10" s="46">
        <f t="shared" ref="H10:H55" si="2">G10/$J$3</f>
        <v>0</v>
      </c>
      <c r="I10" s="50">
        <f>SUM($G$7:G10)</f>
        <v>0</v>
      </c>
      <c r="J10" s="48">
        <f t="shared" ref="J10:J55" si="3">I10/$J$3</f>
        <v>0</v>
      </c>
      <c r="K10" s="18"/>
      <c r="M10" s="1"/>
      <c r="O10" s="1">
        <v>4</v>
      </c>
      <c r="P10" s="1">
        <f>'표준점수 등급컷 입력기능'!B83</f>
        <v>51</v>
      </c>
    </row>
    <row r="11" spans="1:16" ht="25" customHeight="1">
      <c r="A11" s="5"/>
      <c r="B11" s="17"/>
      <c r="C11" s="42">
        <v>46</v>
      </c>
      <c r="D11" s="43">
        <f t="shared" si="1"/>
        <v>112</v>
      </c>
      <c r="E11" s="43">
        <f t="shared" si="0"/>
        <v>1</v>
      </c>
      <c r="F11" s="44">
        <f t="shared" ref="F11:F55" si="4">IF(I10=0,ROUND(100*(1-(I9+I11)/2/$J$3),0),ROUND(100*(1-(I10+I11)/2/$J$3),0))</f>
        <v>100</v>
      </c>
      <c r="G11" s="45">
        <f>IF(D11=D10,"",_xlfn.IFNA(VLOOKUP(D11,'인원 입력 기능'!$DC$5:$DF$55,4,FALSE),0))</f>
        <v>0</v>
      </c>
      <c r="H11" s="46">
        <f t="shared" si="2"/>
        <v>0</v>
      </c>
      <c r="I11" s="50">
        <f>SUM($G$7:G11)</f>
        <v>0</v>
      </c>
      <c r="J11" s="48">
        <f t="shared" si="3"/>
        <v>0</v>
      </c>
      <c r="K11" s="18"/>
      <c r="M11" s="1"/>
      <c r="O11" s="1">
        <v>5</v>
      </c>
      <c r="P11" s="1">
        <f>'표준점수 등급컷 입력기능'!B84</f>
        <v>48</v>
      </c>
    </row>
    <row r="12" spans="1:16" ht="25" customHeight="1">
      <c r="A12" s="5"/>
      <c r="B12" s="17"/>
      <c r="C12" s="49">
        <v>45</v>
      </c>
      <c r="D12" s="43">
        <f t="shared" si="1"/>
        <v>110</v>
      </c>
      <c r="E12" s="43">
        <f t="shared" si="0"/>
        <v>1</v>
      </c>
      <c r="F12" s="44">
        <f t="shared" si="4"/>
        <v>100</v>
      </c>
      <c r="G12" s="45">
        <f>IF(D12=D11,"",_xlfn.IFNA(VLOOKUP(D12,'인원 입력 기능'!$DC$5:$DF$55,4,FALSE),0))</f>
        <v>0</v>
      </c>
      <c r="H12" s="46">
        <f t="shared" si="2"/>
        <v>0</v>
      </c>
      <c r="I12" s="50">
        <f>SUM($G$7:G12)</f>
        <v>0</v>
      </c>
      <c r="J12" s="48">
        <f t="shared" si="3"/>
        <v>0</v>
      </c>
      <c r="K12" s="18"/>
      <c r="M12" s="1"/>
      <c r="O12" s="1">
        <v>6</v>
      </c>
      <c r="P12" s="1">
        <f>'표준점수 등급컷 입력기능'!B85</f>
        <v>44</v>
      </c>
    </row>
    <row r="13" spans="1:16" ht="25" customHeight="1">
      <c r="A13" s="5"/>
      <c r="B13" s="17"/>
      <c r="C13" s="42">
        <v>44</v>
      </c>
      <c r="D13" s="43">
        <f t="shared" si="1"/>
        <v>108</v>
      </c>
      <c r="E13" s="43">
        <f t="shared" si="0"/>
        <v>1</v>
      </c>
      <c r="F13" s="44">
        <f t="shared" si="4"/>
        <v>100</v>
      </c>
      <c r="G13" s="45">
        <f>IF(D13=D12,"",_xlfn.IFNA(VLOOKUP(D13,'인원 입력 기능'!$DC$5:$DF$55,4,FALSE),0))</f>
        <v>0</v>
      </c>
      <c r="H13" s="46">
        <f t="shared" si="2"/>
        <v>0</v>
      </c>
      <c r="I13" s="50">
        <f>SUM($G$7:G13)</f>
        <v>0</v>
      </c>
      <c r="J13" s="48">
        <f t="shared" si="3"/>
        <v>0</v>
      </c>
      <c r="K13" s="18"/>
      <c r="M13" s="1"/>
      <c r="O13" s="1">
        <v>7</v>
      </c>
      <c r="P13" s="1">
        <f>'표준점수 등급컷 입력기능'!B86</f>
        <v>36</v>
      </c>
    </row>
    <row r="14" spans="1:16" ht="25" customHeight="1">
      <c r="A14" s="5"/>
      <c r="B14" s="17"/>
      <c r="C14" s="49">
        <v>43</v>
      </c>
      <c r="D14" s="43">
        <f t="shared" si="1"/>
        <v>107</v>
      </c>
      <c r="E14" s="43">
        <f t="shared" si="0"/>
        <v>1</v>
      </c>
      <c r="F14" s="44">
        <f t="shared" si="4"/>
        <v>100</v>
      </c>
      <c r="G14" s="45">
        <f>IF(D14=D13,"",_xlfn.IFNA(VLOOKUP(D14,'인원 입력 기능'!$DC$5:$DF$55,4,FALSE),0))</f>
        <v>0</v>
      </c>
      <c r="H14" s="46">
        <f t="shared" si="2"/>
        <v>0</v>
      </c>
      <c r="I14" s="50">
        <f>SUM($G$7:G14)</f>
        <v>0</v>
      </c>
      <c r="J14" s="48">
        <f t="shared" si="3"/>
        <v>0</v>
      </c>
      <c r="K14" s="18"/>
      <c r="M14" s="1"/>
      <c r="O14" s="1">
        <v>8</v>
      </c>
      <c r="P14" s="1">
        <f>'표준점수 등급컷 입력기능'!B87</f>
        <v>34</v>
      </c>
    </row>
    <row r="15" spans="1:16" ht="25" customHeight="1">
      <c r="A15" s="5"/>
      <c r="B15" s="17"/>
      <c r="C15" s="42">
        <v>42</v>
      </c>
      <c r="D15" s="43">
        <f t="shared" si="1"/>
        <v>105</v>
      </c>
      <c r="E15" s="43">
        <f t="shared" si="0"/>
        <v>1</v>
      </c>
      <c r="F15" s="44">
        <f t="shared" si="4"/>
        <v>100</v>
      </c>
      <c r="G15" s="45">
        <f>IF(D15=D14,"",_xlfn.IFNA(VLOOKUP(D15,'인원 입력 기능'!$DC$5:$DF$55,4,FALSE),0))</f>
        <v>0</v>
      </c>
      <c r="H15" s="46">
        <f t="shared" si="2"/>
        <v>0</v>
      </c>
      <c r="I15" s="50">
        <f>SUM($G$7:G15)</f>
        <v>0</v>
      </c>
      <c r="J15" s="48">
        <f t="shared" si="3"/>
        <v>0</v>
      </c>
      <c r="K15" s="18"/>
      <c r="M15" s="1"/>
      <c r="O15" s="1">
        <v>9</v>
      </c>
      <c r="P15" s="1"/>
    </row>
    <row r="16" spans="1:16" ht="25" customHeight="1">
      <c r="A16" s="5"/>
      <c r="B16" s="17"/>
      <c r="C16" s="49">
        <v>41</v>
      </c>
      <c r="D16" s="43">
        <f t="shared" si="1"/>
        <v>103</v>
      </c>
      <c r="E16" s="43">
        <f t="shared" si="0"/>
        <v>1</v>
      </c>
      <c r="F16" s="44">
        <f t="shared" si="4"/>
        <v>100</v>
      </c>
      <c r="G16" s="45">
        <f>IF(D16=D15,"",_xlfn.IFNA(VLOOKUP(D16,'인원 입력 기능'!$DC$5:$DF$55,4,FALSE),0))</f>
        <v>0</v>
      </c>
      <c r="H16" s="46">
        <f t="shared" si="2"/>
        <v>0</v>
      </c>
      <c r="I16" s="50">
        <f>SUM($G$7:G16)</f>
        <v>0</v>
      </c>
      <c r="J16" s="48">
        <f t="shared" si="3"/>
        <v>0</v>
      </c>
      <c r="K16" s="18"/>
      <c r="M16" s="1"/>
    </row>
    <row r="17" spans="1:16" ht="25" customHeight="1">
      <c r="A17" s="5"/>
      <c r="B17" s="17"/>
      <c r="C17" s="42">
        <v>40</v>
      </c>
      <c r="D17" s="43">
        <f t="shared" si="1"/>
        <v>101</v>
      </c>
      <c r="E17" s="43">
        <f t="shared" si="0"/>
        <v>1</v>
      </c>
      <c r="F17" s="44">
        <f t="shared" si="4"/>
        <v>100</v>
      </c>
      <c r="G17" s="45">
        <f>IF(D17=D16,"",_xlfn.IFNA(VLOOKUP(D17,'인원 입력 기능'!$DC$5:$DF$55,4,FALSE),0))</f>
        <v>0</v>
      </c>
      <c r="H17" s="46">
        <f t="shared" si="2"/>
        <v>0</v>
      </c>
      <c r="I17" s="50">
        <f>SUM($G$7:G17)</f>
        <v>0</v>
      </c>
      <c r="J17" s="48">
        <f t="shared" si="3"/>
        <v>0</v>
      </c>
      <c r="K17" s="18"/>
      <c r="M17" s="1"/>
      <c r="P17" s="1">
        <f>H3*H4*J3*P7*IFERROR(IF(J57=1, 1, 0), 0)</f>
        <v>834803.76917748176</v>
      </c>
    </row>
    <row r="18" spans="1:16" ht="25" customHeight="1">
      <c r="A18" s="5"/>
      <c r="B18" s="17"/>
      <c r="C18" s="49">
        <v>39</v>
      </c>
      <c r="D18" s="43">
        <f t="shared" si="1"/>
        <v>99</v>
      </c>
      <c r="E18" s="43">
        <f t="shared" si="0"/>
        <v>1</v>
      </c>
      <c r="F18" s="44">
        <f t="shared" si="4"/>
        <v>100</v>
      </c>
      <c r="G18" s="45">
        <f>IF(D18=D17,"",_xlfn.IFNA(VLOOKUP(D18,'인원 입력 기능'!$DC$5:$DF$55,4,FALSE),0))</f>
        <v>0</v>
      </c>
      <c r="H18" s="46">
        <f t="shared" si="2"/>
        <v>0</v>
      </c>
      <c r="I18" s="50">
        <f>SUM($G$7:G18)</f>
        <v>0</v>
      </c>
      <c r="J18" s="48">
        <f t="shared" si="3"/>
        <v>0</v>
      </c>
      <c r="K18" s="18"/>
      <c r="M18" s="1"/>
    </row>
    <row r="19" spans="1:16" ht="25" customHeight="1">
      <c r="A19" s="5"/>
      <c r="B19" s="17"/>
      <c r="C19" s="42">
        <v>38</v>
      </c>
      <c r="D19" s="43">
        <f t="shared" si="1"/>
        <v>97</v>
      </c>
      <c r="E19" s="43">
        <f t="shared" si="0"/>
        <v>1</v>
      </c>
      <c r="F19" s="44">
        <f t="shared" si="4"/>
        <v>100</v>
      </c>
      <c r="G19" s="45">
        <f>IF(D19=D18,"",_xlfn.IFNA(VLOOKUP(D19,'인원 입력 기능'!$DC$5:$DF$55,4,FALSE),0))</f>
        <v>0</v>
      </c>
      <c r="H19" s="46">
        <f t="shared" si="2"/>
        <v>0</v>
      </c>
      <c r="I19" s="50">
        <f>SUM($G$7:G19)</f>
        <v>0</v>
      </c>
      <c r="J19" s="48">
        <f t="shared" si="3"/>
        <v>0</v>
      </c>
      <c r="K19" s="18"/>
      <c r="M19" s="1"/>
    </row>
    <row r="20" spans="1:16" ht="25" customHeight="1">
      <c r="A20" s="5"/>
      <c r="B20" s="17"/>
      <c r="C20" s="49">
        <v>37</v>
      </c>
      <c r="D20" s="43">
        <f t="shared" si="1"/>
        <v>95</v>
      </c>
      <c r="E20" s="43">
        <f t="shared" si="0"/>
        <v>1</v>
      </c>
      <c r="F20" s="44">
        <f t="shared" si="4"/>
        <v>100</v>
      </c>
      <c r="G20" s="45">
        <f>IF(D20=D19,"",_xlfn.IFNA(VLOOKUP(D20,'인원 입력 기능'!$DC$5:$DF$55,4,FALSE),0))</f>
        <v>0</v>
      </c>
      <c r="H20" s="46">
        <f t="shared" si="2"/>
        <v>0</v>
      </c>
      <c r="I20" s="50">
        <f>SUM($G$7:G20)</f>
        <v>0</v>
      </c>
      <c r="J20" s="48">
        <f t="shared" si="3"/>
        <v>0</v>
      </c>
      <c r="K20" s="18"/>
      <c r="M20" s="1"/>
    </row>
    <row r="21" spans="1:16" ht="25" customHeight="1">
      <c r="A21" s="5"/>
      <c r="B21" s="17"/>
      <c r="C21" s="51">
        <v>36</v>
      </c>
      <c r="D21" s="53">
        <f t="shared" si="1"/>
        <v>93</v>
      </c>
      <c r="E21" s="53">
        <f t="shared" si="0"/>
        <v>1</v>
      </c>
      <c r="F21" s="44">
        <f t="shared" si="4"/>
        <v>100</v>
      </c>
      <c r="G21" s="45">
        <f>IF(D21=D20,"",_xlfn.IFNA(VLOOKUP(D21,'인원 입력 기능'!$DC$5:$DF$55,4,FALSE),0))</f>
        <v>0</v>
      </c>
      <c r="H21" s="46">
        <f t="shared" si="2"/>
        <v>0</v>
      </c>
      <c r="I21" s="50">
        <f>SUM($G$7:G21)</f>
        <v>0</v>
      </c>
      <c r="J21" s="48">
        <f t="shared" si="3"/>
        <v>0</v>
      </c>
      <c r="K21" s="18"/>
      <c r="M21" s="1"/>
    </row>
    <row r="22" spans="1:16" ht="25" customHeight="1">
      <c r="A22" s="5"/>
      <c r="B22" s="17"/>
      <c r="C22" s="52">
        <v>35</v>
      </c>
      <c r="D22" s="53">
        <f t="shared" si="1"/>
        <v>91</v>
      </c>
      <c r="E22" s="53">
        <f t="shared" si="0"/>
        <v>1</v>
      </c>
      <c r="F22" s="44">
        <f t="shared" si="4"/>
        <v>100</v>
      </c>
      <c r="G22" s="45">
        <f>IF(D22=D21,"",_xlfn.IFNA(VLOOKUP(D22,'인원 입력 기능'!$DC$5:$DF$55,4,FALSE),0))</f>
        <v>0</v>
      </c>
      <c r="H22" s="46">
        <f t="shared" si="2"/>
        <v>0</v>
      </c>
      <c r="I22" s="50">
        <f>SUM($G$7:G22)</f>
        <v>0</v>
      </c>
      <c r="J22" s="48">
        <f t="shared" si="3"/>
        <v>0</v>
      </c>
      <c r="K22" s="18"/>
      <c r="M22" s="1"/>
    </row>
    <row r="23" spans="1:16" ht="25" customHeight="1">
      <c r="A23" s="5"/>
      <c r="B23" s="17"/>
      <c r="C23" s="51">
        <v>34</v>
      </c>
      <c r="D23" s="53">
        <f t="shared" si="1"/>
        <v>89</v>
      </c>
      <c r="E23" s="53">
        <f t="shared" si="0"/>
        <v>1</v>
      </c>
      <c r="F23" s="44">
        <f t="shared" si="4"/>
        <v>100</v>
      </c>
      <c r="G23" s="45">
        <f>IF(D23=D22,"",_xlfn.IFNA(VLOOKUP(D23,'인원 입력 기능'!$DC$5:$DF$55,4,FALSE),0))</f>
        <v>0</v>
      </c>
      <c r="H23" s="46">
        <f t="shared" si="2"/>
        <v>0</v>
      </c>
      <c r="I23" s="50">
        <f>SUM($G$7:G23)</f>
        <v>0</v>
      </c>
      <c r="J23" s="48">
        <f t="shared" si="3"/>
        <v>0</v>
      </c>
      <c r="K23" s="18"/>
      <c r="M23" s="1"/>
    </row>
    <row r="24" spans="1:16" ht="25" customHeight="1">
      <c r="A24" s="5"/>
      <c r="B24" s="17"/>
      <c r="C24" s="52">
        <v>33</v>
      </c>
      <c r="D24" s="53">
        <f t="shared" si="1"/>
        <v>88</v>
      </c>
      <c r="E24" s="53">
        <f t="shared" si="0"/>
        <v>1</v>
      </c>
      <c r="F24" s="44">
        <f t="shared" si="4"/>
        <v>100</v>
      </c>
      <c r="G24" s="45">
        <f>IF(D24=D23,"",_xlfn.IFNA(VLOOKUP(D24,'인원 입력 기능'!$DC$5:$DF$55,4,FALSE),0))</f>
        <v>0</v>
      </c>
      <c r="H24" s="46">
        <f t="shared" si="2"/>
        <v>0</v>
      </c>
      <c r="I24" s="50">
        <f>SUM($G$7:G24)</f>
        <v>0</v>
      </c>
      <c r="J24" s="48">
        <f t="shared" si="3"/>
        <v>0</v>
      </c>
      <c r="K24" s="18"/>
      <c r="M24" s="1"/>
    </row>
    <row r="25" spans="1:16" ht="25" customHeight="1">
      <c r="A25" s="5"/>
      <c r="B25" s="17"/>
      <c r="C25" s="51">
        <v>32</v>
      </c>
      <c r="D25" s="53">
        <f t="shared" si="1"/>
        <v>86</v>
      </c>
      <c r="E25" s="53">
        <f t="shared" si="0"/>
        <v>1</v>
      </c>
      <c r="F25" s="44">
        <f t="shared" si="4"/>
        <v>100</v>
      </c>
      <c r="G25" s="45">
        <f>IF(D25=D24,"",_xlfn.IFNA(VLOOKUP(D25,'인원 입력 기능'!$DC$5:$DF$55,4,FALSE),0))</f>
        <v>1</v>
      </c>
      <c r="H25" s="46">
        <f t="shared" si="2"/>
        <v>6.1728395061728392E-3</v>
      </c>
      <c r="I25" s="50">
        <f>SUM($G$7:G25)</f>
        <v>1</v>
      </c>
      <c r="J25" s="48">
        <f t="shared" si="3"/>
        <v>6.1728395061728392E-3</v>
      </c>
      <c r="K25" s="18"/>
      <c r="M25" s="1"/>
    </row>
    <row r="26" spans="1:16" ht="25" customHeight="1">
      <c r="A26" s="5"/>
      <c r="B26" s="17"/>
      <c r="C26" s="52">
        <v>31</v>
      </c>
      <c r="D26" s="53">
        <f t="shared" si="1"/>
        <v>84</v>
      </c>
      <c r="E26" s="53">
        <f t="shared" si="0"/>
        <v>1</v>
      </c>
      <c r="F26" s="44">
        <f t="shared" si="4"/>
        <v>99</v>
      </c>
      <c r="G26" s="45">
        <f>IF(D26=D25,"",_xlfn.IFNA(VLOOKUP(D26,'인원 입력 기능'!$DC$5:$DF$55,4,FALSE),0))</f>
        <v>0</v>
      </c>
      <c r="H26" s="46">
        <f t="shared" si="2"/>
        <v>0</v>
      </c>
      <c r="I26" s="50">
        <f>SUM($G$7:G26)</f>
        <v>1</v>
      </c>
      <c r="J26" s="48">
        <f t="shared" si="3"/>
        <v>6.1728395061728392E-3</v>
      </c>
      <c r="K26" s="18"/>
      <c r="M26" s="1"/>
    </row>
    <row r="27" spans="1:16" ht="25" customHeight="1">
      <c r="A27" s="5"/>
      <c r="B27" s="17"/>
      <c r="C27" s="51">
        <v>30</v>
      </c>
      <c r="D27" s="53">
        <f t="shared" si="1"/>
        <v>82</v>
      </c>
      <c r="E27" s="53">
        <f t="shared" si="0"/>
        <v>1</v>
      </c>
      <c r="F27" s="44">
        <f t="shared" si="4"/>
        <v>99</v>
      </c>
      <c r="G27" s="45">
        <f>IF(D27=D26,"",_xlfn.IFNA(VLOOKUP(D27,'인원 입력 기능'!$DC$5:$DF$55,4,FALSE),0))</f>
        <v>0</v>
      </c>
      <c r="H27" s="46">
        <f t="shared" si="2"/>
        <v>0</v>
      </c>
      <c r="I27" s="50">
        <f>SUM($G$7:G27)</f>
        <v>1</v>
      </c>
      <c r="J27" s="48">
        <f t="shared" si="3"/>
        <v>6.1728395061728392E-3</v>
      </c>
      <c r="K27" s="18"/>
      <c r="M27" s="1"/>
    </row>
    <row r="28" spans="1:16" ht="25" customHeight="1">
      <c r="A28" s="5"/>
      <c r="B28" s="17"/>
      <c r="C28" s="52">
        <v>29</v>
      </c>
      <c r="D28" s="53">
        <f t="shared" si="1"/>
        <v>80</v>
      </c>
      <c r="E28" s="53">
        <f t="shared" si="0"/>
        <v>1</v>
      </c>
      <c r="F28" s="44">
        <f t="shared" si="4"/>
        <v>99</v>
      </c>
      <c r="G28" s="45">
        <f>IF(D28=D27,"",_xlfn.IFNA(VLOOKUP(D28,'인원 입력 기능'!$DC$5:$DF$55,4,FALSE),0))</f>
        <v>0</v>
      </c>
      <c r="H28" s="46">
        <f t="shared" si="2"/>
        <v>0</v>
      </c>
      <c r="I28" s="50">
        <f>SUM($G$7:G28)</f>
        <v>1</v>
      </c>
      <c r="J28" s="48">
        <f t="shared" si="3"/>
        <v>6.1728395061728392E-3</v>
      </c>
      <c r="K28" s="18"/>
      <c r="M28" s="1"/>
    </row>
    <row r="29" spans="1:16" ht="25" customHeight="1">
      <c r="A29" s="5"/>
      <c r="B29" s="17"/>
      <c r="C29" s="51">
        <v>28</v>
      </c>
      <c r="D29" s="53">
        <f t="shared" si="1"/>
        <v>78</v>
      </c>
      <c r="E29" s="53">
        <f t="shared" si="0"/>
        <v>1</v>
      </c>
      <c r="F29" s="44">
        <f t="shared" si="4"/>
        <v>99</v>
      </c>
      <c r="G29" s="45">
        <f>IF(D29=D28,"",_xlfn.IFNA(VLOOKUP(D29,'인원 입력 기능'!$DC$5:$DF$55,4,FALSE),0))</f>
        <v>1</v>
      </c>
      <c r="H29" s="46">
        <f t="shared" si="2"/>
        <v>6.1728395061728392E-3</v>
      </c>
      <c r="I29" s="50">
        <f>SUM($G$7:G29)</f>
        <v>2</v>
      </c>
      <c r="J29" s="48">
        <f t="shared" si="3"/>
        <v>1.2345679012345678E-2</v>
      </c>
      <c r="K29" s="18"/>
      <c r="M29" s="1"/>
    </row>
    <row r="30" spans="1:16" ht="25" customHeight="1">
      <c r="A30" s="5"/>
      <c r="B30" s="17"/>
      <c r="C30" s="52">
        <v>27</v>
      </c>
      <c r="D30" s="53">
        <f t="shared" si="1"/>
        <v>76</v>
      </c>
      <c r="E30" s="53">
        <f t="shared" si="0"/>
        <v>1</v>
      </c>
      <c r="F30" s="44">
        <f t="shared" si="4"/>
        <v>98</v>
      </c>
      <c r="G30" s="45">
        <f>IF(D30=D29,"",_xlfn.IFNA(VLOOKUP(D30,'인원 입력 기능'!$DC$5:$DF$55,4,FALSE),0))</f>
        <v>2</v>
      </c>
      <c r="H30" s="46">
        <f t="shared" si="2"/>
        <v>1.2345679012345678E-2</v>
      </c>
      <c r="I30" s="50">
        <f>SUM($G$7:G30)</f>
        <v>4</v>
      </c>
      <c r="J30" s="48">
        <f t="shared" si="3"/>
        <v>2.4691358024691357E-2</v>
      </c>
      <c r="K30" s="18"/>
      <c r="M30" s="1"/>
    </row>
    <row r="31" spans="1:16" ht="25" customHeight="1">
      <c r="A31" s="5"/>
      <c r="B31" s="17"/>
      <c r="C31" s="51">
        <v>26</v>
      </c>
      <c r="D31" s="53">
        <f t="shared" si="1"/>
        <v>74</v>
      </c>
      <c r="E31" s="53">
        <f t="shared" si="0"/>
        <v>1</v>
      </c>
      <c r="F31" s="44">
        <f t="shared" si="4"/>
        <v>97</v>
      </c>
      <c r="G31" s="45">
        <f>IF(D31=D30,"",_xlfn.IFNA(VLOOKUP(D31,'인원 입력 기능'!$DC$5:$DF$55,4,FALSE),0))</f>
        <v>3</v>
      </c>
      <c r="H31" s="46">
        <f t="shared" si="2"/>
        <v>1.8518518518518517E-2</v>
      </c>
      <c r="I31" s="50">
        <f>SUM($G$7:G31)</f>
        <v>7</v>
      </c>
      <c r="J31" s="48">
        <f t="shared" si="3"/>
        <v>4.3209876543209874E-2</v>
      </c>
      <c r="K31" s="18"/>
      <c r="M31" s="1"/>
    </row>
    <row r="32" spans="1:16" ht="25" customHeight="1">
      <c r="A32" s="5"/>
      <c r="B32" s="17"/>
      <c r="C32" s="52">
        <v>25</v>
      </c>
      <c r="D32" s="53">
        <f t="shared" si="1"/>
        <v>72</v>
      </c>
      <c r="E32" s="53">
        <f t="shared" si="0"/>
        <v>2</v>
      </c>
      <c r="F32" s="44">
        <f t="shared" si="4"/>
        <v>96</v>
      </c>
      <c r="G32" s="45">
        <f>IF(D32=D31,"",_xlfn.IFNA(VLOOKUP(D32,'인원 입력 기능'!$DC$5:$DF$55,4,FALSE),0))</f>
        <v>0</v>
      </c>
      <c r="H32" s="46">
        <f t="shared" si="2"/>
        <v>0</v>
      </c>
      <c r="I32" s="50">
        <f>SUM($G$7:G32)</f>
        <v>7</v>
      </c>
      <c r="J32" s="48">
        <f t="shared" si="3"/>
        <v>4.3209876543209874E-2</v>
      </c>
      <c r="K32" s="18"/>
      <c r="M32" s="1"/>
    </row>
    <row r="33" spans="1:13" ht="25" customHeight="1">
      <c r="A33" s="5"/>
      <c r="B33" s="17"/>
      <c r="C33" s="51">
        <v>24</v>
      </c>
      <c r="D33" s="53">
        <f t="shared" si="1"/>
        <v>70</v>
      </c>
      <c r="E33" s="53">
        <f t="shared" si="0"/>
        <v>2</v>
      </c>
      <c r="F33" s="44">
        <f t="shared" si="4"/>
        <v>95</v>
      </c>
      <c r="G33" s="45">
        <f>IF(D33=D32,"",_xlfn.IFNA(VLOOKUP(D33,'인원 입력 기능'!$DC$5:$DF$55,4,FALSE),0))</f>
        <v>1</v>
      </c>
      <c r="H33" s="46">
        <f t="shared" si="2"/>
        <v>6.1728395061728392E-3</v>
      </c>
      <c r="I33" s="50">
        <f>SUM($G$7:G33)</f>
        <v>8</v>
      </c>
      <c r="J33" s="48">
        <f t="shared" si="3"/>
        <v>4.9382716049382713E-2</v>
      </c>
      <c r="K33" s="18"/>
      <c r="M33" s="1"/>
    </row>
    <row r="34" spans="1:13" ht="25" customHeight="1">
      <c r="A34" s="5"/>
      <c r="B34" s="17"/>
      <c r="C34" s="52">
        <v>23</v>
      </c>
      <c r="D34" s="53">
        <f t="shared" si="1"/>
        <v>69</v>
      </c>
      <c r="E34" s="53">
        <f t="shared" si="0"/>
        <v>2</v>
      </c>
      <c r="F34" s="44">
        <f t="shared" si="4"/>
        <v>94</v>
      </c>
      <c r="G34" s="45">
        <f>IF(D34=D33,"",_xlfn.IFNA(VLOOKUP(D34,'인원 입력 기능'!$DC$5:$DF$55,4,FALSE),0))</f>
        <v>2</v>
      </c>
      <c r="H34" s="46">
        <f t="shared" si="2"/>
        <v>1.2345679012345678E-2</v>
      </c>
      <c r="I34" s="50">
        <f>SUM($G$7:G34)</f>
        <v>10</v>
      </c>
      <c r="J34" s="48">
        <f t="shared" si="3"/>
        <v>6.1728395061728392E-2</v>
      </c>
      <c r="K34" s="18"/>
      <c r="M34" s="1"/>
    </row>
    <row r="35" spans="1:13" ht="25" customHeight="1">
      <c r="A35" s="5"/>
      <c r="B35" s="17"/>
      <c r="C35" s="51">
        <v>22</v>
      </c>
      <c r="D35" s="53">
        <f t="shared" si="1"/>
        <v>67</v>
      </c>
      <c r="E35" s="53">
        <f t="shared" si="0"/>
        <v>2</v>
      </c>
      <c r="F35" s="44">
        <f t="shared" si="4"/>
        <v>94</v>
      </c>
      <c r="G35" s="45">
        <f>IF(D35=D34,"",_xlfn.IFNA(VLOOKUP(D35,'인원 입력 기능'!$DC$5:$DF$55,4,FALSE),0))</f>
        <v>0</v>
      </c>
      <c r="H35" s="46">
        <f t="shared" si="2"/>
        <v>0</v>
      </c>
      <c r="I35" s="50">
        <f>SUM($G$7:G35)</f>
        <v>10</v>
      </c>
      <c r="J35" s="48">
        <f t="shared" si="3"/>
        <v>6.1728395061728392E-2</v>
      </c>
      <c r="K35" s="18"/>
      <c r="M35" s="1"/>
    </row>
    <row r="36" spans="1:13" ht="25" customHeight="1">
      <c r="A36" s="5"/>
      <c r="B36" s="17"/>
      <c r="C36" s="52">
        <v>21</v>
      </c>
      <c r="D36" s="53">
        <f t="shared" si="1"/>
        <v>65</v>
      </c>
      <c r="E36" s="53">
        <f t="shared" si="0"/>
        <v>2</v>
      </c>
      <c r="F36" s="44">
        <f t="shared" si="4"/>
        <v>93</v>
      </c>
      <c r="G36" s="45">
        <f>IF(D36=D35,"",_xlfn.IFNA(VLOOKUP(D36,'인원 입력 기능'!$DC$5:$DF$55,4,FALSE),0))</f>
        <v>3</v>
      </c>
      <c r="H36" s="46">
        <f t="shared" si="2"/>
        <v>1.8518518518518517E-2</v>
      </c>
      <c r="I36" s="50">
        <f>SUM($G$7:G36)</f>
        <v>13</v>
      </c>
      <c r="J36" s="48">
        <f t="shared" si="3"/>
        <v>8.0246913580246909E-2</v>
      </c>
      <c r="K36" s="18"/>
      <c r="M36" s="1"/>
    </row>
    <row r="37" spans="1:13" ht="25" customHeight="1">
      <c r="A37" s="5"/>
      <c r="B37" s="17"/>
      <c r="C37" s="51">
        <v>20</v>
      </c>
      <c r="D37" s="53">
        <f t="shared" si="1"/>
        <v>63</v>
      </c>
      <c r="E37" s="53">
        <f t="shared" si="0"/>
        <v>2</v>
      </c>
      <c r="F37" s="44">
        <f t="shared" si="4"/>
        <v>90</v>
      </c>
      <c r="G37" s="45">
        <f>IF(D37=D36,"",_xlfn.IFNA(VLOOKUP(D37,'인원 입력 기능'!$DC$5:$DF$55,4,FALSE),0))</f>
        <v>5</v>
      </c>
      <c r="H37" s="46">
        <f t="shared" si="2"/>
        <v>3.0864197530864196E-2</v>
      </c>
      <c r="I37" s="50">
        <f>SUM($G$7:G37)</f>
        <v>18</v>
      </c>
      <c r="J37" s="48">
        <f t="shared" si="3"/>
        <v>0.1111111111111111</v>
      </c>
      <c r="K37" s="18"/>
      <c r="M37" s="1"/>
    </row>
    <row r="38" spans="1:13" ht="25" customHeight="1">
      <c r="A38" s="5"/>
      <c r="B38" s="17"/>
      <c r="C38" s="52">
        <v>19</v>
      </c>
      <c r="D38" s="53">
        <f t="shared" si="1"/>
        <v>61</v>
      </c>
      <c r="E38" s="53">
        <f t="shared" si="0"/>
        <v>3</v>
      </c>
      <c r="F38" s="44">
        <f t="shared" si="4"/>
        <v>88</v>
      </c>
      <c r="G38" s="45">
        <f>IF(D38=D37,"",_xlfn.IFNA(VLOOKUP(D38,'인원 입력 기능'!$DC$5:$DF$55,4,FALSE),0))</f>
        <v>3</v>
      </c>
      <c r="H38" s="46">
        <f t="shared" si="2"/>
        <v>1.8518518518518517E-2</v>
      </c>
      <c r="I38" s="50">
        <f>SUM($G$7:G38)</f>
        <v>21</v>
      </c>
      <c r="J38" s="48">
        <f t="shared" si="3"/>
        <v>0.12962962962962962</v>
      </c>
      <c r="K38" s="18"/>
      <c r="M38" s="1"/>
    </row>
    <row r="39" spans="1:13" ht="25" customHeight="1">
      <c r="A39" s="5"/>
      <c r="B39" s="17"/>
      <c r="C39" s="51">
        <v>18</v>
      </c>
      <c r="D39" s="53">
        <f t="shared" si="1"/>
        <v>59</v>
      </c>
      <c r="E39" s="53">
        <f t="shared" si="0"/>
        <v>3</v>
      </c>
      <c r="F39" s="44">
        <f t="shared" si="4"/>
        <v>86</v>
      </c>
      <c r="G39" s="45">
        <f>IF(D39=D38,"",_xlfn.IFNA(VLOOKUP(D39,'인원 입력 기능'!$DC$5:$DF$55,4,FALSE),0))</f>
        <v>4</v>
      </c>
      <c r="H39" s="46">
        <f t="shared" si="2"/>
        <v>2.4691358024691357E-2</v>
      </c>
      <c r="I39" s="50">
        <f>SUM($G$7:G39)</f>
        <v>25</v>
      </c>
      <c r="J39" s="48">
        <f t="shared" si="3"/>
        <v>0.15432098765432098</v>
      </c>
      <c r="K39" s="18"/>
      <c r="M39" s="1"/>
    </row>
    <row r="40" spans="1:13" ht="25" customHeight="1">
      <c r="A40" s="5"/>
      <c r="B40" s="17"/>
      <c r="C40" s="52">
        <v>17</v>
      </c>
      <c r="D40" s="53">
        <f t="shared" si="1"/>
        <v>57</v>
      </c>
      <c r="E40" s="53">
        <f t="shared" si="0"/>
        <v>3</v>
      </c>
      <c r="F40" s="44">
        <f t="shared" si="4"/>
        <v>82</v>
      </c>
      <c r="G40" s="45">
        <f>IF(D40=D39,"",_xlfn.IFNA(VLOOKUP(D40,'인원 입력 기능'!$DC$5:$DF$55,4,FALSE),0))</f>
        <v>8</v>
      </c>
      <c r="H40" s="46">
        <f t="shared" si="2"/>
        <v>4.9382716049382713E-2</v>
      </c>
      <c r="I40" s="50">
        <f>SUM($G$7:G40)</f>
        <v>33</v>
      </c>
      <c r="J40" s="48">
        <f t="shared" si="3"/>
        <v>0.20370370370370369</v>
      </c>
      <c r="K40" s="18"/>
      <c r="M40" s="1"/>
    </row>
    <row r="41" spans="1:13" ht="25" customHeight="1">
      <c r="A41" s="5"/>
      <c r="B41" s="17"/>
      <c r="C41" s="51">
        <v>16</v>
      </c>
      <c r="D41" s="53">
        <f t="shared" si="1"/>
        <v>55</v>
      </c>
      <c r="E41" s="53">
        <f t="shared" si="0"/>
        <v>3</v>
      </c>
      <c r="F41" s="44">
        <f t="shared" si="4"/>
        <v>78</v>
      </c>
      <c r="G41" s="45">
        <f>IF(D41=D40,"",_xlfn.IFNA(VLOOKUP(D41,'인원 입력 기능'!$DC$5:$DF$55,4,FALSE),0))</f>
        <v>4</v>
      </c>
      <c r="H41" s="46">
        <f t="shared" si="2"/>
        <v>2.4691358024691357E-2</v>
      </c>
      <c r="I41" s="50">
        <f>SUM($G$7:G41)</f>
        <v>37</v>
      </c>
      <c r="J41" s="48">
        <f t="shared" si="3"/>
        <v>0.22839506172839505</v>
      </c>
      <c r="K41" s="18"/>
      <c r="M41" s="1"/>
    </row>
    <row r="42" spans="1:13" ht="25" customHeight="1">
      <c r="A42" s="5"/>
      <c r="B42" s="17"/>
      <c r="C42" s="52">
        <v>15</v>
      </c>
      <c r="D42" s="53">
        <f t="shared" si="1"/>
        <v>53</v>
      </c>
      <c r="E42" s="53">
        <f t="shared" si="0"/>
        <v>3</v>
      </c>
      <c r="F42" s="44">
        <f t="shared" si="4"/>
        <v>69</v>
      </c>
      <c r="G42" s="45">
        <f>IF(D42=D41,"",_xlfn.IFNA(VLOOKUP(D42,'인원 입력 기능'!$DC$5:$DF$55,4,FALSE),0))</f>
        <v>25</v>
      </c>
      <c r="H42" s="46">
        <f t="shared" si="2"/>
        <v>0.15432098765432098</v>
      </c>
      <c r="I42" s="50">
        <f>SUM($G$7:G42)</f>
        <v>62</v>
      </c>
      <c r="J42" s="48">
        <f t="shared" si="3"/>
        <v>0.38271604938271603</v>
      </c>
      <c r="K42" s="18"/>
      <c r="M42" s="1"/>
    </row>
    <row r="43" spans="1:13" ht="25" customHeight="1">
      <c r="A43" s="5"/>
      <c r="B43" s="17"/>
      <c r="C43" s="51">
        <v>14</v>
      </c>
      <c r="D43" s="53">
        <f t="shared" si="1"/>
        <v>51</v>
      </c>
      <c r="E43" s="53">
        <f t="shared" si="0"/>
        <v>4</v>
      </c>
      <c r="F43" s="44">
        <f t="shared" si="4"/>
        <v>56</v>
      </c>
      <c r="G43" s="45">
        <f>IF(D43=D42,"",_xlfn.IFNA(VLOOKUP(D43,'인원 입력 기능'!$DC$5:$DF$55,4,FALSE),0))</f>
        <v>17</v>
      </c>
      <c r="H43" s="46">
        <f t="shared" si="2"/>
        <v>0.10493827160493827</v>
      </c>
      <c r="I43" s="50">
        <f>SUM($G$7:G43)</f>
        <v>79</v>
      </c>
      <c r="J43" s="48">
        <f t="shared" si="3"/>
        <v>0.48765432098765432</v>
      </c>
      <c r="K43" s="18"/>
      <c r="M43" s="1"/>
    </row>
    <row r="44" spans="1:13" ht="25" customHeight="1">
      <c r="A44" s="5"/>
      <c r="B44" s="17"/>
      <c r="C44" s="52">
        <v>13</v>
      </c>
      <c r="D44" s="53">
        <f t="shared" si="1"/>
        <v>50</v>
      </c>
      <c r="E44" s="53">
        <f t="shared" si="0"/>
        <v>5</v>
      </c>
      <c r="F44" s="44">
        <f t="shared" si="4"/>
        <v>47</v>
      </c>
      <c r="G44" s="45">
        <f>IF(D44=D43,"",_xlfn.IFNA(VLOOKUP(D44,'인원 입력 기능'!$DC$5:$DF$55,4,FALSE),0))</f>
        <v>13</v>
      </c>
      <c r="H44" s="46">
        <f t="shared" si="2"/>
        <v>8.0246913580246909E-2</v>
      </c>
      <c r="I44" s="50">
        <f>SUM($G$7:G44)</f>
        <v>92</v>
      </c>
      <c r="J44" s="48">
        <f t="shared" si="3"/>
        <v>0.5679012345679012</v>
      </c>
      <c r="K44" s="18"/>
      <c r="M44" s="1"/>
    </row>
    <row r="45" spans="1:13" ht="25" customHeight="1">
      <c r="A45" s="5"/>
      <c r="B45" s="17"/>
      <c r="C45" s="51">
        <v>12</v>
      </c>
      <c r="D45" s="53">
        <f t="shared" si="1"/>
        <v>48</v>
      </c>
      <c r="E45" s="53">
        <f t="shared" si="0"/>
        <v>5</v>
      </c>
      <c r="F45" s="44">
        <f t="shared" si="4"/>
        <v>40</v>
      </c>
      <c r="G45" s="45">
        <f>IF(D45=D44,"",_xlfn.IFNA(VLOOKUP(D45,'인원 입력 기능'!$DC$5:$DF$55,4,FALSE),0))</f>
        <v>12</v>
      </c>
      <c r="H45" s="46">
        <f t="shared" si="2"/>
        <v>7.407407407407407E-2</v>
      </c>
      <c r="I45" s="50">
        <f>SUM($G$7:G45)</f>
        <v>104</v>
      </c>
      <c r="J45" s="48">
        <f t="shared" si="3"/>
        <v>0.64197530864197527</v>
      </c>
      <c r="K45" s="18"/>
      <c r="M45" s="1"/>
    </row>
    <row r="46" spans="1:13" ht="25" customHeight="1">
      <c r="A46" s="5"/>
      <c r="B46" s="17"/>
      <c r="C46" s="52">
        <v>11</v>
      </c>
      <c r="D46" s="53">
        <f t="shared" si="1"/>
        <v>46</v>
      </c>
      <c r="E46" s="53">
        <f t="shared" si="0"/>
        <v>6</v>
      </c>
      <c r="F46" s="44">
        <f t="shared" si="4"/>
        <v>34</v>
      </c>
      <c r="G46" s="45">
        <f>IF(D46=D45,"",_xlfn.IFNA(VLOOKUP(D46,'인원 입력 기능'!$DC$5:$DF$55,4,FALSE),0))</f>
        <v>6</v>
      </c>
      <c r="H46" s="46">
        <f t="shared" si="2"/>
        <v>3.7037037037037035E-2</v>
      </c>
      <c r="I46" s="50">
        <f>SUM($G$7:G46)</f>
        <v>110</v>
      </c>
      <c r="J46" s="48">
        <f t="shared" si="3"/>
        <v>0.67901234567901236</v>
      </c>
      <c r="K46" s="18"/>
      <c r="M46" s="1"/>
    </row>
    <row r="47" spans="1:13" ht="25" customHeight="1">
      <c r="A47" s="5"/>
      <c r="B47" s="17"/>
      <c r="C47" s="51">
        <v>10</v>
      </c>
      <c r="D47" s="53">
        <f t="shared" si="1"/>
        <v>44</v>
      </c>
      <c r="E47" s="53">
        <f t="shared" si="0"/>
        <v>6</v>
      </c>
      <c r="F47" s="44">
        <f t="shared" si="4"/>
        <v>27</v>
      </c>
      <c r="G47" s="45">
        <f>IF(D47=D46,"",_xlfn.IFNA(VLOOKUP(D47,'인원 입력 기능'!$DC$5:$DF$55,4,FALSE),0))</f>
        <v>16</v>
      </c>
      <c r="H47" s="46">
        <f t="shared" si="2"/>
        <v>9.8765432098765427E-2</v>
      </c>
      <c r="I47" s="50">
        <f>SUM($G$7:G47)</f>
        <v>126</v>
      </c>
      <c r="J47" s="48">
        <f t="shared" si="3"/>
        <v>0.77777777777777779</v>
      </c>
      <c r="K47" s="18"/>
      <c r="M47" s="1"/>
    </row>
    <row r="48" spans="1:13" ht="25" customHeight="1">
      <c r="A48" s="5"/>
      <c r="B48" s="17"/>
      <c r="C48" s="52">
        <v>9</v>
      </c>
      <c r="D48" s="53">
        <f t="shared" si="1"/>
        <v>42</v>
      </c>
      <c r="E48" s="53">
        <f t="shared" si="0"/>
        <v>7</v>
      </c>
      <c r="F48" s="44">
        <f t="shared" si="4"/>
        <v>20</v>
      </c>
      <c r="G48" s="45">
        <f>IF(D48=D47,"",_xlfn.IFNA(VLOOKUP(D48,'인원 입력 기능'!$DC$5:$DF$55,4,FALSE),0))</f>
        <v>7</v>
      </c>
      <c r="H48" s="46">
        <f t="shared" si="2"/>
        <v>4.3209876543209874E-2</v>
      </c>
      <c r="I48" s="50">
        <f>SUM($G$7:G48)</f>
        <v>133</v>
      </c>
      <c r="J48" s="48">
        <f t="shared" si="3"/>
        <v>0.82098765432098764</v>
      </c>
      <c r="K48" s="18"/>
      <c r="M48" s="1"/>
    </row>
    <row r="49" spans="1:13" ht="25" customHeight="1">
      <c r="A49" s="5"/>
      <c r="B49" s="17"/>
      <c r="C49" s="51">
        <v>8</v>
      </c>
      <c r="D49" s="53">
        <f t="shared" si="1"/>
        <v>40</v>
      </c>
      <c r="E49" s="53">
        <f t="shared" si="0"/>
        <v>7</v>
      </c>
      <c r="F49" s="44">
        <f t="shared" si="4"/>
        <v>16</v>
      </c>
      <c r="G49" s="45">
        <f>IF(D49=D48,"",_xlfn.IFNA(VLOOKUP(D49,'인원 입력 기능'!$DC$5:$DF$55,4,FALSE),0))</f>
        <v>7</v>
      </c>
      <c r="H49" s="46">
        <f t="shared" si="2"/>
        <v>4.3209876543209874E-2</v>
      </c>
      <c r="I49" s="50">
        <f>SUM($G$7:G49)</f>
        <v>140</v>
      </c>
      <c r="J49" s="48">
        <f t="shared" si="3"/>
        <v>0.86419753086419748</v>
      </c>
      <c r="K49" s="18"/>
      <c r="M49" s="1"/>
    </row>
    <row r="50" spans="1:13" ht="25" customHeight="1">
      <c r="A50" s="5"/>
      <c r="B50" s="17"/>
      <c r="C50" s="52">
        <v>7</v>
      </c>
      <c r="D50" s="53">
        <f t="shared" si="1"/>
        <v>38</v>
      </c>
      <c r="E50" s="53">
        <f t="shared" si="0"/>
        <v>7</v>
      </c>
      <c r="F50" s="44">
        <f t="shared" si="4"/>
        <v>12</v>
      </c>
      <c r="G50" s="45">
        <f>IF(D50=D49,"",_xlfn.IFNA(VLOOKUP(D50,'인원 입력 기능'!$DC$5:$DF$55,4,FALSE),0))</f>
        <v>4</v>
      </c>
      <c r="H50" s="46">
        <f t="shared" si="2"/>
        <v>2.4691358024691357E-2</v>
      </c>
      <c r="I50" s="50">
        <f>SUM($G$7:G50)</f>
        <v>144</v>
      </c>
      <c r="J50" s="48">
        <f t="shared" si="3"/>
        <v>0.88888888888888884</v>
      </c>
      <c r="K50" s="18"/>
      <c r="M50" s="1"/>
    </row>
    <row r="51" spans="1:13" ht="25" customHeight="1">
      <c r="A51" s="5"/>
      <c r="B51" s="17"/>
      <c r="C51" s="51">
        <v>6</v>
      </c>
      <c r="D51" s="53">
        <f t="shared" si="1"/>
        <v>36</v>
      </c>
      <c r="E51" s="53">
        <f t="shared" si="0"/>
        <v>7</v>
      </c>
      <c r="F51" s="44">
        <f t="shared" si="4"/>
        <v>9</v>
      </c>
      <c r="G51" s="45">
        <f>IF(D51=D50,"",_xlfn.IFNA(VLOOKUP(D51,'인원 입력 기능'!$DC$5:$DF$55,4,FALSE),0))</f>
        <v>7</v>
      </c>
      <c r="H51" s="46">
        <f t="shared" si="2"/>
        <v>4.3209876543209874E-2</v>
      </c>
      <c r="I51" s="50">
        <f>SUM($G$7:G51)</f>
        <v>151</v>
      </c>
      <c r="J51" s="48">
        <f t="shared" si="3"/>
        <v>0.9320987654320988</v>
      </c>
      <c r="K51" s="18"/>
      <c r="M51" s="1"/>
    </row>
    <row r="52" spans="1:13" ht="25" customHeight="1">
      <c r="A52" s="5"/>
      <c r="B52" s="17"/>
      <c r="C52" s="52">
        <v>5</v>
      </c>
      <c r="D52" s="53">
        <f t="shared" si="1"/>
        <v>34</v>
      </c>
      <c r="E52" s="53">
        <f t="shared" si="0"/>
        <v>8</v>
      </c>
      <c r="F52" s="44">
        <f t="shared" si="4"/>
        <v>5</v>
      </c>
      <c r="G52" s="45">
        <f>IF(D52=D51,"",_xlfn.IFNA(VLOOKUP(D52,'인원 입력 기능'!$DC$5:$DF$55,4,FALSE),0))</f>
        <v>6</v>
      </c>
      <c r="H52" s="46">
        <f t="shared" si="2"/>
        <v>3.7037037037037035E-2</v>
      </c>
      <c r="I52" s="50">
        <f>SUM($G$7:G52)</f>
        <v>157</v>
      </c>
      <c r="J52" s="48">
        <f t="shared" si="3"/>
        <v>0.96913580246913578</v>
      </c>
      <c r="K52" s="18"/>
      <c r="M52" s="1"/>
    </row>
    <row r="53" spans="1:13" ht="25" customHeight="1">
      <c r="A53" s="5"/>
      <c r="B53" s="17"/>
      <c r="C53" s="42">
        <v>4</v>
      </c>
      <c r="D53" s="43">
        <f t="shared" si="1"/>
        <v>32</v>
      </c>
      <c r="E53" s="43">
        <f t="shared" si="0"/>
        <v>9</v>
      </c>
      <c r="F53" s="44">
        <f t="shared" si="4"/>
        <v>2</v>
      </c>
      <c r="G53" s="45">
        <f>IF(D53=D52,"",_xlfn.IFNA(VLOOKUP(D53,'인원 입력 기능'!$DC$5:$DF$55,4,FALSE),0))</f>
        <v>4</v>
      </c>
      <c r="H53" s="46">
        <f t="shared" si="2"/>
        <v>2.4691358024691357E-2</v>
      </c>
      <c r="I53" s="50">
        <f>SUM($G$7:G53)</f>
        <v>161</v>
      </c>
      <c r="J53" s="48">
        <f t="shared" si="3"/>
        <v>0.99382716049382713</v>
      </c>
      <c r="K53" s="18"/>
      <c r="M53" s="1"/>
    </row>
    <row r="54" spans="1:13" ht="25" customHeight="1">
      <c r="A54" s="5"/>
      <c r="B54" s="17"/>
      <c r="C54" s="49">
        <v>3</v>
      </c>
      <c r="D54" s="43">
        <f t="shared" si="1"/>
        <v>31</v>
      </c>
      <c r="E54" s="43">
        <f t="shared" si="0"/>
        <v>9</v>
      </c>
      <c r="F54" s="44">
        <f t="shared" si="4"/>
        <v>0</v>
      </c>
      <c r="G54" s="45">
        <f>IF(D54=D53,"",_xlfn.IFNA(VLOOKUP(D54,'인원 입력 기능'!$DC$5:$DF$55,4,FALSE),0))</f>
        <v>1</v>
      </c>
      <c r="H54" s="46">
        <f t="shared" si="2"/>
        <v>6.1728395061728392E-3</v>
      </c>
      <c r="I54" s="50">
        <f>SUM($G$7:G54)</f>
        <v>162</v>
      </c>
      <c r="J54" s="48">
        <f t="shared" si="3"/>
        <v>1</v>
      </c>
      <c r="K54" s="18"/>
      <c r="M54" s="1"/>
    </row>
    <row r="55" spans="1:13" ht="25" customHeight="1">
      <c r="A55" s="5"/>
      <c r="B55" s="17"/>
      <c r="C55" s="42">
        <v>2</v>
      </c>
      <c r="D55" s="43">
        <f t="shared" si="1"/>
        <v>29</v>
      </c>
      <c r="E55" s="43">
        <f t="shared" si="0"/>
        <v>9</v>
      </c>
      <c r="F55" s="44">
        <f t="shared" si="4"/>
        <v>0</v>
      </c>
      <c r="G55" s="45">
        <f>IF(D55=D54,"",_xlfn.IFNA(VLOOKUP(D55,'인원 입력 기능'!$DC$5:$DF$55,4,FALSE),0))</f>
        <v>0</v>
      </c>
      <c r="H55" s="46">
        <f t="shared" si="2"/>
        <v>0</v>
      </c>
      <c r="I55" s="50">
        <f>SUM($G$7:G55)</f>
        <v>162</v>
      </c>
      <c r="J55" s="48">
        <f t="shared" si="3"/>
        <v>1</v>
      </c>
      <c r="K55" s="18"/>
      <c r="M55" s="1"/>
    </row>
    <row r="56" spans="1:13" ht="25" customHeight="1">
      <c r="A56" s="5"/>
      <c r="B56" s="17"/>
      <c r="C56" s="49">
        <v>1</v>
      </c>
      <c r="D56" s="111" t="s">
        <v>31</v>
      </c>
      <c r="E56" s="112"/>
      <c r="F56" s="112"/>
      <c r="G56" s="112"/>
      <c r="H56" s="112"/>
      <c r="I56" s="112"/>
      <c r="J56" s="113"/>
      <c r="K56" s="18"/>
      <c r="M56" s="1"/>
    </row>
    <row r="57" spans="1:13" ht="25" customHeight="1" thickBot="1">
      <c r="A57" s="5"/>
      <c r="B57" s="17"/>
      <c r="C57" s="57">
        <v>0</v>
      </c>
      <c r="D57" s="58">
        <f>ROUND(10*(C57-$H$3)/$H$4+50,0)</f>
        <v>25</v>
      </c>
      <c r="E57" s="59">
        <f t="shared" si="0"/>
        <v>9</v>
      </c>
      <c r="F57" s="60">
        <f>IF(I55=0,ROUND(100*(1-(I54+I57)/2/$J$3),0),ROUND(100*(1-(I55+I57)/2/$J$3),0))</f>
        <v>0</v>
      </c>
      <c r="G57" s="61">
        <f>_xlfn.IFNA(VLOOKUP(D57,'인원 입력 기능'!$DC$5:$DF$55,4,FALSE),0)</f>
        <v>0</v>
      </c>
      <c r="H57" s="62">
        <f>G57/J3</f>
        <v>0</v>
      </c>
      <c r="I57" s="63">
        <f>SUM($G$7:G57)</f>
        <v>162</v>
      </c>
      <c r="J57" s="64">
        <f>I57/J3</f>
        <v>1</v>
      </c>
      <c r="K57" s="18"/>
      <c r="M57" s="1"/>
    </row>
    <row r="58" spans="1:13" ht="6" customHeight="1">
      <c r="A58" s="5"/>
      <c r="B58" s="20"/>
      <c r="C58" s="21"/>
      <c r="D58" s="21"/>
      <c r="E58" s="21"/>
      <c r="F58" s="21"/>
      <c r="G58" s="21"/>
      <c r="H58" s="21"/>
      <c r="I58" s="21"/>
      <c r="J58" s="21"/>
      <c r="K58" s="22"/>
      <c r="M58" s="1"/>
    </row>
    <row r="59" spans="1:13">
      <c r="M59" s="1"/>
    </row>
    <row r="60" spans="1:13">
      <c r="M60" s="1"/>
    </row>
    <row r="61" spans="1:13">
      <c r="M61" s="1"/>
    </row>
    <row r="62" spans="1:13">
      <c r="M62" s="1"/>
    </row>
    <row r="63" spans="1:13">
      <c r="M63" s="1"/>
    </row>
    <row r="64" spans="1:13">
      <c r="M64" s="1"/>
    </row>
    <row r="65" spans="13:13">
      <c r="M65" s="1"/>
    </row>
    <row r="66" spans="13:13">
      <c r="M66" s="1"/>
    </row>
    <row r="67" spans="13:13">
      <c r="M67" s="1"/>
    </row>
    <row r="68" spans="13:13">
      <c r="M68" s="1"/>
    </row>
    <row r="69" spans="13:13">
      <c r="M69" s="1"/>
    </row>
    <row r="70" spans="13:13">
      <c r="M70" s="1"/>
    </row>
    <row r="71" spans="13:13">
      <c r="M71" s="1"/>
    </row>
    <row r="72" spans="13:13">
      <c r="M72" s="1"/>
    </row>
    <row r="73" spans="13:13">
      <c r="M73" s="1"/>
    </row>
    <row r="74" spans="13:13">
      <c r="M74" s="1"/>
    </row>
    <row r="75" spans="13:13">
      <c r="M75" s="1"/>
    </row>
    <row r="76" spans="13:13">
      <c r="M76" s="1"/>
    </row>
    <row r="77" spans="13:13">
      <c r="M77" s="1"/>
    </row>
    <row r="78" spans="13:13">
      <c r="M78" s="1"/>
    </row>
    <row r="79" spans="13:13">
      <c r="M79" s="1"/>
    </row>
    <row r="80" spans="13:13">
      <c r="M80" s="1"/>
    </row>
    <row r="81" spans="13:13">
      <c r="M81" s="1"/>
    </row>
    <row r="82" spans="13:13">
      <c r="M82" s="1"/>
    </row>
    <row r="83" spans="13:13">
      <c r="M83" s="1"/>
    </row>
    <row r="84" spans="13:13">
      <c r="M84" s="1"/>
    </row>
    <row r="85" spans="13:13">
      <c r="M85" s="1"/>
    </row>
    <row r="86" spans="13:13">
      <c r="M86" s="1"/>
    </row>
    <row r="87" spans="13:13">
      <c r="M87" s="1"/>
    </row>
    <row r="88" spans="13:13">
      <c r="M88" s="1"/>
    </row>
    <row r="89" spans="13:13">
      <c r="M89" s="1"/>
    </row>
    <row r="90" spans="13:13">
      <c r="M90" s="1"/>
    </row>
    <row r="91" spans="13:13">
      <c r="M91" s="1"/>
    </row>
    <row r="92" spans="13:13">
      <c r="M92" s="1"/>
    </row>
    <row r="93" spans="13:13">
      <c r="M93" s="1"/>
    </row>
    <row r="94" spans="13:13">
      <c r="M94" s="1"/>
    </row>
    <row r="95" spans="13:13">
      <c r="M95" s="1"/>
    </row>
    <row r="96" spans="13:13">
      <c r="M96" s="1"/>
    </row>
    <row r="97" spans="13:13">
      <c r="M97" s="1"/>
    </row>
    <row r="98" spans="13:13">
      <c r="M98" s="1"/>
    </row>
    <row r="99" spans="13:13">
      <c r="M99" s="1"/>
    </row>
    <row r="100" spans="13:13">
      <c r="M100" s="1"/>
    </row>
    <row r="101" spans="13:13">
      <c r="M101" s="1"/>
    </row>
    <row r="102" spans="13:13">
      <c r="M102" s="1"/>
    </row>
    <row r="103" spans="13:13">
      <c r="M103" s="1"/>
    </row>
    <row r="104" spans="13:13">
      <c r="M104" s="1"/>
    </row>
    <row r="105" spans="13:13">
      <c r="M105" s="1"/>
    </row>
  </sheetData>
  <mergeCells count="4">
    <mergeCell ref="D3:F3"/>
    <mergeCell ref="D4:F4"/>
    <mergeCell ref="D8:J8"/>
    <mergeCell ref="D56:J56"/>
  </mergeCells>
  <phoneticPr fontId="1" type="noConversion"/>
  <conditionalFormatting sqref="D7:J7 D57:J57 D9:J55">
    <cfRule type="expression" dxfId="13" priority="7">
      <formula>OR($D7=$P$7:$P$14)</formula>
    </cfRule>
  </conditionalFormatting>
  <conditionalFormatting sqref="C7:C57">
    <cfRule type="expression" dxfId="12" priority="6">
      <formula>OR(AND($D7=0,OR($D6=$P$7:$P$14)),AND($D8&gt;0,OR($D7=$P$7:$P$14)))</formula>
    </cfRule>
  </conditionalFormatting>
  <conditionalFormatting sqref="D7 D57 D9:D55">
    <cfRule type="expression" dxfId="11" priority="5">
      <formula>$D7=$D8</formula>
    </cfRule>
  </conditionalFormatting>
  <conditionalFormatting sqref="D56">
    <cfRule type="expression" dxfId="10" priority="4">
      <formula>OR($D56=$P$7:$P$14)</formula>
    </cfRule>
  </conditionalFormatting>
  <conditionalFormatting sqref="D56">
    <cfRule type="expression" dxfId="9" priority="3">
      <formula>$D56=$D57</formula>
    </cfRule>
  </conditionalFormatting>
  <conditionalFormatting sqref="D8">
    <cfRule type="expression" dxfId="8" priority="2">
      <formula>OR($D8=$P$7:$P$14)</formula>
    </cfRule>
  </conditionalFormatting>
  <conditionalFormatting sqref="D8">
    <cfRule type="expression" dxfId="7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887B5-175F-43AD-9228-5AE37A0C27DF}">
  <sheetPr codeName="Sheet26"/>
  <dimension ref="A1:P105"/>
  <sheetViews>
    <sheetView tabSelected="1" topLeftCell="A55" zoomScaleNormal="100" workbookViewId="0">
      <selection activeCell="B2" sqref="B2:K58"/>
    </sheetView>
  </sheetViews>
  <sheetFormatPr defaultRowHeight="17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6">
      <c r="A1" s="5" t="s">
        <v>44</v>
      </c>
      <c r="C1" s="5"/>
      <c r="D1" s="5"/>
      <c r="E1" s="5"/>
      <c r="F1" s="5"/>
      <c r="G1" s="5"/>
      <c r="H1" s="5"/>
      <c r="I1" s="5"/>
      <c r="J1" s="5"/>
      <c r="K1" s="5"/>
    </row>
    <row r="2" spans="1:16" s="5" customFormat="1" ht="6" customHeight="1" thickBot="1">
      <c r="B2" s="15"/>
      <c r="C2" s="23"/>
      <c r="D2" s="23"/>
      <c r="E2" s="23"/>
      <c r="F2" s="23"/>
      <c r="G2" s="23"/>
      <c r="H2" s="23"/>
      <c r="I2" s="23"/>
      <c r="J2" s="23"/>
      <c r="K2" s="16"/>
    </row>
    <row r="3" spans="1:16" ht="25" customHeight="1" thickBot="1">
      <c r="A3" s="5"/>
      <c r="B3" s="17"/>
      <c r="C3" s="34" t="s">
        <v>47</v>
      </c>
      <c r="D3" s="105" t="s">
        <v>115</v>
      </c>
      <c r="E3" s="106"/>
      <c r="F3" s="107"/>
      <c r="G3" s="34" t="s">
        <v>48</v>
      </c>
      <c r="H3" s="101">
        <f>'통계 및 응시자 수 입력 기능'!D26</f>
        <v>14.839799749687108</v>
      </c>
      <c r="I3" s="103" t="s">
        <v>49</v>
      </c>
      <c r="J3" s="104">
        <f>'통계 및 응시자 수 입력 기능'!C26</f>
        <v>1598</v>
      </c>
      <c r="K3" s="18"/>
    </row>
    <row r="4" spans="1:16" ht="25" customHeight="1" thickBot="1">
      <c r="A4" s="5"/>
      <c r="B4" s="17"/>
      <c r="C4" s="35" t="s">
        <v>50</v>
      </c>
      <c r="D4" s="114" t="s">
        <v>53</v>
      </c>
      <c r="E4" s="109"/>
      <c r="F4" s="110"/>
      <c r="G4" s="36" t="s">
        <v>52</v>
      </c>
      <c r="H4" s="102">
        <f>'통계 및 응시자 수 입력 기능'!E26</f>
        <v>6.9440364711809615</v>
      </c>
      <c r="I4" s="12"/>
      <c r="J4" s="12"/>
      <c r="K4" s="18"/>
    </row>
    <row r="5" spans="1:16" ht="25" customHeight="1" thickBot="1">
      <c r="A5" s="5"/>
      <c r="B5" s="17"/>
      <c r="C5" s="12"/>
      <c r="D5" s="12"/>
      <c r="E5" s="12"/>
      <c r="F5" s="12"/>
      <c r="G5" s="12"/>
      <c r="H5" s="19"/>
      <c r="I5" s="19"/>
      <c r="J5" s="19"/>
      <c r="K5" s="18"/>
    </row>
    <row r="6" spans="1:16" ht="25" customHeight="1" thickBot="1">
      <c r="A6" s="5"/>
      <c r="B6" s="17"/>
      <c r="C6" s="38" t="s">
        <v>73</v>
      </c>
      <c r="D6" s="39" t="s">
        <v>74</v>
      </c>
      <c r="E6" s="39" t="s">
        <v>75</v>
      </c>
      <c r="F6" s="39" t="s">
        <v>76</v>
      </c>
      <c r="G6" s="39" t="s">
        <v>77</v>
      </c>
      <c r="H6" s="40" t="s">
        <v>78</v>
      </c>
      <c r="I6" s="40" t="s">
        <v>79</v>
      </c>
      <c r="J6" s="41" t="s">
        <v>80</v>
      </c>
      <c r="K6" s="18"/>
      <c r="L6" s="3"/>
      <c r="M6" s="4"/>
    </row>
    <row r="7" spans="1:16" ht="25" customHeight="1">
      <c r="A7" s="5"/>
      <c r="B7" s="17"/>
      <c r="C7" s="42">
        <v>50</v>
      </c>
      <c r="D7" s="43">
        <v>100</v>
      </c>
      <c r="E7" s="43">
        <f t="shared" ref="E7:E57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44">
        <f>ROUND(100*(1-(0+I7)/2/$J$3),0)</f>
        <v>100</v>
      </c>
      <c r="G7" s="45">
        <f>_xlfn.IFNA(VLOOKUP(D7,'인원 입력 기능'!$DH$5:$DK$55,4,FALSE),0)</f>
        <v>1</v>
      </c>
      <c r="H7" s="46">
        <f>G7/J3</f>
        <v>6.2578222778473093E-4</v>
      </c>
      <c r="I7" s="47">
        <f>G7</f>
        <v>1</v>
      </c>
      <c r="J7" s="48">
        <f>I7/J3</f>
        <v>6.2578222778473093E-4</v>
      </c>
      <c r="K7" s="18"/>
      <c r="M7" s="1"/>
      <c r="O7" s="1">
        <v>1</v>
      </c>
      <c r="P7" s="1">
        <f>'표준점수 등급컷 입력기능'!E80</f>
        <v>70</v>
      </c>
    </row>
    <row r="8" spans="1:16" ht="25" customHeight="1">
      <c r="A8" s="5"/>
      <c r="B8" s="17"/>
      <c r="C8" s="49">
        <v>49</v>
      </c>
      <c r="D8" s="111" t="s">
        <v>31</v>
      </c>
      <c r="E8" s="112"/>
      <c r="F8" s="112"/>
      <c r="G8" s="112"/>
      <c r="H8" s="112"/>
      <c r="I8" s="112"/>
      <c r="J8" s="113"/>
      <c r="K8" s="18"/>
      <c r="M8" s="1"/>
      <c r="O8" s="1">
        <v>2</v>
      </c>
      <c r="P8" s="1">
        <f>'표준점수 등급컷 입력기능'!E81</f>
        <v>62</v>
      </c>
    </row>
    <row r="9" spans="1:16" ht="25" customHeight="1">
      <c r="A9" s="5"/>
      <c r="B9" s="17"/>
      <c r="C9" s="42">
        <v>48</v>
      </c>
      <c r="D9" s="43">
        <f>ROUND(10*(C9-$H$3)/$H$4+50,0)</f>
        <v>98</v>
      </c>
      <c r="E9" s="43">
        <f t="shared" si="0"/>
        <v>1</v>
      </c>
      <c r="F9" s="44">
        <f>IF(I8=0,ROUND(100*(1-(I7+I9)/2/$J$3),0),ROUND(100*(1-(I8+I9)/2/$J$3),0))</f>
        <v>100</v>
      </c>
      <c r="G9" s="45">
        <f>_xlfn.IFNA(VLOOKUP(D9,'인원 입력 기능'!$DH$5:$DK$55,4,FALSE),0)</f>
        <v>0</v>
      </c>
      <c r="H9" s="46">
        <f>G9/$J$3</f>
        <v>0</v>
      </c>
      <c r="I9" s="50">
        <f>SUM($G$7:G9)</f>
        <v>1</v>
      </c>
      <c r="J9" s="48">
        <f>I9/$J$3</f>
        <v>6.2578222778473093E-4</v>
      </c>
      <c r="K9" s="18"/>
      <c r="M9" s="1"/>
      <c r="O9" s="1">
        <v>3</v>
      </c>
      <c r="P9" s="1">
        <f>'표준점수 등급컷 입력기능'!E82</f>
        <v>56</v>
      </c>
    </row>
    <row r="10" spans="1:16" ht="25" customHeight="1">
      <c r="A10" s="5"/>
      <c r="B10" s="17"/>
      <c r="C10" s="49">
        <v>47</v>
      </c>
      <c r="D10" s="43">
        <f t="shared" ref="D10:D55" si="1">ROUND(10*(C10-$H$3)/$H$4+50,0)</f>
        <v>96</v>
      </c>
      <c r="E10" s="43">
        <f t="shared" si="0"/>
        <v>1</v>
      </c>
      <c r="F10" s="44">
        <f>IF(I9=0,ROUND(100*(1-(I8+I10)/2/$J$3),0),ROUND(100*(1-(I9+I10)/2/$J$3),0))</f>
        <v>100</v>
      </c>
      <c r="G10" s="45">
        <f>IF(D10=D9,"",_xlfn.IFNA(VLOOKUP(D10,'인원 입력 기능'!$DH$5:$DK$55,4,FALSE),0))</f>
        <v>2</v>
      </c>
      <c r="H10" s="46">
        <f t="shared" ref="H10:H55" si="2">G10/$J$3</f>
        <v>1.2515644555694619E-3</v>
      </c>
      <c r="I10" s="50">
        <f>SUM($G$7:G10)</f>
        <v>3</v>
      </c>
      <c r="J10" s="48">
        <f t="shared" ref="J10:J55" si="3">I10/$J$3</f>
        <v>1.8773466833541927E-3</v>
      </c>
      <c r="K10" s="18"/>
      <c r="M10" s="1"/>
      <c r="O10" s="1">
        <v>4</v>
      </c>
      <c r="P10" s="1">
        <f>'표준점수 등급컷 입력기능'!E83</f>
        <v>50</v>
      </c>
    </row>
    <row r="11" spans="1:16" ht="25" customHeight="1">
      <c r="A11" s="5"/>
      <c r="B11" s="17"/>
      <c r="C11" s="42">
        <v>46</v>
      </c>
      <c r="D11" s="43">
        <f t="shared" si="1"/>
        <v>95</v>
      </c>
      <c r="E11" s="43">
        <f t="shared" si="0"/>
        <v>1</v>
      </c>
      <c r="F11" s="44">
        <f t="shared" ref="F11:F55" si="4">IF(I10=0,ROUND(100*(1-(I9+I11)/2/$J$3),0),ROUND(100*(1-(I10+I11)/2/$J$3),0))</f>
        <v>100</v>
      </c>
      <c r="G11" s="45">
        <f>IF(D11=D10,"",_xlfn.IFNA(VLOOKUP(D11,'인원 입력 기능'!$DH$5:$DK$55,4,FALSE),0))</f>
        <v>0</v>
      </c>
      <c r="H11" s="46">
        <f t="shared" si="2"/>
        <v>0</v>
      </c>
      <c r="I11" s="50">
        <f>SUM($G$7:G11)</f>
        <v>3</v>
      </c>
      <c r="J11" s="48">
        <f t="shared" si="3"/>
        <v>1.8773466833541927E-3</v>
      </c>
      <c r="K11" s="18"/>
      <c r="M11" s="1"/>
      <c r="O11" s="1">
        <v>5</v>
      </c>
      <c r="P11" s="1">
        <f>'표준점수 등급컷 입력기능'!E84</f>
        <v>47</v>
      </c>
    </row>
    <row r="12" spans="1:16" ht="25" customHeight="1">
      <c r="A12" s="5"/>
      <c r="B12" s="17"/>
      <c r="C12" s="49">
        <v>45</v>
      </c>
      <c r="D12" s="43">
        <f t="shared" si="1"/>
        <v>93</v>
      </c>
      <c r="E12" s="43">
        <f t="shared" si="0"/>
        <v>1</v>
      </c>
      <c r="F12" s="44">
        <f t="shared" si="4"/>
        <v>100</v>
      </c>
      <c r="G12" s="45">
        <f>IF(D12=D11,"",_xlfn.IFNA(VLOOKUP(D12,'인원 입력 기능'!$DH$5:$DK$55,4,FALSE),0))</f>
        <v>2</v>
      </c>
      <c r="H12" s="46">
        <f t="shared" si="2"/>
        <v>1.2515644555694619E-3</v>
      </c>
      <c r="I12" s="50">
        <f>SUM($G$7:G12)</f>
        <v>5</v>
      </c>
      <c r="J12" s="48">
        <f t="shared" si="3"/>
        <v>3.1289111389236545E-3</v>
      </c>
      <c r="K12" s="18"/>
      <c r="M12" s="1"/>
      <c r="O12" s="1">
        <v>6</v>
      </c>
      <c r="P12" s="1">
        <f>'표준점수 등급컷 입력기능'!E85</f>
        <v>43</v>
      </c>
    </row>
    <row r="13" spans="1:16" ht="25" customHeight="1">
      <c r="A13" s="5"/>
      <c r="B13" s="17"/>
      <c r="C13" s="42">
        <v>44</v>
      </c>
      <c r="D13" s="43">
        <f t="shared" si="1"/>
        <v>92</v>
      </c>
      <c r="E13" s="43">
        <f t="shared" si="0"/>
        <v>1</v>
      </c>
      <c r="F13" s="44">
        <f t="shared" si="4"/>
        <v>100</v>
      </c>
      <c r="G13" s="45">
        <f>IF(D13=D12,"",_xlfn.IFNA(VLOOKUP(D13,'인원 입력 기능'!$DH$5:$DK$55,4,FALSE),0))</f>
        <v>1</v>
      </c>
      <c r="H13" s="46">
        <f t="shared" si="2"/>
        <v>6.2578222778473093E-4</v>
      </c>
      <c r="I13" s="50">
        <f>SUM($G$7:G13)</f>
        <v>6</v>
      </c>
      <c r="J13" s="48">
        <f t="shared" si="3"/>
        <v>3.7546933667083854E-3</v>
      </c>
      <c r="K13" s="18"/>
      <c r="M13" s="1"/>
      <c r="O13" s="1">
        <v>7</v>
      </c>
      <c r="P13" s="1">
        <f>'표준점수 등급컷 입력기능'!E86</f>
        <v>39</v>
      </c>
    </row>
    <row r="14" spans="1:16" ht="25" customHeight="1">
      <c r="A14" s="5"/>
      <c r="B14" s="17"/>
      <c r="C14" s="49">
        <v>43</v>
      </c>
      <c r="D14" s="43">
        <f t="shared" si="1"/>
        <v>91</v>
      </c>
      <c r="E14" s="43">
        <f t="shared" si="0"/>
        <v>1</v>
      </c>
      <c r="F14" s="44">
        <f t="shared" si="4"/>
        <v>100</v>
      </c>
      <c r="G14" s="45">
        <f>IF(D14=D13,"",_xlfn.IFNA(VLOOKUP(D14,'인원 입력 기능'!$DH$5:$DK$55,4,FALSE),0))</f>
        <v>1</v>
      </c>
      <c r="H14" s="46">
        <f t="shared" si="2"/>
        <v>6.2578222778473093E-4</v>
      </c>
      <c r="I14" s="50">
        <f>SUM($G$7:G14)</f>
        <v>7</v>
      </c>
      <c r="J14" s="48">
        <f t="shared" si="3"/>
        <v>4.3804755944931162E-3</v>
      </c>
      <c r="K14" s="18"/>
      <c r="M14" s="1"/>
      <c r="O14" s="1">
        <v>8</v>
      </c>
      <c r="P14" s="1">
        <f>'표준점수 등급컷 입력기능'!E87</f>
        <v>34</v>
      </c>
    </row>
    <row r="15" spans="1:16" ht="25" customHeight="1">
      <c r="A15" s="5"/>
      <c r="B15" s="17"/>
      <c r="C15" s="42">
        <v>42</v>
      </c>
      <c r="D15" s="43">
        <f t="shared" si="1"/>
        <v>89</v>
      </c>
      <c r="E15" s="43">
        <f t="shared" si="0"/>
        <v>1</v>
      </c>
      <c r="F15" s="44">
        <f t="shared" si="4"/>
        <v>100</v>
      </c>
      <c r="G15" s="45">
        <f>IF(D15=D14,"",_xlfn.IFNA(VLOOKUP(D15,'인원 입력 기능'!$DH$5:$DK$55,4,FALSE),0))</f>
        <v>0</v>
      </c>
      <c r="H15" s="46">
        <f t="shared" si="2"/>
        <v>0</v>
      </c>
      <c r="I15" s="50">
        <f>SUM($G$7:G15)</f>
        <v>7</v>
      </c>
      <c r="J15" s="48">
        <f t="shared" si="3"/>
        <v>4.3804755944931162E-3</v>
      </c>
      <c r="K15" s="18"/>
      <c r="M15" s="1"/>
      <c r="O15" s="1">
        <v>9</v>
      </c>
      <c r="P15" s="1"/>
    </row>
    <row r="16" spans="1:16" ht="25" customHeight="1">
      <c r="A16" s="5"/>
      <c r="B16" s="17"/>
      <c r="C16" s="49">
        <v>41</v>
      </c>
      <c r="D16" s="43">
        <f t="shared" si="1"/>
        <v>88</v>
      </c>
      <c r="E16" s="43">
        <f t="shared" si="0"/>
        <v>1</v>
      </c>
      <c r="F16" s="44">
        <f t="shared" si="4"/>
        <v>100</v>
      </c>
      <c r="G16" s="45">
        <f>IF(D16=D15,"",_xlfn.IFNA(VLOOKUP(D16,'인원 입력 기능'!$DH$5:$DK$55,4,FALSE),0))</f>
        <v>1</v>
      </c>
      <c r="H16" s="46">
        <f t="shared" si="2"/>
        <v>6.2578222778473093E-4</v>
      </c>
      <c r="I16" s="50">
        <f>SUM($G$7:G16)</f>
        <v>8</v>
      </c>
      <c r="J16" s="48">
        <f t="shared" si="3"/>
        <v>5.0062578222778474E-3</v>
      </c>
      <c r="K16" s="18"/>
      <c r="M16" s="1"/>
    </row>
    <row r="17" spans="1:16" ht="25" customHeight="1">
      <c r="A17" s="5"/>
      <c r="B17" s="17"/>
      <c r="C17" s="42">
        <v>40</v>
      </c>
      <c r="D17" s="43">
        <f t="shared" si="1"/>
        <v>86</v>
      </c>
      <c r="E17" s="43">
        <f t="shared" si="0"/>
        <v>1</v>
      </c>
      <c r="F17" s="44">
        <f t="shared" si="4"/>
        <v>99</v>
      </c>
      <c r="G17" s="45">
        <f>IF(D17=D16,"",_xlfn.IFNA(VLOOKUP(D17,'인원 입력 기능'!$DH$5:$DK$55,4,FALSE),0))</f>
        <v>3</v>
      </c>
      <c r="H17" s="46">
        <f t="shared" si="2"/>
        <v>1.8773466833541927E-3</v>
      </c>
      <c r="I17" s="50">
        <f>SUM($G$7:G17)</f>
        <v>11</v>
      </c>
      <c r="J17" s="48">
        <f t="shared" si="3"/>
        <v>6.8836045056320403E-3</v>
      </c>
      <c r="K17" s="18"/>
      <c r="M17" s="1"/>
      <c r="P17" s="1">
        <f>H3*H4*J3*P7*IFERROR(IF(J57=1, 1, 0), 0)</f>
        <v>11526961.661430974</v>
      </c>
    </row>
    <row r="18" spans="1:16" ht="25" customHeight="1">
      <c r="A18" s="5"/>
      <c r="B18" s="17"/>
      <c r="C18" s="49">
        <v>39</v>
      </c>
      <c r="D18" s="43">
        <f t="shared" si="1"/>
        <v>85</v>
      </c>
      <c r="E18" s="43">
        <f t="shared" si="0"/>
        <v>1</v>
      </c>
      <c r="F18" s="44">
        <f t="shared" si="4"/>
        <v>99</v>
      </c>
      <c r="G18" s="45">
        <f>IF(D18=D17,"",_xlfn.IFNA(VLOOKUP(D18,'인원 입력 기능'!$DH$5:$DK$55,4,FALSE),0))</f>
        <v>4</v>
      </c>
      <c r="H18" s="46">
        <f t="shared" si="2"/>
        <v>2.5031289111389237E-3</v>
      </c>
      <c r="I18" s="50">
        <f>SUM($G$7:G18)</f>
        <v>15</v>
      </c>
      <c r="J18" s="48">
        <f t="shared" si="3"/>
        <v>9.3867334167709645E-3</v>
      </c>
      <c r="K18" s="18"/>
      <c r="M18" s="1"/>
    </row>
    <row r="19" spans="1:16" ht="25" customHeight="1">
      <c r="A19" s="5"/>
      <c r="B19" s="17"/>
      <c r="C19" s="42">
        <v>38</v>
      </c>
      <c r="D19" s="43">
        <f t="shared" si="1"/>
        <v>83</v>
      </c>
      <c r="E19" s="43">
        <f t="shared" si="0"/>
        <v>1</v>
      </c>
      <c r="F19" s="44">
        <f t="shared" si="4"/>
        <v>99</v>
      </c>
      <c r="G19" s="45">
        <f>IF(D19=D18,"",_xlfn.IFNA(VLOOKUP(D19,'인원 입력 기능'!$DH$5:$DK$55,4,FALSE),0))</f>
        <v>4</v>
      </c>
      <c r="H19" s="46">
        <f t="shared" si="2"/>
        <v>2.5031289111389237E-3</v>
      </c>
      <c r="I19" s="50">
        <f>SUM($G$7:G19)</f>
        <v>19</v>
      </c>
      <c r="J19" s="48">
        <f t="shared" si="3"/>
        <v>1.1889862327909888E-2</v>
      </c>
      <c r="K19" s="18"/>
      <c r="M19" s="1"/>
    </row>
    <row r="20" spans="1:16" ht="25" customHeight="1">
      <c r="A20" s="5"/>
      <c r="B20" s="17"/>
      <c r="C20" s="49">
        <v>37</v>
      </c>
      <c r="D20" s="43">
        <f t="shared" si="1"/>
        <v>82</v>
      </c>
      <c r="E20" s="43">
        <f t="shared" si="0"/>
        <v>1</v>
      </c>
      <c r="F20" s="44">
        <f t="shared" si="4"/>
        <v>99</v>
      </c>
      <c r="G20" s="45">
        <f>IF(D20=D19,"",_xlfn.IFNA(VLOOKUP(D20,'인원 입력 기능'!$DH$5:$DK$55,4,FALSE),0))</f>
        <v>2</v>
      </c>
      <c r="H20" s="46">
        <f t="shared" si="2"/>
        <v>1.2515644555694619E-3</v>
      </c>
      <c r="I20" s="50">
        <f>SUM($G$7:G20)</f>
        <v>21</v>
      </c>
      <c r="J20" s="48">
        <f t="shared" si="3"/>
        <v>1.3141426783479349E-2</v>
      </c>
      <c r="K20" s="18"/>
      <c r="M20" s="1"/>
    </row>
    <row r="21" spans="1:16" ht="25" customHeight="1">
      <c r="A21" s="5"/>
      <c r="B21" s="17"/>
      <c r="C21" s="51">
        <v>36</v>
      </c>
      <c r="D21" s="53">
        <f t="shared" si="1"/>
        <v>80</v>
      </c>
      <c r="E21" s="53">
        <f t="shared" si="0"/>
        <v>1</v>
      </c>
      <c r="F21" s="44">
        <f t="shared" si="4"/>
        <v>99</v>
      </c>
      <c r="G21" s="45">
        <f>IF(D21=D20,"",_xlfn.IFNA(VLOOKUP(D21,'인원 입력 기능'!$DH$5:$DK$55,4,FALSE),0))</f>
        <v>5</v>
      </c>
      <c r="H21" s="46">
        <f t="shared" si="2"/>
        <v>3.1289111389236545E-3</v>
      </c>
      <c r="I21" s="50">
        <f>SUM($G$7:G21)</f>
        <v>26</v>
      </c>
      <c r="J21" s="48">
        <f t="shared" si="3"/>
        <v>1.6270337922403004E-2</v>
      </c>
      <c r="K21" s="18"/>
      <c r="M21" s="1"/>
    </row>
    <row r="22" spans="1:16" ht="25" customHeight="1">
      <c r="A22" s="5"/>
      <c r="B22" s="17"/>
      <c r="C22" s="52">
        <v>35</v>
      </c>
      <c r="D22" s="53">
        <f t="shared" si="1"/>
        <v>79</v>
      </c>
      <c r="E22" s="53">
        <f t="shared" si="0"/>
        <v>1</v>
      </c>
      <c r="F22" s="44">
        <f t="shared" si="4"/>
        <v>98</v>
      </c>
      <c r="G22" s="45">
        <f>IF(D22=D21,"",_xlfn.IFNA(VLOOKUP(D22,'인원 입력 기능'!$DH$5:$DK$55,4,FALSE),0))</f>
        <v>3</v>
      </c>
      <c r="H22" s="46">
        <f t="shared" si="2"/>
        <v>1.8773466833541927E-3</v>
      </c>
      <c r="I22" s="50">
        <f>SUM($G$7:G22)</f>
        <v>29</v>
      </c>
      <c r="J22" s="48">
        <f t="shared" si="3"/>
        <v>1.8147684605757195E-2</v>
      </c>
      <c r="K22" s="18"/>
      <c r="M22" s="1"/>
    </row>
    <row r="23" spans="1:16" ht="25" customHeight="1">
      <c r="A23" s="5"/>
      <c r="B23" s="17"/>
      <c r="C23" s="51">
        <v>34</v>
      </c>
      <c r="D23" s="53">
        <f t="shared" si="1"/>
        <v>78</v>
      </c>
      <c r="E23" s="53">
        <f t="shared" si="0"/>
        <v>1</v>
      </c>
      <c r="F23" s="44">
        <f t="shared" si="4"/>
        <v>98</v>
      </c>
      <c r="G23" s="45">
        <f>IF(D23=D22,"",_xlfn.IFNA(VLOOKUP(D23,'인원 입력 기능'!$DH$5:$DK$55,4,FALSE),0))</f>
        <v>4</v>
      </c>
      <c r="H23" s="46">
        <f t="shared" si="2"/>
        <v>2.5031289111389237E-3</v>
      </c>
      <c r="I23" s="50">
        <f>SUM($G$7:G23)</f>
        <v>33</v>
      </c>
      <c r="J23" s="48">
        <f t="shared" si="3"/>
        <v>2.065081351689612E-2</v>
      </c>
      <c r="K23" s="18"/>
      <c r="M23" s="1"/>
    </row>
    <row r="24" spans="1:16" ht="25" customHeight="1">
      <c r="A24" s="5"/>
      <c r="B24" s="17"/>
      <c r="C24" s="52">
        <v>33</v>
      </c>
      <c r="D24" s="53">
        <f t="shared" si="1"/>
        <v>76</v>
      </c>
      <c r="E24" s="53">
        <f t="shared" si="0"/>
        <v>1</v>
      </c>
      <c r="F24" s="44">
        <f t="shared" si="4"/>
        <v>98</v>
      </c>
      <c r="G24" s="45">
        <f>IF(D24=D23,"",_xlfn.IFNA(VLOOKUP(D24,'인원 입력 기능'!$DH$5:$DK$55,4,FALSE),0))</f>
        <v>5</v>
      </c>
      <c r="H24" s="46">
        <f t="shared" si="2"/>
        <v>3.1289111389236545E-3</v>
      </c>
      <c r="I24" s="50">
        <f>SUM($G$7:G24)</f>
        <v>38</v>
      </c>
      <c r="J24" s="48">
        <f t="shared" si="3"/>
        <v>2.3779724655819776E-2</v>
      </c>
      <c r="K24" s="18"/>
      <c r="M24" s="1"/>
    </row>
    <row r="25" spans="1:16" ht="25" customHeight="1">
      <c r="A25" s="5"/>
      <c r="B25" s="17"/>
      <c r="C25" s="51">
        <v>32</v>
      </c>
      <c r="D25" s="53">
        <f t="shared" si="1"/>
        <v>75</v>
      </c>
      <c r="E25" s="53">
        <f t="shared" si="0"/>
        <v>1</v>
      </c>
      <c r="F25" s="44">
        <f t="shared" si="4"/>
        <v>98</v>
      </c>
      <c r="G25" s="45">
        <f>IF(D25=D24,"",_xlfn.IFNA(VLOOKUP(D25,'인원 입력 기능'!$DH$5:$DK$55,4,FALSE),0))</f>
        <v>1</v>
      </c>
      <c r="H25" s="46">
        <f t="shared" si="2"/>
        <v>6.2578222778473093E-4</v>
      </c>
      <c r="I25" s="50">
        <f>SUM($G$7:G25)</f>
        <v>39</v>
      </c>
      <c r="J25" s="48">
        <f t="shared" si="3"/>
        <v>2.4405506883604506E-2</v>
      </c>
      <c r="K25" s="18"/>
      <c r="M25" s="1"/>
    </row>
    <row r="26" spans="1:16" ht="25" customHeight="1">
      <c r="A26" s="5"/>
      <c r="B26" s="17"/>
      <c r="C26" s="52">
        <v>31</v>
      </c>
      <c r="D26" s="53">
        <f t="shared" si="1"/>
        <v>73</v>
      </c>
      <c r="E26" s="53">
        <f t="shared" si="0"/>
        <v>1</v>
      </c>
      <c r="F26" s="44">
        <f t="shared" si="4"/>
        <v>97</v>
      </c>
      <c r="G26" s="45">
        <f>IF(D26=D25,"",_xlfn.IFNA(VLOOKUP(D26,'인원 입력 기능'!$DH$5:$DK$55,4,FALSE),0))</f>
        <v>8</v>
      </c>
      <c r="H26" s="46">
        <f t="shared" si="2"/>
        <v>5.0062578222778474E-3</v>
      </c>
      <c r="I26" s="50">
        <f>SUM($G$7:G26)</f>
        <v>47</v>
      </c>
      <c r="J26" s="48">
        <f t="shared" si="3"/>
        <v>2.9411764705882353E-2</v>
      </c>
      <c r="K26" s="18"/>
      <c r="M26" s="1"/>
    </row>
    <row r="27" spans="1:16" ht="25" customHeight="1">
      <c r="A27" s="5"/>
      <c r="B27" s="17"/>
      <c r="C27" s="51">
        <v>30</v>
      </c>
      <c r="D27" s="53">
        <f t="shared" si="1"/>
        <v>72</v>
      </c>
      <c r="E27" s="53">
        <f t="shared" si="0"/>
        <v>1</v>
      </c>
      <c r="F27" s="44">
        <f t="shared" si="4"/>
        <v>97</v>
      </c>
      <c r="G27" s="45">
        <f>IF(D27=D26,"",_xlfn.IFNA(VLOOKUP(D27,'인원 입력 기능'!$DH$5:$DK$55,4,FALSE),0))</f>
        <v>10</v>
      </c>
      <c r="H27" s="46">
        <f t="shared" si="2"/>
        <v>6.2578222778473091E-3</v>
      </c>
      <c r="I27" s="50">
        <f>SUM($G$7:G27)</f>
        <v>57</v>
      </c>
      <c r="J27" s="48">
        <f t="shared" si="3"/>
        <v>3.5669586983729663E-2</v>
      </c>
      <c r="K27" s="18"/>
      <c r="M27" s="1"/>
    </row>
    <row r="28" spans="1:16" ht="25" customHeight="1">
      <c r="A28" s="5"/>
      <c r="B28" s="17"/>
      <c r="C28" s="52">
        <v>29</v>
      </c>
      <c r="D28" s="53">
        <f t="shared" si="1"/>
        <v>70</v>
      </c>
      <c r="E28" s="53">
        <f t="shared" si="0"/>
        <v>1</v>
      </c>
      <c r="F28" s="44">
        <f t="shared" si="4"/>
        <v>96</v>
      </c>
      <c r="G28" s="45">
        <f>IF(D28=D27,"",_xlfn.IFNA(VLOOKUP(D28,'인원 입력 기능'!$DH$5:$DK$55,4,FALSE),0))</f>
        <v>10</v>
      </c>
      <c r="H28" s="46">
        <f t="shared" si="2"/>
        <v>6.2578222778473091E-3</v>
      </c>
      <c r="I28" s="50">
        <f>SUM($G$7:G28)</f>
        <v>67</v>
      </c>
      <c r="J28" s="48">
        <f t="shared" si="3"/>
        <v>4.1927409261576974E-2</v>
      </c>
      <c r="K28" s="18"/>
      <c r="M28" s="1"/>
    </row>
    <row r="29" spans="1:16" ht="25" customHeight="1">
      <c r="A29" s="5"/>
      <c r="B29" s="17"/>
      <c r="C29" s="51">
        <v>28</v>
      </c>
      <c r="D29" s="53">
        <f t="shared" si="1"/>
        <v>69</v>
      </c>
      <c r="E29" s="53">
        <f t="shared" si="0"/>
        <v>2</v>
      </c>
      <c r="F29" s="44">
        <f t="shared" si="4"/>
        <v>96</v>
      </c>
      <c r="G29" s="45">
        <f>IF(D29=D28,"",_xlfn.IFNA(VLOOKUP(D29,'인원 입력 기능'!$DH$5:$DK$55,4,FALSE),0))</f>
        <v>9</v>
      </c>
      <c r="H29" s="46">
        <f t="shared" si="2"/>
        <v>5.6320400500625778E-3</v>
      </c>
      <c r="I29" s="50">
        <f>SUM($G$7:G29)</f>
        <v>76</v>
      </c>
      <c r="J29" s="48">
        <f t="shared" si="3"/>
        <v>4.7559449311639551E-2</v>
      </c>
      <c r="K29" s="18"/>
      <c r="M29" s="1"/>
    </row>
    <row r="30" spans="1:16" ht="25" customHeight="1">
      <c r="A30" s="5"/>
      <c r="B30" s="17"/>
      <c r="C30" s="52">
        <v>27</v>
      </c>
      <c r="D30" s="53">
        <f t="shared" si="1"/>
        <v>68</v>
      </c>
      <c r="E30" s="53">
        <f t="shared" si="0"/>
        <v>2</v>
      </c>
      <c r="F30" s="44">
        <f t="shared" si="4"/>
        <v>95</v>
      </c>
      <c r="G30" s="45">
        <f>IF(D30=D29,"",_xlfn.IFNA(VLOOKUP(D30,'인원 입력 기능'!$DH$5:$DK$55,4,FALSE),0))</f>
        <v>15</v>
      </c>
      <c r="H30" s="46">
        <f t="shared" si="2"/>
        <v>9.3867334167709645E-3</v>
      </c>
      <c r="I30" s="50">
        <f>SUM($G$7:G30)</f>
        <v>91</v>
      </c>
      <c r="J30" s="48">
        <f t="shared" si="3"/>
        <v>5.694618272841051E-2</v>
      </c>
      <c r="K30" s="18"/>
      <c r="M30" s="1"/>
    </row>
    <row r="31" spans="1:16" ht="25" customHeight="1">
      <c r="A31" s="5"/>
      <c r="B31" s="17"/>
      <c r="C31" s="51">
        <v>26</v>
      </c>
      <c r="D31" s="53">
        <f t="shared" si="1"/>
        <v>66</v>
      </c>
      <c r="E31" s="53">
        <f t="shared" si="0"/>
        <v>2</v>
      </c>
      <c r="F31" s="44">
        <f t="shared" si="4"/>
        <v>94</v>
      </c>
      <c r="G31" s="45">
        <f>IF(D31=D30,"",_xlfn.IFNA(VLOOKUP(D31,'인원 입력 기능'!$DH$5:$DK$55,4,FALSE),0))</f>
        <v>12</v>
      </c>
      <c r="H31" s="46">
        <f t="shared" si="2"/>
        <v>7.5093867334167707E-3</v>
      </c>
      <c r="I31" s="50">
        <f>SUM($G$7:G31)</f>
        <v>103</v>
      </c>
      <c r="J31" s="48">
        <f t="shared" si="3"/>
        <v>6.4455569461827289E-2</v>
      </c>
      <c r="K31" s="18"/>
      <c r="M31" s="1"/>
    </row>
    <row r="32" spans="1:16" ht="25" customHeight="1">
      <c r="A32" s="5"/>
      <c r="B32" s="17"/>
      <c r="C32" s="52">
        <v>25</v>
      </c>
      <c r="D32" s="53">
        <f t="shared" si="1"/>
        <v>65</v>
      </c>
      <c r="E32" s="53">
        <f t="shared" si="0"/>
        <v>2</v>
      </c>
      <c r="F32" s="44">
        <f t="shared" si="4"/>
        <v>93</v>
      </c>
      <c r="G32" s="45">
        <f>IF(D32=D31,"",_xlfn.IFNA(VLOOKUP(D32,'인원 입력 기능'!$DH$5:$DK$55,4,FALSE),0))</f>
        <v>23</v>
      </c>
      <c r="H32" s="46">
        <f t="shared" si="2"/>
        <v>1.4392991239048811E-2</v>
      </c>
      <c r="I32" s="50">
        <f>SUM($G$7:G32)</f>
        <v>126</v>
      </c>
      <c r="J32" s="48">
        <f t="shared" si="3"/>
        <v>7.8848560700876091E-2</v>
      </c>
      <c r="K32" s="18"/>
      <c r="M32" s="1"/>
    </row>
    <row r="33" spans="1:13" ht="25" customHeight="1">
      <c r="A33" s="5"/>
      <c r="B33" s="17"/>
      <c r="C33" s="51">
        <v>24</v>
      </c>
      <c r="D33" s="53">
        <f t="shared" si="1"/>
        <v>63</v>
      </c>
      <c r="E33" s="53">
        <f t="shared" si="0"/>
        <v>2</v>
      </c>
      <c r="F33" s="44">
        <f t="shared" si="4"/>
        <v>91</v>
      </c>
      <c r="G33" s="45">
        <f>IF(D33=D32,"",_xlfn.IFNA(VLOOKUP(D33,'인원 입력 기능'!$DH$5:$DK$55,4,FALSE),0))</f>
        <v>30</v>
      </c>
      <c r="H33" s="46">
        <f t="shared" si="2"/>
        <v>1.8773466833541929E-2</v>
      </c>
      <c r="I33" s="50">
        <f>SUM($G$7:G33)</f>
        <v>156</v>
      </c>
      <c r="J33" s="48">
        <f t="shared" si="3"/>
        <v>9.7622027534418024E-2</v>
      </c>
      <c r="K33" s="18"/>
      <c r="M33" s="1"/>
    </row>
    <row r="34" spans="1:13" ht="25" customHeight="1">
      <c r="A34" s="5"/>
      <c r="B34" s="17"/>
      <c r="C34" s="52">
        <v>23</v>
      </c>
      <c r="D34" s="53">
        <f t="shared" si="1"/>
        <v>62</v>
      </c>
      <c r="E34" s="53">
        <f t="shared" si="0"/>
        <v>2</v>
      </c>
      <c r="F34" s="44">
        <f t="shared" si="4"/>
        <v>89</v>
      </c>
      <c r="G34" s="45">
        <f>IF(D34=D33,"",_xlfn.IFNA(VLOOKUP(D34,'인원 입력 기능'!$DH$5:$DK$55,4,FALSE),0))</f>
        <v>35</v>
      </c>
      <c r="H34" s="46">
        <f t="shared" si="2"/>
        <v>2.1902377972465581E-2</v>
      </c>
      <c r="I34" s="50">
        <f>SUM($G$7:G34)</f>
        <v>191</v>
      </c>
      <c r="J34" s="48">
        <f t="shared" si="3"/>
        <v>0.1195244055068836</v>
      </c>
      <c r="K34" s="18"/>
      <c r="M34" s="1"/>
    </row>
    <row r="35" spans="1:13" ht="25" customHeight="1">
      <c r="A35" s="5"/>
      <c r="B35" s="17"/>
      <c r="C35" s="51">
        <v>22</v>
      </c>
      <c r="D35" s="53">
        <f t="shared" si="1"/>
        <v>60</v>
      </c>
      <c r="E35" s="53">
        <f t="shared" si="0"/>
        <v>3</v>
      </c>
      <c r="F35" s="44">
        <f t="shared" si="4"/>
        <v>87</v>
      </c>
      <c r="G35" s="45">
        <f>IF(D35=D34,"",_xlfn.IFNA(VLOOKUP(D35,'인원 입력 기능'!$DH$5:$DK$55,4,FALSE),0))</f>
        <v>39</v>
      </c>
      <c r="H35" s="46">
        <f t="shared" si="2"/>
        <v>2.4405506883604506E-2</v>
      </c>
      <c r="I35" s="50">
        <f>SUM($G$7:G35)</f>
        <v>230</v>
      </c>
      <c r="J35" s="48">
        <f t="shared" si="3"/>
        <v>0.14392991239048811</v>
      </c>
      <c r="K35" s="18"/>
      <c r="M35" s="1"/>
    </row>
    <row r="36" spans="1:13" ht="25" customHeight="1">
      <c r="A36" s="5"/>
      <c r="B36" s="17"/>
      <c r="C36" s="52">
        <v>21</v>
      </c>
      <c r="D36" s="53">
        <f t="shared" si="1"/>
        <v>59</v>
      </c>
      <c r="E36" s="53">
        <f t="shared" si="0"/>
        <v>3</v>
      </c>
      <c r="F36" s="44">
        <f t="shared" si="4"/>
        <v>84</v>
      </c>
      <c r="G36" s="45">
        <f>IF(D36=D35,"",_xlfn.IFNA(VLOOKUP(D36,'인원 입력 기능'!$DH$5:$DK$55,4,FALSE),0))</f>
        <v>42</v>
      </c>
      <c r="H36" s="46">
        <f t="shared" si="2"/>
        <v>2.6282853566958697E-2</v>
      </c>
      <c r="I36" s="50">
        <f>SUM($G$7:G36)</f>
        <v>272</v>
      </c>
      <c r="J36" s="48">
        <f t="shared" si="3"/>
        <v>0.1702127659574468</v>
      </c>
      <c r="K36" s="18"/>
      <c r="M36" s="1"/>
    </row>
    <row r="37" spans="1:13" ht="25" customHeight="1">
      <c r="A37" s="5"/>
      <c r="B37" s="17"/>
      <c r="C37" s="51">
        <v>20</v>
      </c>
      <c r="D37" s="53">
        <f t="shared" si="1"/>
        <v>57</v>
      </c>
      <c r="E37" s="53">
        <f t="shared" si="0"/>
        <v>3</v>
      </c>
      <c r="F37" s="44">
        <f t="shared" si="4"/>
        <v>81</v>
      </c>
      <c r="G37" s="45">
        <f>IF(D37=D36,"",_xlfn.IFNA(VLOOKUP(D37,'인원 입력 기능'!$DH$5:$DK$55,4,FALSE),0))</f>
        <v>49</v>
      </c>
      <c r="H37" s="46">
        <f t="shared" si="2"/>
        <v>3.0663329161451813E-2</v>
      </c>
      <c r="I37" s="50">
        <f>SUM($G$7:G37)</f>
        <v>321</v>
      </c>
      <c r="J37" s="48">
        <f t="shared" si="3"/>
        <v>0.20087609511889862</v>
      </c>
      <c r="K37" s="18"/>
      <c r="M37" s="1"/>
    </row>
    <row r="38" spans="1:13" ht="25" customHeight="1">
      <c r="A38" s="5"/>
      <c r="B38" s="17"/>
      <c r="C38" s="52">
        <v>19</v>
      </c>
      <c r="D38" s="53">
        <f t="shared" si="1"/>
        <v>56</v>
      </c>
      <c r="E38" s="53">
        <f t="shared" si="0"/>
        <v>3</v>
      </c>
      <c r="F38" s="44">
        <f t="shared" si="4"/>
        <v>78</v>
      </c>
      <c r="G38" s="45">
        <f>IF(D38=D37,"",_xlfn.IFNA(VLOOKUP(D38,'인원 입력 기능'!$DH$5:$DK$55,4,FALSE),0))</f>
        <v>69</v>
      </c>
      <c r="H38" s="46">
        <f t="shared" si="2"/>
        <v>4.3178973717146435E-2</v>
      </c>
      <c r="I38" s="50">
        <f>SUM($G$7:G38)</f>
        <v>390</v>
      </c>
      <c r="J38" s="48">
        <f t="shared" si="3"/>
        <v>0.24405506883604505</v>
      </c>
      <c r="K38" s="18"/>
      <c r="M38" s="1"/>
    </row>
    <row r="39" spans="1:13" ht="25" customHeight="1">
      <c r="A39" s="5"/>
      <c r="B39" s="17"/>
      <c r="C39" s="51">
        <v>18</v>
      </c>
      <c r="D39" s="53">
        <f t="shared" si="1"/>
        <v>55</v>
      </c>
      <c r="E39" s="53">
        <f t="shared" si="0"/>
        <v>4</v>
      </c>
      <c r="F39" s="44">
        <f t="shared" si="4"/>
        <v>73</v>
      </c>
      <c r="G39" s="45">
        <f>IF(D39=D38,"",_xlfn.IFNA(VLOOKUP(D39,'인원 입력 기능'!$DH$5:$DK$55,4,FALSE),0))</f>
        <v>68</v>
      </c>
      <c r="H39" s="46">
        <f t="shared" si="2"/>
        <v>4.2553191489361701E-2</v>
      </c>
      <c r="I39" s="50">
        <f>SUM($G$7:G39)</f>
        <v>458</v>
      </c>
      <c r="J39" s="48">
        <f t="shared" si="3"/>
        <v>0.28660826032540676</v>
      </c>
      <c r="K39" s="18"/>
      <c r="M39" s="1"/>
    </row>
    <row r="40" spans="1:13" ht="25" customHeight="1">
      <c r="A40" s="5"/>
      <c r="B40" s="17"/>
      <c r="C40" s="52">
        <v>17</v>
      </c>
      <c r="D40" s="53">
        <f t="shared" si="1"/>
        <v>53</v>
      </c>
      <c r="E40" s="53">
        <f t="shared" si="0"/>
        <v>4</v>
      </c>
      <c r="F40" s="44">
        <f t="shared" si="4"/>
        <v>69</v>
      </c>
      <c r="G40" s="45">
        <f>IF(D40=D39,"",_xlfn.IFNA(VLOOKUP(D40,'인원 입력 기능'!$DH$5:$DK$55,4,FALSE),0))</f>
        <v>84</v>
      </c>
      <c r="H40" s="46">
        <f t="shared" si="2"/>
        <v>5.2565707133917394E-2</v>
      </c>
      <c r="I40" s="50">
        <f>SUM($G$7:G40)</f>
        <v>542</v>
      </c>
      <c r="J40" s="48">
        <f t="shared" si="3"/>
        <v>0.33917396745932415</v>
      </c>
      <c r="K40" s="18"/>
      <c r="M40" s="1"/>
    </row>
    <row r="41" spans="1:13" ht="25" customHeight="1">
      <c r="A41" s="5"/>
      <c r="B41" s="17"/>
      <c r="C41" s="51">
        <v>16</v>
      </c>
      <c r="D41" s="53">
        <f t="shared" si="1"/>
        <v>52</v>
      </c>
      <c r="E41" s="53">
        <f t="shared" si="0"/>
        <v>4</v>
      </c>
      <c r="F41" s="44">
        <f t="shared" si="4"/>
        <v>64</v>
      </c>
      <c r="G41" s="45">
        <f>IF(D41=D40,"",_xlfn.IFNA(VLOOKUP(D41,'인원 입력 기능'!$DH$5:$DK$55,4,FALSE),0))</f>
        <v>78</v>
      </c>
      <c r="H41" s="46">
        <f t="shared" si="2"/>
        <v>4.8811013767209012E-2</v>
      </c>
      <c r="I41" s="50">
        <f>SUM($G$7:G41)</f>
        <v>620</v>
      </c>
      <c r="J41" s="48">
        <f t="shared" si="3"/>
        <v>0.38798498122653319</v>
      </c>
      <c r="K41" s="18"/>
      <c r="M41" s="1"/>
    </row>
    <row r="42" spans="1:13" ht="25" customHeight="1">
      <c r="A42" s="5"/>
      <c r="B42" s="17"/>
      <c r="C42" s="52">
        <v>15</v>
      </c>
      <c r="D42" s="53">
        <f t="shared" si="1"/>
        <v>50</v>
      </c>
      <c r="E42" s="53">
        <f t="shared" si="0"/>
        <v>4</v>
      </c>
      <c r="F42" s="44">
        <f t="shared" si="4"/>
        <v>57</v>
      </c>
      <c r="G42" s="45">
        <f>IF(D42=D41,"",_xlfn.IFNA(VLOOKUP(D42,'인원 입력 기능'!$DH$5:$DK$55,4,FALSE),0))</f>
        <v>129</v>
      </c>
      <c r="H42" s="46">
        <f t="shared" si="2"/>
        <v>8.0725907384230286E-2</v>
      </c>
      <c r="I42" s="50">
        <f>SUM($G$7:G42)</f>
        <v>749</v>
      </c>
      <c r="J42" s="48">
        <f t="shared" si="3"/>
        <v>0.46871088861076343</v>
      </c>
      <c r="K42" s="18"/>
      <c r="M42" s="1"/>
    </row>
    <row r="43" spans="1:13" ht="25" customHeight="1">
      <c r="A43" s="5"/>
      <c r="B43" s="17"/>
      <c r="C43" s="51">
        <v>14</v>
      </c>
      <c r="D43" s="53">
        <f t="shared" si="1"/>
        <v>49</v>
      </c>
      <c r="E43" s="53">
        <f t="shared" si="0"/>
        <v>5</v>
      </c>
      <c r="F43" s="44">
        <f t="shared" si="4"/>
        <v>50</v>
      </c>
      <c r="G43" s="45">
        <f>IF(D43=D42,"",_xlfn.IFNA(VLOOKUP(D43,'인원 입력 기능'!$DH$5:$DK$55,4,FALSE),0))</f>
        <v>97</v>
      </c>
      <c r="H43" s="46">
        <f t="shared" si="2"/>
        <v>6.07008760951189E-2</v>
      </c>
      <c r="I43" s="50">
        <f>SUM($G$7:G43)</f>
        <v>846</v>
      </c>
      <c r="J43" s="48">
        <f t="shared" si="3"/>
        <v>0.52941176470588236</v>
      </c>
      <c r="K43" s="18"/>
      <c r="M43" s="1"/>
    </row>
    <row r="44" spans="1:13" ht="25" customHeight="1">
      <c r="A44" s="5"/>
      <c r="B44" s="17"/>
      <c r="C44" s="52">
        <v>13</v>
      </c>
      <c r="D44" s="53">
        <f t="shared" si="1"/>
        <v>47</v>
      </c>
      <c r="E44" s="53">
        <f t="shared" si="0"/>
        <v>5</v>
      </c>
      <c r="F44" s="44">
        <f t="shared" si="4"/>
        <v>43</v>
      </c>
      <c r="G44" s="45">
        <f>IF(D44=D43,"",_xlfn.IFNA(VLOOKUP(D44,'인원 입력 기능'!$DH$5:$DK$55,4,FALSE),0))</f>
        <v>123</v>
      </c>
      <c r="H44" s="46">
        <f t="shared" si="2"/>
        <v>7.6971214017521897E-2</v>
      </c>
      <c r="I44" s="50">
        <f>SUM($G$7:G44)</f>
        <v>969</v>
      </c>
      <c r="J44" s="48">
        <f t="shared" si="3"/>
        <v>0.6063829787234043</v>
      </c>
      <c r="K44" s="18"/>
      <c r="M44" s="1"/>
    </row>
    <row r="45" spans="1:13" ht="25" customHeight="1">
      <c r="A45" s="5"/>
      <c r="B45" s="17"/>
      <c r="C45" s="51">
        <v>12</v>
      </c>
      <c r="D45" s="53">
        <f t="shared" si="1"/>
        <v>46</v>
      </c>
      <c r="E45" s="53">
        <f t="shared" si="0"/>
        <v>6</v>
      </c>
      <c r="F45" s="44">
        <f t="shared" si="4"/>
        <v>36</v>
      </c>
      <c r="G45" s="45">
        <f>IF(D45=D44,"",_xlfn.IFNA(VLOOKUP(D45,'인원 입력 기능'!$DH$5:$DK$55,4,FALSE),0))</f>
        <v>94</v>
      </c>
      <c r="H45" s="46">
        <f t="shared" si="2"/>
        <v>5.8823529411764705E-2</v>
      </c>
      <c r="I45" s="50">
        <f>SUM($G$7:G45)</f>
        <v>1063</v>
      </c>
      <c r="J45" s="48">
        <f t="shared" si="3"/>
        <v>0.66520650813516891</v>
      </c>
      <c r="K45" s="18"/>
      <c r="M45" s="1"/>
    </row>
    <row r="46" spans="1:13" ht="25" customHeight="1">
      <c r="A46" s="5"/>
      <c r="B46" s="17"/>
      <c r="C46" s="52">
        <v>11</v>
      </c>
      <c r="D46" s="53">
        <f t="shared" si="1"/>
        <v>44</v>
      </c>
      <c r="E46" s="53">
        <f t="shared" si="0"/>
        <v>6</v>
      </c>
      <c r="F46" s="44">
        <f t="shared" si="4"/>
        <v>28</v>
      </c>
      <c r="G46" s="45">
        <f>IF(D46=D45,"",_xlfn.IFNA(VLOOKUP(D46,'인원 입력 기능'!$DH$5:$DK$55,4,FALSE),0))</f>
        <v>163</v>
      </c>
      <c r="H46" s="46">
        <f t="shared" si="2"/>
        <v>0.10200250312891114</v>
      </c>
      <c r="I46" s="50">
        <f>SUM($G$7:G46)</f>
        <v>1226</v>
      </c>
      <c r="J46" s="48">
        <f t="shared" si="3"/>
        <v>0.76720901126408014</v>
      </c>
      <c r="K46" s="18"/>
      <c r="M46" s="1"/>
    </row>
    <row r="47" spans="1:13" ht="25" customHeight="1">
      <c r="A47" s="5"/>
      <c r="B47" s="17"/>
      <c r="C47" s="51">
        <v>10</v>
      </c>
      <c r="D47" s="53">
        <f t="shared" si="1"/>
        <v>43</v>
      </c>
      <c r="E47" s="53">
        <f t="shared" si="0"/>
        <v>6</v>
      </c>
      <c r="F47" s="44">
        <f t="shared" si="4"/>
        <v>21</v>
      </c>
      <c r="G47" s="45">
        <f>IF(D47=D46,"",_xlfn.IFNA(VLOOKUP(D47,'인원 입력 기능'!$DH$5:$DK$55,4,FALSE),0))</f>
        <v>77</v>
      </c>
      <c r="H47" s="46">
        <f t="shared" si="2"/>
        <v>4.8185231539424278E-2</v>
      </c>
      <c r="I47" s="50">
        <f>SUM($G$7:G47)</f>
        <v>1303</v>
      </c>
      <c r="J47" s="48">
        <f t="shared" si="3"/>
        <v>0.81539424280350437</v>
      </c>
      <c r="K47" s="18"/>
      <c r="M47" s="1"/>
    </row>
    <row r="48" spans="1:13" ht="25" customHeight="1">
      <c r="A48" s="5"/>
      <c r="B48" s="17"/>
      <c r="C48" s="52">
        <v>9</v>
      </c>
      <c r="D48" s="53">
        <f t="shared" si="1"/>
        <v>42</v>
      </c>
      <c r="E48" s="53">
        <f t="shared" si="0"/>
        <v>7</v>
      </c>
      <c r="F48" s="44">
        <f t="shared" si="4"/>
        <v>17</v>
      </c>
      <c r="G48" s="45">
        <f>IF(D48=D47,"",_xlfn.IFNA(VLOOKUP(D48,'인원 입력 기능'!$DH$5:$DK$55,4,FALSE),0))</f>
        <v>42</v>
      </c>
      <c r="H48" s="46">
        <f t="shared" si="2"/>
        <v>2.6282853566958697E-2</v>
      </c>
      <c r="I48" s="50">
        <f>SUM($G$7:G48)</f>
        <v>1345</v>
      </c>
      <c r="J48" s="48">
        <f t="shared" si="3"/>
        <v>0.84167709637046306</v>
      </c>
      <c r="K48" s="18"/>
      <c r="M48" s="1"/>
    </row>
    <row r="49" spans="1:13" ht="25" customHeight="1">
      <c r="A49" s="5"/>
      <c r="B49" s="17"/>
      <c r="C49" s="51">
        <v>8</v>
      </c>
      <c r="D49" s="53">
        <f t="shared" si="1"/>
        <v>40</v>
      </c>
      <c r="E49" s="53">
        <f t="shared" si="0"/>
        <v>7</v>
      </c>
      <c r="F49" s="44">
        <f t="shared" si="4"/>
        <v>14</v>
      </c>
      <c r="G49" s="45">
        <f>IF(D49=D48,"",_xlfn.IFNA(VLOOKUP(D49,'인원 입력 기능'!$DH$5:$DK$55,4,FALSE),0))</f>
        <v>48</v>
      </c>
      <c r="H49" s="46">
        <f t="shared" si="2"/>
        <v>3.0037546933667083E-2</v>
      </c>
      <c r="I49" s="50">
        <f>SUM($G$7:G49)</f>
        <v>1393</v>
      </c>
      <c r="J49" s="48">
        <f t="shared" si="3"/>
        <v>0.87171464330413018</v>
      </c>
      <c r="K49" s="18"/>
      <c r="M49" s="1"/>
    </row>
    <row r="50" spans="1:13" ht="25" customHeight="1">
      <c r="A50" s="5"/>
      <c r="B50" s="17"/>
      <c r="C50" s="52">
        <v>7</v>
      </c>
      <c r="D50" s="53">
        <f t="shared" si="1"/>
        <v>39</v>
      </c>
      <c r="E50" s="53">
        <f t="shared" si="0"/>
        <v>7</v>
      </c>
      <c r="F50" s="44">
        <f t="shared" si="4"/>
        <v>11</v>
      </c>
      <c r="G50" s="45">
        <f>IF(D50=D49,"",_xlfn.IFNA(VLOOKUP(D50,'인원 입력 기능'!$DH$5:$DK$55,4,FALSE),0))</f>
        <v>71</v>
      </c>
      <c r="H50" s="46">
        <f t="shared" si="2"/>
        <v>4.4430538172715896E-2</v>
      </c>
      <c r="I50" s="50">
        <f>SUM($G$7:G50)</f>
        <v>1464</v>
      </c>
      <c r="J50" s="48">
        <f t="shared" si="3"/>
        <v>0.91614518147684609</v>
      </c>
      <c r="K50" s="18"/>
      <c r="M50" s="1"/>
    </row>
    <row r="51" spans="1:13" ht="25" customHeight="1">
      <c r="A51" s="5"/>
      <c r="B51" s="17"/>
      <c r="C51" s="51">
        <v>6</v>
      </c>
      <c r="D51" s="53">
        <f t="shared" si="1"/>
        <v>37</v>
      </c>
      <c r="E51" s="53">
        <f t="shared" si="0"/>
        <v>8</v>
      </c>
      <c r="F51" s="44">
        <f t="shared" si="4"/>
        <v>8</v>
      </c>
      <c r="G51" s="45">
        <f>IF(D51=D50,"",_xlfn.IFNA(VLOOKUP(D51,'인원 입력 기능'!$DH$5:$DK$55,4,FALSE),0))</f>
        <v>27</v>
      </c>
      <c r="H51" s="46">
        <f t="shared" si="2"/>
        <v>1.6896120150187734E-2</v>
      </c>
      <c r="I51" s="50">
        <f>SUM($G$7:G51)</f>
        <v>1491</v>
      </c>
      <c r="J51" s="48">
        <f t="shared" si="3"/>
        <v>0.9330413016270338</v>
      </c>
      <c r="K51" s="18"/>
      <c r="M51" s="1"/>
    </row>
    <row r="52" spans="1:13" ht="25" customHeight="1">
      <c r="A52" s="5"/>
      <c r="B52" s="17"/>
      <c r="C52" s="52">
        <v>5</v>
      </c>
      <c r="D52" s="53">
        <f t="shared" si="1"/>
        <v>36</v>
      </c>
      <c r="E52" s="53">
        <f t="shared" si="0"/>
        <v>8</v>
      </c>
      <c r="F52" s="44">
        <f t="shared" si="4"/>
        <v>6</v>
      </c>
      <c r="G52" s="45">
        <f>IF(D52=D51,"",_xlfn.IFNA(VLOOKUP(D52,'인원 입력 기능'!$DH$5:$DK$55,4,FALSE),0))</f>
        <v>29</v>
      </c>
      <c r="H52" s="46">
        <f t="shared" si="2"/>
        <v>1.8147684605757195E-2</v>
      </c>
      <c r="I52" s="50">
        <f>SUM($G$7:G52)</f>
        <v>1520</v>
      </c>
      <c r="J52" s="48">
        <f t="shared" si="3"/>
        <v>0.95118898623279102</v>
      </c>
      <c r="K52" s="18"/>
      <c r="M52" s="1"/>
    </row>
    <row r="53" spans="1:13" ht="25" customHeight="1">
      <c r="A53" s="5"/>
      <c r="B53" s="17"/>
      <c r="C53" s="42">
        <v>4</v>
      </c>
      <c r="D53" s="43">
        <f t="shared" si="1"/>
        <v>34</v>
      </c>
      <c r="E53" s="43">
        <f t="shared" si="0"/>
        <v>8</v>
      </c>
      <c r="F53" s="44">
        <f t="shared" si="4"/>
        <v>3</v>
      </c>
      <c r="G53" s="45">
        <f>IF(D53=D52,"",_xlfn.IFNA(VLOOKUP(D53,'인원 입력 기능'!$DH$5:$DK$55,4,FALSE),0))</f>
        <v>47</v>
      </c>
      <c r="H53" s="46">
        <f t="shared" si="2"/>
        <v>2.9411764705882353E-2</v>
      </c>
      <c r="I53" s="50">
        <f>SUM($G$7:G53)</f>
        <v>1567</v>
      </c>
      <c r="J53" s="48">
        <f t="shared" si="3"/>
        <v>0.98060075093867338</v>
      </c>
      <c r="K53" s="18"/>
      <c r="M53" s="1"/>
    </row>
    <row r="54" spans="1:13" ht="25" customHeight="1">
      <c r="A54" s="5"/>
      <c r="B54" s="17"/>
      <c r="C54" s="49">
        <v>3</v>
      </c>
      <c r="D54" s="43">
        <f t="shared" si="1"/>
        <v>33</v>
      </c>
      <c r="E54" s="43">
        <f t="shared" si="0"/>
        <v>9</v>
      </c>
      <c r="F54" s="44">
        <f t="shared" si="4"/>
        <v>2</v>
      </c>
      <c r="G54" s="45">
        <f>IF(D54=D53,"",_xlfn.IFNA(VLOOKUP(D54,'인원 입력 기능'!$DH$5:$DK$55,4,FALSE),0))</f>
        <v>11</v>
      </c>
      <c r="H54" s="46">
        <f t="shared" si="2"/>
        <v>6.8836045056320403E-3</v>
      </c>
      <c r="I54" s="50">
        <f>SUM($G$7:G54)</f>
        <v>1578</v>
      </c>
      <c r="J54" s="48">
        <f t="shared" si="3"/>
        <v>0.98748435544430535</v>
      </c>
      <c r="K54" s="18"/>
      <c r="M54" s="1"/>
    </row>
    <row r="55" spans="1:13" ht="25" customHeight="1">
      <c r="A55" s="5"/>
      <c r="B55" s="17"/>
      <c r="C55" s="42">
        <v>2</v>
      </c>
      <c r="D55" s="43">
        <f t="shared" si="1"/>
        <v>32</v>
      </c>
      <c r="E55" s="43">
        <f t="shared" si="0"/>
        <v>9</v>
      </c>
      <c r="F55" s="44">
        <f t="shared" si="4"/>
        <v>1</v>
      </c>
      <c r="G55" s="45">
        <f>IF(D55=D54,"",_xlfn.IFNA(VLOOKUP(D55,'인원 입력 기능'!$DH$5:$DK$55,4,FALSE),0))</f>
        <v>12</v>
      </c>
      <c r="H55" s="46">
        <f t="shared" si="2"/>
        <v>7.5093867334167707E-3</v>
      </c>
      <c r="I55" s="50">
        <f>SUM($G$7:G55)</f>
        <v>1590</v>
      </c>
      <c r="J55" s="48">
        <f t="shared" si="3"/>
        <v>0.99499374217772218</v>
      </c>
      <c r="K55" s="18"/>
      <c r="M55" s="1"/>
    </row>
    <row r="56" spans="1:13" ht="25" customHeight="1">
      <c r="A56" s="5"/>
      <c r="B56" s="17"/>
      <c r="C56" s="49">
        <v>1</v>
      </c>
      <c r="D56" s="111" t="s">
        <v>31</v>
      </c>
      <c r="E56" s="112"/>
      <c r="F56" s="112"/>
      <c r="G56" s="112"/>
      <c r="H56" s="112"/>
      <c r="I56" s="112"/>
      <c r="J56" s="113"/>
      <c r="K56" s="18"/>
      <c r="M56" s="1"/>
    </row>
    <row r="57" spans="1:13" ht="25" customHeight="1" thickBot="1">
      <c r="A57" s="5"/>
      <c r="B57" s="17"/>
      <c r="C57" s="57">
        <v>0</v>
      </c>
      <c r="D57" s="58">
        <f>ROUND(10*(C57-$H$3)/$H$4+50,0)</f>
        <v>29</v>
      </c>
      <c r="E57" s="59">
        <f t="shared" si="0"/>
        <v>9</v>
      </c>
      <c r="F57" s="60">
        <f>IF(I55=0,ROUND(100*(1-(I54+I57)/2/$J$3),0),ROUND(100*(1-(I55+I57)/2/$J$3),0))</f>
        <v>0</v>
      </c>
      <c r="G57" s="61">
        <f>_xlfn.IFNA(VLOOKUP(D57,'인원 입력 기능'!$DH$5:$DK$55,4,FALSE),0)</f>
        <v>8</v>
      </c>
      <c r="H57" s="62">
        <f>G57/J3</f>
        <v>5.0062578222778474E-3</v>
      </c>
      <c r="I57" s="63">
        <f>SUM($G$7:G57)</f>
        <v>1598</v>
      </c>
      <c r="J57" s="64">
        <f>I57/J3</f>
        <v>1</v>
      </c>
      <c r="K57" s="18"/>
      <c r="M57" s="1"/>
    </row>
    <row r="58" spans="1:13" ht="6" customHeight="1">
      <c r="A58" s="5"/>
      <c r="B58" s="20"/>
      <c r="C58" s="21"/>
      <c r="D58" s="21"/>
      <c r="E58" s="21"/>
      <c r="F58" s="21"/>
      <c r="G58" s="21"/>
      <c r="H58" s="21"/>
      <c r="I58" s="21"/>
      <c r="J58" s="21"/>
      <c r="K58" s="22"/>
      <c r="M58" s="1"/>
    </row>
    <row r="59" spans="1:13">
      <c r="M59" s="1"/>
    </row>
    <row r="60" spans="1:13">
      <c r="M60" s="1"/>
    </row>
    <row r="61" spans="1:13">
      <c r="M61" s="1"/>
    </row>
    <row r="62" spans="1:13">
      <c r="M62" s="1"/>
    </row>
    <row r="63" spans="1:13">
      <c r="M63" s="1"/>
    </row>
    <row r="64" spans="1:13">
      <c r="M64" s="1"/>
    </row>
    <row r="65" spans="13:13">
      <c r="M65" s="1"/>
    </row>
    <row r="66" spans="13:13">
      <c r="M66" s="1"/>
    </row>
    <row r="67" spans="13:13">
      <c r="M67" s="1"/>
    </row>
    <row r="68" spans="13:13">
      <c r="M68" s="1"/>
    </row>
    <row r="69" spans="13:13">
      <c r="M69" s="1"/>
    </row>
    <row r="70" spans="13:13">
      <c r="M70" s="1"/>
    </row>
    <row r="71" spans="13:13">
      <c r="M71" s="1"/>
    </row>
    <row r="72" spans="13:13">
      <c r="M72" s="1"/>
    </row>
    <row r="73" spans="13:13">
      <c r="M73" s="1"/>
    </row>
    <row r="74" spans="13:13">
      <c r="M74" s="1"/>
    </row>
    <row r="75" spans="13:13">
      <c r="M75" s="1"/>
    </row>
    <row r="76" spans="13:13">
      <c r="M76" s="1"/>
    </row>
    <row r="77" spans="13:13">
      <c r="M77" s="1"/>
    </row>
    <row r="78" spans="13:13">
      <c r="M78" s="1"/>
    </row>
    <row r="79" spans="13:13">
      <c r="M79" s="1"/>
    </row>
    <row r="80" spans="13:13">
      <c r="M80" s="1"/>
    </row>
    <row r="81" spans="13:13">
      <c r="M81" s="1"/>
    </row>
    <row r="82" spans="13:13">
      <c r="M82" s="1"/>
    </row>
    <row r="83" spans="13:13">
      <c r="M83" s="1"/>
    </row>
    <row r="84" spans="13:13">
      <c r="M84" s="1"/>
    </row>
    <row r="85" spans="13:13">
      <c r="M85" s="1"/>
    </row>
    <row r="86" spans="13:13">
      <c r="M86" s="1"/>
    </row>
    <row r="87" spans="13:13">
      <c r="M87" s="1"/>
    </row>
    <row r="88" spans="13:13">
      <c r="M88" s="1"/>
    </row>
    <row r="89" spans="13:13">
      <c r="M89" s="1"/>
    </row>
    <row r="90" spans="13:13">
      <c r="M90" s="1"/>
    </row>
    <row r="91" spans="13:13">
      <c r="M91" s="1"/>
    </row>
    <row r="92" spans="13:13">
      <c r="M92" s="1"/>
    </row>
    <row r="93" spans="13:13">
      <c r="M93" s="1"/>
    </row>
    <row r="94" spans="13:13">
      <c r="M94" s="1"/>
    </row>
    <row r="95" spans="13:13">
      <c r="M95" s="1"/>
    </row>
    <row r="96" spans="13:13">
      <c r="M96" s="1"/>
    </row>
    <row r="97" spans="13:13">
      <c r="M97" s="1"/>
    </row>
    <row r="98" spans="13:13">
      <c r="M98" s="1"/>
    </row>
    <row r="99" spans="13:13">
      <c r="M99" s="1"/>
    </row>
    <row r="100" spans="13:13">
      <c r="M100" s="1"/>
    </row>
    <row r="101" spans="13:13">
      <c r="M101" s="1"/>
    </row>
    <row r="102" spans="13:13">
      <c r="M102" s="1"/>
    </row>
    <row r="103" spans="13:13">
      <c r="M103" s="1"/>
    </row>
    <row r="104" spans="13:13">
      <c r="M104" s="1"/>
    </row>
    <row r="105" spans="13:13">
      <c r="M105" s="1"/>
    </row>
  </sheetData>
  <mergeCells count="4">
    <mergeCell ref="D3:F3"/>
    <mergeCell ref="D4:F4"/>
    <mergeCell ref="D8:J8"/>
    <mergeCell ref="D56:J56"/>
  </mergeCells>
  <phoneticPr fontId="1" type="noConversion"/>
  <conditionalFormatting sqref="D7:J7 D57:J57 D9:J55">
    <cfRule type="expression" dxfId="6" priority="7">
      <formula>OR($D7=$P$7:$P$14)</formula>
    </cfRule>
  </conditionalFormatting>
  <conditionalFormatting sqref="C7:C57">
    <cfRule type="expression" dxfId="5" priority="6">
      <formula>OR(AND($D7=0,OR($D6=$P$7:$P$14)),AND($D8&gt;0,OR($D7=$P$7:$P$14)))</formula>
    </cfRule>
  </conditionalFormatting>
  <conditionalFormatting sqref="D7 D57 D9:D55">
    <cfRule type="expression" dxfId="4" priority="5">
      <formula>$D7=$D8</formula>
    </cfRule>
  </conditionalFormatting>
  <conditionalFormatting sqref="D56">
    <cfRule type="expression" dxfId="3" priority="4">
      <formula>OR($D56=$P$7:$P$14)</formula>
    </cfRule>
  </conditionalFormatting>
  <conditionalFormatting sqref="D56">
    <cfRule type="expression" dxfId="2" priority="3">
      <formula>$D56=$D57</formula>
    </cfRule>
  </conditionalFormatting>
  <conditionalFormatting sqref="D8">
    <cfRule type="expression" dxfId="1" priority="2">
      <formula>OR($D8=$P$7:$P$14)</formula>
    </cfRule>
  </conditionalFormatting>
  <conditionalFormatting sqref="D8">
    <cfRule type="expression" dxfId="0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713EC-390C-4645-8A75-262ECDACF18A}">
  <sheetPr codeName="Sheet27">
    <tabColor rgb="FF00B050"/>
    <pageSetUpPr fitToPage="1"/>
  </sheetPr>
  <dimension ref="A1:N62"/>
  <sheetViews>
    <sheetView zoomScale="70" zoomScaleNormal="70" workbookViewId="0">
      <selection activeCell="B3" sqref="B3:M39"/>
    </sheetView>
  </sheetViews>
  <sheetFormatPr defaultRowHeight="14"/>
  <cols>
    <col min="1" max="1" width="8.6640625" style="13"/>
    <col min="2" max="2" width="1" style="13" customWidth="1"/>
    <col min="3" max="3" width="11.4140625" style="14" customWidth="1"/>
    <col min="4" max="11" width="12.4140625" style="14" customWidth="1"/>
    <col min="12" max="12" width="12.4140625" style="13" customWidth="1"/>
    <col min="13" max="13" width="1" style="13" customWidth="1"/>
    <col min="14" max="16384" width="8.6640625" style="13"/>
  </cols>
  <sheetData>
    <row r="1" spans="1:13">
      <c r="A1" s="13" t="s">
        <v>45</v>
      </c>
    </row>
    <row r="2" spans="1:13">
      <c r="B2" s="11"/>
      <c r="C2" s="10"/>
      <c r="D2" s="10"/>
      <c r="E2" s="10"/>
      <c r="F2" s="10"/>
      <c r="G2" s="10"/>
      <c r="H2" s="10"/>
      <c r="I2" s="10"/>
      <c r="J2" s="10"/>
      <c r="K2" s="10"/>
    </row>
    <row r="3" spans="1:13" ht="6" customHeight="1" thickBot="1">
      <c r="B3" s="24"/>
      <c r="C3" s="25"/>
      <c r="D3" s="25"/>
      <c r="E3" s="25"/>
      <c r="F3" s="25"/>
      <c r="G3" s="25"/>
      <c r="H3" s="25"/>
      <c r="I3" s="25"/>
      <c r="J3" s="25"/>
      <c r="K3" s="25"/>
      <c r="L3" s="30"/>
      <c r="M3" s="33"/>
    </row>
    <row r="4" spans="1:13" ht="25" customHeight="1">
      <c r="B4" s="26"/>
      <c r="C4" s="34" t="s">
        <v>46</v>
      </c>
      <c r="D4" s="119" t="s">
        <v>115</v>
      </c>
      <c r="E4" s="119"/>
      <c r="F4" s="119"/>
      <c r="G4" s="120"/>
      <c r="H4" s="12"/>
      <c r="I4" s="12"/>
      <c r="J4" s="12"/>
      <c r="K4" s="12"/>
      <c r="L4" s="19"/>
      <c r="M4" s="31"/>
    </row>
    <row r="5" spans="1:13" ht="25" customHeight="1" thickBot="1">
      <c r="B5" s="26"/>
      <c r="C5" s="35" t="s">
        <v>81</v>
      </c>
      <c r="D5" s="121" t="s">
        <v>82</v>
      </c>
      <c r="E5" s="121"/>
      <c r="F5" s="121"/>
      <c r="G5" s="122"/>
      <c r="H5" s="12"/>
      <c r="I5" s="12"/>
      <c r="J5" s="12"/>
      <c r="K5" s="12"/>
      <c r="L5" s="19"/>
      <c r="M5" s="31"/>
    </row>
    <row r="6" spans="1:13" ht="25" customHeight="1">
      <c r="B6" s="26"/>
      <c r="C6" s="12"/>
      <c r="D6" s="12"/>
      <c r="E6" s="12"/>
      <c r="F6" s="12"/>
      <c r="G6" s="12"/>
      <c r="H6" s="12"/>
      <c r="I6" s="12"/>
      <c r="J6" s="12"/>
      <c r="K6" s="12"/>
      <c r="L6" s="19"/>
      <c r="M6" s="31"/>
    </row>
    <row r="7" spans="1:13" ht="25" customHeight="1" thickBot="1">
      <c r="B7" s="26"/>
      <c r="C7" s="12"/>
      <c r="D7" s="12"/>
      <c r="E7" s="12"/>
      <c r="F7" s="12"/>
      <c r="G7" s="12"/>
      <c r="H7" s="12"/>
      <c r="I7" s="12"/>
      <c r="J7" s="12"/>
      <c r="K7" s="12"/>
      <c r="L7" s="19"/>
      <c r="M7" s="31"/>
    </row>
    <row r="8" spans="1:13" ht="25" customHeight="1" thickBot="1">
      <c r="B8" s="26"/>
      <c r="C8" s="66" t="s">
        <v>83</v>
      </c>
      <c r="D8" s="67" t="s">
        <v>84</v>
      </c>
      <c r="E8" s="68" t="s">
        <v>85</v>
      </c>
      <c r="F8" s="68" t="s">
        <v>86</v>
      </c>
      <c r="G8" s="68" t="s">
        <v>87</v>
      </c>
      <c r="H8" s="68" t="s">
        <v>88</v>
      </c>
      <c r="I8" s="68" t="s">
        <v>89</v>
      </c>
      <c r="J8" s="68" t="s">
        <v>90</v>
      </c>
      <c r="K8" s="68" t="s">
        <v>91</v>
      </c>
      <c r="L8" s="69" t="s">
        <v>10</v>
      </c>
      <c r="M8" s="31"/>
    </row>
    <row r="9" spans="1:13" ht="25" customHeight="1">
      <c r="B9" s="26"/>
      <c r="C9" s="70" t="s">
        <v>92</v>
      </c>
      <c r="D9" s="71">
        <f>ROUNDUP(('생활과 윤리'!$P7-0.5-50)/10*'생활과 윤리'!$H$4+'생활과 윤리'!$H$3, 0)</f>
        <v>44</v>
      </c>
      <c r="E9" s="72">
        <f>ROUNDUP(('윤리와 사상'!$P7-0.5-50)/10*'윤리와 사상'!$H$4+'윤리와 사상'!$H$3, 0)</f>
        <v>45</v>
      </c>
      <c r="F9" s="72">
        <f>ROUNDUP((한국지리!$P7-0.5-50)/10*한국지리!$H$4+한국지리!$H$3, 0)</f>
        <v>46</v>
      </c>
      <c r="G9" s="72">
        <f>ROUNDUP((세계지리!$P7-0.5-50)/10*세계지리!$H$4+세계지리!$H$3, 0)</f>
        <v>44</v>
      </c>
      <c r="H9" s="72">
        <f>ROUNDUP((동아시아사!$P7-0.5-50)/10*동아시아사!$H$4+동아시아사!$H$3, 0)</f>
        <v>50</v>
      </c>
      <c r="I9" s="72">
        <f>ROUNDUP((세계사!$P7-0.5-50)/10*세계사!$H$4+세계사!$H$3, 0)</f>
        <v>46</v>
      </c>
      <c r="J9" s="72">
        <f>ROUNDUP((경제!$P7-0.5-50)/10*경제!$H$4+경제!$H$3, 0)</f>
        <v>47</v>
      </c>
      <c r="K9" s="72">
        <f>ROUNDUP(('정치와 법'!$P7-0.5-50)/10*'정치와 법'!$H$4+'정치와 법'!$H$3, 0)</f>
        <v>46</v>
      </c>
      <c r="L9" s="73">
        <f>ROUNDUP((사회∙문화!$P7-0.5-50)/10*사회∙문화!$H$4+사회∙문화!$H$3, 0)</f>
        <v>47</v>
      </c>
      <c r="M9" s="31"/>
    </row>
    <row r="10" spans="1:13" ht="25" customHeight="1">
      <c r="B10" s="26"/>
      <c r="C10" s="74" t="s">
        <v>93</v>
      </c>
      <c r="D10" s="51">
        <f>ROUNDUP(('생활과 윤리'!$P8-0.5-50)/10*'생활과 윤리'!$H$4+'생활과 윤리'!$H$3, 0)</f>
        <v>41</v>
      </c>
      <c r="E10" s="75">
        <f>ROUNDUP(('윤리와 사상'!$P8-0.5-50)/10*'윤리와 사상'!$H$4+'윤리와 사상'!$H$3, 0)</f>
        <v>40</v>
      </c>
      <c r="F10" s="75">
        <f>ROUNDUP((한국지리!$P8-0.5-50)/10*한국지리!$H$4+한국지리!$H$3, 0)</f>
        <v>41</v>
      </c>
      <c r="G10" s="75">
        <f>ROUNDUP((세계지리!$P8-0.5-50)/10*세계지리!$H$4+세계지리!$H$3, 0)</f>
        <v>39</v>
      </c>
      <c r="H10" s="75">
        <f>ROUNDUP((동아시아사!$P8-0.5-50)/10*동아시아사!$H$4+동아시아사!$H$3, 0)</f>
        <v>44</v>
      </c>
      <c r="I10" s="75">
        <f>ROUNDUP((세계사!$P8-0.5-50)/10*세계사!$H$4+세계사!$H$3, 0)</f>
        <v>38</v>
      </c>
      <c r="J10" s="75">
        <f>ROUNDUP((경제!$P8-0.5-50)/10*경제!$H$4+경제!$H$3, 0)</f>
        <v>42</v>
      </c>
      <c r="K10" s="75">
        <f>ROUNDUP(('정치와 법'!$P8-0.5-50)/10*'정치와 법'!$H$4+'정치와 법'!$H$3, 0)</f>
        <v>41</v>
      </c>
      <c r="L10" s="76">
        <f>ROUNDUP((사회∙문화!$P8-0.5-50)/10*사회∙문화!$H$4+사회∙문화!$H$3, 0)</f>
        <v>41</v>
      </c>
      <c r="M10" s="31"/>
    </row>
    <row r="11" spans="1:13" ht="25" customHeight="1">
      <c r="B11" s="26"/>
      <c r="C11" s="74" t="s">
        <v>94</v>
      </c>
      <c r="D11" s="51">
        <f>ROUNDUP(('생활과 윤리'!$P9-0.5-50)/10*'생활과 윤리'!$H$4+'생활과 윤리'!$H$3, 0)</f>
        <v>35</v>
      </c>
      <c r="E11" s="75">
        <f>ROUNDUP(('윤리와 사상'!$P9-0.5-50)/10*'윤리와 사상'!$H$4+'윤리와 사상'!$H$3, 0)</f>
        <v>33</v>
      </c>
      <c r="F11" s="75">
        <f>ROUNDUP((한국지리!$P9-0.5-50)/10*한국지리!$H$4+한국지리!$H$3, 0)</f>
        <v>32</v>
      </c>
      <c r="G11" s="75">
        <f>ROUNDUP((세계지리!$P9-0.5-50)/10*세계지리!$H$4+세계지리!$H$3, 0)</f>
        <v>30</v>
      </c>
      <c r="H11" s="75">
        <f>ROUNDUP((동아시아사!$P9-0.5-50)/10*동아시아사!$H$4+동아시아사!$H$3, 0)</f>
        <v>38</v>
      </c>
      <c r="I11" s="75">
        <f>ROUNDUP((세계사!$P9-0.5-50)/10*세계사!$H$4+세계사!$H$3, 0)</f>
        <v>27</v>
      </c>
      <c r="J11" s="75">
        <f>ROUNDUP((경제!$P9-0.5-50)/10*경제!$H$4+경제!$H$3, 0)</f>
        <v>32</v>
      </c>
      <c r="K11" s="75">
        <f>ROUNDUP(('정치와 법'!$P9-0.5-50)/10*'정치와 법'!$H$4+'정치와 법'!$H$3, 0)</f>
        <v>35</v>
      </c>
      <c r="L11" s="76">
        <f>ROUNDUP((사회∙문화!$P9-0.5-50)/10*사회∙문화!$H$4+사회∙문화!$H$3, 0)</f>
        <v>34</v>
      </c>
      <c r="M11" s="31"/>
    </row>
    <row r="12" spans="1:13" ht="25" customHeight="1">
      <c r="B12" s="26"/>
      <c r="C12" s="74" t="s">
        <v>95</v>
      </c>
      <c r="D12" s="51">
        <f>ROUNDUP(('생활과 윤리'!$P10-0.5-50)/10*'생활과 윤리'!$H$4+'생활과 윤리'!$H$3, 0)</f>
        <v>29</v>
      </c>
      <c r="E12" s="75">
        <f>ROUNDUP(('윤리와 사상'!$P10-0.5-50)/10*'윤리와 사상'!$H$4+'윤리와 사상'!$H$3, 0)</f>
        <v>23</v>
      </c>
      <c r="F12" s="75">
        <f>ROUNDUP((한국지리!$P10-0.5-50)/10*한국지리!$H$4+한국지리!$H$3, 0)</f>
        <v>24</v>
      </c>
      <c r="G12" s="75">
        <f>ROUNDUP((세계지리!$P10-0.5-50)/10*세계지리!$H$4+세계지리!$H$3, 0)</f>
        <v>23</v>
      </c>
      <c r="H12" s="75">
        <f>ROUNDUP((동아시아사!$P10-0.5-50)/10*동아시아사!$H$4+동아시아사!$H$3, 0)</f>
        <v>29</v>
      </c>
      <c r="I12" s="75">
        <f>ROUNDUP((세계사!$P10-0.5-50)/10*세계사!$H$4+세계사!$H$3, 0)</f>
        <v>19</v>
      </c>
      <c r="J12" s="75">
        <f>ROUNDUP((경제!$P10-0.5-50)/10*경제!$H$4+경제!$H$3, 0)</f>
        <v>22</v>
      </c>
      <c r="K12" s="75">
        <f>ROUNDUP(('정치와 법'!$P10-0.5-50)/10*'정치와 법'!$H$4+'정치와 법'!$H$3, 0)</f>
        <v>27</v>
      </c>
      <c r="L12" s="76">
        <f>ROUNDUP((사회∙문화!$P10-0.5-50)/10*사회∙문화!$H$4+사회∙문화!$H$3, 0)</f>
        <v>24</v>
      </c>
      <c r="M12" s="31"/>
    </row>
    <row r="13" spans="1:13" ht="25" customHeight="1">
      <c r="B13" s="26"/>
      <c r="C13" s="74" t="s">
        <v>96</v>
      </c>
      <c r="D13" s="51">
        <f>ROUNDUP(('생활과 윤리'!$P11-0.5-50)/10*'생활과 윤리'!$H$4+'생활과 윤리'!$H$3, 0)</f>
        <v>23</v>
      </c>
      <c r="E13" s="75">
        <f>ROUNDUP(('윤리와 사상'!$P11-0.5-50)/10*'윤리와 사상'!$H$4+'윤리와 사상'!$H$3, 0)</f>
        <v>15</v>
      </c>
      <c r="F13" s="75">
        <f>ROUNDUP((한국지리!$P11-0.5-50)/10*한국지리!$H$4+한국지리!$H$3, 0)</f>
        <v>16</v>
      </c>
      <c r="G13" s="75">
        <f>ROUNDUP((세계지리!$P11-0.5-50)/10*세계지리!$H$4+세계지리!$H$3, 0)</f>
        <v>18</v>
      </c>
      <c r="H13" s="75">
        <f>ROUNDUP((동아시아사!$P11-0.5-50)/10*동아시아사!$H$4+동아시아사!$H$3, 0)</f>
        <v>20</v>
      </c>
      <c r="I13" s="75">
        <f>ROUNDUP((세계사!$P11-0.5-50)/10*세계사!$H$4+세계사!$H$3, 0)</f>
        <v>12</v>
      </c>
      <c r="J13" s="75">
        <f>ROUNDUP((경제!$P11-0.5-50)/10*경제!$H$4+경제!$H$3, 0)</f>
        <v>15</v>
      </c>
      <c r="K13" s="75">
        <f>ROUNDUP(('정치와 법'!$P11-0.5-50)/10*'정치와 법'!$H$4+'정치와 법'!$H$3, 0)</f>
        <v>19</v>
      </c>
      <c r="L13" s="76">
        <f>ROUNDUP((사회∙문화!$P11-0.5-50)/10*사회∙문화!$H$4+사회∙문화!$H$3, 0)</f>
        <v>17</v>
      </c>
      <c r="M13" s="31"/>
    </row>
    <row r="14" spans="1:13" ht="25" customHeight="1">
      <c r="B14" s="26"/>
      <c r="C14" s="74" t="s">
        <v>97</v>
      </c>
      <c r="D14" s="51">
        <f>ROUNDUP(('생활과 윤리'!$P12-0.5-50)/10*'생활과 윤리'!$H$4+'생활과 윤리'!$H$3, 0)</f>
        <v>16</v>
      </c>
      <c r="E14" s="75">
        <f>ROUNDUP(('윤리와 사상'!$P12-0.5-50)/10*'윤리와 사상'!$H$4+'윤리와 사상'!$H$3, 0)</f>
        <v>12</v>
      </c>
      <c r="F14" s="75">
        <f>ROUNDUP((한국지리!$P12-0.5-50)/10*한국지리!$H$4+한국지리!$H$3, 0)</f>
        <v>11</v>
      </c>
      <c r="G14" s="75">
        <f>ROUNDUP((세계지리!$P12-0.5-50)/10*세계지리!$H$4+세계지리!$H$3, 0)</f>
        <v>12</v>
      </c>
      <c r="H14" s="75">
        <f>ROUNDUP((동아시아사!$P12-0.5-50)/10*동아시아사!$H$4+동아시아사!$H$3, 0)</f>
        <v>14</v>
      </c>
      <c r="I14" s="75">
        <f>ROUNDUP((세계사!$P12-0.5-50)/10*세계사!$H$4+세계사!$H$3, 0)</f>
        <v>10</v>
      </c>
      <c r="J14" s="75">
        <f>ROUNDUP((경제!$P12-0.5-50)/10*경제!$H$4+경제!$H$3, 0)</f>
        <v>11</v>
      </c>
      <c r="K14" s="75">
        <f>ROUNDUP(('정치와 법'!$P12-0.5-50)/10*'정치와 법'!$H$4+'정치와 법'!$H$3, 0)</f>
        <v>13</v>
      </c>
      <c r="L14" s="76">
        <f>ROUNDUP((사회∙문화!$P12-0.5-50)/10*사회∙문화!$H$4+사회∙문화!$H$3, 0)</f>
        <v>12</v>
      </c>
      <c r="M14" s="31"/>
    </row>
    <row r="15" spans="1:13" ht="25" customHeight="1">
      <c r="B15" s="26"/>
      <c r="C15" s="74" t="s">
        <v>98</v>
      </c>
      <c r="D15" s="51">
        <f>ROUNDUP(('생활과 윤리'!$P13-0.5-50)/10*'생활과 윤리'!$H$4+'생활과 윤리'!$H$3, 0)</f>
        <v>10</v>
      </c>
      <c r="E15" s="75">
        <f>ROUNDUP(('윤리와 사상'!$P13-0.5-50)/10*'윤리와 사상'!$H$4+'윤리와 사상'!$H$3, 0)</f>
        <v>7</v>
      </c>
      <c r="F15" s="75">
        <f>ROUNDUP((한국지리!$P13-0.5-50)/10*한국지리!$H$4+한국지리!$H$3, 0)</f>
        <v>10</v>
      </c>
      <c r="G15" s="75">
        <f>ROUNDUP((세계지리!$P13-0.5-50)/10*세계지리!$H$4+세계지리!$H$3, 0)</f>
        <v>10</v>
      </c>
      <c r="H15" s="75">
        <f>ROUNDUP((동아시아사!$P13-0.5-50)/10*동아시아사!$H$4+동아시아사!$H$3, 0)</f>
        <v>10</v>
      </c>
      <c r="I15" s="75">
        <f>ROUNDUP((세계사!$P13-0.5-50)/10*세계사!$H$4+세계사!$H$3, 0)</f>
        <v>8</v>
      </c>
      <c r="J15" s="75">
        <f>ROUNDUP((경제!$P13-0.5-50)/10*경제!$H$4+경제!$H$3, 0)</f>
        <v>9</v>
      </c>
      <c r="K15" s="75">
        <f>ROUNDUP(('정치와 법'!$P13-0.5-50)/10*'정치와 법'!$H$4+'정치와 법'!$H$3, 0)</f>
        <v>8</v>
      </c>
      <c r="L15" s="76">
        <f>ROUNDUP((사회∙문화!$P13-0.5-50)/10*사회∙문화!$H$4+사회∙문화!$H$3, 0)</f>
        <v>9</v>
      </c>
      <c r="M15" s="31"/>
    </row>
    <row r="16" spans="1:13" ht="25" customHeight="1" thickBot="1">
      <c r="B16" s="26"/>
      <c r="C16" s="77" t="s">
        <v>99</v>
      </c>
      <c r="D16" s="78">
        <f>ROUNDUP(('생활과 윤리'!$P14-0.5-50)/10*'생활과 윤리'!$H$4+'생활과 윤리'!$H$3, 0)</f>
        <v>6</v>
      </c>
      <c r="E16" s="79" t="e">
        <f>ROUNDUP(('윤리와 사상'!$P14-0.5-50)/10*'윤리와 사상'!$H$4+'윤리와 사상'!$H$3, 0)</f>
        <v>#VALUE!</v>
      </c>
      <c r="F16" s="79">
        <f>ROUNDUP((한국지리!$P14-0.5-50)/10*한국지리!$H$4+한국지리!$H$3, 0)</f>
        <v>5</v>
      </c>
      <c r="G16" s="79">
        <f>ROUNDUP((세계지리!$P14-0.5-50)/10*세계지리!$H$4+세계지리!$H$3, 0)</f>
        <v>7</v>
      </c>
      <c r="H16" s="79">
        <f>ROUNDUP((동아시아사!$P14-0.5-50)/10*동아시아사!$H$4+동아시아사!$H$3, 0)</f>
        <v>6</v>
      </c>
      <c r="I16" s="79">
        <f>ROUNDUP((세계사!$P14-0.5-50)/10*세계사!$H$4+세계사!$H$3, 0)</f>
        <v>6</v>
      </c>
      <c r="J16" s="79">
        <f>ROUNDUP((경제!$P14-0.5-50)/10*경제!$H$4+경제!$H$3, 0)</f>
        <v>6</v>
      </c>
      <c r="K16" s="79">
        <f>ROUNDUP(('정치와 법'!$P14-0.5-50)/10*'정치와 법'!$H$4+'정치와 법'!$H$3, 0)</f>
        <v>7</v>
      </c>
      <c r="L16" s="80">
        <f>ROUNDUP((사회∙문화!$P14-0.5-50)/10*사회∙문화!$H$4+사회∙문화!$H$3, 0)</f>
        <v>5</v>
      </c>
      <c r="M16" s="31"/>
    </row>
    <row r="17" spans="2:13" ht="25" customHeight="1">
      <c r="B17" s="26"/>
      <c r="C17" s="81"/>
      <c r="D17" s="81"/>
      <c r="E17" s="81"/>
      <c r="F17" s="81"/>
      <c r="G17" s="81"/>
      <c r="H17" s="81"/>
      <c r="I17" s="81"/>
      <c r="J17" s="81"/>
      <c r="K17" s="81"/>
      <c r="L17" s="82"/>
      <c r="M17" s="31"/>
    </row>
    <row r="18" spans="2:13" ht="25" customHeight="1" thickBot="1">
      <c r="B18" s="26"/>
      <c r="C18" s="81"/>
      <c r="D18" s="81"/>
      <c r="E18" s="81"/>
      <c r="F18" s="81"/>
      <c r="G18" s="81"/>
      <c r="H18" s="81"/>
      <c r="I18" s="81"/>
      <c r="J18" s="81"/>
      <c r="K18" s="81"/>
      <c r="L18" s="82"/>
      <c r="M18" s="31"/>
    </row>
    <row r="19" spans="2:13" ht="25" customHeight="1" thickBot="1">
      <c r="B19" s="26"/>
      <c r="C19" s="66" t="s">
        <v>100</v>
      </c>
      <c r="D19" s="83" t="s">
        <v>101</v>
      </c>
      <c r="E19" s="68" t="s">
        <v>102</v>
      </c>
      <c r="F19" s="67" t="s">
        <v>103</v>
      </c>
      <c r="G19" s="84" t="s">
        <v>13</v>
      </c>
      <c r="H19" s="84" t="s">
        <v>37</v>
      </c>
      <c r="I19" s="68" t="s">
        <v>104</v>
      </c>
      <c r="J19" s="67" t="s">
        <v>105</v>
      </c>
      <c r="K19" s="85" t="s">
        <v>106</v>
      </c>
      <c r="L19" s="86"/>
      <c r="M19" s="31"/>
    </row>
    <row r="20" spans="2:13" ht="25" customHeight="1">
      <c r="B20" s="26"/>
      <c r="C20" s="70" t="s">
        <v>92</v>
      </c>
      <c r="D20" s="71">
        <f>ROUNDUP((물리학Ⅰ!$P7-0.5-50)/10*물리학Ⅰ!$H$4+물리학Ⅰ!$H$3, 0)</f>
        <v>42</v>
      </c>
      <c r="E20" s="72">
        <f>ROUNDUP((화학Ⅰ!$P7-0.5-50)/10*화학Ⅰ!$H$4+화학Ⅰ!$H$3, 0)</f>
        <v>47</v>
      </c>
      <c r="F20" s="72">
        <f>ROUNDUP((생명과학Ⅰ!$P7-0.5-50)/10*생명과학Ⅰ!$H$4+생명과학Ⅰ!$H$3, 0)</f>
        <v>45</v>
      </c>
      <c r="G20" s="72">
        <f>ROUNDUP((지구과학Ⅰ!$P7-0.5-50)/10*지구과학Ⅰ!$H$4+지구과학Ⅰ!$H$3, 0)</f>
        <v>47</v>
      </c>
      <c r="H20" s="72">
        <f>ROUNDUP((물리학Ⅱ!$P7-0.5-50)/10*물리학Ⅱ!$H$4+물리학Ⅱ!$H$3, 0)</f>
        <v>43</v>
      </c>
      <c r="I20" s="72">
        <f>ROUNDUP((화학Ⅱ!$P7-0.5-50)/10*화학Ⅱ!$H$4+화학Ⅱ!$H$3, 0)</f>
        <v>44</v>
      </c>
      <c r="J20" s="72">
        <f>ROUNDUP((생명과학Ⅱ!$P7-0.5-50)/10*생명과학Ⅱ!$H$4+생명과학Ⅱ!$H$3, 0)</f>
        <v>47</v>
      </c>
      <c r="K20" s="73">
        <f>ROUNDUP((지구과학Ⅱ!$P7-0.5-50)/10*지구과학Ⅱ!$H$4+지구과학Ⅱ!$H$3, 0)</f>
        <v>45</v>
      </c>
      <c r="L20" s="81"/>
      <c r="M20" s="31"/>
    </row>
    <row r="21" spans="2:13" ht="25" customHeight="1">
      <c r="B21" s="26"/>
      <c r="C21" s="74" t="s">
        <v>93</v>
      </c>
      <c r="D21" s="51">
        <f>ROUNDUP((물리학Ⅰ!$P8-0.5-50)/10*물리학Ⅰ!$H$4+물리학Ⅰ!$H$3, 0)</f>
        <v>35</v>
      </c>
      <c r="E21" s="75">
        <f>ROUNDUP((화학Ⅰ!$P8-0.5-50)/10*화학Ⅰ!$H$4+화학Ⅰ!$H$3, 0)</f>
        <v>42</v>
      </c>
      <c r="F21" s="75">
        <f>ROUNDUP((생명과학Ⅰ!$P8-0.5-50)/10*생명과학Ⅰ!$H$4+생명과학Ⅰ!$H$3, 0)</f>
        <v>42</v>
      </c>
      <c r="G21" s="75">
        <f>ROUNDUP((지구과학Ⅰ!$P8-0.5-50)/10*지구과학Ⅰ!$H$4+지구과학Ⅰ!$H$3, 0)</f>
        <v>44</v>
      </c>
      <c r="H21" s="75">
        <f>ROUNDUP((물리학Ⅱ!$P8-0.5-50)/10*물리학Ⅱ!$H$4+물리학Ⅱ!$H$3, 0)</f>
        <v>38</v>
      </c>
      <c r="I21" s="75">
        <f>ROUNDUP((화학Ⅱ!$P8-0.5-50)/10*화학Ⅱ!$H$4+화학Ⅱ!$H$3, 0)</f>
        <v>36</v>
      </c>
      <c r="J21" s="75">
        <f>ROUNDUP((생명과학Ⅱ!$P8-0.5-50)/10*생명과학Ⅱ!$H$4+생명과학Ⅱ!$H$3, 0)</f>
        <v>41</v>
      </c>
      <c r="K21" s="76">
        <f>ROUNDUP((지구과학Ⅱ!$P8-0.5-50)/10*지구과학Ⅱ!$H$4+지구과학Ⅱ!$H$3, 0)</f>
        <v>40</v>
      </c>
      <c r="L21" s="81"/>
      <c r="M21" s="31"/>
    </row>
    <row r="22" spans="2:13" ht="25" customHeight="1">
      <c r="B22" s="26"/>
      <c r="C22" s="74" t="s">
        <v>94</v>
      </c>
      <c r="D22" s="51">
        <f>ROUNDUP((물리학Ⅰ!$P9-0.5-50)/10*물리학Ⅰ!$H$4+물리학Ⅰ!$H$3, 0)</f>
        <v>29</v>
      </c>
      <c r="E22" s="75">
        <f>ROUNDUP((화학Ⅰ!$P9-0.5-50)/10*화학Ⅰ!$H$4+화학Ⅰ!$H$3, 0)</f>
        <v>37</v>
      </c>
      <c r="F22" s="75">
        <f>ROUNDUP((생명과학Ⅰ!$P9-0.5-50)/10*생명과학Ⅰ!$H$4+생명과학Ⅰ!$H$3, 0)</f>
        <v>37</v>
      </c>
      <c r="G22" s="75">
        <f>ROUNDUP((지구과학Ⅰ!$P9-0.5-50)/10*지구과학Ⅰ!$H$4+지구과학Ⅰ!$H$3, 0)</f>
        <v>37</v>
      </c>
      <c r="H22" s="75">
        <f>ROUNDUP((물리학Ⅱ!$P9-0.5-50)/10*물리학Ⅱ!$H$4+물리학Ⅱ!$H$3, 0)</f>
        <v>29</v>
      </c>
      <c r="I22" s="75">
        <f>ROUNDUP((화학Ⅱ!$P9-0.5-50)/10*화학Ⅱ!$H$4+화학Ⅱ!$H$3, 0)</f>
        <v>27</v>
      </c>
      <c r="J22" s="75">
        <f>ROUNDUP((생명과학Ⅱ!$P9-0.5-50)/10*생명과학Ⅱ!$H$4+생명과학Ⅱ!$H$3, 0)</f>
        <v>31</v>
      </c>
      <c r="K22" s="76">
        <f>ROUNDUP((지구과학Ⅱ!$P9-0.5-50)/10*지구과학Ⅱ!$H$4+지구과학Ⅱ!$H$3, 0)</f>
        <v>29</v>
      </c>
      <c r="L22" s="81"/>
      <c r="M22" s="31"/>
    </row>
    <row r="23" spans="2:13" ht="25" customHeight="1">
      <c r="B23" s="26"/>
      <c r="C23" s="74" t="s">
        <v>95</v>
      </c>
      <c r="D23" s="51">
        <f>ROUNDUP((물리학Ⅰ!$P10-0.5-50)/10*물리학Ⅰ!$H$4+물리학Ⅰ!$H$3, 0)</f>
        <v>23</v>
      </c>
      <c r="E23" s="75">
        <f>ROUNDUP((화학Ⅰ!$P10-0.5-50)/10*화학Ⅰ!$H$4+화학Ⅰ!$H$3, 0)</f>
        <v>31</v>
      </c>
      <c r="F23" s="75">
        <f>ROUNDUP((생명과학Ⅰ!$P10-0.5-50)/10*생명과학Ⅰ!$H$4+생명과학Ⅰ!$H$3, 0)</f>
        <v>31</v>
      </c>
      <c r="G23" s="75">
        <f>ROUNDUP((지구과학Ⅰ!$P10-0.5-50)/10*지구과학Ⅰ!$H$4+지구과학Ⅰ!$H$3, 0)</f>
        <v>30</v>
      </c>
      <c r="H23" s="75">
        <f>ROUNDUP((물리학Ⅱ!$P10-0.5-50)/10*물리학Ⅱ!$H$4+물리학Ⅱ!$H$3, 0)</f>
        <v>20</v>
      </c>
      <c r="I23" s="75">
        <f>ROUNDUP((화학Ⅱ!$P10-0.5-50)/10*화학Ⅱ!$H$4+화학Ⅱ!$H$3, 0)</f>
        <v>19</v>
      </c>
      <c r="J23" s="75">
        <f>ROUNDUP((생명과학Ⅱ!$P10-0.5-50)/10*생명과학Ⅱ!$H$4+생명과학Ⅱ!$H$3, 0)</f>
        <v>19</v>
      </c>
      <c r="K23" s="76">
        <f>ROUNDUP((지구과학Ⅱ!$P10-0.5-50)/10*지구과학Ⅱ!$H$4+지구과학Ⅱ!$H$3, 0)</f>
        <v>17</v>
      </c>
      <c r="L23" s="81"/>
      <c r="M23" s="31"/>
    </row>
    <row r="24" spans="2:13" ht="25" customHeight="1">
      <c r="B24" s="26"/>
      <c r="C24" s="74" t="s">
        <v>96</v>
      </c>
      <c r="D24" s="51">
        <f>ROUNDUP((물리학Ⅰ!$P11-0.5-50)/10*물리학Ⅰ!$H$4+물리학Ⅰ!$H$3, 0)</f>
        <v>17</v>
      </c>
      <c r="E24" s="75">
        <f>ROUNDUP((화학Ⅰ!$P11-0.5-50)/10*화학Ⅰ!$H$4+화학Ⅰ!$H$3, 0)</f>
        <v>22</v>
      </c>
      <c r="F24" s="75">
        <f>ROUNDUP((생명과학Ⅰ!$P11-0.5-50)/10*생명과학Ⅰ!$H$4+생명과학Ⅰ!$H$3, 0)</f>
        <v>22</v>
      </c>
      <c r="G24" s="75">
        <f>ROUNDUP((지구과학Ⅰ!$P11-0.5-50)/10*지구과학Ⅰ!$H$4+지구과학Ⅰ!$H$3, 0)</f>
        <v>22</v>
      </c>
      <c r="H24" s="75">
        <f>ROUNDUP((물리학Ⅱ!$P11-0.5-50)/10*물리학Ⅱ!$H$4+물리학Ⅱ!$H$3, 0)</f>
        <v>13</v>
      </c>
      <c r="I24" s="75">
        <f>ROUNDUP((화학Ⅱ!$P11-0.5-50)/10*화학Ⅱ!$H$4+화학Ⅱ!$H$3, 0)</f>
        <v>14</v>
      </c>
      <c r="J24" s="75">
        <f>ROUNDUP((생명과학Ⅱ!$P11-0.5-50)/10*생명과학Ⅱ!$H$4+생명과학Ⅱ!$H$3, 0)</f>
        <v>13</v>
      </c>
      <c r="K24" s="76">
        <f>ROUNDUP((지구과학Ⅱ!$P11-0.5-50)/10*지구과학Ⅱ!$H$4+지구과학Ⅱ!$H$3, 0)</f>
        <v>12</v>
      </c>
      <c r="L24" s="81"/>
      <c r="M24" s="31"/>
    </row>
    <row r="25" spans="2:13" ht="25" customHeight="1">
      <c r="B25" s="26"/>
      <c r="C25" s="74" t="s">
        <v>97</v>
      </c>
      <c r="D25" s="51">
        <f>ROUNDUP((물리학Ⅰ!$P12-0.5-50)/10*물리학Ⅰ!$H$4+물리학Ⅰ!$H$3, 0)</f>
        <v>13</v>
      </c>
      <c r="E25" s="75">
        <f>ROUNDUP((화학Ⅰ!$P12-0.5-50)/10*화학Ⅰ!$H$4+화학Ⅰ!$H$3, 0)</f>
        <v>16</v>
      </c>
      <c r="F25" s="75">
        <f>ROUNDUP((생명과학Ⅰ!$P12-0.5-50)/10*생명과학Ⅰ!$H$4+생명과학Ⅰ!$H$3, 0)</f>
        <v>17</v>
      </c>
      <c r="G25" s="75">
        <f>ROUNDUP((지구과학Ⅰ!$P12-0.5-50)/10*지구과학Ⅰ!$H$4+지구과학Ⅰ!$H$3, 0)</f>
        <v>15</v>
      </c>
      <c r="H25" s="75">
        <f>ROUNDUP((물리학Ⅱ!$P12-0.5-50)/10*물리학Ⅱ!$H$4+물리학Ⅱ!$H$3, 0)</f>
        <v>10</v>
      </c>
      <c r="I25" s="75">
        <f>ROUNDUP((화학Ⅱ!$P12-0.5-50)/10*화학Ⅱ!$H$4+화학Ⅱ!$H$3, 0)</f>
        <v>11</v>
      </c>
      <c r="J25" s="75">
        <f>ROUNDUP((생명과학Ⅱ!$P12-0.5-50)/10*생명과학Ⅱ!$H$4+생명과학Ⅱ!$H$3, 0)</f>
        <v>9</v>
      </c>
      <c r="K25" s="76">
        <f>ROUNDUP((지구과학Ⅱ!$P12-0.5-50)/10*지구과학Ⅱ!$H$4+지구과학Ⅱ!$H$3, 0)</f>
        <v>10</v>
      </c>
      <c r="L25" s="81"/>
      <c r="M25" s="31"/>
    </row>
    <row r="26" spans="2:13" ht="25" customHeight="1">
      <c r="B26" s="26"/>
      <c r="C26" s="74" t="s">
        <v>98</v>
      </c>
      <c r="D26" s="51">
        <f>ROUNDUP((물리학Ⅰ!$P13-0.5-50)/10*물리학Ⅰ!$H$4+물리학Ⅰ!$H$3, 0)</f>
        <v>10</v>
      </c>
      <c r="E26" s="75">
        <f>ROUNDUP((화학Ⅰ!$P13-0.5-50)/10*화학Ⅰ!$H$4+화학Ⅰ!$H$3, 0)</f>
        <v>12</v>
      </c>
      <c r="F26" s="75">
        <f>ROUNDUP((생명과학Ⅰ!$P13-0.5-50)/10*생명과학Ⅰ!$H$4+생명과학Ⅰ!$H$3, 0)</f>
        <v>12</v>
      </c>
      <c r="G26" s="75">
        <f>ROUNDUP((지구과학Ⅰ!$P13-0.5-50)/10*지구과학Ⅰ!$H$4+지구과학Ⅰ!$H$3, 0)</f>
        <v>11</v>
      </c>
      <c r="H26" s="75">
        <f>ROUNDUP((물리학Ⅱ!$P13-0.5-50)/10*물리학Ⅱ!$H$4+물리학Ⅱ!$H$3, 0)</f>
        <v>8</v>
      </c>
      <c r="I26" s="75">
        <f>ROUNDUP((화학Ⅱ!$P13-0.5-50)/10*화학Ⅱ!$H$4+화학Ⅱ!$H$3, 0)</f>
        <v>8</v>
      </c>
      <c r="J26" s="75">
        <f>ROUNDUP((생명과학Ⅱ!$P13-0.5-50)/10*생명과학Ⅱ!$H$4+생명과학Ⅱ!$H$3, 0)</f>
        <v>8</v>
      </c>
      <c r="K26" s="76">
        <f>ROUNDUP((지구과학Ⅱ!$P13-0.5-50)/10*지구과학Ⅱ!$H$4+지구과학Ⅱ!$H$3, 0)</f>
        <v>8</v>
      </c>
      <c r="L26" s="81"/>
      <c r="M26" s="31"/>
    </row>
    <row r="27" spans="2:13" ht="25" customHeight="1" thickBot="1">
      <c r="B27" s="26"/>
      <c r="C27" s="77" t="s">
        <v>99</v>
      </c>
      <c r="D27" s="78">
        <f>ROUNDUP((물리학Ⅰ!$P14-0.5-50)/10*물리학Ⅰ!$H$4+물리학Ⅰ!$H$3, 0)</f>
        <v>7</v>
      </c>
      <c r="E27" s="79">
        <f>ROUNDUP((화학Ⅰ!$P14-0.5-50)/10*화학Ⅰ!$H$4+화학Ⅰ!$H$3, 0)</f>
        <v>9</v>
      </c>
      <c r="F27" s="79">
        <f>ROUNDUP((생명과학Ⅰ!$P14-0.5-50)/10*생명과학Ⅰ!$H$4+생명과학Ⅰ!$H$3, 0)</f>
        <v>9</v>
      </c>
      <c r="G27" s="79">
        <f>ROUNDUP((지구과학Ⅰ!$P14-0.5-50)/10*지구과학Ⅰ!$H$4+지구과학Ⅰ!$H$3, 0)</f>
        <v>8</v>
      </c>
      <c r="H27" s="79">
        <f>ROUNDUP((물리학Ⅱ!$P14-0.5-50)/10*물리학Ⅱ!$H$4+물리학Ⅱ!$H$3, 0)</f>
        <v>4</v>
      </c>
      <c r="I27" s="79">
        <f>ROUNDUP((화학Ⅱ!$P14-0.5-50)/10*화학Ⅱ!$H$4+화학Ⅱ!$H$3, 0)</f>
        <v>5</v>
      </c>
      <c r="J27" s="79">
        <f>ROUNDUP((생명과학Ⅱ!$P14-0.5-50)/10*생명과학Ⅱ!$H$4+생명과학Ⅱ!$H$3, 0)</f>
        <v>5</v>
      </c>
      <c r="K27" s="80">
        <f>ROUNDUP((지구과학Ⅱ!$P14-0.5-50)/10*지구과학Ⅱ!$H$4+지구과학Ⅱ!$H$3, 0)</f>
        <v>4</v>
      </c>
      <c r="L27" s="81"/>
      <c r="M27" s="31"/>
    </row>
    <row r="28" spans="2:13" ht="25" customHeight="1">
      <c r="B28" s="26"/>
      <c r="C28" s="81"/>
      <c r="D28" s="81"/>
      <c r="E28" s="81"/>
      <c r="F28" s="81"/>
      <c r="G28" s="81"/>
      <c r="H28" s="81"/>
      <c r="I28" s="81"/>
      <c r="J28" s="81"/>
      <c r="K28" s="81"/>
      <c r="L28" s="82"/>
      <c r="M28" s="31"/>
    </row>
    <row r="29" spans="2:13" ht="25" customHeight="1" thickBot="1">
      <c r="B29" s="26"/>
      <c r="C29" s="81"/>
      <c r="D29" s="81"/>
      <c r="E29" s="81"/>
      <c r="F29" s="81"/>
      <c r="G29" s="81"/>
      <c r="H29" s="81"/>
      <c r="I29" s="81"/>
      <c r="J29" s="81"/>
      <c r="K29" s="81"/>
      <c r="L29" s="82"/>
      <c r="M29" s="31"/>
    </row>
    <row r="30" spans="2:13" ht="40" customHeight="1" thickBot="1">
      <c r="B30" s="26"/>
      <c r="C30" s="66" t="s">
        <v>107</v>
      </c>
      <c r="D30" s="87" t="s">
        <v>108</v>
      </c>
      <c r="E30" s="88" t="s">
        <v>109</v>
      </c>
      <c r="F30" s="88" t="s">
        <v>110</v>
      </c>
      <c r="G30" s="88" t="s">
        <v>111</v>
      </c>
      <c r="H30" s="89" t="s">
        <v>112</v>
      </c>
      <c r="I30" s="90" t="s">
        <v>113</v>
      </c>
      <c r="J30" s="82"/>
      <c r="K30" s="82"/>
      <c r="L30" s="82"/>
      <c r="M30" s="31"/>
    </row>
    <row r="31" spans="2:13" ht="25" customHeight="1">
      <c r="B31" s="26"/>
      <c r="C31" s="91" t="s">
        <v>92</v>
      </c>
      <c r="D31" s="71">
        <f>ROUNDUP(('성공적인 직업생활'!$P7-0.5-50)/10*'성공적인 직업생활'!$H$4+'성공적인 직업생활'!$H$3, 0)</f>
        <v>44</v>
      </c>
      <c r="E31" s="53">
        <f>ROUNDUP(('농업 기초 기술'!$P7-0.5-50)/10*'농업 기초 기술'!$H$4+'농업 기초 기술'!$H$3, 0)</f>
        <v>33</v>
      </c>
      <c r="F31" s="53">
        <f>ROUNDUP(('공업 일반'!$P7-0.5-50)/10*'공업 일반'!$H$4+'공업 일반'!$H$3, 0)</f>
        <v>47</v>
      </c>
      <c r="G31" s="53">
        <f>ROUNDUP(('상업 경제'!$P7-0.5-50)/10*'상업 경제'!$H$4+'상업 경제'!$H$3, 0)</f>
        <v>39</v>
      </c>
      <c r="H31" s="53">
        <f>ROUNDUP(('수산·해운 산업 기초'!$P7-0.5-50)/10*'수산·해운 산업 기초'!$H$4+'수산·해운 산업 기초'!$H$3, 0)</f>
        <v>26</v>
      </c>
      <c r="I31" s="92">
        <f>ROUNDUP(('인간 발달'!$P7-0.5-50)/10*'인간 발달'!$H$4+'인간 발달'!$H$3, 0)</f>
        <v>29</v>
      </c>
      <c r="J31" s="82"/>
      <c r="K31" s="82"/>
      <c r="L31" s="82"/>
      <c r="M31" s="31"/>
    </row>
    <row r="32" spans="2:13" ht="25" customHeight="1">
      <c r="B32" s="26"/>
      <c r="C32" s="93" t="s">
        <v>93</v>
      </c>
      <c r="D32" s="52">
        <f>ROUNDUP(('성공적인 직업생활'!$P8-0.5-50)/10*'성공적인 직업생활'!$H$4+'성공적인 직업생활'!$H$3, 0)</f>
        <v>39</v>
      </c>
      <c r="E32" s="94">
        <f>ROUNDUP(('농업 기초 기술'!$P8-0.5-50)/10*'농업 기초 기술'!$H$4+'농업 기초 기술'!$H$3, 0)</f>
        <v>27</v>
      </c>
      <c r="F32" s="94">
        <f>ROUNDUP(('공업 일반'!$P8-0.5-50)/10*'공업 일반'!$H$4+'공업 일반'!$H$3, 0)</f>
        <v>39</v>
      </c>
      <c r="G32" s="94">
        <f>ROUNDUP(('상업 경제'!$P8-0.5-50)/10*'상업 경제'!$H$4+'상업 경제'!$H$3, 0)</f>
        <v>31</v>
      </c>
      <c r="H32" s="94">
        <f>ROUNDUP(('수산·해운 산업 기초'!$P8-0.5-50)/10*'수산·해운 산업 기초'!$H$4+'수산·해운 산업 기초'!$H$3, 0)</f>
        <v>20</v>
      </c>
      <c r="I32" s="95">
        <f>ROUNDUP(('인간 발달'!$P8-0.5-50)/10*'인간 발달'!$H$4+'인간 발달'!$H$3, 0)</f>
        <v>23</v>
      </c>
      <c r="J32" s="82"/>
      <c r="K32" s="82"/>
      <c r="L32" s="82"/>
      <c r="M32" s="31"/>
    </row>
    <row r="33" spans="2:14" ht="25" customHeight="1">
      <c r="B33" s="26"/>
      <c r="C33" s="93" t="s">
        <v>94</v>
      </c>
      <c r="D33" s="52">
        <f>ROUNDUP(('성공적인 직업생활'!$P9-0.5-50)/10*'성공적인 직업생활'!$H$4+'성공적인 직업생활'!$H$3, 0)</f>
        <v>34</v>
      </c>
      <c r="E33" s="94">
        <f>ROUNDUP(('농업 기초 기술'!$P9-0.5-50)/10*'농업 기초 기술'!$H$4+'농업 기초 기술'!$H$3, 0)</f>
        <v>18</v>
      </c>
      <c r="F33" s="94">
        <f>ROUNDUP(('공업 일반'!$P9-0.5-50)/10*'공업 일반'!$H$4+'공업 일반'!$H$3, 0)</f>
        <v>30</v>
      </c>
      <c r="G33" s="94">
        <f>ROUNDUP(('상업 경제'!$P9-0.5-50)/10*'상업 경제'!$H$4+'상업 경제'!$H$3, 0)</f>
        <v>24</v>
      </c>
      <c r="H33" s="94">
        <f>ROUNDUP(('수산·해운 산업 기초'!$P9-0.5-50)/10*'수산·해운 산업 기초'!$H$4+'수산·해운 산업 기초'!$H$3, 0)</f>
        <v>15</v>
      </c>
      <c r="I33" s="95">
        <f>ROUNDUP(('인간 발달'!$P9-0.5-50)/10*'인간 발달'!$H$4+'인간 발달'!$H$3, 0)</f>
        <v>19</v>
      </c>
      <c r="J33" s="82"/>
      <c r="K33" s="82"/>
      <c r="L33" s="82"/>
      <c r="M33" s="31"/>
    </row>
    <row r="34" spans="2:14" ht="25" customHeight="1">
      <c r="B34" s="26"/>
      <c r="C34" s="93" t="s">
        <v>95</v>
      </c>
      <c r="D34" s="52">
        <f>ROUNDUP(('성공적인 직업생활'!$P10-0.5-50)/10*'성공적인 직업생활'!$H$4+'성공적인 직업생활'!$H$3, 0)</f>
        <v>29</v>
      </c>
      <c r="E34" s="94">
        <f>ROUNDUP(('농업 기초 기술'!$P10-0.5-50)/10*'농업 기초 기술'!$H$4+'농업 기초 기술'!$H$3, 0)</f>
        <v>13</v>
      </c>
      <c r="F34" s="94">
        <f>ROUNDUP(('공업 일반'!$P10-0.5-50)/10*'공업 일반'!$H$4+'공업 일반'!$H$3, 0)</f>
        <v>21</v>
      </c>
      <c r="G34" s="94">
        <f>ROUNDUP(('상업 경제'!$P10-0.5-50)/10*'상업 경제'!$H$4+'상업 경제'!$H$3, 0)</f>
        <v>18</v>
      </c>
      <c r="H34" s="94">
        <f>ROUNDUP(('수산·해운 산업 기초'!$P10-0.5-50)/10*'수산·해운 산업 기초'!$H$4+'수산·해운 산업 기초'!$H$3, 0)</f>
        <v>14</v>
      </c>
      <c r="I34" s="95">
        <f>ROUNDUP(('인간 발달'!$P10-0.5-50)/10*'인간 발달'!$H$4+'인간 발달'!$H$3, 0)</f>
        <v>15</v>
      </c>
      <c r="J34" s="82"/>
      <c r="K34" s="82"/>
      <c r="L34" s="82"/>
      <c r="M34" s="31"/>
    </row>
    <row r="35" spans="2:14" ht="25" customHeight="1">
      <c r="B35" s="26"/>
      <c r="C35" s="93" t="s">
        <v>96</v>
      </c>
      <c r="D35" s="52">
        <f>ROUNDUP(('성공적인 직업생활'!$P11-0.5-50)/10*'성공적인 직업생활'!$H$4+'성공적인 직업생활'!$H$3, 0)</f>
        <v>17</v>
      </c>
      <c r="E35" s="94">
        <f>ROUNDUP(('농업 기초 기술'!$P11-0.5-50)/10*'농업 기초 기술'!$H$4+'농업 기초 기술'!$H$3, 0)</f>
        <v>11</v>
      </c>
      <c r="F35" s="94">
        <f>ROUNDUP(('공업 일반'!$P11-0.5-50)/10*'공업 일반'!$H$4+'공업 일반'!$H$3, 0)</f>
        <v>14</v>
      </c>
      <c r="G35" s="94">
        <f>ROUNDUP(('상업 경제'!$P11-0.5-50)/10*'상업 경제'!$H$4+'상업 경제'!$H$3, 0)</f>
        <v>12</v>
      </c>
      <c r="H35" s="94">
        <f>ROUNDUP(('수산·해운 산업 기초'!$P11-0.5-50)/10*'수산·해운 산업 기초'!$H$4+'수산·해운 산업 기초'!$H$3, 0)</f>
        <v>12</v>
      </c>
      <c r="I35" s="95">
        <f>ROUNDUP(('인간 발달'!$P11-0.5-50)/10*'인간 발달'!$H$4+'인간 발달'!$H$3, 0)</f>
        <v>13</v>
      </c>
      <c r="J35" s="82"/>
      <c r="K35" s="82"/>
      <c r="L35" s="82"/>
      <c r="M35" s="31"/>
    </row>
    <row r="36" spans="2:14" ht="25" customHeight="1">
      <c r="B36" s="26"/>
      <c r="C36" s="93" t="s">
        <v>97</v>
      </c>
      <c r="D36" s="52">
        <f>ROUNDUP(('성공적인 직업생활'!$P12-0.5-50)/10*'성공적인 직업생활'!$H$4+'성공적인 직업생활'!$H$3, 0)</f>
        <v>9</v>
      </c>
      <c r="E36" s="94">
        <f>ROUNDUP(('농업 기초 기술'!$P12-0.5-50)/10*'농업 기초 기술'!$H$4+'농업 기초 기술'!$H$3, 0)</f>
        <v>10</v>
      </c>
      <c r="F36" s="94">
        <f>ROUNDUP(('공업 일반'!$P12-0.5-50)/10*'공업 일반'!$H$4+'공업 일반'!$H$3, 0)</f>
        <v>9</v>
      </c>
      <c r="G36" s="94">
        <f>ROUNDUP(('상업 경제'!$P12-0.5-50)/10*'상업 경제'!$H$4+'상업 경제'!$H$3, 0)</f>
        <v>10</v>
      </c>
      <c r="H36" s="94">
        <f>ROUNDUP(('수산·해운 산업 기초'!$P12-0.5-50)/10*'수산·해운 산업 기초'!$H$4+'수산·해운 산업 기초'!$H$3, 0)</f>
        <v>10</v>
      </c>
      <c r="I36" s="95">
        <f>ROUNDUP(('인간 발달'!$P12-0.5-50)/10*'인간 발달'!$H$4+'인간 발달'!$H$3, 0)</f>
        <v>10</v>
      </c>
      <c r="J36" s="82"/>
      <c r="K36" s="82"/>
      <c r="L36" s="82"/>
      <c r="M36" s="31"/>
    </row>
    <row r="37" spans="2:14" ht="25" customHeight="1">
      <c r="B37" s="26"/>
      <c r="C37" s="93" t="s">
        <v>98</v>
      </c>
      <c r="D37" s="52">
        <f>ROUNDUP(('성공적인 직업생활'!$P13-0.5-50)/10*'성공적인 직업생활'!$H$4+'성공적인 직업생활'!$H$3, 0)</f>
        <v>8</v>
      </c>
      <c r="E37" s="94">
        <f>ROUNDUP(('농업 기초 기술'!$P13-0.5-50)/10*'농업 기초 기술'!$H$4+'농업 기초 기술'!$H$3, 0)</f>
        <v>5</v>
      </c>
      <c r="F37" s="94">
        <f>ROUNDUP(('공업 일반'!$P13-0.5-50)/10*'공업 일반'!$H$4+'공업 일반'!$H$3, 0)</f>
        <v>7</v>
      </c>
      <c r="G37" s="94">
        <f>ROUNDUP(('상업 경제'!$P13-0.5-50)/10*'상업 경제'!$H$4+'상업 경제'!$H$3, 0)</f>
        <v>8</v>
      </c>
      <c r="H37" s="94">
        <f>ROUNDUP(('수산·해운 산업 기초'!$P13-0.5-50)/10*'수산·해운 산업 기초'!$H$4+'수산·해운 산업 기초'!$H$3, 0)</f>
        <v>6</v>
      </c>
      <c r="I37" s="95">
        <f>ROUNDUP(('인간 발달'!$P13-0.5-50)/10*'인간 발달'!$H$4+'인간 발달'!$H$3, 0)</f>
        <v>7</v>
      </c>
      <c r="J37" s="82"/>
      <c r="K37" s="82"/>
      <c r="L37" s="82"/>
      <c r="M37" s="31"/>
    </row>
    <row r="38" spans="2:14" ht="25" customHeight="1" thickBot="1">
      <c r="B38" s="26"/>
      <c r="C38" s="96" t="s">
        <v>99</v>
      </c>
      <c r="D38" s="97">
        <f>ROUNDUP(('성공적인 직업생활'!$P14-0.5-50)/10*'성공적인 직업생활'!$H$4+'성공적인 직업생활'!$H$3, 0)</f>
        <v>4</v>
      </c>
      <c r="E38" s="98" t="e">
        <f>ROUNDUP(('농업 기초 기술'!$P14-0.5-50)/10*'농업 기초 기술'!$H$4+'농업 기초 기술'!$H$3, 0)</f>
        <v>#VALUE!</v>
      </c>
      <c r="F38" s="98">
        <f>ROUNDUP(('공업 일반'!$P14-0.5-50)/10*'공업 일반'!$H$4+'공업 일반'!$H$3, 0)</f>
        <v>5</v>
      </c>
      <c r="G38" s="98">
        <f>ROUNDUP(('상업 경제'!$P14-0.5-50)/10*'상업 경제'!$H$4+'상업 경제'!$H$3, 0)</f>
        <v>5</v>
      </c>
      <c r="H38" s="98">
        <f>ROUNDUP(('수산·해운 산업 기초'!$P14-0.5-50)/10*'수산·해운 산업 기초'!$H$4+'수산·해운 산업 기초'!$H$3, 0)</f>
        <v>5</v>
      </c>
      <c r="I38" s="99">
        <f>ROUNDUP(('인간 발달'!$P14-0.5-50)/10*'인간 발달'!$H$4+'인간 발달'!$H$3, 0)</f>
        <v>4</v>
      </c>
      <c r="J38" s="82"/>
      <c r="K38" s="82"/>
      <c r="L38" s="82"/>
      <c r="M38" s="31"/>
    </row>
    <row r="39" spans="2:14" ht="6" customHeight="1">
      <c r="B39" s="27"/>
      <c r="C39" s="28"/>
      <c r="D39" s="28"/>
      <c r="E39" s="28"/>
      <c r="F39" s="28"/>
      <c r="G39" s="28"/>
      <c r="H39" s="28"/>
      <c r="I39" s="28"/>
      <c r="J39" s="28"/>
      <c r="K39" s="28"/>
      <c r="L39" s="32"/>
      <c r="M39" s="29"/>
    </row>
    <row r="40" spans="2:14">
      <c r="B40" s="11"/>
      <c r="C40" s="10"/>
      <c r="D40" s="10"/>
      <c r="E40" s="10"/>
      <c r="F40" s="10"/>
      <c r="G40" s="10"/>
      <c r="H40" s="10"/>
      <c r="I40" s="10"/>
      <c r="J40" s="10"/>
      <c r="K40" s="10"/>
      <c r="L40" s="11"/>
      <c r="M40" s="11"/>
    </row>
    <row r="41" spans="2:14">
      <c r="B41" s="11"/>
      <c r="C41" s="10"/>
      <c r="D41" s="10"/>
      <c r="E41" s="10"/>
      <c r="F41" s="10"/>
      <c r="G41" s="10"/>
      <c r="H41" s="10"/>
      <c r="I41" s="10"/>
      <c r="J41" s="10"/>
      <c r="K41" s="10"/>
      <c r="L41" s="11"/>
      <c r="M41" s="11"/>
      <c r="N41" s="11"/>
    </row>
    <row r="42" spans="2:14">
      <c r="B42" s="11"/>
      <c r="C42" s="10"/>
      <c r="D42" s="10"/>
      <c r="E42" s="10"/>
      <c r="F42" s="10"/>
      <c r="G42" s="10"/>
      <c r="H42" s="10"/>
      <c r="I42" s="10"/>
      <c r="J42" s="10"/>
      <c r="K42" s="10"/>
      <c r="L42" s="11"/>
      <c r="M42" s="11"/>
      <c r="N42" s="11"/>
    </row>
    <row r="43" spans="2:14">
      <c r="B43" s="11"/>
      <c r="C43" s="10"/>
      <c r="D43" s="10"/>
      <c r="E43" s="10"/>
      <c r="F43" s="10"/>
      <c r="G43" s="10"/>
      <c r="H43" s="10"/>
      <c r="I43" s="10"/>
      <c r="J43" s="10"/>
      <c r="K43" s="10"/>
      <c r="L43" s="11"/>
      <c r="M43" s="11"/>
      <c r="N43" s="11"/>
    </row>
    <row r="44" spans="2:14">
      <c r="B44" s="11"/>
      <c r="C44" s="10"/>
      <c r="D44" s="10"/>
      <c r="E44" s="10"/>
      <c r="F44" s="10"/>
      <c r="G44" s="10"/>
      <c r="H44" s="10"/>
      <c r="I44" s="10"/>
      <c r="J44" s="10"/>
      <c r="K44" s="10"/>
      <c r="L44" s="11"/>
      <c r="M44" s="11"/>
      <c r="N44" s="11"/>
    </row>
    <row r="45" spans="2:14">
      <c r="B45" s="11"/>
      <c r="C45" s="10"/>
      <c r="D45" s="10"/>
      <c r="E45" s="10"/>
      <c r="F45" s="10"/>
      <c r="G45" s="10"/>
      <c r="H45" s="10"/>
      <c r="I45" s="10"/>
      <c r="J45" s="10"/>
      <c r="K45" s="10"/>
      <c r="L45" s="11"/>
      <c r="M45" s="11"/>
      <c r="N45" s="11"/>
    </row>
    <row r="46" spans="2:14">
      <c r="B46" s="11"/>
      <c r="C46" s="10"/>
      <c r="D46" s="10"/>
      <c r="E46" s="10"/>
      <c r="F46" s="10"/>
      <c r="G46" s="10"/>
      <c r="H46" s="10"/>
      <c r="I46" s="10"/>
      <c r="J46" s="10"/>
      <c r="K46" s="10"/>
      <c r="L46" s="11"/>
      <c r="M46" s="11"/>
      <c r="N46" s="11"/>
    </row>
    <row r="47" spans="2:14">
      <c r="B47" s="11"/>
      <c r="C47" s="10"/>
      <c r="D47" s="10"/>
      <c r="E47" s="10"/>
      <c r="F47" s="10"/>
      <c r="G47" s="10"/>
      <c r="H47" s="10"/>
      <c r="I47" s="10"/>
      <c r="J47" s="10"/>
      <c r="K47" s="10"/>
      <c r="L47" s="11"/>
      <c r="M47" s="11"/>
      <c r="N47" s="11"/>
    </row>
    <row r="48" spans="2:14">
      <c r="B48" s="11"/>
      <c r="C48" s="10"/>
      <c r="D48" s="10"/>
      <c r="E48" s="10"/>
      <c r="F48" s="10"/>
      <c r="G48" s="10"/>
      <c r="H48" s="10"/>
      <c r="I48" s="10"/>
      <c r="J48" s="10"/>
      <c r="K48" s="10"/>
      <c r="L48" s="11"/>
      <c r="M48" s="11"/>
      <c r="N48" s="11"/>
    </row>
    <row r="49" spans="2:14">
      <c r="B49" s="11"/>
      <c r="C49" s="10"/>
      <c r="D49" s="10"/>
      <c r="E49" s="10"/>
      <c r="F49" s="10"/>
      <c r="G49" s="10"/>
      <c r="H49" s="10"/>
      <c r="I49" s="10"/>
      <c r="J49" s="10"/>
      <c r="K49" s="10"/>
      <c r="L49" s="11"/>
      <c r="M49" s="11"/>
      <c r="N49" s="11"/>
    </row>
    <row r="50" spans="2:14">
      <c r="B50" s="11"/>
      <c r="C50" s="10"/>
      <c r="D50" s="10"/>
      <c r="E50" s="10"/>
      <c r="F50" s="10"/>
      <c r="G50" s="10"/>
      <c r="H50" s="10"/>
      <c r="I50" s="10"/>
      <c r="J50" s="10"/>
      <c r="K50" s="10"/>
      <c r="L50" s="11"/>
      <c r="M50" s="11"/>
      <c r="N50" s="11"/>
    </row>
    <row r="51" spans="2:14">
      <c r="B51" s="11"/>
      <c r="C51" s="10"/>
      <c r="D51" s="10"/>
      <c r="E51" s="10"/>
      <c r="F51" s="10"/>
      <c r="G51" s="10"/>
      <c r="H51" s="10"/>
      <c r="I51" s="10"/>
      <c r="J51" s="10"/>
      <c r="K51" s="10"/>
      <c r="L51" s="11"/>
      <c r="M51" s="11"/>
      <c r="N51" s="11"/>
    </row>
    <row r="52" spans="2:14">
      <c r="B52" s="11"/>
      <c r="C52" s="10"/>
      <c r="D52" s="10"/>
      <c r="E52" s="10"/>
      <c r="F52" s="10"/>
      <c r="G52" s="10"/>
      <c r="H52" s="10"/>
      <c r="I52" s="10"/>
      <c r="J52" s="10"/>
      <c r="K52" s="10"/>
      <c r="L52" s="11"/>
      <c r="M52" s="11"/>
      <c r="N52" s="11"/>
    </row>
    <row r="53" spans="2:14">
      <c r="B53" s="11"/>
      <c r="C53" s="10"/>
      <c r="D53" s="10"/>
      <c r="E53" s="10"/>
      <c r="F53" s="10"/>
      <c r="G53" s="10"/>
      <c r="H53" s="10"/>
      <c r="I53" s="10"/>
      <c r="J53" s="10"/>
      <c r="K53" s="10"/>
      <c r="L53" s="11"/>
      <c r="M53" s="11"/>
      <c r="N53" s="11"/>
    </row>
    <row r="54" spans="2:14">
      <c r="B54" s="11"/>
      <c r="C54" s="10"/>
      <c r="D54" s="10"/>
      <c r="E54" s="10"/>
      <c r="F54" s="10"/>
      <c r="G54" s="10"/>
      <c r="H54" s="10"/>
      <c r="I54" s="10"/>
      <c r="J54" s="10"/>
      <c r="K54" s="10"/>
      <c r="L54" s="11"/>
      <c r="M54" s="11"/>
      <c r="N54" s="11"/>
    </row>
    <row r="55" spans="2:14">
      <c r="B55" s="11"/>
      <c r="C55" s="10"/>
      <c r="D55" s="10"/>
      <c r="E55" s="10"/>
      <c r="F55" s="10"/>
      <c r="G55" s="10"/>
      <c r="H55" s="10"/>
      <c r="I55" s="10"/>
      <c r="J55" s="10"/>
      <c r="K55" s="10"/>
      <c r="L55" s="11"/>
      <c r="M55" s="11"/>
      <c r="N55" s="11"/>
    </row>
    <row r="56" spans="2:14">
      <c r="B56" s="11"/>
      <c r="C56" s="10"/>
      <c r="D56" s="10"/>
      <c r="E56" s="10"/>
      <c r="F56" s="10"/>
      <c r="G56" s="10"/>
      <c r="H56" s="10"/>
      <c r="I56" s="10"/>
      <c r="J56" s="10"/>
      <c r="K56" s="10"/>
      <c r="L56" s="11"/>
      <c r="M56" s="11"/>
      <c r="N56" s="11"/>
    </row>
    <row r="57" spans="2:14">
      <c r="B57" s="11"/>
      <c r="C57" s="10"/>
      <c r="D57" s="10"/>
      <c r="E57" s="10"/>
      <c r="F57" s="10"/>
      <c r="G57" s="10"/>
      <c r="H57" s="10"/>
      <c r="I57" s="10"/>
      <c r="J57" s="10"/>
      <c r="K57" s="10"/>
      <c r="L57" s="11"/>
      <c r="M57" s="11"/>
      <c r="N57" s="11"/>
    </row>
    <row r="58" spans="2:14">
      <c r="B58" s="11"/>
      <c r="C58" s="10"/>
      <c r="D58" s="10"/>
      <c r="E58" s="10"/>
      <c r="F58" s="10"/>
      <c r="G58" s="10"/>
      <c r="H58" s="10"/>
      <c r="I58" s="10"/>
      <c r="J58" s="10"/>
      <c r="K58" s="10"/>
      <c r="L58" s="11"/>
      <c r="M58" s="11"/>
      <c r="N58" s="11"/>
    </row>
    <row r="59" spans="2:14">
      <c r="B59" s="11"/>
      <c r="C59" s="10"/>
      <c r="D59" s="10"/>
      <c r="E59" s="10"/>
      <c r="F59" s="10"/>
      <c r="G59" s="10"/>
      <c r="H59" s="10"/>
      <c r="I59" s="10"/>
      <c r="J59" s="10"/>
      <c r="K59" s="10"/>
      <c r="L59" s="11"/>
      <c r="M59" s="11"/>
      <c r="N59" s="11"/>
    </row>
    <row r="60" spans="2:14">
      <c r="B60" s="11"/>
      <c r="C60" s="10"/>
      <c r="D60" s="10"/>
      <c r="E60" s="10"/>
      <c r="F60" s="10"/>
      <c r="G60" s="10"/>
      <c r="H60" s="10"/>
      <c r="I60" s="10"/>
      <c r="J60" s="10"/>
      <c r="K60" s="10"/>
      <c r="L60" s="11"/>
      <c r="M60" s="11"/>
      <c r="N60" s="11"/>
    </row>
    <row r="61" spans="2:14">
      <c r="B61" s="11"/>
      <c r="C61" s="10"/>
      <c r="D61" s="10"/>
      <c r="E61" s="10"/>
      <c r="F61" s="10"/>
      <c r="G61" s="10"/>
      <c r="H61" s="10"/>
      <c r="I61" s="10"/>
      <c r="J61" s="10"/>
      <c r="K61" s="10"/>
      <c r="L61" s="11"/>
      <c r="M61" s="11"/>
      <c r="N61" s="11"/>
    </row>
    <row r="62" spans="2:14">
      <c r="B62" s="11"/>
      <c r="C62" s="10"/>
      <c r="D62" s="10"/>
      <c r="E62" s="10"/>
      <c r="F62" s="10"/>
      <c r="G62" s="10"/>
      <c r="H62" s="10"/>
      <c r="I62" s="10"/>
      <c r="J62" s="10"/>
      <c r="K62" s="10"/>
      <c r="L62" s="11"/>
      <c r="M62" s="11"/>
      <c r="N62" s="11"/>
    </row>
  </sheetData>
  <mergeCells count="2">
    <mergeCell ref="D4:G4"/>
    <mergeCell ref="D5:G5"/>
  </mergeCells>
  <phoneticPr fontId="1" type="noConversion"/>
  <pageMargins left="0.7" right="0.7" top="0.75" bottom="0.75" header="0.3" footer="0.3"/>
  <pageSetup paperSize="9" scale="7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27</vt:i4>
      </vt:variant>
    </vt:vector>
  </HeadingPairs>
  <TitlesOfParts>
    <vt:vector size="27" baseType="lpstr">
      <vt:lpstr>통계 및 응시자 수 입력 기능</vt:lpstr>
      <vt:lpstr>인원 입력 기능</vt:lpstr>
      <vt:lpstr>표준점수 등급컷 입력기능</vt:lpstr>
      <vt:lpstr>생활과 윤리</vt:lpstr>
      <vt:lpstr>윤리와 사상</vt:lpstr>
      <vt:lpstr>한국지리</vt:lpstr>
      <vt:lpstr>세계지리</vt:lpstr>
      <vt:lpstr>동아시아사</vt:lpstr>
      <vt:lpstr>세계사</vt:lpstr>
      <vt:lpstr>경제</vt:lpstr>
      <vt:lpstr>정치와 법</vt:lpstr>
      <vt:lpstr>사회∙문화</vt:lpstr>
      <vt:lpstr>물리학Ⅰ</vt:lpstr>
      <vt:lpstr>화학Ⅰ</vt:lpstr>
      <vt:lpstr>생명과학Ⅰ</vt:lpstr>
      <vt:lpstr>지구과학Ⅰ</vt:lpstr>
      <vt:lpstr>물리학Ⅱ</vt:lpstr>
      <vt:lpstr>화학Ⅱ</vt:lpstr>
      <vt:lpstr>생명과학Ⅱ</vt:lpstr>
      <vt:lpstr>지구과학Ⅱ</vt:lpstr>
      <vt:lpstr>성공적인 직업생활</vt:lpstr>
      <vt:lpstr>농업 기초 기술</vt:lpstr>
      <vt:lpstr>공업 일반</vt:lpstr>
      <vt:lpstr>상업 경제</vt:lpstr>
      <vt:lpstr>수산·해운 산업 기초</vt:lpstr>
      <vt:lpstr>인간 발달</vt:lpstr>
      <vt:lpstr>등급컷 모아보기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윤승혁</dc:creator>
  <cp:lastModifiedBy>윤승혁</cp:lastModifiedBy>
  <dcterms:created xsi:type="dcterms:W3CDTF">2018-04-21T04:34:05Z</dcterms:created>
  <dcterms:modified xsi:type="dcterms:W3CDTF">2024-05-31T06:58:37Z</dcterms:modified>
</cp:coreProperties>
</file>