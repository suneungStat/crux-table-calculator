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edca3\OneDrive\바탕 화면\새 폴더\대학교 학습 자료\전북대학교\C언어기초\모의고사&amp;수능 관련\2022\6월\3학년\"/>
    </mc:Choice>
  </mc:AlternateContent>
  <xr:revisionPtr revIDLastSave="0" documentId="13_ncr:1_{71DE0080-DE3E-4AED-89C4-EABB51A7CE71}" xr6:coauthVersionLast="47" xr6:coauthVersionMax="47" xr10:uidLastSave="{00000000-0000-0000-0000-000000000000}"/>
  <bookViews>
    <workbookView xWindow="-110" yWindow="-110" windowWidth="19420" windowHeight="10420" tabRatio="738" xr2:uid="{AB9EE284-95EA-49B1-8133-EE4E7651E7F1}"/>
  </bookViews>
  <sheets>
    <sheet name="통계 및 응시자 수 입력 기능" sheetId="67" r:id="rId1"/>
    <sheet name="202306" sheetId="64" r:id="rId2"/>
    <sheet name="표준점수 등급컷 입력기능" sheetId="66" r:id="rId3"/>
    <sheet name="생활과 윤리" sheetId="3" r:id="rId4"/>
    <sheet name="윤리와 사상" sheetId="26" r:id="rId5"/>
    <sheet name="한국지리" sheetId="27" r:id="rId6"/>
    <sheet name="세계지리" sheetId="28" r:id="rId7"/>
    <sheet name="동아시아사" sheetId="29" r:id="rId8"/>
    <sheet name="세계사" sheetId="30" r:id="rId9"/>
    <sheet name="경제" sheetId="31" r:id="rId10"/>
    <sheet name="정치와 법" sheetId="32" r:id="rId11"/>
    <sheet name="사회∙문화" sheetId="33" r:id="rId12"/>
    <sheet name="물리학Ⅰ" sheetId="34" r:id="rId13"/>
    <sheet name="화학Ⅰ" sheetId="35" r:id="rId14"/>
    <sheet name="생명과학Ⅰ" sheetId="36" r:id="rId15"/>
    <sheet name="지구과학Ⅰ" sheetId="37" r:id="rId16"/>
    <sheet name="물리학Ⅱ" sheetId="68" r:id="rId17"/>
    <sheet name="화학Ⅱ" sheetId="39" r:id="rId18"/>
    <sheet name="생명과학Ⅱ" sheetId="40" r:id="rId19"/>
    <sheet name="지구과학Ⅱ" sheetId="41" r:id="rId20"/>
    <sheet name="성공적인 직업생활" sheetId="71" r:id="rId21"/>
    <sheet name="농업 기초 기술" sheetId="72" r:id="rId22"/>
    <sheet name="공업 일반" sheetId="73" r:id="rId23"/>
    <sheet name="상업 경제" sheetId="74" r:id="rId24"/>
    <sheet name="수산·해운 산업 기초" sheetId="75" r:id="rId25"/>
    <sheet name="인간 발달" sheetId="76" r:id="rId26"/>
    <sheet name="등급컷 모아보기" sheetId="70" r:id="rId27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3" i="75" l="1"/>
  <c r="E43" i="75" s="1"/>
  <c r="G43" i="75"/>
  <c r="H43" i="75" s="1"/>
  <c r="D44" i="75"/>
  <c r="E44" i="75" s="1"/>
  <c r="D45" i="75"/>
  <c r="G45" i="75" s="1"/>
  <c r="H45" i="75" s="1"/>
  <c r="E45" i="75"/>
  <c r="D46" i="75"/>
  <c r="E46" i="75" s="1"/>
  <c r="G46" i="75" l="1"/>
  <c r="H46" i="75" s="1"/>
  <c r="G44" i="75"/>
  <c r="I43" i="75"/>
  <c r="I44" i="75"/>
  <c r="I46" i="75" l="1"/>
  <c r="J46" i="75" s="1"/>
  <c r="J44" i="75"/>
  <c r="F44" i="75"/>
  <c r="F43" i="75"/>
  <c r="J43" i="75"/>
  <c r="H44" i="75"/>
  <c r="I45" i="75"/>
  <c r="J45" i="75" l="1"/>
  <c r="F46" i="75"/>
  <c r="F45" i="75"/>
  <c r="E110" i="27" l="1"/>
  <c r="F110" i="27" s="1"/>
  <c r="F62" i="27"/>
  <c r="E62" i="27"/>
  <c r="E62" i="36"/>
  <c r="E110" i="36"/>
  <c r="F62" i="36"/>
  <c r="H3" i="3" l="1"/>
  <c r="H4" i="3"/>
  <c r="P7" i="3"/>
  <c r="D12" i="3" l="1"/>
  <c r="D13" i="3"/>
  <c r="D14" i="3"/>
  <c r="D15" i="3"/>
  <c r="D16" i="3"/>
  <c r="G16" i="3" s="1"/>
  <c r="D18" i="3"/>
  <c r="G18" i="3" s="1"/>
  <c r="D19" i="3"/>
  <c r="D20" i="3"/>
  <c r="D21" i="3"/>
  <c r="D22" i="3"/>
  <c r="D23" i="3"/>
  <c r="D25" i="3"/>
  <c r="D26" i="3"/>
  <c r="D27" i="3"/>
  <c r="G27" i="3" s="1"/>
  <c r="D28" i="3"/>
  <c r="D29" i="3"/>
  <c r="D30" i="3"/>
  <c r="D32" i="3"/>
  <c r="D33" i="3"/>
  <c r="D34" i="3"/>
  <c r="D35" i="3"/>
  <c r="G35" i="3" s="1"/>
  <c r="D36" i="3"/>
  <c r="D37" i="3"/>
  <c r="D39" i="3"/>
  <c r="G39" i="3" s="1"/>
  <c r="D40" i="3"/>
  <c r="D41" i="3"/>
  <c r="D42" i="3"/>
  <c r="D43" i="3"/>
  <c r="D44" i="3"/>
  <c r="D46" i="3"/>
  <c r="D47" i="3"/>
  <c r="D48" i="3"/>
  <c r="G48" i="3" s="1"/>
  <c r="D49" i="3"/>
  <c r="D50" i="3"/>
  <c r="D51" i="3"/>
  <c r="P8" i="76"/>
  <c r="P9" i="76"/>
  <c r="P10" i="76"/>
  <c r="P11" i="76"/>
  <c r="P12" i="76"/>
  <c r="P13" i="76"/>
  <c r="P14" i="76"/>
  <c r="P7" i="76"/>
  <c r="P8" i="75"/>
  <c r="P9" i="75"/>
  <c r="P10" i="75"/>
  <c r="P11" i="75"/>
  <c r="P12" i="75"/>
  <c r="P13" i="75"/>
  <c r="P7" i="75"/>
  <c r="H4" i="76"/>
  <c r="H3" i="76"/>
  <c r="P8" i="74"/>
  <c r="P9" i="74"/>
  <c r="P10" i="74"/>
  <c r="P11" i="74"/>
  <c r="P12" i="74"/>
  <c r="P13" i="74"/>
  <c r="P14" i="74"/>
  <c r="P7" i="74"/>
  <c r="H4" i="75"/>
  <c r="H3" i="75"/>
  <c r="H4" i="74"/>
  <c r="H3" i="74"/>
  <c r="P8" i="73"/>
  <c r="P9" i="73"/>
  <c r="P10" i="73"/>
  <c r="P11" i="73"/>
  <c r="P12" i="73"/>
  <c r="P14" i="73"/>
  <c r="P7" i="73"/>
  <c r="H4" i="73"/>
  <c r="H3" i="73"/>
  <c r="H4" i="72"/>
  <c r="H3" i="72"/>
  <c r="P8" i="72"/>
  <c r="P9" i="72"/>
  <c r="P10" i="72"/>
  <c r="P11" i="72"/>
  <c r="P12" i="72"/>
  <c r="P13" i="72"/>
  <c r="P14" i="72"/>
  <c r="P7" i="72"/>
  <c r="P8" i="71"/>
  <c r="P9" i="71"/>
  <c r="P10" i="71"/>
  <c r="P11" i="71"/>
  <c r="P12" i="71"/>
  <c r="P13" i="71"/>
  <c r="P14" i="71"/>
  <c r="P7" i="71"/>
  <c r="H4" i="71"/>
  <c r="H3" i="71"/>
  <c r="D45" i="73"/>
  <c r="D53" i="75" l="1"/>
  <c r="D54" i="75"/>
  <c r="D55" i="75"/>
  <c r="D52" i="75"/>
  <c r="H32" i="70"/>
  <c r="H33" i="70"/>
  <c r="H34" i="70"/>
  <c r="H35" i="70"/>
  <c r="H36" i="70"/>
  <c r="H37" i="70"/>
  <c r="H31" i="70"/>
  <c r="D25" i="75"/>
  <c r="E25" i="75" s="1"/>
  <c r="F32" i="70"/>
  <c r="F33" i="70"/>
  <c r="F34" i="70"/>
  <c r="F35" i="70"/>
  <c r="F36" i="70"/>
  <c r="F38" i="70"/>
  <c r="E32" i="70"/>
  <c r="E33" i="70"/>
  <c r="E34" i="70"/>
  <c r="E35" i="70"/>
  <c r="E36" i="70"/>
  <c r="E37" i="70"/>
  <c r="E38" i="70"/>
  <c r="G32" i="70"/>
  <c r="G33" i="70"/>
  <c r="G34" i="70"/>
  <c r="G35" i="70"/>
  <c r="G36" i="70"/>
  <c r="G37" i="70"/>
  <c r="G38" i="70"/>
  <c r="I33" i="70"/>
  <c r="I34" i="70"/>
  <c r="I36" i="70"/>
  <c r="I38" i="70"/>
  <c r="I32" i="70"/>
  <c r="I35" i="70"/>
  <c r="I37" i="70"/>
  <c r="G28" i="3"/>
  <c r="G23" i="3"/>
  <c r="G19" i="3"/>
  <c r="D41" i="71"/>
  <c r="D33" i="70"/>
  <c r="D37" i="70"/>
  <c r="D40" i="71"/>
  <c r="D42" i="71"/>
  <c r="D34" i="70"/>
  <c r="D38" i="70"/>
  <c r="D35" i="70"/>
  <c r="D32" i="70"/>
  <c r="D36" i="70"/>
  <c r="D35" i="72"/>
  <c r="E35" i="72" s="1"/>
  <c r="D21" i="76"/>
  <c r="E21" i="76" s="1"/>
  <c r="I31" i="70"/>
  <c r="D29" i="73"/>
  <c r="F31" i="70"/>
  <c r="D57" i="73"/>
  <c r="G57" i="73" s="1"/>
  <c r="D11" i="73"/>
  <c r="E11" i="73" s="1"/>
  <c r="D37" i="73"/>
  <c r="G31" i="70"/>
  <c r="D51" i="72"/>
  <c r="E31" i="70"/>
  <c r="D31" i="70"/>
  <c r="G20" i="3"/>
  <c r="G34" i="3"/>
  <c r="G30" i="3"/>
  <c r="G15" i="3"/>
  <c r="G14" i="3"/>
  <c r="G46" i="3"/>
  <c r="G49" i="3"/>
  <c r="G41" i="3"/>
  <c r="G44" i="3"/>
  <c r="G37" i="3"/>
  <c r="G33" i="3"/>
  <c r="G29" i="3"/>
  <c r="G26" i="3"/>
  <c r="G22" i="3"/>
  <c r="G51" i="3"/>
  <c r="G47" i="3"/>
  <c r="G43" i="3"/>
  <c r="G40" i="3"/>
  <c r="G36" i="3"/>
  <c r="G32" i="3"/>
  <c r="G25" i="3"/>
  <c r="G21" i="3"/>
  <c r="G13" i="3"/>
  <c r="G50" i="3"/>
  <c r="G42" i="3"/>
  <c r="D17" i="75"/>
  <c r="E17" i="75" s="1"/>
  <c r="D35" i="75"/>
  <c r="E35" i="75" s="1"/>
  <c r="D31" i="75"/>
  <c r="E31" i="75" s="1"/>
  <c r="D18" i="75"/>
  <c r="D51" i="75"/>
  <c r="E51" i="75" s="1"/>
  <c r="D50" i="75"/>
  <c r="E50" i="75" s="1"/>
  <c r="D55" i="74"/>
  <c r="E55" i="74" s="1"/>
  <c r="D15" i="74"/>
  <c r="E15" i="74" s="1"/>
  <c r="D7" i="74"/>
  <c r="G7" i="74" s="1"/>
  <c r="D31" i="74"/>
  <c r="D11" i="74"/>
  <c r="D23" i="74"/>
  <c r="E23" i="74" s="1"/>
  <c r="D39" i="74"/>
  <c r="D48" i="74"/>
  <c r="D57" i="74"/>
  <c r="G57" i="74" s="1"/>
  <c r="D13" i="74"/>
  <c r="E13" i="74" s="1"/>
  <c r="D18" i="74"/>
  <c r="D32" i="74"/>
  <c r="D47" i="74"/>
  <c r="D9" i="74"/>
  <c r="G9" i="74" s="1"/>
  <c r="D24" i="74"/>
  <c r="D40" i="74"/>
  <c r="E24" i="74"/>
  <c r="D19" i="72"/>
  <c r="D50" i="72"/>
  <c r="E50" i="72" s="1"/>
  <c r="D10" i="72"/>
  <c r="E10" i="72" s="1"/>
  <c r="D47" i="72"/>
  <c r="D13" i="72"/>
  <c r="D26" i="72"/>
  <c r="D42" i="72"/>
  <c r="D14" i="72"/>
  <c r="G14" i="72" s="1"/>
  <c r="D27" i="72"/>
  <c r="E27" i="72" s="1"/>
  <c r="D43" i="72"/>
  <c r="E43" i="72" s="1"/>
  <c r="D9" i="72"/>
  <c r="G9" i="72" s="1"/>
  <c r="D18" i="72"/>
  <c r="E18" i="72" s="1"/>
  <c r="D34" i="72"/>
  <c r="E26" i="72"/>
  <c r="D52" i="71"/>
  <c r="E29" i="73"/>
  <c r="D25" i="71"/>
  <c r="D38" i="71"/>
  <c r="D7" i="71"/>
  <c r="G7" i="71" s="1"/>
  <c r="D26" i="71"/>
  <c r="D45" i="71"/>
  <c r="D53" i="71"/>
  <c r="E19" i="72"/>
  <c r="E37" i="73"/>
  <c r="D55" i="71"/>
  <c r="D17" i="71"/>
  <c r="D20" i="71"/>
  <c r="D30" i="71"/>
  <c r="D33" i="71"/>
  <c r="D36" i="71"/>
  <c r="D46" i="71"/>
  <c r="D11" i="72"/>
  <c r="D15" i="72"/>
  <c r="D23" i="72"/>
  <c r="D31" i="72"/>
  <c r="D39" i="72"/>
  <c r="D54" i="71"/>
  <c r="D50" i="71"/>
  <c r="D22" i="71"/>
  <c r="D28" i="71"/>
  <c r="D44" i="71"/>
  <c r="D48" i="71"/>
  <c r="D57" i="71"/>
  <c r="G57" i="71" s="1"/>
  <c r="E45" i="73"/>
  <c r="D16" i="71"/>
  <c r="D29" i="71"/>
  <c r="D32" i="71"/>
  <c r="E13" i="72"/>
  <c r="E51" i="72"/>
  <c r="D18" i="71"/>
  <c r="D21" i="71"/>
  <c r="D24" i="71"/>
  <c r="D34" i="71"/>
  <c r="D37" i="71"/>
  <c r="D49" i="71"/>
  <c r="D54" i="72"/>
  <c r="D57" i="72"/>
  <c r="G57" i="72" s="1"/>
  <c r="D52" i="72"/>
  <c r="G52" i="72" s="1"/>
  <c r="D48" i="72"/>
  <c r="D44" i="72"/>
  <c r="D40" i="72"/>
  <c r="D36" i="72"/>
  <c r="D32" i="72"/>
  <c r="D28" i="72"/>
  <c r="D24" i="72"/>
  <c r="G24" i="72" s="1"/>
  <c r="D20" i="72"/>
  <c r="G20" i="72" s="1"/>
  <c r="D16" i="72"/>
  <c r="D7" i="72"/>
  <c r="G7" i="72" s="1"/>
  <c r="D55" i="72"/>
  <c r="D53" i="72"/>
  <c r="G53" i="72" s="1"/>
  <c r="D49" i="72"/>
  <c r="G49" i="72" s="1"/>
  <c r="D45" i="72"/>
  <c r="G45" i="72" s="1"/>
  <c r="D41" i="72"/>
  <c r="G41" i="72" s="1"/>
  <c r="D37" i="72"/>
  <c r="G37" i="72" s="1"/>
  <c r="D33" i="72"/>
  <c r="G33" i="72" s="1"/>
  <c r="D29" i="72"/>
  <c r="G29" i="72" s="1"/>
  <c r="D25" i="72"/>
  <c r="G25" i="72" s="1"/>
  <c r="D21" i="72"/>
  <c r="G21" i="72" s="1"/>
  <c r="D17" i="72"/>
  <c r="G17" i="72" s="1"/>
  <c r="D12" i="72"/>
  <c r="D22" i="72"/>
  <c r="D30" i="72"/>
  <c r="D38" i="72"/>
  <c r="D46" i="72"/>
  <c r="G46" i="72" s="1"/>
  <c r="D55" i="73"/>
  <c r="D35" i="73"/>
  <c r="D31" i="73"/>
  <c r="D27" i="73"/>
  <c r="D23" i="73"/>
  <c r="D19" i="73"/>
  <c r="D15" i="73"/>
  <c r="D14" i="73"/>
  <c r="D54" i="73"/>
  <c r="D52" i="73"/>
  <c r="D48" i="73"/>
  <c r="G48" i="73" s="1"/>
  <c r="D44" i="73"/>
  <c r="D40" i="73"/>
  <c r="G40" i="73" s="1"/>
  <c r="D36" i="73"/>
  <c r="D32" i="73"/>
  <c r="G32" i="73" s="1"/>
  <c r="D28" i="73"/>
  <c r="D24" i="73"/>
  <c r="G24" i="73" s="1"/>
  <c r="D20" i="73"/>
  <c r="D16" i="73"/>
  <c r="G16" i="73" s="1"/>
  <c r="D7" i="73"/>
  <c r="G7" i="73" s="1"/>
  <c r="D46" i="73"/>
  <c r="G46" i="73" s="1"/>
  <c r="D38" i="73"/>
  <c r="G38" i="73" s="1"/>
  <c r="D22" i="73"/>
  <c r="D12" i="73"/>
  <c r="G12" i="73" s="1"/>
  <c r="D49" i="73"/>
  <c r="D41" i="73"/>
  <c r="D33" i="73"/>
  <c r="G33" i="73" s="1"/>
  <c r="D25" i="73"/>
  <c r="D9" i="73"/>
  <c r="G9" i="73" s="1"/>
  <c r="D50" i="73"/>
  <c r="D42" i="73"/>
  <c r="G42" i="73" s="1"/>
  <c r="D18" i="73"/>
  <c r="D10" i="73"/>
  <c r="G10" i="73" s="1"/>
  <c r="D53" i="73"/>
  <c r="G53" i="73" s="1"/>
  <c r="E18" i="74"/>
  <c r="D9" i="71"/>
  <c r="G9" i="71" s="1"/>
  <c r="D10" i="71"/>
  <c r="D11" i="71"/>
  <c r="D12" i="71"/>
  <c r="D13" i="71"/>
  <c r="D14" i="71"/>
  <c r="D15" i="71"/>
  <c r="D19" i="71"/>
  <c r="G19" i="71" s="1"/>
  <c r="D23" i="71"/>
  <c r="D27" i="71"/>
  <c r="D31" i="71"/>
  <c r="D35" i="71"/>
  <c r="D39" i="71"/>
  <c r="D43" i="71"/>
  <c r="D47" i="71"/>
  <c r="D51" i="71"/>
  <c r="E7" i="74"/>
  <c r="E39" i="74"/>
  <c r="D53" i="74"/>
  <c r="D49" i="74"/>
  <c r="D45" i="74"/>
  <c r="D41" i="74"/>
  <c r="G41" i="74" s="1"/>
  <c r="D37" i="74"/>
  <c r="D33" i="74"/>
  <c r="D29" i="74"/>
  <c r="D25" i="74"/>
  <c r="G25" i="74" s="1"/>
  <c r="D21" i="74"/>
  <c r="D17" i="74"/>
  <c r="D54" i="74"/>
  <c r="G54" i="74" s="1"/>
  <c r="D50" i="74"/>
  <c r="D46" i="74"/>
  <c r="D42" i="74"/>
  <c r="D38" i="74"/>
  <c r="G38" i="74" s="1"/>
  <c r="D34" i="74"/>
  <c r="D30" i="74"/>
  <c r="D26" i="74"/>
  <c r="D22" i="74"/>
  <c r="G22" i="74" s="1"/>
  <c r="D16" i="74"/>
  <c r="D19" i="74"/>
  <c r="G19" i="74" s="1"/>
  <c r="D20" i="74"/>
  <c r="D28" i="74"/>
  <c r="D36" i="74"/>
  <c r="D44" i="74"/>
  <c r="D52" i="74"/>
  <c r="D16" i="75"/>
  <c r="G7" i="75"/>
  <c r="D22" i="75"/>
  <c r="D27" i="75"/>
  <c r="D30" i="75"/>
  <c r="D38" i="75"/>
  <c r="D37" i="76"/>
  <c r="D41" i="76"/>
  <c r="D7" i="76"/>
  <c r="G7" i="76" s="1"/>
  <c r="D25" i="76"/>
  <c r="D10" i="74"/>
  <c r="D12" i="74"/>
  <c r="D14" i="74"/>
  <c r="D27" i="74"/>
  <c r="D35" i="74"/>
  <c r="D43" i="74"/>
  <c r="D51" i="74"/>
  <c r="G51" i="74" s="1"/>
  <c r="D21" i="75"/>
  <c r="D53" i="76"/>
  <c r="D20" i="75"/>
  <c r="D24" i="75"/>
  <c r="D34" i="75"/>
  <c r="D42" i="75"/>
  <c r="D57" i="75"/>
  <c r="G57" i="75" s="1"/>
  <c r="D48" i="75"/>
  <c r="D40" i="75"/>
  <c r="D36" i="75"/>
  <c r="D32" i="75"/>
  <c r="D28" i="75"/>
  <c r="D49" i="75"/>
  <c r="D41" i="75"/>
  <c r="D37" i="75"/>
  <c r="D33" i="75"/>
  <c r="G9" i="75"/>
  <c r="D11" i="75"/>
  <c r="D12" i="75"/>
  <c r="D13" i="75"/>
  <c r="D14" i="75"/>
  <c r="D15" i="75"/>
  <c r="D19" i="75"/>
  <c r="D23" i="75"/>
  <c r="D26" i="75"/>
  <c r="D29" i="75"/>
  <c r="G29" i="75" s="1"/>
  <c r="D39" i="75"/>
  <c r="D47" i="75"/>
  <c r="D54" i="76"/>
  <c r="G54" i="76" s="1"/>
  <c r="D50" i="76"/>
  <c r="D46" i="76"/>
  <c r="D42" i="76"/>
  <c r="G42" i="76" s="1"/>
  <c r="D38" i="76"/>
  <c r="D34" i="76"/>
  <c r="D30" i="76"/>
  <c r="D26" i="76"/>
  <c r="G26" i="76" s="1"/>
  <c r="D22" i="76"/>
  <c r="G22" i="76" s="1"/>
  <c r="D18" i="76"/>
  <c r="D55" i="76"/>
  <c r="D51" i="76"/>
  <c r="G51" i="76" s="1"/>
  <c r="D47" i="76"/>
  <c r="D43" i="76"/>
  <c r="D39" i="76"/>
  <c r="D35" i="76"/>
  <c r="G35" i="76" s="1"/>
  <c r="D31" i="76"/>
  <c r="D27" i="76"/>
  <c r="D23" i="76"/>
  <c r="D19" i="76"/>
  <c r="G19" i="76" s="1"/>
  <c r="D15" i="76"/>
  <c r="G15" i="76" s="1"/>
  <c r="D14" i="76"/>
  <c r="D13" i="76"/>
  <c r="D12" i="76"/>
  <c r="D11" i="76"/>
  <c r="G11" i="76" s="1"/>
  <c r="D10" i="76"/>
  <c r="D57" i="76"/>
  <c r="G57" i="76" s="1"/>
  <c r="D52" i="76"/>
  <c r="G52" i="76" s="1"/>
  <c r="D48" i="76"/>
  <c r="G48" i="76" s="1"/>
  <c r="D44" i="76"/>
  <c r="G44" i="76" s="1"/>
  <c r="D40" i="76"/>
  <c r="G40" i="76" s="1"/>
  <c r="D36" i="76"/>
  <c r="G36" i="76" s="1"/>
  <c r="D32" i="76"/>
  <c r="G32" i="76" s="1"/>
  <c r="D28" i="76"/>
  <c r="G28" i="76" s="1"/>
  <c r="D24" i="76"/>
  <c r="G24" i="76" s="1"/>
  <c r="D20" i="76"/>
  <c r="G20" i="76" s="1"/>
  <c r="D16" i="76"/>
  <c r="G16" i="76" s="1"/>
  <c r="D9" i="76"/>
  <c r="G9" i="76" s="1"/>
  <c r="D17" i="76"/>
  <c r="D33" i="76"/>
  <c r="D49" i="76"/>
  <c r="G49" i="76" s="1"/>
  <c r="D29" i="76"/>
  <c r="G29" i="76" s="1"/>
  <c r="D45" i="76"/>
  <c r="G45" i="76" s="1"/>
  <c r="C26" i="67"/>
  <c r="J3" i="76" s="1"/>
  <c r="C25" i="67"/>
  <c r="J3" i="75" s="1"/>
  <c r="C24" i="67"/>
  <c r="J3" i="74" s="1"/>
  <c r="C23" i="67"/>
  <c r="J3" i="73" s="1"/>
  <c r="C22" i="67"/>
  <c r="J3" i="72" s="1"/>
  <c r="C21" i="67"/>
  <c r="J3" i="71" s="1"/>
  <c r="G15" i="75" l="1"/>
  <c r="G11" i="75"/>
  <c r="E52" i="75"/>
  <c r="G52" i="75"/>
  <c r="H52" i="75" s="1"/>
  <c r="E55" i="75"/>
  <c r="G55" i="75"/>
  <c r="H55" i="75" s="1"/>
  <c r="E54" i="75"/>
  <c r="G54" i="75"/>
  <c r="H54" i="75" s="1"/>
  <c r="E53" i="75"/>
  <c r="G53" i="75"/>
  <c r="H53" i="75" s="1"/>
  <c r="G23" i="75"/>
  <c r="G13" i="75"/>
  <c r="H13" i="75" s="1"/>
  <c r="G47" i="75"/>
  <c r="H47" i="75" s="1"/>
  <c r="G32" i="75"/>
  <c r="H32" i="75" s="1"/>
  <c r="G27" i="75"/>
  <c r="G20" i="75"/>
  <c r="H20" i="75" s="1"/>
  <c r="G26" i="75"/>
  <c r="G34" i="75"/>
  <c r="H34" i="75" s="1"/>
  <c r="G37" i="75"/>
  <c r="H37" i="75" s="1"/>
  <c r="G40" i="75"/>
  <c r="H40" i="75" s="1"/>
  <c r="G36" i="75"/>
  <c r="H36" i="75" s="1"/>
  <c r="G49" i="73"/>
  <c r="G43" i="76"/>
  <c r="G54" i="71"/>
  <c r="H54" i="71" s="1"/>
  <c r="G31" i="71"/>
  <c r="H31" i="71" s="1"/>
  <c r="G48" i="75"/>
  <c r="H48" i="75" s="1"/>
  <c r="E18" i="75"/>
  <c r="G18" i="75"/>
  <c r="H18" i="75" s="1"/>
  <c r="G39" i="75"/>
  <c r="H39" i="75" s="1"/>
  <c r="G19" i="75"/>
  <c r="H19" i="75" s="1"/>
  <c r="G12" i="75"/>
  <c r="H12" i="75" s="1"/>
  <c r="G33" i="75"/>
  <c r="H33" i="75" s="1"/>
  <c r="G49" i="75"/>
  <c r="H49" i="75" s="1"/>
  <c r="G24" i="75"/>
  <c r="H24" i="75" s="1"/>
  <c r="G21" i="75"/>
  <c r="H21" i="75" s="1"/>
  <c r="G22" i="75"/>
  <c r="H22" i="75" s="1"/>
  <c r="G25" i="73"/>
  <c r="G44" i="72"/>
  <c r="G15" i="72"/>
  <c r="G31" i="75"/>
  <c r="H31" i="75" s="1"/>
  <c r="G38" i="75"/>
  <c r="H38" i="75" s="1"/>
  <c r="G50" i="75"/>
  <c r="H50" i="75" s="1"/>
  <c r="G35" i="75"/>
  <c r="H35" i="75" s="1"/>
  <c r="G14" i="75"/>
  <c r="G41" i="75"/>
  <c r="H41" i="75" s="1"/>
  <c r="G28" i="75"/>
  <c r="H28" i="75" s="1"/>
  <c r="G42" i="75"/>
  <c r="H42" i="75" s="1"/>
  <c r="G43" i="74"/>
  <c r="G30" i="75"/>
  <c r="H30" i="75" s="1"/>
  <c r="G16" i="75"/>
  <c r="H16" i="75" s="1"/>
  <c r="G36" i="72"/>
  <c r="G51" i="75"/>
  <c r="H51" i="75" s="1"/>
  <c r="G17" i="75"/>
  <c r="H17" i="75" s="1"/>
  <c r="G25" i="75"/>
  <c r="H25" i="75" s="1"/>
  <c r="G15" i="71"/>
  <c r="H15" i="71" s="1"/>
  <c r="G11" i="71"/>
  <c r="H11" i="71" s="1"/>
  <c r="G34" i="71"/>
  <c r="H34" i="71" s="1"/>
  <c r="G21" i="71"/>
  <c r="H21" i="71" s="1"/>
  <c r="G49" i="71"/>
  <c r="H49" i="71" s="1"/>
  <c r="G28" i="71"/>
  <c r="H28" i="71" s="1"/>
  <c r="G51" i="71"/>
  <c r="H51" i="71" s="1"/>
  <c r="G35" i="71"/>
  <c r="H35" i="71" s="1"/>
  <c r="G12" i="71"/>
  <c r="H12" i="71" s="1"/>
  <c r="G37" i="71"/>
  <c r="H37" i="71" s="1"/>
  <c r="G18" i="71"/>
  <c r="H18" i="71" s="1"/>
  <c r="G17" i="71"/>
  <c r="H17" i="71" s="1"/>
  <c r="E40" i="71"/>
  <c r="G40" i="71"/>
  <c r="H40" i="71" s="1"/>
  <c r="G27" i="71"/>
  <c r="H27" i="71" s="1"/>
  <c r="G14" i="71"/>
  <c r="H14" i="71" s="1"/>
  <c r="G10" i="71"/>
  <c r="H10" i="71" s="1"/>
  <c r="G44" i="71"/>
  <c r="H44" i="71" s="1"/>
  <c r="G53" i="71"/>
  <c r="H53" i="71" s="1"/>
  <c r="G46" i="71"/>
  <c r="H46" i="71" s="1"/>
  <c r="G26" i="71"/>
  <c r="H26" i="71" s="1"/>
  <c r="G42" i="71"/>
  <c r="H42" i="71" s="1"/>
  <c r="E42" i="71"/>
  <c r="E41" i="71"/>
  <c r="G41" i="71"/>
  <c r="H41" i="71" s="1"/>
  <c r="G40" i="72"/>
  <c r="G12" i="72"/>
  <c r="H12" i="72" s="1"/>
  <c r="G28" i="72"/>
  <c r="G30" i="72"/>
  <c r="H30" i="72" s="1"/>
  <c r="E9" i="72"/>
  <c r="G55" i="72"/>
  <c r="H55" i="72" s="1"/>
  <c r="G22" i="72"/>
  <c r="H22" i="72" s="1"/>
  <c r="E14" i="72"/>
  <c r="G11" i="72"/>
  <c r="H11" i="72" s="1"/>
  <c r="G43" i="72"/>
  <c r="H43" i="72" s="1"/>
  <c r="G38" i="72"/>
  <c r="H38" i="72" s="1"/>
  <c r="G16" i="72"/>
  <c r="H16" i="72" s="1"/>
  <c r="G32" i="72"/>
  <c r="H32" i="72" s="1"/>
  <c r="G48" i="72"/>
  <c r="H48" i="72" s="1"/>
  <c r="G27" i="72"/>
  <c r="H27" i="72" s="1"/>
  <c r="G27" i="76"/>
  <c r="G13" i="76"/>
  <c r="H13" i="76" s="1"/>
  <c r="G17" i="76"/>
  <c r="H17" i="76" s="1"/>
  <c r="G23" i="76"/>
  <c r="H23" i="76" s="1"/>
  <c r="G39" i="76"/>
  <c r="H39" i="76" s="1"/>
  <c r="G55" i="76"/>
  <c r="G30" i="76"/>
  <c r="H30" i="76" s="1"/>
  <c r="G37" i="76"/>
  <c r="H37" i="76" s="1"/>
  <c r="G46" i="76"/>
  <c r="G10" i="76"/>
  <c r="G14" i="76"/>
  <c r="H14" i="76" s="1"/>
  <c r="G18" i="76"/>
  <c r="H18" i="76" s="1"/>
  <c r="G34" i="76"/>
  <c r="H34" i="76" s="1"/>
  <c r="G50" i="76"/>
  <c r="H50" i="76" s="1"/>
  <c r="G25" i="76"/>
  <c r="H25" i="76" s="1"/>
  <c r="G31" i="76"/>
  <c r="H31" i="76" s="1"/>
  <c r="G47" i="76"/>
  <c r="H47" i="76" s="1"/>
  <c r="G38" i="76"/>
  <c r="G33" i="76"/>
  <c r="H33" i="76" s="1"/>
  <c r="G12" i="76"/>
  <c r="H12" i="76" s="1"/>
  <c r="G53" i="76"/>
  <c r="H53" i="76" s="1"/>
  <c r="G41" i="76"/>
  <c r="H41" i="76" s="1"/>
  <c r="G21" i="76"/>
  <c r="G27" i="74"/>
  <c r="H27" i="74" s="1"/>
  <c r="G34" i="74"/>
  <c r="G50" i="74"/>
  <c r="H50" i="74" s="1"/>
  <c r="G10" i="74"/>
  <c r="H10" i="74" s="1"/>
  <c r="E9" i="74"/>
  <c r="G14" i="74"/>
  <c r="G16" i="74"/>
  <c r="H16" i="74" s="1"/>
  <c r="G24" i="74"/>
  <c r="H24" i="74" s="1"/>
  <c r="G15" i="73"/>
  <c r="E57" i="73"/>
  <c r="G54" i="73"/>
  <c r="G19" i="73"/>
  <c r="H19" i="73" s="1"/>
  <c r="G35" i="73"/>
  <c r="H35" i="73" s="1"/>
  <c r="G28" i="73"/>
  <c r="G44" i="73"/>
  <c r="H44" i="73" s="1"/>
  <c r="G18" i="73"/>
  <c r="H18" i="73" s="1"/>
  <c r="G50" i="73"/>
  <c r="G22" i="73"/>
  <c r="G23" i="73"/>
  <c r="G55" i="73"/>
  <c r="H55" i="73" s="1"/>
  <c r="G37" i="73"/>
  <c r="H37" i="73" s="1"/>
  <c r="G29" i="73"/>
  <c r="G41" i="73"/>
  <c r="G14" i="73"/>
  <c r="H14" i="73" s="1"/>
  <c r="G27" i="73"/>
  <c r="H27" i="73" s="1"/>
  <c r="G11" i="73"/>
  <c r="G20" i="73"/>
  <c r="H20" i="73" s="1"/>
  <c r="G36" i="73"/>
  <c r="H36" i="73" s="1"/>
  <c r="G52" i="73"/>
  <c r="H52" i="73" s="1"/>
  <c r="G31" i="73"/>
  <c r="H31" i="73" s="1"/>
  <c r="G45" i="73"/>
  <c r="G12" i="74"/>
  <c r="H12" i="74" s="1"/>
  <c r="G35" i="74"/>
  <c r="H35" i="74" s="1"/>
  <c r="G26" i="74"/>
  <c r="H26" i="74" s="1"/>
  <c r="G42" i="74"/>
  <c r="H42" i="74" s="1"/>
  <c r="G33" i="74"/>
  <c r="H33" i="74" s="1"/>
  <c r="G49" i="74"/>
  <c r="H49" i="74" s="1"/>
  <c r="G30" i="74"/>
  <c r="H30" i="74" s="1"/>
  <c r="G46" i="74"/>
  <c r="H46" i="74" s="1"/>
  <c r="G36" i="74"/>
  <c r="G47" i="74"/>
  <c r="H47" i="74" s="1"/>
  <c r="E11" i="74"/>
  <c r="G11" i="74"/>
  <c r="H11" i="74" s="1"/>
  <c r="G55" i="74"/>
  <c r="H55" i="74" s="1"/>
  <c r="G28" i="74"/>
  <c r="H28" i="74" s="1"/>
  <c r="G29" i="74"/>
  <c r="H29" i="74" s="1"/>
  <c r="G45" i="74"/>
  <c r="H45" i="74" s="1"/>
  <c r="E40" i="74"/>
  <c r="G40" i="74"/>
  <c r="H40" i="74" s="1"/>
  <c r="E32" i="74"/>
  <c r="G32" i="74"/>
  <c r="H32" i="74" s="1"/>
  <c r="E48" i="74"/>
  <c r="G48" i="74"/>
  <c r="H48" i="74" s="1"/>
  <c r="E31" i="74"/>
  <c r="G31" i="74"/>
  <c r="H31" i="74" s="1"/>
  <c r="G52" i="74"/>
  <c r="H52" i="74" s="1"/>
  <c r="G20" i="74"/>
  <c r="H20" i="74" s="1"/>
  <c r="G17" i="74"/>
  <c r="H17" i="74" s="1"/>
  <c r="G18" i="74"/>
  <c r="G39" i="74"/>
  <c r="H39" i="74" s="1"/>
  <c r="G44" i="74"/>
  <c r="H44" i="74" s="1"/>
  <c r="G21" i="74"/>
  <c r="H21" i="74" s="1"/>
  <c r="G37" i="74"/>
  <c r="H37" i="74" s="1"/>
  <c r="G53" i="74"/>
  <c r="H53" i="74" s="1"/>
  <c r="G13" i="74"/>
  <c r="H13" i="74" s="1"/>
  <c r="G23" i="74"/>
  <c r="H23" i="74" s="1"/>
  <c r="G15" i="74"/>
  <c r="H15" i="74" s="1"/>
  <c r="G54" i="72"/>
  <c r="H54" i="72" s="1"/>
  <c r="G23" i="72"/>
  <c r="G26" i="72"/>
  <c r="H26" i="72" s="1"/>
  <c r="G50" i="72"/>
  <c r="H50" i="72" s="1"/>
  <c r="G34" i="72"/>
  <c r="H34" i="72" s="1"/>
  <c r="G13" i="72"/>
  <c r="H13" i="72" s="1"/>
  <c r="G19" i="72"/>
  <c r="H19" i="72" s="1"/>
  <c r="G51" i="72"/>
  <c r="H51" i="72" s="1"/>
  <c r="G39" i="72"/>
  <c r="H39" i="72" s="1"/>
  <c r="G18" i="72"/>
  <c r="H18" i="72" s="1"/>
  <c r="E47" i="72"/>
  <c r="G47" i="72"/>
  <c r="H47" i="72" s="1"/>
  <c r="G31" i="72"/>
  <c r="H31" i="72" s="1"/>
  <c r="E42" i="72"/>
  <c r="G42" i="72"/>
  <c r="H42" i="72" s="1"/>
  <c r="G10" i="72"/>
  <c r="G35" i="72"/>
  <c r="H35" i="72" s="1"/>
  <c r="G23" i="71"/>
  <c r="H23" i="71" s="1"/>
  <c r="E52" i="71"/>
  <c r="G52" i="71"/>
  <c r="H52" i="71" s="1"/>
  <c r="G20" i="71"/>
  <c r="H20" i="71" s="1"/>
  <c r="G47" i="71"/>
  <c r="H47" i="71" s="1"/>
  <c r="G32" i="71"/>
  <c r="H32" i="71" s="1"/>
  <c r="G45" i="71"/>
  <c r="H45" i="71" s="1"/>
  <c r="G43" i="71"/>
  <c r="H43" i="71" s="1"/>
  <c r="G29" i="71"/>
  <c r="H29" i="71" s="1"/>
  <c r="G22" i="71"/>
  <c r="H22" i="71" s="1"/>
  <c r="G33" i="71"/>
  <c r="H33" i="71" s="1"/>
  <c r="G55" i="71"/>
  <c r="H55" i="71" s="1"/>
  <c r="G25" i="71"/>
  <c r="H25" i="71" s="1"/>
  <c r="G36" i="71"/>
  <c r="H36" i="71" s="1"/>
  <c r="G38" i="71"/>
  <c r="H38" i="71" s="1"/>
  <c r="G39" i="71"/>
  <c r="H39" i="71" s="1"/>
  <c r="G13" i="71"/>
  <c r="G24" i="71"/>
  <c r="H24" i="71" s="1"/>
  <c r="G16" i="71"/>
  <c r="H16" i="71" s="1"/>
  <c r="G48" i="71"/>
  <c r="H48" i="71" s="1"/>
  <c r="G50" i="71"/>
  <c r="H50" i="71" s="1"/>
  <c r="G30" i="71"/>
  <c r="H30" i="71" s="1"/>
  <c r="H29" i="75"/>
  <c r="H14" i="75"/>
  <c r="H26" i="75"/>
  <c r="H11" i="75"/>
  <c r="H15" i="75"/>
  <c r="H23" i="75"/>
  <c r="H27" i="75"/>
  <c r="H9" i="75"/>
  <c r="H7" i="75"/>
  <c r="H57" i="75"/>
  <c r="H10" i="76"/>
  <c r="H20" i="76"/>
  <c r="H26" i="76"/>
  <c r="H36" i="76"/>
  <c r="H42" i="76"/>
  <c r="H52" i="76"/>
  <c r="H11" i="76"/>
  <c r="H27" i="76"/>
  <c r="H54" i="76"/>
  <c r="H28" i="76"/>
  <c r="H44" i="76"/>
  <c r="H55" i="76"/>
  <c r="H22" i="76"/>
  <c r="H32" i="76"/>
  <c r="H48" i="76"/>
  <c r="H57" i="76"/>
  <c r="H24" i="76"/>
  <c r="H40" i="76"/>
  <c r="H46" i="76"/>
  <c r="H51" i="76"/>
  <c r="H7" i="76"/>
  <c r="H16" i="76"/>
  <c r="H38" i="76"/>
  <c r="H19" i="76"/>
  <c r="H49" i="76"/>
  <c r="H9" i="76"/>
  <c r="H15" i="76"/>
  <c r="H29" i="76"/>
  <c r="H43" i="76"/>
  <c r="H21" i="76"/>
  <c r="H35" i="76"/>
  <c r="H45" i="76"/>
  <c r="H19" i="71"/>
  <c r="H9" i="71"/>
  <c r="H57" i="71"/>
  <c r="H7" i="71"/>
  <c r="H10" i="72"/>
  <c r="H20" i="72"/>
  <c r="H36" i="72"/>
  <c r="H52" i="72"/>
  <c r="H28" i="72"/>
  <c r="H44" i="72"/>
  <c r="H57" i="72"/>
  <c r="H7" i="72"/>
  <c r="H14" i="72"/>
  <c r="H24" i="72"/>
  <c r="H40" i="72"/>
  <c r="H46" i="72"/>
  <c r="H15" i="72"/>
  <c r="H21" i="72"/>
  <c r="H37" i="72"/>
  <c r="H53" i="72"/>
  <c r="H9" i="72"/>
  <c r="H25" i="72"/>
  <c r="H41" i="72"/>
  <c r="H23" i="72"/>
  <c r="H29" i="72"/>
  <c r="H45" i="72"/>
  <c r="H17" i="72"/>
  <c r="H33" i="72"/>
  <c r="H49" i="72"/>
  <c r="H11" i="73"/>
  <c r="H22" i="73"/>
  <c r="H33" i="73"/>
  <c r="H38" i="73"/>
  <c r="H49" i="73"/>
  <c r="H54" i="73"/>
  <c r="H7" i="73"/>
  <c r="H29" i="73"/>
  <c r="H25" i="73"/>
  <c r="H41" i="73"/>
  <c r="H46" i="73"/>
  <c r="H9" i="73"/>
  <c r="H45" i="73"/>
  <c r="H10" i="73"/>
  <c r="H15" i="73"/>
  <c r="H42" i="73"/>
  <c r="H53" i="73"/>
  <c r="H23" i="73"/>
  <c r="H50" i="73"/>
  <c r="H24" i="73"/>
  <c r="H40" i="73"/>
  <c r="H57" i="73"/>
  <c r="H12" i="73"/>
  <c r="H28" i="73"/>
  <c r="H16" i="73"/>
  <c r="H32" i="73"/>
  <c r="H48" i="73"/>
  <c r="H18" i="74"/>
  <c r="H34" i="74"/>
  <c r="H36" i="74"/>
  <c r="H54" i="74"/>
  <c r="H9" i="74"/>
  <c r="H14" i="74"/>
  <c r="H25" i="74"/>
  <c r="H41" i="74"/>
  <c r="H22" i="74"/>
  <c r="H38" i="74"/>
  <c r="H57" i="74"/>
  <c r="H7" i="74"/>
  <c r="H43" i="74"/>
  <c r="H19" i="74"/>
  <c r="H51" i="74"/>
  <c r="E47" i="74"/>
  <c r="E57" i="74"/>
  <c r="E34" i="72"/>
  <c r="E16" i="76"/>
  <c r="E48" i="76"/>
  <c r="E15" i="76"/>
  <c r="E31" i="76"/>
  <c r="E22" i="76"/>
  <c r="E54" i="76"/>
  <c r="E15" i="75"/>
  <c r="E37" i="75"/>
  <c r="E40" i="75"/>
  <c r="E51" i="74"/>
  <c r="E7" i="76"/>
  <c r="E7" i="75"/>
  <c r="E16" i="74"/>
  <c r="E50" i="74"/>
  <c r="E41" i="74"/>
  <c r="E23" i="71"/>
  <c r="E13" i="71"/>
  <c r="E50" i="73"/>
  <c r="E22" i="73"/>
  <c r="E28" i="73"/>
  <c r="E44" i="73"/>
  <c r="E23" i="73"/>
  <c r="E22" i="72"/>
  <c r="E41" i="72"/>
  <c r="E55" i="72"/>
  <c r="E40" i="72"/>
  <c r="E37" i="71"/>
  <c r="E48" i="71"/>
  <c r="E39" i="72"/>
  <c r="E23" i="72"/>
  <c r="E33" i="71"/>
  <c r="E55" i="71"/>
  <c r="E45" i="71"/>
  <c r="E20" i="76"/>
  <c r="E52" i="76"/>
  <c r="E12" i="76"/>
  <c r="E35" i="76"/>
  <c r="E51" i="76"/>
  <c r="E42" i="76"/>
  <c r="E14" i="75"/>
  <c r="E41" i="75"/>
  <c r="E28" i="75"/>
  <c r="E42" i="75"/>
  <c r="E53" i="76"/>
  <c r="E12" i="74"/>
  <c r="E41" i="76"/>
  <c r="E16" i="75"/>
  <c r="E22" i="74"/>
  <c r="E38" i="74"/>
  <c r="E29" i="74"/>
  <c r="E51" i="71"/>
  <c r="E35" i="71"/>
  <c r="E12" i="71"/>
  <c r="E53" i="73"/>
  <c r="E41" i="73"/>
  <c r="E16" i="73"/>
  <c r="E32" i="73"/>
  <c r="E14" i="73"/>
  <c r="E27" i="73"/>
  <c r="E46" i="72"/>
  <c r="E12" i="72"/>
  <c r="E45" i="72"/>
  <c r="E7" i="72"/>
  <c r="E28" i="72"/>
  <c r="E44" i="72"/>
  <c r="E54" i="72"/>
  <c r="E16" i="71"/>
  <c r="E44" i="71"/>
  <c r="E54" i="71"/>
  <c r="E30" i="71"/>
  <c r="E26" i="71"/>
  <c r="E25" i="71"/>
  <c r="E45" i="76"/>
  <c r="E17" i="76"/>
  <c r="E24" i="76"/>
  <c r="E40" i="76"/>
  <c r="E57" i="76"/>
  <c r="E13" i="76"/>
  <c r="E23" i="76"/>
  <c r="E39" i="76"/>
  <c r="E55" i="76"/>
  <c r="E30" i="76"/>
  <c r="E46" i="76"/>
  <c r="E47" i="75"/>
  <c r="E23" i="75"/>
  <c r="E13" i="75"/>
  <c r="E9" i="75"/>
  <c r="E32" i="75"/>
  <c r="E48" i="75"/>
  <c r="E34" i="75"/>
  <c r="E35" i="74"/>
  <c r="E10" i="74"/>
  <c r="E37" i="76"/>
  <c r="E27" i="75"/>
  <c r="E52" i="74"/>
  <c r="E20" i="74"/>
  <c r="E26" i="74"/>
  <c r="E42" i="74"/>
  <c r="E17" i="74"/>
  <c r="E33" i="74"/>
  <c r="E49" i="74"/>
  <c r="E47" i="71"/>
  <c r="E31" i="71"/>
  <c r="E15" i="71"/>
  <c r="E11" i="71"/>
  <c r="E49" i="73"/>
  <c r="E38" i="73"/>
  <c r="E20" i="73"/>
  <c r="E36" i="73"/>
  <c r="E52" i="73"/>
  <c r="E15" i="73"/>
  <c r="E31" i="73"/>
  <c r="E38" i="72"/>
  <c r="E17" i="72"/>
  <c r="E33" i="72"/>
  <c r="E49" i="72"/>
  <c r="E16" i="72"/>
  <c r="E32" i="72"/>
  <c r="E48" i="72"/>
  <c r="E49" i="71"/>
  <c r="E24" i="71"/>
  <c r="E28" i="71"/>
  <c r="E31" i="72"/>
  <c r="E15" i="72"/>
  <c r="E46" i="71"/>
  <c r="E20" i="71"/>
  <c r="E7" i="71"/>
  <c r="E49" i="76"/>
  <c r="E32" i="76"/>
  <c r="E11" i="76"/>
  <c r="E47" i="76"/>
  <c r="E38" i="76"/>
  <c r="E29" i="75"/>
  <c r="E11" i="75"/>
  <c r="E20" i="75"/>
  <c r="E14" i="74"/>
  <c r="E38" i="75"/>
  <c r="E36" i="74"/>
  <c r="E34" i="74"/>
  <c r="E25" i="74"/>
  <c r="I51" i="74"/>
  <c r="J51" i="74" s="1"/>
  <c r="I43" i="74"/>
  <c r="J43" i="74" s="1"/>
  <c r="I12" i="74"/>
  <c r="J12" i="74" s="1"/>
  <c r="I49" i="74"/>
  <c r="J49" i="74" s="1"/>
  <c r="I29" i="74"/>
  <c r="J29" i="74" s="1"/>
  <c r="I9" i="74"/>
  <c r="J9" i="74" s="1"/>
  <c r="I7" i="74"/>
  <c r="J7" i="74" s="1"/>
  <c r="E39" i="71"/>
  <c r="E9" i="71"/>
  <c r="E18" i="73"/>
  <c r="E33" i="73"/>
  <c r="E7" i="73"/>
  <c r="E55" i="73"/>
  <c r="E25" i="72"/>
  <c r="E24" i="72"/>
  <c r="E57" i="72"/>
  <c r="E18" i="71"/>
  <c r="E29" i="71"/>
  <c r="E50" i="71"/>
  <c r="E11" i="72"/>
  <c r="E38" i="71"/>
  <c r="E33" i="76"/>
  <c r="E36" i="76"/>
  <c r="E19" i="76"/>
  <c r="E26" i="76"/>
  <c r="E26" i="75"/>
  <c r="E43" i="74"/>
  <c r="E30" i="75"/>
  <c r="E28" i="74"/>
  <c r="E54" i="74"/>
  <c r="E45" i="74"/>
  <c r="E19" i="71"/>
  <c r="E9" i="73"/>
  <c r="E48" i="73"/>
  <c r="E29" i="72"/>
  <c r="E34" i="71"/>
  <c r="E29" i="76"/>
  <c r="E9" i="76"/>
  <c r="E28" i="76"/>
  <c r="E44" i="76"/>
  <c r="E10" i="76"/>
  <c r="E14" i="76"/>
  <c r="E27" i="76"/>
  <c r="E43" i="76"/>
  <c r="E18" i="76"/>
  <c r="E34" i="76"/>
  <c r="E50" i="76"/>
  <c r="E39" i="75"/>
  <c r="E19" i="75"/>
  <c r="E12" i="75"/>
  <c r="E33" i="75"/>
  <c r="E49" i="75"/>
  <c r="E36" i="75"/>
  <c r="E24" i="75"/>
  <c r="E21" i="75"/>
  <c r="E27" i="74"/>
  <c r="E25" i="76"/>
  <c r="E22" i="75"/>
  <c r="E44" i="74"/>
  <c r="E19" i="74"/>
  <c r="E30" i="74"/>
  <c r="E46" i="74"/>
  <c r="E21" i="74"/>
  <c r="E37" i="74"/>
  <c r="E53" i="74"/>
  <c r="E43" i="71"/>
  <c r="E27" i="71"/>
  <c r="E14" i="71"/>
  <c r="E10" i="71"/>
  <c r="E10" i="73"/>
  <c r="E42" i="73"/>
  <c r="E25" i="73"/>
  <c r="E12" i="73"/>
  <c r="E46" i="73"/>
  <c r="E24" i="73"/>
  <c r="E40" i="73"/>
  <c r="E54" i="73"/>
  <c r="E19" i="73"/>
  <c r="E35" i="73"/>
  <c r="E30" i="72"/>
  <c r="E21" i="72"/>
  <c r="E37" i="72"/>
  <c r="E53" i="72"/>
  <c r="E20" i="72"/>
  <c r="E36" i="72"/>
  <c r="E52" i="72"/>
  <c r="E21" i="71"/>
  <c r="E32" i="71"/>
  <c r="E57" i="71"/>
  <c r="E22" i="71"/>
  <c r="E36" i="71"/>
  <c r="E17" i="71"/>
  <c r="E53" i="71"/>
  <c r="C20" i="67"/>
  <c r="C19" i="67"/>
  <c r="C18" i="67"/>
  <c r="C17" i="67"/>
  <c r="J3" i="68" s="1"/>
  <c r="C16" i="67"/>
  <c r="C15" i="67"/>
  <c r="C14" i="67"/>
  <c r="C13" i="67"/>
  <c r="C12" i="67"/>
  <c r="C11" i="67"/>
  <c r="C10" i="67"/>
  <c r="C9" i="67"/>
  <c r="C8" i="67"/>
  <c r="C7" i="67"/>
  <c r="C6" i="67"/>
  <c r="C5" i="67"/>
  <c r="C4" i="67"/>
  <c r="J3" i="3" s="1"/>
  <c r="P8" i="68"/>
  <c r="P9" i="68"/>
  <c r="P10" i="68"/>
  <c r="P11" i="68"/>
  <c r="P12" i="68"/>
  <c r="P13" i="68"/>
  <c r="P14" i="68"/>
  <c r="P7" i="68"/>
  <c r="H4" i="68"/>
  <c r="H3" i="68"/>
  <c r="I53" i="75" l="1"/>
  <c r="I52" i="75"/>
  <c r="I55" i="75"/>
  <c r="J55" i="75" s="1"/>
  <c r="I54" i="75"/>
  <c r="I13" i="74"/>
  <c r="J13" i="74" s="1"/>
  <c r="I48" i="74"/>
  <c r="J48" i="74" s="1"/>
  <c r="I34" i="74"/>
  <c r="J34" i="74" s="1"/>
  <c r="I37" i="74"/>
  <c r="J37" i="74" s="1"/>
  <c r="I19" i="74"/>
  <c r="J19" i="74" s="1"/>
  <c r="I50" i="74"/>
  <c r="J50" i="74" s="1"/>
  <c r="I28" i="74"/>
  <c r="J28" i="74" s="1"/>
  <c r="I15" i="74"/>
  <c r="J15" i="74" s="1"/>
  <c r="I16" i="74"/>
  <c r="J16" i="74" s="1"/>
  <c r="I17" i="74"/>
  <c r="J17" i="74" s="1"/>
  <c r="I27" i="74"/>
  <c r="J27" i="74" s="1"/>
  <c r="I18" i="74"/>
  <c r="J18" i="74" s="1"/>
  <c r="I11" i="74"/>
  <c r="J11" i="74" s="1"/>
  <c r="I36" i="74"/>
  <c r="J36" i="74" s="1"/>
  <c r="I33" i="74"/>
  <c r="J33" i="74" s="1"/>
  <c r="I32" i="74"/>
  <c r="J32" i="74" s="1"/>
  <c r="I35" i="74"/>
  <c r="J35" i="74" s="1"/>
  <c r="I26" i="74"/>
  <c r="J26" i="74" s="1"/>
  <c r="I40" i="71"/>
  <c r="J40" i="71" s="1"/>
  <c r="I41" i="71"/>
  <c r="J41" i="71" s="1"/>
  <c r="H13" i="71"/>
  <c r="I42" i="71"/>
  <c r="J42" i="71" s="1"/>
  <c r="I20" i="74"/>
  <c r="J20" i="74" s="1"/>
  <c r="I21" i="74"/>
  <c r="J21" i="74" s="1"/>
  <c r="I25" i="74"/>
  <c r="J25" i="74" s="1"/>
  <c r="I10" i="74"/>
  <c r="J10" i="74" s="1"/>
  <c r="I24" i="74"/>
  <c r="J24" i="74" s="1"/>
  <c r="I57" i="74"/>
  <c r="J57" i="74" s="1"/>
  <c r="P17" i="74" s="1"/>
  <c r="I31" i="74"/>
  <c r="J31" i="74" s="1"/>
  <c r="I47" i="74"/>
  <c r="J47" i="74" s="1"/>
  <c r="I22" i="74"/>
  <c r="J22" i="74" s="1"/>
  <c r="I38" i="74"/>
  <c r="J38" i="74" s="1"/>
  <c r="I54" i="74"/>
  <c r="J54" i="74" s="1"/>
  <c r="I42" i="74"/>
  <c r="J42" i="74" s="1"/>
  <c r="I44" i="74"/>
  <c r="J44" i="74" s="1"/>
  <c r="I45" i="74"/>
  <c r="J45" i="74" s="1"/>
  <c r="I52" i="74"/>
  <c r="J52" i="74" s="1"/>
  <c r="I53" i="74"/>
  <c r="J53" i="74" s="1"/>
  <c r="I41" i="74"/>
  <c r="J41" i="74" s="1"/>
  <c r="I14" i="74"/>
  <c r="J14" i="74" s="1"/>
  <c r="I40" i="74"/>
  <c r="J40" i="74" s="1"/>
  <c r="I23" i="74"/>
  <c r="J23" i="74" s="1"/>
  <c r="I39" i="74"/>
  <c r="J39" i="74" s="1"/>
  <c r="I55" i="74"/>
  <c r="J55" i="74" s="1"/>
  <c r="I30" i="74"/>
  <c r="J30" i="74" s="1"/>
  <c r="I46" i="74"/>
  <c r="J46" i="74" s="1"/>
  <c r="H25" i="70"/>
  <c r="D7" i="68"/>
  <c r="G7" i="68" s="1"/>
  <c r="H7" i="68" s="1"/>
  <c r="H21" i="70"/>
  <c r="H20" i="70"/>
  <c r="H24" i="70"/>
  <c r="D44" i="68"/>
  <c r="H27" i="70"/>
  <c r="H23" i="70"/>
  <c r="H26" i="70"/>
  <c r="H22" i="70"/>
  <c r="H16" i="3"/>
  <c r="H48" i="3"/>
  <c r="H40" i="3"/>
  <c r="H14" i="3"/>
  <c r="H49" i="3"/>
  <c r="H41" i="3"/>
  <c r="H33" i="3"/>
  <c r="H25" i="3"/>
  <c r="H46" i="3"/>
  <c r="H26" i="3"/>
  <c r="H15" i="3"/>
  <c r="H23" i="3"/>
  <c r="H44" i="3"/>
  <c r="H43" i="3"/>
  <c r="H36" i="3"/>
  <c r="H22" i="3"/>
  <c r="H42" i="3"/>
  <c r="H18" i="3"/>
  <c r="H47" i="3"/>
  <c r="H39" i="3"/>
  <c r="H51" i="3"/>
  <c r="H32" i="3"/>
  <c r="H19" i="3"/>
  <c r="H28" i="3"/>
  <c r="H37" i="3"/>
  <c r="H29" i="3"/>
  <c r="H21" i="3"/>
  <c r="H13" i="3"/>
  <c r="H34" i="3"/>
  <c r="H20" i="3"/>
  <c r="H35" i="3"/>
  <c r="H27" i="3"/>
  <c r="H50" i="3"/>
  <c r="H30" i="3"/>
  <c r="F45" i="74"/>
  <c r="F34" i="74"/>
  <c r="F13" i="74"/>
  <c r="F20" i="74"/>
  <c r="F52" i="74"/>
  <c r="F27" i="74"/>
  <c r="F12" i="74"/>
  <c r="F54" i="74"/>
  <c r="F41" i="74"/>
  <c r="I55" i="72"/>
  <c r="J55" i="72" s="1"/>
  <c r="I57" i="72"/>
  <c r="J57" i="72" s="1"/>
  <c r="P17" i="72" s="1"/>
  <c r="I53" i="72"/>
  <c r="J53" i="72" s="1"/>
  <c r="I49" i="72"/>
  <c r="J49" i="72" s="1"/>
  <c r="I45" i="72"/>
  <c r="J45" i="72" s="1"/>
  <c r="I41" i="72"/>
  <c r="J41" i="72" s="1"/>
  <c r="I37" i="72"/>
  <c r="J37" i="72" s="1"/>
  <c r="I33" i="72"/>
  <c r="J33" i="72" s="1"/>
  <c r="I29" i="72"/>
  <c r="J29" i="72" s="1"/>
  <c r="I25" i="72"/>
  <c r="J25" i="72" s="1"/>
  <c r="I21" i="72"/>
  <c r="J21" i="72" s="1"/>
  <c r="I17" i="72"/>
  <c r="J17" i="72" s="1"/>
  <c r="I50" i="72"/>
  <c r="J50" i="72" s="1"/>
  <c r="I46" i="72"/>
  <c r="J46" i="72" s="1"/>
  <c r="I42" i="72"/>
  <c r="J42" i="72" s="1"/>
  <c r="I38" i="72"/>
  <c r="J38" i="72" s="1"/>
  <c r="I34" i="72"/>
  <c r="J34" i="72" s="1"/>
  <c r="I30" i="72"/>
  <c r="J30" i="72" s="1"/>
  <c r="I26" i="72"/>
  <c r="J26" i="72" s="1"/>
  <c r="I22" i="72"/>
  <c r="J22" i="72" s="1"/>
  <c r="I18" i="72"/>
  <c r="J18" i="72" s="1"/>
  <c r="I51" i="72"/>
  <c r="J51" i="72" s="1"/>
  <c r="I43" i="72"/>
  <c r="J43" i="72" s="1"/>
  <c r="I35" i="72"/>
  <c r="J35" i="72" s="1"/>
  <c r="I27" i="72"/>
  <c r="J27" i="72" s="1"/>
  <c r="I19" i="72"/>
  <c r="J19" i="72" s="1"/>
  <c r="I13" i="72"/>
  <c r="J13" i="72" s="1"/>
  <c r="I9" i="72"/>
  <c r="J9" i="72" s="1"/>
  <c r="I11" i="72"/>
  <c r="J11" i="72" s="1"/>
  <c r="I54" i="72"/>
  <c r="J54" i="72" s="1"/>
  <c r="I40" i="72"/>
  <c r="J40" i="72" s="1"/>
  <c r="I7" i="72"/>
  <c r="J7" i="72" s="1"/>
  <c r="I52" i="72"/>
  <c r="J52" i="72" s="1"/>
  <c r="I44" i="72"/>
  <c r="J44" i="72" s="1"/>
  <c r="I36" i="72"/>
  <c r="J36" i="72" s="1"/>
  <c r="I28" i="72"/>
  <c r="J28" i="72" s="1"/>
  <c r="I20" i="72"/>
  <c r="J20" i="72" s="1"/>
  <c r="I12" i="72"/>
  <c r="J12" i="72" s="1"/>
  <c r="I47" i="72"/>
  <c r="J47" i="72" s="1"/>
  <c r="I39" i="72"/>
  <c r="J39" i="72" s="1"/>
  <c r="I31" i="72"/>
  <c r="J31" i="72" s="1"/>
  <c r="I23" i="72"/>
  <c r="J23" i="72" s="1"/>
  <c r="I15" i="72"/>
  <c r="J15" i="72" s="1"/>
  <c r="I48" i="72"/>
  <c r="J48" i="72" s="1"/>
  <c r="I32" i="72"/>
  <c r="J32" i="72" s="1"/>
  <c r="I24" i="72"/>
  <c r="J24" i="72" s="1"/>
  <c r="I16" i="72"/>
  <c r="J16" i="72" s="1"/>
  <c r="I14" i="72"/>
  <c r="J14" i="72" s="1"/>
  <c r="I10" i="72"/>
  <c r="J10" i="72" s="1"/>
  <c r="F9" i="74"/>
  <c r="F7" i="74"/>
  <c r="F17" i="74"/>
  <c r="F49" i="74"/>
  <c r="F44" i="74"/>
  <c r="F19" i="74"/>
  <c r="F35" i="74"/>
  <c r="F51" i="74"/>
  <c r="I57" i="73"/>
  <c r="J57" i="73" s="1"/>
  <c r="P17" i="73" s="1"/>
  <c r="I55" i="73"/>
  <c r="J55" i="73" s="1"/>
  <c r="I52" i="73"/>
  <c r="J52" i="73" s="1"/>
  <c r="I48" i="73"/>
  <c r="J48" i="73" s="1"/>
  <c r="I44" i="73"/>
  <c r="J44" i="73" s="1"/>
  <c r="I40" i="73"/>
  <c r="J40" i="73" s="1"/>
  <c r="I36" i="73"/>
  <c r="J36" i="73" s="1"/>
  <c r="I32" i="73"/>
  <c r="J32" i="73" s="1"/>
  <c r="I28" i="73"/>
  <c r="J28" i="73" s="1"/>
  <c r="I24" i="73"/>
  <c r="J24" i="73" s="1"/>
  <c r="I20" i="73"/>
  <c r="J20" i="73" s="1"/>
  <c r="I16" i="73"/>
  <c r="J16" i="73" s="1"/>
  <c r="I54" i="73"/>
  <c r="J54" i="73" s="1"/>
  <c r="I49" i="73"/>
  <c r="J49" i="73" s="1"/>
  <c r="I45" i="73"/>
  <c r="J45" i="73" s="1"/>
  <c r="I41" i="73"/>
  <c r="J41" i="73" s="1"/>
  <c r="I37" i="73"/>
  <c r="J37" i="73" s="1"/>
  <c r="I33" i="73"/>
  <c r="J33" i="73" s="1"/>
  <c r="I29" i="73"/>
  <c r="J29" i="73" s="1"/>
  <c r="I25" i="73"/>
  <c r="J25" i="73" s="1"/>
  <c r="I35" i="73"/>
  <c r="J35" i="73" s="1"/>
  <c r="I27" i="73"/>
  <c r="J27" i="73" s="1"/>
  <c r="I19" i="73"/>
  <c r="J19" i="73" s="1"/>
  <c r="I53" i="73"/>
  <c r="J53" i="73" s="1"/>
  <c r="I46" i="73"/>
  <c r="J46" i="73" s="1"/>
  <c r="I38" i="73"/>
  <c r="J38" i="73" s="1"/>
  <c r="I22" i="73"/>
  <c r="J22" i="73" s="1"/>
  <c r="I12" i="73"/>
  <c r="J12" i="73" s="1"/>
  <c r="I9" i="73"/>
  <c r="J9" i="73" s="1"/>
  <c r="I7" i="73"/>
  <c r="J7" i="73" s="1"/>
  <c r="I31" i="73"/>
  <c r="J31" i="73" s="1"/>
  <c r="I23" i="73"/>
  <c r="J23" i="73" s="1"/>
  <c r="I15" i="73"/>
  <c r="J15" i="73" s="1"/>
  <c r="I10" i="73"/>
  <c r="J10" i="73" s="1"/>
  <c r="I18" i="73"/>
  <c r="J18" i="73" s="1"/>
  <c r="I42" i="73"/>
  <c r="J42" i="73" s="1"/>
  <c r="I11" i="73"/>
  <c r="J11" i="73" s="1"/>
  <c r="I50" i="73"/>
  <c r="J50" i="73" s="1"/>
  <c r="I14" i="73"/>
  <c r="J14" i="73" s="1"/>
  <c r="F33" i="74"/>
  <c r="F36" i="74"/>
  <c r="I55" i="76"/>
  <c r="J55" i="76" s="1"/>
  <c r="I51" i="76"/>
  <c r="J51" i="76" s="1"/>
  <c r="I47" i="76"/>
  <c r="J47" i="76" s="1"/>
  <c r="I43" i="76"/>
  <c r="J43" i="76" s="1"/>
  <c r="I39" i="76"/>
  <c r="J39" i="76" s="1"/>
  <c r="I35" i="76"/>
  <c r="J35" i="76" s="1"/>
  <c r="I31" i="76"/>
  <c r="J31" i="76" s="1"/>
  <c r="I27" i="76"/>
  <c r="J27" i="76" s="1"/>
  <c r="I23" i="76"/>
  <c r="J23" i="76" s="1"/>
  <c r="I19" i="76"/>
  <c r="J19" i="76" s="1"/>
  <c r="I15" i="76"/>
  <c r="J15" i="76" s="1"/>
  <c r="I57" i="76"/>
  <c r="J57" i="76" s="1"/>
  <c r="P17" i="76" s="1"/>
  <c r="I52" i="76"/>
  <c r="J52" i="76" s="1"/>
  <c r="I48" i="76"/>
  <c r="J48" i="76" s="1"/>
  <c r="I44" i="76"/>
  <c r="J44" i="76" s="1"/>
  <c r="I40" i="76"/>
  <c r="J40" i="76" s="1"/>
  <c r="I36" i="76"/>
  <c r="J36" i="76" s="1"/>
  <c r="I32" i="76"/>
  <c r="J32" i="76" s="1"/>
  <c r="I28" i="76"/>
  <c r="J28" i="76" s="1"/>
  <c r="I24" i="76"/>
  <c r="J24" i="76" s="1"/>
  <c r="I20" i="76"/>
  <c r="J20" i="76" s="1"/>
  <c r="I16" i="76"/>
  <c r="J16" i="76" s="1"/>
  <c r="I53" i="76"/>
  <c r="J53" i="76" s="1"/>
  <c r="I49" i="76"/>
  <c r="J49" i="76" s="1"/>
  <c r="I45" i="76"/>
  <c r="J45" i="76" s="1"/>
  <c r="I41" i="76"/>
  <c r="J41" i="76" s="1"/>
  <c r="I37" i="76"/>
  <c r="J37" i="76" s="1"/>
  <c r="I33" i="76"/>
  <c r="J33" i="76" s="1"/>
  <c r="I29" i="76"/>
  <c r="J29" i="76" s="1"/>
  <c r="I25" i="76"/>
  <c r="J25" i="76" s="1"/>
  <c r="I21" i="76"/>
  <c r="J21" i="76" s="1"/>
  <c r="I17" i="76"/>
  <c r="J17" i="76" s="1"/>
  <c r="I42" i="76"/>
  <c r="J42" i="76" s="1"/>
  <c r="I26" i="76"/>
  <c r="J26" i="76" s="1"/>
  <c r="I46" i="76"/>
  <c r="J46" i="76" s="1"/>
  <c r="I30" i="76"/>
  <c r="J30" i="76" s="1"/>
  <c r="I13" i="76"/>
  <c r="J13" i="76" s="1"/>
  <c r="I11" i="76"/>
  <c r="J11" i="76" s="1"/>
  <c r="I9" i="76"/>
  <c r="J9" i="76" s="1"/>
  <c r="I7" i="76"/>
  <c r="J7" i="76" s="1"/>
  <c r="I50" i="76"/>
  <c r="J50" i="76" s="1"/>
  <c r="I18" i="76"/>
  <c r="J18" i="76" s="1"/>
  <c r="I10" i="76"/>
  <c r="J10" i="76" s="1"/>
  <c r="I54" i="76"/>
  <c r="J54" i="76" s="1"/>
  <c r="I22" i="76"/>
  <c r="J22" i="76" s="1"/>
  <c r="I12" i="76"/>
  <c r="J12" i="76" s="1"/>
  <c r="I34" i="76"/>
  <c r="J34" i="76" s="1"/>
  <c r="I14" i="76"/>
  <c r="J14" i="76" s="1"/>
  <c r="I38" i="76"/>
  <c r="J38" i="76" s="1"/>
  <c r="F40" i="74"/>
  <c r="F31" i="74"/>
  <c r="I55" i="71"/>
  <c r="J55" i="71" s="1"/>
  <c r="I51" i="71"/>
  <c r="J51" i="71" s="1"/>
  <c r="I47" i="71"/>
  <c r="J47" i="71" s="1"/>
  <c r="I57" i="71"/>
  <c r="J57" i="71" s="1"/>
  <c r="P17" i="71" s="1"/>
  <c r="I52" i="71"/>
  <c r="J52" i="71" s="1"/>
  <c r="I48" i="71"/>
  <c r="J48" i="71" s="1"/>
  <c r="I44" i="71"/>
  <c r="J44" i="71" s="1"/>
  <c r="I36" i="71"/>
  <c r="J36" i="71" s="1"/>
  <c r="I32" i="71"/>
  <c r="J32" i="71" s="1"/>
  <c r="I28" i="71"/>
  <c r="J28" i="71" s="1"/>
  <c r="I24" i="71"/>
  <c r="J24" i="71" s="1"/>
  <c r="I20" i="71"/>
  <c r="J20" i="71" s="1"/>
  <c r="I16" i="71"/>
  <c r="J16" i="71" s="1"/>
  <c r="I7" i="71"/>
  <c r="J7" i="71" s="1"/>
  <c r="I54" i="71"/>
  <c r="J54" i="71" s="1"/>
  <c r="I37" i="71"/>
  <c r="J37" i="71" s="1"/>
  <c r="I34" i="71"/>
  <c r="J34" i="71" s="1"/>
  <c r="I31" i="71"/>
  <c r="J31" i="71" s="1"/>
  <c r="I21" i="71"/>
  <c r="J21" i="71" s="1"/>
  <c r="I18" i="71"/>
  <c r="J18" i="71" s="1"/>
  <c r="I15" i="71"/>
  <c r="J15" i="71" s="1"/>
  <c r="I13" i="71"/>
  <c r="J13" i="71" s="1"/>
  <c r="I11" i="71"/>
  <c r="J11" i="71" s="1"/>
  <c r="I9" i="71"/>
  <c r="J9" i="71" s="1"/>
  <c r="I50" i="71"/>
  <c r="J50" i="71" s="1"/>
  <c r="I45" i="71"/>
  <c r="J45" i="71" s="1"/>
  <c r="I39" i="71"/>
  <c r="I26" i="71"/>
  <c r="J26" i="71" s="1"/>
  <c r="I23" i="71"/>
  <c r="J23" i="71" s="1"/>
  <c r="I14" i="71"/>
  <c r="J14" i="71" s="1"/>
  <c r="I12" i="71"/>
  <c r="J12" i="71" s="1"/>
  <c r="I10" i="71"/>
  <c r="J10" i="71" s="1"/>
  <c r="I53" i="71"/>
  <c r="J53" i="71" s="1"/>
  <c r="I38" i="71"/>
  <c r="J38" i="71" s="1"/>
  <c r="I35" i="71"/>
  <c r="J35" i="71" s="1"/>
  <c r="I25" i="71"/>
  <c r="J25" i="71" s="1"/>
  <c r="I22" i="71"/>
  <c r="J22" i="71" s="1"/>
  <c r="I49" i="71"/>
  <c r="J49" i="71" s="1"/>
  <c r="I46" i="71"/>
  <c r="J46" i="71" s="1"/>
  <c r="I43" i="71"/>
  <c r="J43" i="71" s="1"/>
  <c r="I33" i="71"/>
  <c r="J33" i="71" s="1"/>
  <c r="I30" i="71"/>
  <c r="J30" i="71" s="1"/>
  <c r="I27" i="71"/>
  <c r="J27" i="71" s="1"/>
  <c r="I17" i="71"/>
  <c r="J17" i="71" s="1"/>
  <c r="I29" i="71"/>
  <c r="J29" i="71" s="1"/>
  <c r="I19" i="71"/>
  <c r="J19" i="71" s="1"/>
  <c r="F50" i="74"/>
  <c r="F28" i="74"/>
  <c r="I49" i="75"/>
  <c r="J49" i="75" s="1"/>
  <c r="I41" i="75"/>
  <c r="J41" i="75" s="1"/>
  <c r="I37" i="75"/>
  <c r="J37" i="75" s="1"/>
  <c r="I33" i="75"/>
  <c r="J33" i="75" s="1"/>
  <c r="I29" i="75"/>
  <c r="J29" i="75" s="1"/>
  <c r="I25" i="75"/>
  <c r="J25" i="75" s="1"/>
  <c r="I50" i="75"/>
  <c r="J50" i="75" s="1"/>
  <c r="I42" i="75"/>
  <c r="J42" i="75" s="1"/>
  <c r="I38" i="75"/>
  <c r="J38" i="75" s="1"/>
  <c r="I34" i="75"/>
  <c r="J34" i="75" s="1"/>
  <c r="I36" i="75"/>
  <c r="J36" i="75" s="1"/>
  <c r="I26" i="75"/>
  <c r="J26" i="75" s="1"/>
  <c r="I24" i="75"/>
  <c r="J24" i="75" s="1"/>
  <c r="I20" i="75"/>
  <c r="J20" i="75" s="1"/>
  <c r="I16" i="75"/>
  <c r="J16" i="75" s="1"/>
  <c r="I7" i="75"/>
  <c r="J7" i="75" s="1"/>
  <c r="I47" i="75"/>
  <c r="J47" i="75" s="1"/>
  <c r="I39" i="75"/>
  <c r="J39" i="75" s="1"/>
  <c r="I21" i="75"/>
  <c r="J21" i="75" s="1"/>
  <c r="I17" i="75"/>
  <c r="J17" i="75" s="1"/>
  <c r="I57" i="75"/>
  <c r="J57" i="75" s="1"/>
  <c r="P17" i="75" s="1"/>
  <c r="I40" i="75"/>
  <c r="J40" i="75" s="1"/>
  <c r="I31" i="75"/>
  <c r="J31" i="75" s="1"/>
  <c r="I28" i="75"/>
  <c r="J28" i="75" s="1"/>
  <c r="I18" i="75"/>
  <c r="J18" i="75" s="1"/>
  <c r="I14" i="75"/>
  <c r="J14" i="75" s="1"/>
  <c r="I51" i="75"/>
  <c r="I35" i="75"/>
  <c r="J35" i="75" s="1"/>
  <c r="I19" i="75"/>
  <c r="J19" i="75" s="1"/>
  <c r="I13" i="75"/>
  <c r="J13" i="75" s="1"/>
  <c r="I9" i="75"/>
  <c r="J9" i="75" s="1"/>
  <c r="I48" i="75"/>
  <c r="J48" i="75" s="1"/>
  <c r="I22" i="75"/>
  <c r="J22" i="75" s="1"/>
  <c r="I30" i="75"/>
  <c r="J30" i="75" s="1"/>
  <c r="I27" i="75"/>
  <c r="J27" i="75" s="1"/>
  <c r="I15" i="75"/>
  <c r="J15" i="75" s="1"/>
  <c r="I12" i="75"/>
  <c r="J12" i="75" s="1"/>
  <c r="I11" i="75"/>
  <c r="J11" i="75" s="1"/>
  <c r="I32" i="75"/>
  <c r="J32" i="75" s="1"/>
  <c r="I23" i="75"/>
  <c r="J23" i="75" s="1"/>
  <c r="F29" i="74"/>
  <c r="F30" i="74"/>
  <c r="F26" i="74"/>
  <c r="F11" i="74"/>
  <c r="F25" i="74"/>
  <c r="F23" i="74"/>
  <c r="F39" i="74"/>
  <c r="D30" i="68"/>
  <c r="D26" i="68"/>
  <c r="E26" i="68" s="1"/>
  <c r="D40" i="68"/>
  <c r="D10" i="68"/>
  <c r="D55" i="68"/>
  <c r="D37" i="68"/>
  <c r="D23" i="68"/>
  <c r="D51" i="68"/>
  <c r="D33" i="68"/>
  <c r="E33" i="68" s="1"/>
  <c r="D19" i="68"/>
  <c r="D54" i="68"/>
  <c r="D50" i="68"/>
  <c r="D47" i="68"/>
  <c r="D36" i="68"/>
  <c r="D32" i="68"/>
  <c r="D29" i="68"/>
  <c r="D25" i="68"/>
  <c r="D22" i="68"/>
  <c r="E22" i="68" s="1"/>
  <c r="D18" i="68"/>
  <c r="D9" i="68"/>
  <c r="D14" i="68"/>
  <c r="D49" i="68"/>
  <c r="E49" i="68" s="1"/>
  <c r="D46" i="68"/>
  <c r="D42" i="68"/>
  <c r="D39" i="68"/>
  <c r="D35" i="68"/>
  <c r="E35" i="68" s="1"/>
  <c r="D28" i="68"/>
  <c r="D21" i="68"/>
  <c r="D17" i="68"/>
  <c r="D57" i="68"/>
  <c r="G57" i="68" s="1"/>
  <c r="H57" i="68" s="1"/>
  <c r="D52" i="68"/>
  <c r="D48" i="68"/>
  <c r="D45" i="68"/>
  <c r="D41" i="68"/>
  <c r="G41" i="68" s="1"/>
  <c r="H41" i="68" s="1"/>
  <c r="D38" i="68"/>
  <c r="D31" i="68"/>
  <c r="G31" i="68" s="1"/>
  <c r="H31" i="68" s="1"/>
  <c r="D27" i="68"/>
  <c r="G27" i="68" s="1"/>
  <c r="H27" i="68" s="1"/>
  <c r="D20" i="68"/>
  <c r="D16" i="68"/>
  <c r="D12" i="68"/>
  <c r="D13" i="68"/>
  <c r="D11" i="68"/>
  <c r="E32" i="68"/>
  <c r="E30" i="68"/>
  <c r="J51" i="75" l="1"/>
  <c r="F52" i="75"/>
  <c r="J52" i="75"/>
  <c r="F53" i="75"/>
  <c r="J53" i="75"/>
  <c r="F54" i="75"/>
  <c r="J54" i="75"/>
  <c r="F55" i="75"/>
  <c r="F14" i="74"/>
  <c r="F38" i="74"/>
  <c r="F21" i="74"/>
  <c r="F57" i="74"/>
  <c r="F16" i="74"/>
  <c r="E7" i="68"/>
  <c r="F32" i="74"/>
  <c r="F22" i="74"/>
  <c r="F46" i="74"/>
  <c r="F55" i="74"/>
  <c r="F37" i="74"/>
  <c r="F18" i="74"/>
  <c r="F15" i="74"/>
  <c r="G46" i="68"/>
  <c r="H46" i="68" s="1"/>
  <c r="G40" i="68"/>
  <c r="H40" i="68" s="1"/>
  <c r="E41" i="68"/>
  <c r="F41" i="71"/>
  <c r="J39" i="71"/>
  <c r="F40" i="71"/>
  <c r="F42" i="71"/>
  <c r="F48" i="74"/>
  <c r="F53" i="74"/>
  <c r="F10" i="74"/>
  <c r="F24" i="74"/>
  <c r="F47" i="74"/>
  <c r="F42" i="74"/>
  <c r="F43" i="74"/>
  <c r="E40" i="68"/>
  <c r="G11" i="68"/>
  <c r="H11" i="68" s="1"/>
  <c r="G16" i="68"/>
  <c r="H16" i="68" s="1"/>
  <c r="G21" i="68"/>
  <c r="H21" i="68" s="1"/>
  <c r="G39" i="68"/>
  <c r="H39" i="68" s="1"/>
  <c r="G44" i="68"/>
  <c r="H44" i="68" s="1"/>
  <c r="E44" i="68"/>
  <c r="G12" i="68"/>
  <c r="H12" i="68" s="1"/>
  <c r="G45" i="68"/>
  <c r="H45" i="68" s="1"/>
  <c r="E17" i="68"/>
  <c r="G17" i="68"/>
  <c r="H17" i="68" s="1"/>
  <c r="G35" i="68"/>
  <c r="H35" i="68" s="1"/>
  <c r="G49" i="68"/>
  <c r="H49" i="68" s="1"/>
  <c r="E29" i="68"/>
  <c r="G29" i="68"/>
  <c r="H29" i="68" s="1"/>
  <c r="G47" i="68"/>
  <c r="H47" i="68" s="1"/>
  <c r="G33" i="68"/>
  <c r="H33" i="68" s="1"/>
  <c r="G55" i="68"/>
  <c r="H55" i="68" s="1"/>
  <c r="G26" i="68"/>
  <c r="H26" i="68" s="1"/>
  <c r="E9" i="68"/>
  <c r="G9" i="68"/>
  <c r="H9" i="68" s="1"/>
  <c r="E48" i="68"/>
  <c r="G48" i="68"/>
  <c r="H48" i="68" s="1"/>
  <c r="E18" i="68"/>
  <c r="G18" i="68"/>
  <c r="H18" i="68" s="1"/>
  <c r="G32" i="68"/>
  <c r="H32" i="68" s="1"/>
  <c r="E50" i="68"/>
  <c r="G50" i="68"/>
  <c r="H50" i="68" s="1"/>
  <c r="E51" i="68"/>
  <c r="G51" i="68"/>
  <c r="H51" i="68" s="1"/>
  <c r="G30" i="68"/>
  <c r="H30" i="68" s="1"/>
  <c r="G28" i="68"/>
  <c r="H28" i="68" s="1"/>
  <c r="E25" i="68"/>
  <c r="G25" i="68"/>
  <c r="H25" i="68" s="1"/>
  <c r="E19" i="68"/>
  <c r="G19" i="68"/>
  <c r="H19" i="68" s="1"/>
  <c r="E37" i="68"/>
  <c r="G37" i="68"/>
  <c r="H37" i="68" s="1"/>
  <c r="G13" i="68"/>
  <c r="H13" i="68" s="1"/>
  <c r="G20" i="68"/>
  <c r="H20" i="68" s="1"/>
  <c r="E38" i="68"/>
  <c r="G38" i="68"/>
  <c r="H38" i="68" s="1"/>
  <c r="E52" i="68"/>
  <c r="G52" i="68"/>
  <c r="H52" i="68" s="1"/>
  <c r="E42" i="68"/>
  <c r="G42" i="68"/>
  <c r="H42" i="68" s="1"/>
  <c r="G14" i="68"/>
  <c r="H14" i="68" s="1"/>
  <c r="G22" i="68"/>
  <c r="H22" i="68" s="1"/>
  <c r="G36" i="68"/>
  <c r="H36" i="68" s="1"/>
  <c r="G54" i="68"/>
  <c r="H54" i="68" s="1"/>
  <c r="G23" i="68"/>
  <c r="H23" i="68" s="1"/>
  <c r="E10" i="68"/>
  <c r="G10" i="68"/>
  <c r="H10" i="68" s="1"/>
  <c r="F11" i="75"/>
  <c r="F18" i="75"/>
  <c r="F25" i="75"/>
  <c r="F30" i="75"/>
  <c r="F20" i="71"/>
  <c r="F47" i="71"/>
  <c r="F11" i="71"/>
  <c r="F19" i="71"/>
  <c r="F21" i="71"/>
  <c r="F53" i="71"/>
  <c r="F23" i="76"/>
  <c r="F14" i="76"/>
  <c r="F30" i="76"/>
  <c r="F21" i="76"/>
  <c r="F53" i="76"/>
  <c r="F24" i="76"/>
  <c r="F57" i="76"/>
  <c r="F11" i="73"/>
  <c r="F46" i="73"/>
  <c r="F37" i="73"/>
  <c r="F17" i="72"/>
  <c r="F48" i="72"/>
  <c r="F14" i="72"/>
  <c r="F44" i="72"/>
  <c r="F43" i="72"/>
  <c r="F50" i="72"/>
  <c r="F16" i="75"/>
  <c r="F15" i="75"/>
  <c r="F22" i="75"/>
  <c r="F27" i="75"/>
  <c r="F51" i="75"/>
  <c r="F50" i="75"/>
  <c r="F30" i="71"/>
  <c r="F50" i="71"/>
  <c r="F13" i="71"/>
  <c r="F12" i="71"/>
  <c r="F55" i="71"/>
  <c r="F25" i="71"/>
  <c r="F55" i="76"/>
  <c r="F31" i="76"/>
  <c r="F44" i="76"/>
  <c r="F15" i="73"/>
  <c r="F16" i="73"/>
  <c r="F23" i="73"/>
  <c r="F36" i="73"/>
  <c r="F50" i="73"/>
  <c r="F41" i="73"/>
  <c r="F57" i="73"/>
  <c r="F25" i="72"/>
  <c r="F13" i="72"/>
  <c r="F55" i="72"/>
  <c r="F52" i="72"/>
  <c r="F47" i="72"/>
  <c r="F38" i="72"/>
  <c r="F33" i="75"/>
  <c r="F28" i="75"/>
  <c r="F49" i="75"/>
  <c r="F36" i="75"/>
  <c r="F19" i="75"/>
  <c r="F40" i="75"/>
  <c r="F17" i="75"/>
  <c r="F37" i="75"/>
  <c r="F39" i="75"/>
  <c r="F38" i="75"/>
  <c r="F43" i="71"/>
  <c r="F34" i="71"/>
  <c r="F23" i="71"/>
  <c r="F15" i="71"/>
  <c r="F46" i="71"/>
  <c r="F14" i="71"/>
  <c r="F32" i="71"/>
  <c r="F9" i="71"/>
  <c r="F7" i="71"/>
  <c r="F29" i="71"/>
  <c r="F45" i="71"/>
  <c r="F48" i="71"/>
  <c r="F35" i="76"/>
  <c r="F11" i="76"/>
  <c r="F10" i="76"/>
  <c r="F47" i="76"/>
  <c r="F22" i="76"/>
  <c r="F38" i="76"/>
  <c r="F54" i="76"/>
  <c r="F29" i="76"/>
  <c r="F45" i="76"/>
  <c r="F16" i="76"/>
  <c r="F32" i="76"/>
  <c r="F48" i="76"/>
  <c r="F19" i="73"/>
  <c r="F24" i="73"/>
  <c r="F7" i="73"/>
  <c r="F9" i="73"/>
  <c r="F31" i="73"/>
  <c r="F14" i="73"/>
  <c r="F44" i="73"/>
  <c r="F22" i="73"/>
  <c r="F38" i="73"/>
  <c r="F55" i="73"/>
  <c r="F29" i="73"/>
  <c r="F45" i="73"/>
  <c r="F11" i="72"/>
  <c r="F33" i="72"/>
  <c r="F32" i="72"/>
  <c r="F21" i="72"/>
  <c r="F53" i="72"/>
  <c r="F12" i="72"/>
  <c r="F28" i="72"/>
  <c r="F19" i="72"/>
  <c r="F35" i="72"/>
  <c r="F51" i="72"/>
  <c r="F26" i="72"/>
  <c r="F42" i="72"/>
  <c r="F13" i="75"/>
  <c r="F14" i="75"/>
  <c r="F32" i="75"/>
  <c r="F57" i="75"/>
  <c r="F47" i="75"/>
  <c r="F28" i="71"/>
  <c r="F36" i="71"/>
  <c r="F27" i="71"/>
  <c r="F10" i="71"/>
  <c r="F38" i="71"/>
  <c r="F37" i="71"/>
  <c r="F57" i="71"/>
  <c r="F15" i="76"/>
  <c r="F51" i="76"/>
  <c r="F43" i="76"/>
  <c r="F46" i="76"/>
  <c r="F37" i="76"/>
  <c r="F40" i="76"/>
  <c r="F40" i="73"/>
  <c r="F28" i="73"/>
  <c r="F53" i="73"/>
  <c r="F16" i="72"/>
  <c r="F37" i="72"/>
  <c r="F41" i="72"/>
  <c r="F27" i="72"/>
  <c r="F18" i="72"/>
  <c r="F34" i="72"/>
  <c r="F24" i="75"/>
  <c r="F23" i="75"/>
  <c r="F20" i="75"/>
  <c r="F41" i="75"/>
  <c r="F7" i="75"/>
  <c r="F9" i="75"/>
  <c r="F35" i="75"/>
  <c r="F34" i="75"/>
  <c r="F31" i="71"/>
  <c r="F39" i="71"/>
  <c r="F22" i="71"/>
  <c r="F7" i="76"/>
  <c r="F9" i="76"/>
  <c r="F18" i="76"/>
  <c r="F34" i="76"/>
  <c r="F50" i="76"/>
  <c r="F25" i="76"/>
  <c r="F41" i="76"/>
  <c r="F28" i="76"/>
  <c r="F27" i="73"/>
  <c r="F48" i="73"/>
  <c r="F54" i="73"/>
  <c r="F18" i="73"/>
  <c r="F25" i="73"/>
  <c r="F24" i="72"/>
  <c r="F45" i="72"/>
  <c r="F20" i="72"/>
  <c r="F31" i="72"/>
  <c r="F22" i="72"/>
  <c r="F54" i="72"/>
  <c r="F12" i="75"/>
  <c r="F31" i="75"/>
  <c r="F29" i="75"/>
  <c r="F48" i="75"/>
  <c r="F21" i="75"/>
  <c r="F26" i="75"/>
  <c r="F42" i="75"/>
  <c r="F18" i="71"/>
  <c r="F44" i="71"/>
  <c r="F26" i="71"/>
  <c r="F54" i="71"/>
  <c r="F24" i="71"/>
  <c r="F51" i="71"/>
  <c r="F16" i="71"/>
  <c r="F35" i="71"/>
  <c r="F17" i="71"/>
  <c r="F33" i="71"/>
  <c r="F49" i="71"/>
  <c r="F52" i="71"/>
  <c r="F39" i="76"/>
  <c r="F13" i="76"/>
  <c r="F19" i="76"/>
  <c r="F12" i="76"/>
  <c r="F27" i="76"/>
  <c r="F26" i="76"/>
  <c r="F42" i="76"/>
  <c r="F17" i="76"/>
  <c r="F33" i="76"/>
  <c r="F49" i="76"/>
  <c r="F20" i="76"/>
  <c r="F36" i="76"/>
  <c r="F52" i="76"/>
  <c r="F12" i="73"/>
  <c r="F35" i="73"/>
  <c r="F32" i="73"/>
  <c r="F10" i="73"/>
  <c r="F20" i="73"/>
  <c r="F52" i="73"/>
  <c r="F42" i="73"/>
  <c r="F33" i="73"/>
  <c r="F49" i="73"/>
  <c r="F15" i="72"/>
  <c r="F49" i="72"/>
  <c r="F40" i="72"/>
  <c r="F29" i="72"/>
  <c r="F9" i="72"/>
  <c r="F7" i="72"/>
  <c r="F10" i="72"/>
  <c r="F36" i="72"/>
  <c r="F23" i="72"/>
  <c r="F39" i="72"/>
  <c r="F30" i="72"/>
  <c r="F46" i="72"/>
  <c r="F57" i="72"/>
  <c r="E45" i="68"/>
  <c r="E16" i="68"/>
  <c r="E39" i="68"/>
  <c r="E47" i="68"/>
  <c r="E55" i="68"/>
  <c r="E11" i="68"/>
  <c r="E20" i="68"/>
  <c r="E27" i="68"/>
  <c r="E28" i="68"/>
  <c r="E46" i="68"/>
  <c r="E14" i="68"/>
  <c r="E36" i="68"/>
  <c r="E23" i="68"/>
  <c r="E12" i="68"/>
  <c r="E31" i="68"/>
  <c r="E54" i="68"/>
  <c r="E57" i="68"/>
  <c r="E21" i="68"/>
  <c r="E13" i="68"/>
  <c r="I7" i="68"/>
  <c r="J7" i="68" s="1"/>
  <c r="I11" i="68"/>
  <c r="I10" i="68" l="1"/>
  <c r="I9" i="68"/>
  <c r="I17" i="68"/>
  <c r="J17" i="68" s="1"/>
  <c r="I16" i="68"/>
  <c r="F16" i="68" s="1"/>
  <c r="I42" i="68"/>
  <c r="I55" i="68"/>
  <c r="J55" i="68" s="1"/>
  <c r="I31" i="68"/>
  <c r="J31" i="68" s="1"/>
  <c r="I32" i="68"/>
  <c r="J32" i="68" s="1"/>
  <c r="I45" i="68"/>
  <c r="I57" i="68"/>
  <c r="J57" i="68" s="1"/>
  <c r="P17" i="68" s="1"/>
  <c r="I26" i="68"/>
  <c r="F27" i="68" s="1"/>
  <c r="I48" i="68"/>
  <c r="J48" i="68" s="1"/>
  <c r="I14" i="68"/>
  <c r="I49" i="68"/>
  <c r="I54" i="68"/>
  <c r="F55" i="68" s="1"/>
  <c r="I22" i="68"/>
  <c r="J22" i="68" s="1"/>
  <c r="I27" i="68"/>
  <c r="I47" i="68"/>
  <c r="J47" i="68" s="1"/>
  <c r="I44" i="68"/>
  <c r="F45" i="68" s="1"/>
  <c r="I33" i="68"/>
  <c r="F33" i="68" s="1"/>
  <c r="I50" i="68"/>
  <c r="J50" i="68" s="1"/>
  <c r="I18" i="68"/>
  <c r="I39" i="68"/>
  <c r="I23" i="68"/>
  <c r="I13" i="68"/>
  <c r="I40" i="68"/>
  <c r="J40" i="68" s="1"/>
  <c r="I29" i="68"/>
  <c r="J29" i="68" s="1"/>
  <c r="I38" i="68"/>
  <c r="I51" i="68"/>
  <c r="J51" i="68" s="1"/>
  <c r="I28" i="68"/>
  <c r="J28" i="68" s="1"/>
  <c r="I37" i="68"/>
  <c r="J37" i="68" s="1"/>
  <c r="I41" i="68"/>
  <c r="F42" i="68" s="1"/>
  <c r="I46" i="68"/>
  <c r="F46" i="68" s="1"/>
  <c r="I30" i="68"/>
  <c r="I21" i="68"/>
  <c r="J21" i="68" s="1"/>
  <c r="I35" i="68"/>
  <c r="I19" i="68"/>
  <c r="I12" i="68"/>
  <c r="J12" i="68" s="1"/>
  <c r="I25" i="68"/>
  <c r="I52" i="68"/>
  <c r="I36" i="68"/>
  <c r="J36" i="68" s="1"/>
  <c r="I20" i="68"/>
  <c r="F10" i="68"/>
  <c r="J9" i="68"/>
  <c r="J45" i="68"/>
  <c r="J42" i="68"/>
  <c r="F32" i="68"/>
  <c r="F12" i="68"/>
  <c r="J11" i="68"/>
  <c r="F14" i="68"/>
  <c r="J13" i="68"/>
  <c r="J30" i="68"/>
  <c r="F26" i="68"/>
  <c r="J25" i="68"/>
  <c r="J26" i="68"/>
  <c r="F30" i="68"/>
  <c r="J27" i="68"/>
  <c r="J14" i="68"/>
  <c r="F11" i="68"/>
  <c r="J10" i="68"/>
  <c r="F29" i="68"/>
  <c r="F9" i="68"/>
  <c r="F7" i="68"/>
  <c r="F57" i="68"/>
  <c r="J16" i="68" l="1"/>
  <c r="F25" i="68"/>
  <c r="F17" i="68"/>
  <c r="F21" i="68"/>
  <c r="F31" i="68"/>
  <c r="J33" i="68"/>
  <c r="J54" i="68"/>
  <c r="F13" i="68"/>
  <c r="F54" i="68"/>
  <c r="J46" i="68"/>
  <c r="J44" i="68"/>
  <c r="F44" i="68"/>
  <c r="F51" i="68"/>
  <c r="F48" i="68"/>
  <c r="F50" i="68"/>
  <c r="F20" i="68"/>
  <c r="F40" i="68"/>
  <c r="F28" i="68"/>
  <c r="F37" i="68"/>
  <c r="J23" i="68"/>
  <c r="J39" i="68"/>
  <c r="F36" i="68"/>
  <c r="F39" i="68"/>
  <c r="F19" i="68"/>
  <c r="F22" i="68"/>
  <c r="J49" i="68"/>
  <c r="F49" i="68"/>
  <c r="F47" i="68"/>
  <c r="J20" i="68"/>
  <c r="J19" i="68"/>
  <c r="J35" i="68"/>
  <c r="F41" i="68"/>
  <c r="F38" i="68"/>
  <c r="F35" i="68"/>
  <c r="F23" i="68"/>
  <c r="F18" i="68"/>
  <c r="J38" i="68"/>
  <c r="J41" i="68"/>
  <c r="J52" i="68"/>
  <c r="J18" i="68"/>
  <c r="F52" i="68"/>
  <c r="P8" i="26"/>
  <c r="P9" i="26"/>
  <c r="P10" i="26"/>
  <c r="P11" i="26"/>
  <c r="P12" i="26"/>
  <c r="P13" i="26"/>
  <c r="P14" i="26"/>
  <c r="P8" i="27"/>
  <c r="P9" i="27"/>
  <c r="P10" i="27"/>
  <c r="P11" i="27"/>
  <c r="P12" i="27"/>
  <c r="P13" i="27"/>
  <c r="P14" i="27"/>
  <c r="P8" i="28"/>
  <c r="P9" i="28"/>
  <c r="P10" i="28"/>
  <c r="P11" i="28"/>
  <c r="P12" i="28"/>
  <c r="P13" i="28"/>
  <c r="P14" i="28"/>
  <c r="P8" i="29"/>
  <c r="P9" i="29"/>
  <c r="P10" i="29"/>
  <c r="P11" i="29"/>
  <c r="P12" i="29"/>
  <c r="P13" i="29"/>
  <c r="P14" i="29"/>
  <c r="P8" i="30"/>
  <c r="P9" i="30"/>
  <c r="P10" i="30"/>
  <c r="P11" i="30"/>
  <c r="P12" i="30"/>
  <c r="P13" i="30"/>
  <c r="P14" i="30"/>
  <c r="P8" i="31"/>
  <c r="P9" i="31"/>
  <c r="P10" i="31"/>
  <c r="P11" i="31"/>
  <c r="P12" i="31"/>
  <c r="P13" i="31"/>
  <c r="P14" i="31"/>
  <c r="P8" i="32"/>
  <c r="P9" i="32"/>
  <c r="P10" i="32"/>
  <c r="P11" i="32"/>
  <c r="P12" i="32"/>
  <c r="P13" i="32"/>
  <c r="P14" i="32"/>
  <c r="P8" i="33"/>
  <c r="P9" i="33"/>
  <c r="P10" i="33"/>
  <c r="P11" i="33"/>
  <c r="P12" i="33"/>
  <c r="P13" i="33"/>
  <c r="P14" i="33"/>
  <c r="P8" i="34"/>
  <c r="P9" i="34"/>
  <c r="P10" i="34"/>
  <c r="P11" i="34"/>
  <c r="P12" i="34"/>
  <c r="P13" i="34"/>
  <c r="P14" i="34"/>
  <c r="P8" i="35"/>
  <c r="P9" i="35"/>
  <c r="P10" i="35"/>
  <c r="P11" i="35"/>
  <c r="P12" i="35"/>
  <c r="P13" i="35"/>
  <c r="P14" i="35"/>
  <c r="P8" i="36"/>
  <c r="P9" i="36"/>
  <c r="P10" i="36"/>
  <c r="P11" i="36"/>
  <c r="P12" i="36"/>
  <c r="P13" i="36"/>
  <c r="P14" i="36"/>
  <c r="P8" i="37"/>
  <c r="P9" i="37"/>
  <c r="P10" i="37"/>
  <c r="P11" i="37"/>
  <c r="P12" i="37"/>
  <c r="P13" i="37"/>
  <c r="P14" i="37"/>
  <c r="P8" i="39"/>
  <c r="P9" i="39"/>
  <c r="P10" i="39"/>
  <c r="P11" i="39"/>
  <c r="P12" i="39"/>
  <c r="P13" i="39"/>
  <c r="P14" i="39"/>
  <c r="P8" i="40"/>
  <c r="P9" i="40"/>
  <c r="P10" i="40"/>
  <c r="P11" i="40"/>
  <c r="P12" i="40"/>
  <c r="P13" i="40"/>
  <c r="P14" i="40"/>
  <c r="P8" i="41"/>
  <c r="P9" i="41"/>
  <c r="P10" i="41"/>
  <c r="P11" i="41"/>
  <c r="P12" i="41"/>
  <c r="P13" i="41"/>
  <c r="P14" i="41"/>
  <c r="P8" i="3"/>
  <c r="P9" i="3"/>
  <c r="P10" i="3"/>
  <c r="P11" i="3"/>
  <c r="P12" i="3"/>
  <c r="P13" i="3"/>
  <c r="P14" i="3"/>
  <c r="P7" i="41"/>
  <c r="P7" i="40"/>
  <c r="P7" i="39"/>
  <c r="P7" i="37"/>
  <c r="P7" i="36"/>
  <c r="P7" i="35"/>
  <c r="P7" i="34"/>
  <c r="P7" i="33"/>
  <c r="P7" i="32"/>
  <c r="P7" i="31"/>
  <c r="P7" i="30"/>
  <c r="P7" i="29"/>
  <c r="P7" i="28"/>
  <c r="P7" i="27"/>
  <c r="P7" i="26"/>
  <c r="J3" i="41"/>
  <c r="J3" i="40"/>
  <c r="J3" i="39"/>
  <c r="J3" i="37"/>
  <c r="J3" i="36"/>
  <c r="J3" i="35"/>
  <c r="J3" i="34"/>
  <c r="J3" i="33"/>
  <c r="J3" i="32"/>
  <c r="J3" i="31"/>
  <c r="J3" i="30"/>
  <c r="J3" i="29"/>
  <c r="J3" i="28"/>
  <c r="J3" i="27"/>
  <c r="J3" i="26"/>
  <c r="H4" i="41"/>
  <c r="H4" i="40"/>
  <c r="H4" i="39"/>
  <c r="H4" i="37"/>
  <c r="H4" i="36"/>
  <c r="H4" i="35"/>
  <c r="H4" i="34"/>
  <c r="H4" i="33"/>
  <c r="H4" i="32"/>
  <c r="H4" i="31"/>
  <c r="H4" i="30"/>
  <c r="H4" i="29"/>
  <c r="H4" i="28"/>
  <c r="H4" i="27"/>
  <c r="H4" i="26"/>
  <c r="H3" i="41"/>
  <c r="H3" i="40"/>
  <c r="H3" i="39"/>
  <c r="H3" i="37"/>
  <c r="H3" i="36"/>
  <c r="H3" i="35"/>
  <c r="H3" i="34"/>
  <c r="H3" i="33"/>
  <c r="H3" i="32"/>
  <c r="H3" i="31"/>
  <c r="H3" i="30"/>
  <c r="H3" i="29"/>
  <c r="H3" i="28"/>
  <c r="H3" i="27"/>
  <c r="H3" i="26"/>
  <c r="D13" i="36" l="1"/>
  <c r="D17" i="36"/>
  <c r="D23" i="36"/>
  <c r="D25" i="36"/>
  <c r="D29" i="36"/>
  <c r="D45" i="36"/>
  <c r="D51" i="36"/>
  <c r="D49" i="36"/>
  <c r="D19" i="36"/>
  <c r="D22" i="36"/>
  <c r="D27" i="36"/>
  <c r="D31" i="36"/>
  <c r="D33" i="36"/>
  <c r="D37" i="36"/>
  <c r="D43" i="36"/>
  <c r="D15" i="36"/>
  <c r="D18" i="36"/>
  <c r="D24" i="36"/>
  <c r="D28" i="36"/>
  <c r="D30" i="36"/>
  <c r="D35" i="36"/>
  <c r="D39" i="36"/>
  <c r="D41" i="36"/>
  <c r="D16" i="36"/>
  <c r="D21" i="36"/>
  <c r="D34" i="36"/>
  <c r="D36" i="36"/>
  <c r="D42" i="36"/>
  <c r="D48" i="36"/>
  <c r="D40" i="36"/>
  <c r="D47" i="36"/>
  <c r="D46" i="36"/>
  <c r="D11" i="36"/>
  <c r="D12" i="36"/>
  <c r="D13" i="35"/>
  <c r="D16" i="35"/>
  <c r="D20" i="35"/>
  <c r="D24" i="35"/>
  <c r="D29" i="35"/>
  <c r="D33" i="35"/>
  <c r="D37" i="35"/>
  <c r="D42" i="35"/>
  <c r="D46" i="35"/>
  <c r="D50" i="35"/>
  <c r="D54" i="35"/>
  <c r="D17" i="35"/>
  <c r="D21" i="35"/>
  <c r="D25" i="35"/>
  <c r="D30" i="35"/>
  <c r="D34" i="35"/>
  <c r="D38" i="35"/>
  <c r="D43" i="35"/>
  <c r="D47" i="35"/>
  <c r="D51" i="35"/>
  <c r="D15" i="35"/>
  <c r="D19" i="35"/>
  <c r="D23" i="35"/>
  <c r="D27" i="35"/>
  <c r="D32" i="35"/>
  <c r="D36" i="35"/>
  <c r="D40" i="35"/>
  <c r="D45" i="35"/>
  <c r="D49" i="35"/>
  <c r="D53" i="35"/>
  <c r="D18" i="35"/>
  <c r="D22" i="35"/>
  <c r="D26" i="35"/>
  <c r="D31" i="35"/>
  <c r="D35" i="35"/>
  <c r="D39" i="35"/>
  <c r="D44" i="35"/>
  <c r="D48" i="35"/>
  <c r="D52" i="35"/>
  <c r="F20" i="70"/>
  <c r="D13" i="27"/>
  <c r="D15" i="27"/>
  <c r="D19" i="27"/>
  <c r="D21" i="27"/>
  <c r="D26" i="27"/>
  <c r="D34" i="27"/>
  <c r="D36" i="27"/>
  <c r="D40" i="27"/>
  <c r="D43" i="27"/>
  <c r="D50" i="27"/>
  <c r="D52" i="27"/>
  <c r="D25" i="27"/>
  <c r="D28" i="27"/>
  <c r="D31" i="27"/>
  <c r="D33" i="27"/>
  <c r="D38" i="27"/>
  <c r="D42" i="27"/>
  <c r="D44" i="27"/>
  <c r="D49" i="27"/>
  <c r="D10" i="27"/>
  <c r="D14" i="27"/>
  <c r="D16" i="27"/>
  <c r="D20" i="27"/>
  <c r="D30" i="27"/>
  <c r="D37" i="27"/>
  <c r="D39" i="27"/>
  <c r="D46" i="27"/>
  <c r="D51" i="27"/>
  <c r="D18" i="27"/>
  <c r="D22" i="27"/>
  <c r="D24" i="27"/>
  <c r="D27" i="27"/>
  <c r="D32" i="27"/>
  <c r="D45" i="27"/>
  <c r="D48" i="27"/>
  <c r="D53" i="36"/>
  <c r="D55" i="36"/>
  <c r="D52" i="36"/>
  <c r="D54" i="36"/>
  <c r="D10" i="36"/>
  <c r="I23" i="70"/>
  <c r="I26" i="70"/>
  <c r="I22" i="70"/>
  <c r="I20" i="70"/>
  <c r="I27" i="70"/>
  <c r="I25" i="70"/>
  <c r="I21" i="70"/>
  <c r="I24" i="70"/>
  <c r="J9" i="70"/>
  <c r="J16" i="70"/>
  <c r="J12" i="70"/>
  <c r="J15" i="70"/>
  <c r="J11" i="70"/>
  <c r="J13" i="70"/>
  <c r="J14" i="70"/>
  <c r="J10" i="70"/>
  <c r="K27" i="70"/>
  <c r="K26" i="70"/>
  <c r="K22" i="70"/>
  <c r="K20" i="70"/>
  <c r="K25" i="70"/>
  <c r="K21" i="70"/>
  <c r="K24" i="70"/>
  <c r="K23" i="70"/>
  <c r="J21" i="70"/>
  <c r="J20" i="70"/>
  <c r="J27" i="70"/>
  <c r="J23" i="70"/>
  <c r="J25" i="70"/>
  <c r="J26" i="70"/>
  <c r="J22" i="70"/>
  <c r="J24" i="70"/>
  <c r="K15" i="70"/>
  <c r="K14" i="70"/>
  <c r="K10" i="70"/>
  <c r="K13" i="70"/>
  <c r="K11" i="70"/>
  <c r="K9" i="70"/>
  <c r="K16" i="70"/>
  <c r="K12" i="70"/>
  <c r="E24" i="70"/>
  <c r="E21" i="70"/>
  <c r="E20" i="70"/>
  <c r="E27" i="70"/>
  <c r="E23" i="70"/>
  <c r="E25" i="70"/>
  <c r="E26" i="70"/>
  <c r="E22" i="70"/>
  <c r="D27" i="70"/>
  <c r="D26" i="70"/>
  <c r="D24" i="70"/>
  <c r="D20" i="70"/>
  <c r="D22" i="70"/>
  <c r="D23" i="70"/>
  <c r="D25" i="70"/>
  <c r="D21" i="70"/>
  <c r="F13" i="70"/>
  <c r="E40" i="3"/>
  <c r="E20" i="3"/>
  <c r="E30" i="3"/>
  <c r="E32" i="3"/>
  <c r="E18" i="3"/>
  <c r="E36" i="3"/>
  <c r="E39" i="3"/>
  <c r="E23" i="3"/>
  <c r="E37" i="3"/>
  <c r="E21" i="3"/>
  <c r="E48" i="3"/>
  <c r="E46" i="3"/>
  <c r="E13" i="3"/>
  <c r="E35" i="3"/>
  <c r="E28" i="3"/>
  <c r="E47" i="3"/>
  <c r="E14" i="3"/>
  <c r="E49" i="3"/>
  <c r="E44" i="3"/>
  <c r="E33" i="3"/>
  <c r="E26" i="3"/>
  <c r="E25" i="3"/>
  <c r="E50" i="3"/>
  <c r="E12" i="3"/>
  <c r="E16" i="3"/>
  <c r="E43" i="3"/>
  <c r="E27" i="3"/>
  <c r="E41" i="3"/>
  <c r="E29" i="3"/>
  <c r="E22" i="3"/>
  <c r="E42" i="3"/>
  <c r="E51" i="3"/>
  <c r="E19" i="3"/>
  <c r="E34" i="3"/>
  <c r="E15" i="3"/>
  <c r="G20" i="70"/>
  <c r="G23" i="70"/>
  <c r="G26" i="70"/>
  <c r="G22" i="70"/>
  <c r="G27" i="70"/>
  <c r="G25" i="70"/>
  <c r="G21" i="70"/>
  <c r="G24" i="70"/>
  <c r="F26" i="70"/>
  <c r="F27" i="70"/>
  <c r="F22" i="70"/>
  <c r="F25" i="70"/>
  <c r="F21" i="70"/>
  <c r="F24" i="70"/>
  <c r="F23" i="70"/>
  <c r="L9" i="70"/>
  <c r="L16" i="70"/>
  <c r="L15" i="70"/>
  <c r="L11" i="70"/>
  <c r="L12" i="70"/>
  <c r="L14" i="70"/>
  <c r="L10" i="70"/>
  <c r="L13" i="70"/>
  <c r="D15" i="70"/>
  <c r="D11" i="70"/>
  <c r="H15" i="70"/>
  <c r="H11" i="70"/>
  <c r="D13" i="70"/>
  <c r="H13" i="70"/>
  <c r="F15" i="70"/>
  <c r="F11" i="70"/>
  <c r="I9" i="70"/>
  <c r="G9" i="70"/>
  <c r="I14" i="70"/>
  <c r="I10" i="70"/>
  <c r="G16" i="70"/>
  <c r="G12" i="70"/>
  <c r="E14" i="70"/>
  <c r="D9" i="70"/>
  <c r="H9" i="70"/>
  <c r="D16" i="70"/>
  <c r="D12" i="70"/>
  <c r="I13" i="70"/>
  <c r="H16" i="70"/>
  <c r="H12" i="70"/>
  <c r="G15" i="70"/>
  <c r="G11" i="70"/>
  <c r="F14" i="70"/>
  <c r="F10" i="70"/>
  <c r="E13" i="70"/>
  <c r="E12" i="70"/>
  <c r="I16" i="70"/>
  <c r="I12" i="70"/>
  <c r="G14" i="70"/>
  <c r="G10" i="70"/>
  <c r="E16" i="70"/>
  <c r="F9" i="70"/>
  <c r="D14" i="70"/>
  <c r="D10" i="70"/>
  <c r="I15" i="70"/>
  <c r="I11" i="70"/>
  <c r="H14" i="70"/>
  <c r="H10" i="70"/>
  <c r="G13" i="70"/>
  <c r="F16" i="70"/>
  <c r="F12" i="70"/>
  <c r="E15" i="70"/>
  <c r="E11" i="70"/>
  <c r="E9" i="70"/>
  <c r="E10" i="70"/>
  <c r="D15" i="34"/>
  <c r="G48" i="36" l="1"/>
  <c r="H48" i="36" s="1"/>
  <c r="E48" i="36"/>
  <c r="E34" i="36"/>
  <c r="G34" i="36"/>
  <c r="H34" i="36" s="1"/>
  <c r="E35" i="36"/>
  <c r="G35" i="36"/>
  <c r="H35" i="36" s="1"/>
  <c r="G24" i="36"/>
  <c r="H24" i="36" s="1"/>
  <c r="E24" i="36"/>
  <c r="E31" i="36"/>
  <c r="G31" i="36"/>
  <c r="H31" i="36" s="1"/>
  <c r="G49" i="36"/>
  <c r="H49" i="36" s="1"/>
  <c r="E49" i="36"/>
  <c r="G25" i="36"/>
  <c r="H25" i="36" s="1"/>
  <c r="E25" i="36"/>
  <c r="G46" i="36"/>
  <c r="H46" i="36" s="1"/>
  <c r="E46" i="36"/>
  <c r="E42" i="36"/>
  <c r="G42" i="36"/>
  <c r="H42" i="36" s="1"/>
  <c r="G30" i="36"/>
  <c r="H30" i="36" s="1"/>
  <c r="E30" i="36"/>
  <c r="E43" i="36"/>
  <c r="G43" i="36"/>
  <c r="H43" i="36" s="1"/>
  <c r="E27" i="36"/>
  <c r="G27" i="36"/>
  <c r="H27" i="36" s="1"/>
  <c r="E51" i="36"/>
  <c r="G51" i="36"/>
  <c r="H51" i="36" s="1"/>
  <c r="E23" i="36"/>
  <c r="G23" i="36"/>
  <c r="H23" i="36" s="1"/>
  <c r="E47" i="36"/>
  <c r="G47" i="36"/>
  <c r="H47" i="36" s="1"/>
  <c r="G21" i="36"/>
  <c r="H21" i="36" s="1"/>
  <c r="E21" i="36"/>
  <c r="G41" i="36"/>
  <c r="H41" i="36" s="1"/>
  <c r="E41" i="36"/>
  <c r="E28" i="36"/>
  <c r="G28" i="36"/>
  <c r="H28" i="36" s="1"/>
  <c r="G18" i="36"/>
  <c r="H18" i="36" s="1"/>
  <c r="E18" i="36"/>
  <c r="G37" i="36"/>
  <c r="H37" i="36" s="1"/>
  <c r="E37" i="36"/>
  <c r="E22" i="36"/>
  <c r="G22" i="36"/>
  <c r="H22" i="36" s="1"/>
  <c r="G45" i="36"/>
  <c r="H45" i="36" s="1"/>
  <c r="E45" i="36"/>
  <c r="G17" i="36"/>
  <c r="H17" i="36" s="1"/>
  <c r="E17" i="36"/>
  <c r="G40" i="36"/>
  <c r="H40" i="36" s="1"/>
  <c r="E40" i="36"/>
  <c r="E36" i="36"/>
  <c r="G36" i="36"/>
  <c r="H36" i="36" s="1"/>
  <c r="G16" i="36"/>
  <c r="H16" i="36" s="1"/>
  <c r="E16" i="36"/>
  <c r="E39" i="36"/>
  <c r="G39" i="36"/>
  <c r="H39" i="36" s="1"/>
  <c r="E15" i="36"/>
  <c r="G15" i="36"/>
  <c r="H15" i="36" s="1"/>
  <c r="E33" i="36"/>
  <c r="G33" i="36"/>
  <c r="H33" i="36" s="1"/>
  <c r="E19" i="36"/>
  <c r="G19" i="36"/>
  <c r="H19" i="36" s="1"/>
  <c r="G29" i="36"/>
  <c r="H29" i="36" s="1"/>
  <c r="E29" i="36"/>
  <c r="E13" i="36"/>
  <c r="G13" i="36"/>
  <c r="H13" i="36" s="1"/>
  <c r="E52" i="35"/>
  <c r="G52" i="35"/>
  <c r="H52" i="35" s="1"/>
  <c r="E35" i="35"/>
  <c r="G35" i="35"/>
  <c r="H35" i="35" s="1"/>
  <c r="E18" i="35"/>
  <c r="G18" i="35"/>
  <c r="H18" i="35" s="1"/>
  <c r="E40" i="35"/>
  <c r="G40" i="35"/>
  <c r="H40" i="35" s="1"/>
  <c r="E23" i="35"/>
  <c r="G23" i="35"/>
  <c r="H23" i="35" s="1"/>
  <c r="G47" i="35"/>
  <c r="H47" i="35" s="1"/>
  <c r="E47" i="35"/>
  <c r="G30" i="35"/>
  <c r="H30" i="35" s="1"/>
  <c r="E30" i="35"/>
  <c r="E54" i="35"/>
  <c r="G54" i="35"/>
  <c r="H54" i="35" s="1"/>
  <c r="G37" i="35"/>
  <c r="H37" i="35" s="1"/>
  <c r="E37" i="35"/>
  <c r="G20" i="35"/>
  <c r="H20" i="35" s="1"/>
  <c r="E20" i="35"/>
  <c r="E48" i="35"/>
  <c r="G48" i="35"/>
  <c r="H48" i="35" s="1"/>
  <c r="E31" i="35"/>
  <c r="G31" i="35"/>
  <c r="H31" i="35" s="1"/>
  <c r="E53" i="35"/>
  <c r="G53" i="35"/>
  <c r="H53" i="35" s="1"/>
  <c r="E36" i="35"/>
  <c r="G36" i="35"/>
  <c r="H36" i="35" s="1"/>
  <c r="E19" i="35"/>
  <c r="G19" i="35"/>
  <c r="H19" i="35" s="1"/>
  <c r="G43" i="35"/>
  <c r="H43" i="35" s="1"/>
  <c r="E43" i="35"/>
  <c r="G25" i="35"/>
  <c r="H25" i="35" s="1"/>
  <c r="E25" i="35"/>
  <c r="E50" i="35"/>
  <c r="G50" i="35"/>
  <c r="H50" i="35" s="1"/>
  <c r="G33" i="35"/>
  <c r="H33" i="35" s="1"/>
  <c r="E33" i="35"/>
  <c r="G16" i="35"/>
  <c r="H16" i="35" s="1"/>
  <c r="E16" i="35"/>
  <c r="E44" i="35"/>
  <c r="G44" i="35"/>
  <c r="H44" i="35" s="1"/>
  <c r="E26" i="35"/>
  <c r="G26" i="35"/>
  <c r="H26" i="35" s="1"/>
  <c r="G49" i="35"/>
  <c r="H49" i="35" s="1"/>
  <c r="E49" i="35"/>
  <c r="E32" i="35"/>
  <c r="G32" i="35"/>
  <c r="H32" i="35" s="1"/>
  <c r="E15" i="35"/>
  <c r="G15" i="35"/>
  <c r="G38" i="35"/>
  <c r="H38" i="35" s="1"/>
  <c r="E38" i="35"/>
  <c r="G21" i="35"/>
  <c r="H21" i="35" s="1"/>
  <c r="E21" i="35"/>
  <c r="E46" i="35"/>
  <c r="G46" i="35"/>
  <c r="H46" i="35" s="1"/>
  <c r="G29" i="35"/>
  <c r="H29" i="35" s="1"/>
  <c r="E29" i="35"/>
  <c r="E13" i="35"/>
  <c r="E11" i="36"/>
  <c r="G11" i="36"/>
  <c r="H11" i="36" s="1"/>
  <c r="E39" i="35"/>
  <c r="G39" i="35"/>
  <c r="H39" i="35" s="1"/>
  <c r="E22" i="35"/>
  <c r="G22" i="35"/>
  <c r="H22" i="35" s="1"/>
  <c r="E45" i="35"/>
  <c r="G45" i="35"/>
  <c r="H45" i="35" s="1"/>
  <c r="E27" i="35"/>
  <c r="G27" i="35"/>
  <c r="H27" i="35" s="1"/>
  <c r="G51" i="35"/>
  <c r="H51" i="35" s="1"/>
  <c r="E51" i="35"/>
  <c r="G34" i="35"/>
  <c r="H34" i="35" s="1"/>
  <c r="E34" i="35"/>
  <c r="G17" i="35"/>
  <c r="H17" i="35" s="1"/>
  <c r="E17" i="35"/>
  <c r="G42" i="35"/>
  <c r="H42" i="35" s="1"/>
  <c r="E42" i="35"/>
  <c r="G24" i="35"/>
  <c r="H24" i="35" s="1"/>
  <c r="E24" i="35"/>
  <c r="E12" i="36"/>
  <c r="G12" i="36"/>
  <c r="E18" i="27"/>
  <c r="G18" i="27"/>
  <c r="E46" i="27"/>
  <c r="G46" i="27"/>
  <c r="G16" i="27"/>
  <c r="E16" i="27"/>
  <c r="E33" i="27"/>
  <c r="G33" i="27"/>
  <c r="G52" i="27"/>
  <c r="E52" i="27"/>
  <c r="G36" i="27"/>
  <c r="E36" i="27"/>
  <c r="E19" i="27"/>
  <c r="G19" i="27"/>
  <c r="G48" i="27"/>
  <c r="E48" i="27"/>
  <c r="E27" i="27"/>
  <c r="G27" i="27"/>
  <c r="E30" i="27"/>
  <c r="G30" i="27"/>
  <c r="E14" i="27"/>
  <c r="G14" i="27"/>
  <c r="E44" i="27"/>
  <c r="G44" i="27"/>
  <c r="E31" i="27"/>
  <c r="G31" i="27"/>
  <c r="E50" i="27"/>
  <c r="G50" i="27"/>
  <c r="E34" i="27"/>
  <c r="G34" i="27"/>
  <c r="E45" i="27"/>
  <c r="G45" i="27"/>
  <c r="E24" i="27"/>
  <c r="G24" i="27"/>
  <c r="E39" i="27"/>
  <c r="G39" i="27"/>
  <c r="E10" i="27"/>
  <c r="E42" i="27"/>
  <c r="G42" i="27"/>
  <c r="G28" i="27"/>
  <c r="E28" i="27"/>
  <c r="G43" i="27"/>
  <c r="E43" i="27"/>
  <c r="E26" i="27"/>
  <c r="G26" i="27"/>
  <c r="E15" i="27"/>
  <c r="G15" i="27"/>
  <c r="G32" i="27"/>
  <c r="E32" i="27"/>
  <c r="E22" i="27"/>
  <c r="G22" i="27"/>
  <c r="E51" i="27"/>
  <c r="G51" i="27"/>
  <c r="G37" i="27"/>
  <c r="E37" i="27"/>
  <c r="G20" i="27"/>
  <c r="E20" i="27"/>
  <c r="E49" i="27"/>
  <c r="G49" i="27"/>
  <c r="E38" i="27"/>
  <c r="G38" i="27"/>
  <c r="E25" i="27"/>
  <c r="G25" i="27"/>
  <c r="G40" i="27"/>
  <c r="E40" i="27"/>
  <c r="E21" i="27"/>
  <c r="G21" i="27"/>
  <c r="E13" i="27"/>
  <c r="E53" i="36"/>
  <c r="G53" i="36"/>
  <c r="E52" i="36"/>
  <c r="G52" i="36"/>
  <c r="E10" i="36"/>
  <c r="E54" i="36"/>
  <c r="G54" i="36"/>
  <c r="G55" i="36"/>
  <c r="E55" i="36"/>
  <c r="E15" i="34"/>
  <c r="H12" i="36" l="1"/>
  <c r="H15" i="35"/>
  <c r="H49" i="27"/>
  <c r="E103" i="27"/>
  <c r="E76" i="27"/>
  <c r="H22" i="27"/>
  <c r="E85" i="27"/>
  <c r="H31" i="27"/>
  <c r="E81" i="27"/>
  <c r="H27" i="27"/>
  <c r="H37" i="27"/>
  <c r="E91" i="27"/>
  <c r="E97" i="27"/>
  <c r="H43" i="27"/>
  <c r="E77" i="27"/>
  <c r="E107" i="27"/>
  <c r="E95" i="27"/>
  <c r="H52" i="27"/>
  <c r="E106" i="27"/>
  <c r="E69" i="27"/>
  <c r="H15" i="27"/>
  <c r="E88" i="27"/>
  <c r="H34" i="27"/>
  <c r="E73" i="27"/>
  <c r="H19" i="27"/>
  <c r="E101" i="27"/>
  <c r="E89" i="27"/>
  <c r="H38" i="27"/>
  <c r="E92" i="27"/>
  <c r="H51" i="27"/>
  <c r="E105" i="27"/>
  <c r="E80" i="27"/>
  <c r="H26" i="27"/>
  <c r="E93" i="27"/>
  <c r="H39" i="27"/>
  <c r="H24" i="27"/>
  <c r="E78" i="27"/>
  <c r="E71" i="27"/>
  <c r="E104" i="27"/>
  <c r="H50" i="27"/>
  <c r="E98" i="27"/>
  <c r="H44" i="27"/>
  <c r="E84" i="27"/>
  <c r="H30" i="27"/>
  <c r="H33" i="27"/>
  <c r="E87" i="27"/>
  <c r="E100" i="27"/>
  <c r="H46" i="27"/>
  <c r="E83" i="27"/>
  <c r="H21" i="27"/>
  <c r="E75" i="27"/>
  <c r="H25" i="27"/>
  <c r="E79" i="27"/>
  <c r="E96" i="27"/>
  <c r="H42" i="27"/>
  <c r="H45" i="27"/>
  <c r="E99" i="27"/>
  <c r="E68" i="27"/>
  <c r="H14" i="27"/>
  <c r="H18" i="27"/>
  <c r="E72" i="27"/>
  <c r="H40" i="27"/>
  <c r="E94" i="27"/>
  <c r="H20" i="27"/>
  <c r="E74" i="27"/>
  <c r="H32" i="27"/>
  <c r="E86" i="27"/>
  <c r="H28" i="27"/>
  <c r="E82" i="27"/>
  <c r="E65" i="27"/>
  <c r="H48" i="27"/>
  <c r="E102" i="27"/>
  <c r="H36" i="27"/>
  <c r="E90" i="27"/>
  <c r="H16" i="27"/>
  <c r="E70" i="27"/>
  <c r="E67" i="36"/>
  <c r="E96" i="36"/>
  <c r="E74" i="36"/>
  <c r="E71" i="36"/>
  <c r="E98" i="36"/>
  <c r="E76" i="36"/>
  <c r="E90" i="36"/>
  <c r="E75" i="36"/>
  <c r="H52" i="36"/>
  <c r="E106" i="36"/>
  <c r="E95" i="36"/>
  <c r="E103" i="36"/>
  <c r="E101" i="36"/>
  <c r="E88" i="36"/>
  <c r="E104" i="36"/>
  <c r="E100" i="36"/>
  <c r="E89" i="36"/>
  <c r="E85" i="36"/>
  <c r="H54" i="36"/>
  <c r="E108" i="36"/>
  <c r="E78" i="36"/>
  <c r="E66" i="36"/>
  <c r="E94" i="36"/>
  <c r="E72" i="36"/>
  <c r="E83" i="36"/>
  <c r="E82" i="36"/>
  <c r="E91" i="36"/>
  <c r="E102" i="36"/>
  <c r="E87" i="36"/>
  <c r="E68" i="36"/>
  <c r="E84" i="36"/>
  <c r="E92" i="36"/>
  <c r="E70" i="36"/>
  <c r="E86" i="36"/>
  <c r="E79" i="36"/>
  <c r="H53" i="36"/>
  <c r="E107" i="36"/>
  <c r="E80" i="36"/>
  <c r="E65" i="36"/>
  <c r="E99" i="36"/>
  <c r="H55" i="36"/>
  <c r="E109" i="36"/>
  <c r="E73" i="36"/>
  <c r="E93" i="36"/>
  <c r="E77" i="36"/>
  <c r="E105" i="36"/>
  <c r="E97" i="36"/>
  <c r="E81" i="36"/>
  <c r="E69" i="36"/>
  <c r="D13" i="28"/>
  <c r="D15" i="28"/>
  <c r="G15" i="28" s="1"/>
  <c r="H15" i="28" s="1"/>
  <c r="D16" i="28"/>
  <c r="G16" i="28" s="1"/>
  <c r="H16" i="28" s="1"/>
  <c r="D17" i="28"/>
  <c r="D18" i="28"/>
  <c r="G18" i="28" s="1"/>
  <c r="H18" i="28" s="1"/>
  <c r="D20" i="28"/>
  <c r="G20" i="28" s="1"/>
  <c r="H20" i="28" s="1"/>
  <c r="D21" i="28"/>
  <c r="D22" i="28"/>
  <c r="D24" i="28"/>
  <c r="G24" i="28" s="1"/>
  <c r="H24" i="28" s="1"/>
  <c r="D25" i="28"/>
  <c r="D26" i="28"/>
  <c r="D27" i="28"/>
  <c r="D29" i="28"/>
  <c r="D30" i="28"/>
  <c r="G30" i="28" s="1"/>
  <c r="H30" i="28" s="1"/>
  <c r="D31" i="28"/>
  <c r="D33" i="28"/>
  <c r="D34" i="28"/>
  <c r="G34" i="28" s="1"/>
  <c r="H34" i="28" s="1"/>
  <c r="D35" i="28"/>
  <c r="G35" i="28" s="1"/>
  <c r="H35" i="28" s="1"/>
  <c r="D36" i="28"/>
  <c r="D38" i="28"/>
  <c r="G38" i="28" s="1"/>
  <c r="H38" i="28" s="1"/>
  <c r="D39" i="28"/>
  <c r="G39" i="28" s="1"/>
  <c r="H39" i="28" s="1"/>
  <c r="D40" i="28"/>
  <c r="G40" i="28" s="1"/>
  <c r="H40" i="28" s="1"/>
  <c r="D42" i="28"/>
  <c r="G42" i="28" s="1"/>
  <c r="H42" i="28" s="1"/>
  <c r="D43" i="28"/>
  <c r="D44" i="28"/>
  <c r="G44" i="28" s="1"/>
  <c r="H44" i="28" s="1"/>
  <c r="D46" i="28"/>
  <c r="G46" i="28" s="1"/>
  <c r="H46" i="28" s="1"/>
  <c r="D47" i="28"/>
  <c r="G47" i="28" s="1"/>
  <c r="H47" i="28" s="1"/>
  <c r="D48" i="28"/>
  <c r="D49" i="28"/>
  <c r="D51" i="28"/>
  <c r="G51" i="28" s="1"/>
  <c r="H51" i="28" s="1"/>
  <c r="D52" i="28"/>
  <c r="G52" i="28" s="1"/>
  <c r="H52" i="28" s="1"/>
  <c r="D53" i="28"/>
  <c r="D55" i="28"/>
  <c r="G55" i="28" s="1"/>
  <c r="H55" i="28" s="1"/>
  <c r="D57" i="28"/>
  <c r="G57" i="28" s="1"/>
  <c r="H57" i="28" s="1"/>
  <c r="G36" i="28" l="1"/>
  <c r="H36" i="28" s="1"/>
  <c r="G48" i="28"/>
  <c r="H48" i="28" s="1"/>
  <c r="G43" i="28"/>
  <c r="H43" i="28" s="1"/>
  <c r="G27" i="28"/>
  <c r="H27" i="28" s="1"/>
  <c r="G22" i="28"/>
  <c r="H22" i="28" s="1"/>
  <c r="G31" i="28"/>
  <c r="H31" i="28" s="1"/>
  <c r="G26" i="28"/>
  <c r="H26" i="28" s="1"/>
  <c r="G53" i="28"/>
  <c r="H53" i="28" s="1"/>
  <c r="G49" i="28"/>
  <c r="H49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41"/>
  <c r="G57" i="41" s="1"/>
  <c r="H57" i="41" s="1"/>
  <c r="D55" i="41"/>
  <c r="D54" i="41"/>
  <c r="D53" i="41"/>
  <c r="D52" i="41"/>
  <c r="D51" i="41"/>
  <c r="D50" i="41"/>
  <c r="D49" i="41"/>
  <c r="D48" i="41"/>
  <c r="D47" i="41"/>
  <c r="G47" i="41" s="1"/>
  <c r="H47" i="41" s="1"/>
  <c r="D46" i="41"/>
  <c r="D45" i="41"/>
  <c r="D44" i="41"/>
  <c r="D43" i="41"/>
  <c r="G43" i="41" s="1"/>
  <c r="H43" i="41" s="1"/>
  <c r="D42" i="41"/>
  <c r="D41" i="41"/>
  <c r="D40" i="41"/>
  <c r="D39" i="41"/>
  <c r="G39" i="41" s="1"/>
  <c r="H39" i="41" s="1"/>
  <c r="D38" i="41"/>
  <c r="D37" i="41"/>
  <c r="D36" i="41"/>
  <c r="D35" i="41"/>
  <c r="G35" i="41" s="1"/>
  <c r="H35" i="41" s="1"/>
  <c r="D34" i="41"/>
  <c r="D33" i="41"/>
  <c r="D32" i="41"/>
  <c r="D31" i="41"/>
  <c r="G31" i="41" s="1"/>
  <c r="H31" i="41" s="1"/>
  <c r="D30" i="41"/>
  <c r="D29" i="41"/>
  <c r="D28" i="41"/>
  <c r="D27" i="41"/>
  <c r="G27" i="41" s="1"/>
  <c r="H27" i="41" s="1"/>
  <c r="D26" i="41"/>
  <c r="D25" i="41"/>
  <c r="D24" i="41"/>
  <c r="D23" i="41"/>
  <c r="G23" i="41" s="1"/>
  <c r="H23" i="41" s="1"/>
  <c r="D22" i="41"/>
  <c r="D21" i="41"/>
  <c r="D20" i="41"/>
  <c r="D19" i="41"/>
  <c r="G19" i="41" s="1"/>
  <c r="H19" i="41" s="1"/>
  <c r="D18" i="41"/>
  <c r="D17" i="41"/>
  <c r="D16" i="41"/>
  <c r="D15" i="41"/>
  <c r="G15" i="41" s="1"/>
  <c r="H15" i="41" s="1"/>
  <c r="D14" i="41"/>
  <c r="D13" i="41"/>
  <c r="D12" i="41"/>
  <c r="D11" i="41"/>
  <c r="G11" i="41" s="1"/>
  <c r="H11" i="41" s="1"/>
  <c r="D10" i="41"/>
  <c r="D9" i="41"/>
  <c r="G9" i="41" s="1"/>
  <c r="H9" i="41" s="1"/>
  <c r="D7" i="41"/>
  <c r="G7" i="41" s="1"/>
  <c r="H7" i="41" s="1"/>
  <c r="D57" i="40"/>
  <c r="G57" i="40" s="1"/>
  <c r="H57" i="40" s="1"/>
  <c r="D55" i="40"/>
  <c r="D53" i="40"/>
  <c r="D52" i="40"/>
  <c r="D51" i="40"/>
  <c r="D50" i="40"/>
  <c r="D48" i="40"/>
  <c r="D47" i="40"/>
  <c r="D46" i="40"/>
  <c r="D44" i="40"/>
  <c r="D43" i="40"/>
  <c r="D42" i="40"/>
  <c r="D40" i="40"/>
  <c r="G40" i="40" s="1"/>
  <c r="H40" i="40" s="1"/>
  <c r="D39" i="40"/>
  <c r="D38" i="40"/>
  <c r="D37" i="40"/>
  <c r="G37" i="40" s="1"/>
  <c r="H37" i="40" s="1"/>
  <c r="D35" i="40"/>
  <c r="D34" i="40"/>
  <c r="D33" i="40"/>
  <c r="G33" i="40" s="1"/>
  <c r="H33" i="40" s="1"/>
  <c r="D31" i="40"/>
  <c r="D30" i="40"/>
  <c r="D29" i="40"/>
  <c r="D28" i="40"/>
  <c r="G28" i="40" s="1"/>
  <c r="H28" i="40" s="1"/>
  <c r="D26" i="40"/>
  <c r="D25" i="40"/>
  <c r="G25" i="40" s="1"/>
  <c r="H25" i="40" s="1"/>
  <c r="D24" i="40"/>
  <c r="G24" i="40" s="1"/>
  <c r="H24" i="40" s="1"/>
  <c r="D22" i="40"/>
  <c r="D21" i="40"/>
  <c r="D20" i="40"/>
  <c r="G20" i="40" s="1"/>
  <c r="H20" i="40" s="1"/>
  <c r="D19" i="40"/>
  <c r="D17" i="40"/>
  <c r="D16" i="40"/>
  <c r="D15" i="40"/>
  <c r="D13" i="40"/>
  <c r="D12" i="40"/>
  <c r="G12" i="40" s="1"/>
  <c r="H12" i="40" s="1"/>
  <c r="D11" i="40"/>
  <c r="D10" i="40"/>
  <c r="D9" i="40"/>
  <c r="G9" i="40" s="1"/>
  <c r="H9" i="40" s="1"/>
  <c r="D7" i="40"/>
  <c r="G7" i="40" s="1"/>
  <c r="H7" i="40" s="1"/>
  <c r="D57" i="39"/>
  <c r="G57" i="39" s="1"/>
  <c r="H57" i="39" s="1"/>
  <c r="D55" i="39"/>
  <c r="G55" i="39" s="1"/>
  <c r="H55" i="39" s="1"/>
  <c r="D54" i="39"/>
  <c r="D53" i="39"/>
  <c r="D51" i="39"/>
  <c r="D50" i="39"/>
  <c r="G50" i="39" s="1"/>
  <c r="H50" i="39" s="1"/>
  <c r="D49" i="39"/>
  <c r="D48" i="39"/>
  <c r="G48" i="39" s="1"/>
  <c r="H48" i="39" s="1"/>
  <c r="D47" i="39"/>
  <c r="D46" i="39"/>
  <c r="G46" i="39" s="1"/>
  <c r="H46" i="39" s="1"/>
  <c r="D44" i="39"/>
  <c r="D43" i="39"/>
  <c r="D42" i="39"/>
  <c r="D41" i="39"/>
  <c r="D40" i="39"/>
  <c r="D39" i="39"/>
  <c r="D38" i="39"/>
  <c r="G38" i="39" s="1"/>
  <c r="H38" i="39" s="1"/>
  <c r="D36" i="39"/>
  <c r="G36" i="39" s="1"/>
  <c r="H36" i="39" s="1"/>
  <c r="D35" i="39"/>
  <c r="D34" i="39"/>
  <c r="G34" i="39" s="1"/>
  <c r="H34" i="39" s="1"/>
  <c r="D33" i="39"/>
  <c r="D32" i="39"/>
  <c r="G32" i="39" s="1"/>
  <c r="H32" i="39" s="1"/>
  <c r="D31" i="39"/>
  <c r="D30" i="39"/>
  <c r="G30" i="39" s="1"/>
  <c r="H30" i="39" s="1"/>
  <c r="D28" i="39"/>
  <c r="D27" i="39"/>
  <c r="D26" i="39"/>
  <c r="D25" i="39"/>
  <c r="D24" i="39"/>
  <c r="D23" i="39"/>
  <c r="D21" i="39"/>
  <c r="D20" i="39"/>
  <c r="G20" i="39" s="1"/>
  <c r="H20" i="39" s="1"/>
  <c r="D19" i="39"/>
  <c r="D18" i="39"/>
  <c r="G18" i="39" s="1"/>
  <c r="H18" i="39" s="1"/>
  <c r="D17" i="39"/>
  <c r="D16" i="39"/>
  <c r="G16" i="39" s="1"/>
  <c r="H16" i="39" s="1"/>
  <c r="D15" i="39"/>
  <c r="D13" i="39"/>
  <c r="D12" i="39"/>
  <c r="D11" i="39"/>
  <c r="D10" i="39"/>
  <c r="D9" i="39"/>
  <c r="G9" i="39" s="1"/>
  <c r="H9" i="39" s="1"/>
  <c r="D7" i="39"/>
  <c r="G7" i="39" s="1"/>
  <c r="H7" i="39" s="1"/>
  <c r="D57" i="37"/>
  <c r="G57" i="37" s="1"/>
  <c r="H57" i="37" s="1"/>
  <c r="D55" i="37"/>
  <c r="D54" i="37"/>
  <c r="G54" i="37" s="1"/>
  <c r="H54" i="37" s="1"/>
  <c r="D53" i="37"/>
  <c r="D51" i="37"/>
  <c r="D50" i="37"/>
  <c r="D49" i="37"/>
  <c r="D48" i="37"/>
  <c r="G48" i="37" s="1"/>
  <c r="H48" i="37" s="1"/>
  <c r="D46" i="37"/>
  <c r="G46" i="37" s="1"/>
  <c r="H46" i="37" s="1"/>
  <c r="D45" i="37"/>
  <c r="D44" i="37"/>
  <c r="G44" i="37" s="1"/>
  <c r="H44" i="37" s="1"/>
  <c r="D43" i="37"/>
  <c r="D41" i="37"/>
  <c r="D40" i="37"/>
  <c r="D39" i="37"/>
  <c r="D38" i="37"/>
  <c r="G38" i="37" s="1"/>
  <c r="H38" i="37" s="1"/>
  <c r="D36" i="37"/>
  <c r="G36" i="37" s="1"/>
  <c r="H36" i="37" s="1"/>
  <c r="D35" i="37"/>
  <c r="D34" i="37"/>
  <c r="G34" i="37" s="1"/>
  <c r="H34" i="37" s="1"/>
  <c r="D33" i="37"/>
  <c r="D31" i="37"/>
  <c r="D30" i="37"/>
  <c r="D29" i="37"/>
  <c r="D28" i="37"/>
  <c r="G28" i="37" s="1"/>
  <c r="H28" i="37" s="1"/>
  <c r="D26" i="37"/>
  <c r="G26" i="37" s="1"/>
  <c r="H26" i="37" s="1"/>
  <c r="D25" i="37"/>
  <c r="D24" i="37"/>
  <c r="G24" i="37" s="1"/>
  <c r="H24" i="37" s="1"/>
  <c r="D23" i="37"/>
  <c r="D21" i="37"/>
  <c r="D20" i="37"/>
  <c r="D19" i="37"/>
  <c r="D18" i="37"/>
  <c r="G18" i="37" s="1"/>
  <c r="H18" i="37" s="1"/>
  <c r="D16" i="37"/>
  <c r="G16" i="37" s="1"/>
  <c r="H16" i="37" s="1"/>
  <c r="D15" i="37"/>
  <c r="D14" i="37"/>
  <c r="G14" i="37" s="1"/>
  <c r="H14" i="37" s="1"/>
  <c r="D13" i="37"/>
  <c r="D11" i="37"/>
  <c r="D10" i="37"/>
  <c r="D9" i="37"/>
  <c r="G9" i="37" s="1"/>
  <c r="H9" i="37" s="1"/>
  <c r="D7" i="37"/>
  <c r="G7" i="37" s="1"/>
  <c r="H7" i="37" s="1"/>
  <c r="D57" i="36"/>
  <c r="G57" i="36" s="1"/>
  <c r="D9" i="36"/>
  <c r="D7" i="36"/>
  <c r="G7" i="36" s="1"/>
  <c r="D57" i="35"/>
  <c r="G57" i="35" s="1"/>
  <c r="D12" i="35"/>
  <c r="G13" i="35" s="1"/>
  <c r="H13" i="35" s="1"/>
  <c r="D11" i="35"/>
  <c r="D10" i="35"/>
  <c r="D9" i="35"/>
  <c r="G9" i="35" s="1"/>
  <c r="D7" i="35"/>
  <c r="G7" i="35" s="1"/>
  <c r="D57" i="34"/>
  <c r="G57" i="34" s="1"/>
  <c r="H57" i="34" s="1"/>
  <c r="D55" i="34"/>
  <c r="D54" i="34"/>
  <c r="D53" i="34"/>
  <c r="G53" i="34" s="1"/>
  <c r="H53" i="34" s="1"/>
  <c r="D51" i="34"/>
  <c r="D50" i="34"/>
  <c r="D49" i="34"/>
  <c r="D47" i="34"/>
  <c r="D46" i="34"/>
  <c r="D45" i="34"/>
  <c r="D43" i="34"/>
  <c r="D42" i="34"/>
  <c r="D41" i="34"/>
  <c r="D39" i="34"/>
  <c r="D38" i="34"/>
  <c r="D37" i="34"/>
  <c r="D35" i="34"/>
  <c r="D34" i="34"/>
  <c r="D33" i="34"/>
  <c r="D31" i="34"/>
  <c r="D30" i="34"/>
  <c r="D29" i="34"/>
  <c r="D27" i="34"/>
  <c r="D26" i="34"/>
  <c r="D25" i="34"/>
  <c r="D23" i="34"/>
  <c r="D22" i="34"/>
  <c r="D21" i="34"/>
  <c r="D19" i="34"/>
  <c r="D18" i="34"/>
  <c r="D17" i="34"/>
  <c r="D14" i="34"/>
  <c r="D12" i="34"/>
  <c r="D11" i="34"/>
  <c r="G11" i="34" s="1"/>
  <c r="H11" i="34" s="1"/>
  <c r="D10" i="34"/>
  <c r="D9" i="34"/>
  <c r="G9" i="34" s="1"/>
  <c r="H9" i="34" s="1"/>
  <c r="D7" i="34"/>
  <c r="G7" i="34" s="1"/>
  <c r="H7" i="34" s="1"/>
  <c r="D57" i="33"/>
  <c r="G57" i="33" s="1"/>
  <c r="H57" i="33" s="1"/>
  <c r="D55" i="33"/>
  <c r="D54" i="33"/>
  <c r="G54" i="33" s="1"/>
  <c r="H54" i="33" s="1"/>
  <c r="D52" i="33"/>
  <c r="D51" i="33"/>
  <c r="D50" i="33"/>
  <c r="G50" i="33" s="1"/>
  <c r="H50" i="33" s="1"/>
  <c r="D48" i="33"/>
  <c r="D47" i="33"/>
  <c r="D46" i="33"/>
  <c r="G46" i="33" s="1"/>
  <c r="H46" i="33" s="1"/>
  <c r="D44" i="33"/>
  <c r="D43" i="33"/>
  <c r="D42" i="33"/>
  <c r="D41" i="33"/>
  <c r="D39" i="33"/>
  <c r="D38" i="33"/>
  <c r="G38" i="33" s="1"/>
  <c r="H38" i="33" s="1"/>
  <c r="D37" i="33"/>
  <c r="D35" i="33"/>
  <c r="D34" i="33"/>
  <c r="D33" i="33"/>
  <c r="D31" i="33"/>
  <c r="D30" i="33"/>
  <c r="G30" i="33" s="1"/>
  <c r="H30" i="33" s="1"/>
  <c r="D29" i="33"/>
  <c r="D28" i="33"/>
  <c r="D26" i="33"/>
  <c r="D25" i="33"/>
  <c r="D24" i="33"/>
  <c r="D22" i="33"/>
  <c r="G22" i="33" s="1"/>
  <c r="H22" i="33" s="1"/>
  <c r="D21" i="33"/>
  <c r="D20" i="33"/>
  <c r="D19" i="33"/>
  <c r="D17" i="33"/>
  <c r="D16" i="33"/>
  <c r="D15" i="33"/>
  <c r="D13" i="33"/>
  <c r="D12" i="33"/>
  <c r="D11" i="33"/>
  <c r="D9" i="33"/>
  <c r="G9" i="33" s="1"/>
  <c r="H9" i="33" s="1"/>
  <c r="D7" i="33"/>
  <c r="G7" i="33" s="1"/>
  <c r="H7" i="33" s="1"/>
  <c r="D57" i="32"/>
  <c r="G57" i="32" s="1"/>
  <c r="H57" i="32" s="1"/>
  <c r="D55" i="32"/>
  <c r="D54" i="32"/>
  <c r="D53" i="32"/>
  <c r="G53" i="32" s="1"/>
  <c r="H53" i="32" s="1"/>
  <c r="D51" i="32"/>
  <c r="G51" i="32" s="1"/>
  <c r="H51" i="32" s="1"/>
  <c r="D50" i="32"/>
  <c r="D49" i="32"/>
  <c r="G49" i="32" s="1"/>
  <c r="H49" i="32" s="1"/>
  <c r="D48" i="32"/>
  <c r="G48" i="32" s="1"/>
  <c r="H48" i="32" s="1"/>
  <c r="D46" i="32"/>
  <c r="D45" i="32"/>
  <c r="D44" i="32"/>
  <c r="G44" i="32" s="1"/>
  <c r="H44" i="32" s="1"/>
  <c r="D43" i="32"/>
  <c r="D41" i="32"/>
  <c r="G41" i="32" s="1"/>
  <c r="H41" i="32" s="1"/>
  <c r="D40" i="32"/>
  <c r="D39" i="32"/>
  <c r="D37" i="32"/>
  <c r="D36" i="32"/>
  <c r="G36" i="32" s="1"/>
  <c r="H36" i="32" s="1"/>
  <c r="D35" i="32"/>
  <c r="D34" i="32"/>
  <c r="D32" i="32"/>
  <c r="D31" i="32"/>
  <c r="D30" i="32"/>
  <c r="D28" i="32"/>
  <c r="G28" i="32" s="1"/>
  <c r="H28" i="32" s="1"/>
  <c r="D27" i="32"/>
  <c r="D26" i="32"/>
  <c r="D25" i="32"/>
  <c r="D23" i="32"/>
  <c r="D22" i="32"/>
  <c r="D21" i="32"/>
  <c r="D19" i="32"/>
  <c r="D18" i="32"/>
  <c r="D17" i="32"/>
  <c r="D16" i="32"/>
  <c r="G16" i="32" s="1"/>
  <c r="H16" i="32" s="1"/>
  <c r="D14" i="32"/>
  <c r="D13" i="32"/>
  <c r="D12" i="32"/>
  <c r="G12" i="32" s="1"/>
  <c r="H12" i="32" s="1"/>
  <c r="D10" i="32"/>
  <c r="D9" i="32"/>
  <c r="G9" i="32" s="1"/>
  <c r="H9" i="32" s="1"/>
  <c r="D7" i="32"/>
  <c r="G7" i="32" s="1"/>
  <c r="H7" i="32" s="1"/>
  <c r="D57" i="31"/>
  <c r="G57" i="31" s="1"/>
  <c r="H57" i="31" s="1"/>
  <c r="D54" i="31"/>
  <c r="G54" i="31" s="1"/>
  <c r="H54" i="31" s="1"/>
  <c r="D53" i="31"/>
  <c r="D52" i="31"/>
  <c r="G52" i="31" s="1"/>
  <c r="H52" i="31" s="1"/>
  <c r="D51" i="31"/>
  <c r="D49" i="31"/>
  <c r="D48" i="31"/>
  <c r="D47" i="31"/>
  <c r="D46" i="31"/>
  <c r="G46" i="31" s="1"/>
  <c r="H46" i="31" s="1"/>
  <c r="D44" i="31"/>
  <c r="G44" i="31" s="1"/>
  <c r="H44" i="31" s="1"/>
  <c r="D43" i="31"/>
  <c r="D42" i="31"/>
  <c r="G42" i="31" s="1"/>
  <c r="H42" i="31" s="1"/>
  <c r="D41" i="31"/>
  <c r="D39" i="31"/>
  <c r="D38" i="31"/>
  <c r="D37" i="31"/>
  <c r="D36" i="31"/>
  <c r="G36" i="31" s="1"/>
  <c r="H36" i="31" s="1"/>
  <c r="D34" i="31"/>
  <c r="G34" i="31" s="1"/>
  <c r="H34" i="31" s="1"/>
  <c r="D33" i="31"/>
  <c r="D32" i="31"/>
  <c r="G32" i="31" s="1"/>
  <c r="H32" i="31" s="1"/>
  <c r="D31" i="31"/>
  <c r="D29" i="31"/>
  <c r="D28" i="31"/>
  <c r="D27" i="31"/>
  <c r="D26" i="31"/>
  <c r="G26" i="31" s="1"/>
  <c r="H26" i="31" s="1"/>
  <c r="D24" i="31"/>
  <c r="G24" i="31" s="1"/>
  <c r="H24" i="31" s="1"/>
  <c r="D23" i="31"/>
  <c r="D22" i="31"/>
  <c r="G22" i="31" s="1"/>
  <c r="H22" i="31" s="1"/>
  <c r="D21" i="31"/>
  <c r="D19" i="31"/>
  <c r="D18" i="31"/>
  <c r="D17" i="31"/>
  <c r="D16" i="31"/>
  <c r="G16" i="31" s="1"/>
  <c r="H16" i="31" s="1"/>
  <c r="D14" i="31"/>
  <c r="G14" i="31" s="1"/>
  <c r="H14" i="31" s="1"/>
  <c r="D13" i="31"/>
  <c r="D12" i="31"/>
  <c r="G12" i="31" s="1"/>
  <c r="H12" i="31" s="1"/>
  <c r="D11" i="31"/>
  <c r="D9" i="31"/>
  <c r="G9" i="31" s="1"/>
  <c r="H9" i="31" s="1"/>
  <c r="D7" i="31"/>
  <c r="G7" i="31" s="1"/>
  <c r="H7" i="31" s="1"/>
  <c r="D57" i="30"/>
  <c r="G57" i="30" s="1"/>
  <c r="H57" i="30" s="1"/>
  <c r="D55" i="30"/>
  <c r="G55" i="30" s="1"/>
  <c r="H55" i="30" s="1"/>
  <c r="D53" i="30"/>
  <c r="D52" i="30"/>
  <c r="D51" i="30"/>
  <c r="G51" i="30" s="1"/>
  <c r="H51" i="30" s="1"/>
  <c r="D50" i="30"/>
  <c r="D48" i="30"/>
  <c r="D47" i="30"/>
  <c r="D46" i="30"/>
  <c r="D44" i="30"/>
  <c r="D43" i="30"/>
  <c r="G43" i="30" s="1"/>
  <c r="H43" i="30" s="1"/>
  <c r="D42" i="30"/>
  <c r="D41" i="30"/>
  <c r="D39" i="30"/>
  <c r="D38" i="30"/>
  <c r="D37" i="30"/>
  <c r="D35" i="30"/>
  <c r="G35" i="30" s="1"/>
  <c r="H35" i="30" s="1"/>
  <c r="D34" i="30"/>
  <c r="D33" i="30"/>
  <c r="D32" i="30"/>
  <c r="D30" i="30"/>
  <c r="D29" i="30"/>
  <c r="D28" i="30"/>
  <c r="D26" i="30"/>
  <c r="D25" i="30"/>
  <c r="D24" i="30"/>
  <c r="D23" i="30"/>
  <c r="G23" i="30" s="1"/>
  <c r="H23" i="30" s="1"/>
  <c r="D21" i="30"/>
  <c r="D20" i="30"/>
  <c r="D19" i="30"/>
  <c r="G19" i="30" s="1"/>
  <c r="H19" i="30" s="1"/>
  <c r="D17" i="30"/>
  <c r="D16" i="30"/>
  <c r="D15" i="30"/>
  <c r="G15" i="30" s="1"/>
  <c r="H15" i="30" s="1"/>
  <c r="D14" i="30"/>
  <c r="D12" i="30"/>
  <c r="D11" i="30"/>
  <c r="D10" i="30"/>
  <c r="D9" i="30"/>
  <c r="G9" i="30" s="1"/>
  <c r="H9" i="30" s="1"/>
  <c r="D7" i="30"/>
  <c r="G7" i="30" s="1"/>
  <c r="H7" i="30" s="1"/>
  <c r="D57" i="29"/>
  <c r="G57" i="29" s="1"/>
  <c r="H57" i="29" s="1"/>
  <c r="D55" i="29"/>
  <c r="D54" i="29"/>
  <c r="D52" i="29"/>
  <c r="G52" i="29" s="1"/>
  <c r="H52" i="29" s="1"/>
  <c r="D51" i="29"/>
  <c r="D50" i="29"/>
  <c r="D48" i="29"/>
  <c r="D47" i="29"/>
  <c r="D46" i="29"/>
  <c r="D44" i="29"/>
  <c r="G44" i="29" s="1"/>
  <c r="H44" i="29" s="1"/>
  <c r="D43" i="29"/>
  <c r="D42" i="29"/>
  <c r="D40" i="29"/>
  <c r="D39" i="29"/>
  <c r="D37" i="29"/>
  <c r="D36" i="29"/>
  <c r="G36" i="29" s="1"/>
  <c r="H36" i="29" s="1"/>
  <c r="D35" i="29"/>
  <c r="D33" i="29"/>
  <c r="D32" i="29"/>
  <c r="D31" i="29"/>
  <c r="D29" i="29"/>
  <c r="D28" i="29"/>
  <c r="G28" i="29" s="1"/>
  <c r="H28" i="29" s="1"/>
  <c r="D27" i="29"/>
  <c r="D25" i="29"/>
  <c r="D24" i="29"/>
  <c r="D23" i="29"/>
  <c r="D21" i="29"/>
  <c r="D20" i="29"/>
  <c r="G20" i="29" s="1"/>
  <c r="H20" i="29" s="1"/>
  <c r="D19" i="29"/>
  <c r="D17" i="29"/>
  <c r="D16" i="29"/>
  <c r="D15" i="29"/>
  <c r="D13" i="29"/>
  <c r="D12" i="29"/>
  <c r="G12" i="29" s="1"/>
  <c r="H12" i="29" s="1"/>
  <c r="D11" i="29"/>
  <c r="D9" i="29"/>
  <c r="G9" i="29" s="1"/>
  <c r="H9" i="29" s="1"/>
  <c r="D7" i="29"/>
  <c r="G7" i="29" s="1"/>
  <c r="H7" i="29" s="1"/>
  <c r="E57" i="28"/>
  <c r="E55" i="28"/>
  <c r="E53" i="28"/>
  <c r="E52" i="28"/>
  <c r="E51" i="28"/>
  <c r="E49" i="28"/>
  <c r="E48" i="28"/>
  <c r="E47" i="28"/>
  <c r="E46" i="28"/>
  <c r="E44" i="28"/>
  <c r="E43" i="28"/>
  <c r="E42" i="28"/>
  <c r="E40" i="28"/>
  <c r="E39" i="28"/>
  <c r="E38" i="28"/>
  <c r="E36" i="28"/>
  <c r="E35" i="28"/>
  <c r="E34" i="28"/>
  <c r="E33" i="28"/>
  <c r="E31" i="28"/>
  <c r="E30" i="28"/>
  <c r="E29" i="28"/>
  <c r="E27" i="28"/>
  <c r="E26" i="28"/>
  <c r="E25" i="28"/>
  <c r="E24" i="28"/>
  <c r="E22" i="28"/>
  <c r="E21" i="28"/>
  <c r="E20" i="28"/>
  <c r="E18" i="28"/>
  <c r="E17" i="28"/>
  <c r="E16" i="28"/>
  <c r="E15" i="28"/>
  <c r="E13" i="28"/>
  <c r="D12" i="28"/>
  <c r="D11" i="28"/>
  <c r="G11" i="28" s="1"/>
  <c r="H11" i="28" s="1"/>
  <c r="D9" i="28"/>
  <c r="G9" i="28" s="1"/>
  <c r="H9" i="28" s="1"/>
  <c r="D7" i="28"/>
  <c r="G7" i="28" s="1"/>
  <c r="H7" i="28" s="1"/>
  <c r="D57" i="27"/>
  <c r="G57" i="27" s="1"/>
  <c r="D55" i="27"/>
  <c r="D54" i="27"/>
  <c r="G54" i="27" s="1"/>
  <c r="D12" i="27"/>
  <c r="G13" i="27" s="1"/>
  <c r="D9" i="27"/>
  <c r="D7" i="27"/>
  <c r="G7" i="27" s="1"/>
  <c r="D57" i="26"/>
  <c r="G57" i="26" s="1"/>
  <c r="H57" i="26" s="1"/>
  <c r="D54" i="26"/>
  <c r="D53" i="26"/>
  <c r="D52" i="26"/>
  <c r="D51" i="26"/>
  <c r="D50" i="26"/>
  <c r="G50" i="26" s="1"/>
  <c r="H50" i="26" s="1"/>
  <c r="D48" i="26"/>
  <c r="G48" i="26" s="1"/>
  <c r="H48" i="26" s="1"/>
  <c r="D47" i="26"/>
  <c r="D46" i="26"/>
  <c r="G46" i="26" s="1"/>
  <c r="H46" i="26" s="1"/>
  <c r="D45" i="26"/>
  <c r="D44" i="26"/>
  <c r="G44" i="26" s="1"/>
  <c r="H44" i="26" s="1"/>
  <c r="D42" i="26"/>
  <c r="D41" i="26"/>
  <c r="D40" i="26"/>
  <c r="D39" i="26"/>
  <c r="D38" i="26"/>
  <c r="D37" i="26"/>
  <c r="D35" i="26"/>
  <c r="D34" i="26"/>
  <c r="G34" i="26" s="1"/>
  <c r="H34" i="26" s="1"/>
  <c r="D33" i="26"/>
  <c r="D32" i="26"/>
  <c r="G32" i="26" s="1"/>
  <c r="H32" i="26" s="1"/>
  <c r="D31" i="26"/>
  <c r="D29" i="26"/>
  <c r="D28" i="26"/>
  <c r="D27" i="26"/>
  <c r="D26" i="26"/>
  <c r="D25" i="26"/>
  <c r="D23" i="26"/>
  <c r="D22" i="26"/>
  <c r="G22" i="26" s="1"/>
  <c r="H22" i="26" s="1"/>
  <c r="D21" i="26"/>
  <c r="D20" i="26"/>
  <c r="G20" i="26" s="1"/>
  <c r="H20" i="26" s="1"/>
  <c r="D19" i="26"/>
  <c r="D18" i="26"/>
  <c r="G18" i="26" s="1"/>
  <c r="H18" i="26" s="1"/>
  <c r="D16" i="26"/>
  <c r="D15" i="26"/>
  <c r="D14" i="26"/>
  <c r="D13" i="26"/>
  <c r="D12" i="26"/>
  <c r="G12" i="26" s="1"/>
  <c r="H12" i="26" s="1"/>
  <c r="D10" i="26"/>
  <c r="G10" i="26" s="1"/>
  <c r="H10" i="26" s="1"/>
  <c r="D9" i="26"/>
  <c r="G9" i="26" s="1"/>
  <c r="H9" i="26" s="1"/>
  <c r="D7" i="26"/>
  <c r="G7" i="26" s="1"/>
  <c r="H7" i="26" s="1"/>
  <c r="G17" i="40" l="1"/>
  <c r="H17" i="40" s="1"/>
  <c r="G16" i="26"/>
  <c r="H16" i="26" s="1"/>
  <c r="G26" i="26"/>
  <c r="H26" i="26" s="1"/>
  <c r="G40" i="26"/>
  <c r="H40" i="26" s="1"/>
  <c r="G54" i="26"/>
  <c r="H54" i="26" s="1"/>
  <c r="G16" i="29"/>
  <c r="H16" i="29" s="1"/>
  <c r="G32" i="29"/>
  <c r="H32" i="29" s="1"/>
  <c r="G48" i="29"/>
  <c r="H48" i="29" s="1"/>
  <c r="G39" i="30"/>
  <c r="H39" i="30" s="1"/>
  <c r="G32" i="32"/>
  <c r="H32" i="32" s="1"/>
  <c r="G34" i="33"/>
  <c r="H34" i="33" s="1"/>
  <c r="G12" i="39"/>
  <c r="H12" i="39" s="1"/>
  <c r="G26" i="39"/>
  <c r="H26" i="39" s="1"/>
  <c r="G40" i="39"/>
  <c r="H40" i="39" s="1"/>
  <c r="G44" i="39"/>
  <c r="H44" i="39" s="1"/>
  <c r="G54" i="39"/>
  <c r="H54" i="39" s="1"/>
  <c r="G13" i="40"/>
  <c r="H13" i="40" s="1"/>
  <c r="G29" i="40"/>
  <c r="H29" i="40" s="1"/>
  <c r="G44" i="40"/>
  <c r="H44" i="40" s="1"/>
  <c r="G14" i="26"/>
  <c r="H14" i="26" s="1"/>
  <c r="G28" i="26"/>
  <c r="H28" i="26" s="1"/>
  <c r="G38" i="26"/>
  <c r="H38" i="26" s="1"/>
  <c r="G42" i="26"/>
  <c r="H42" i="26" s="1"/>
  <c r="G52" i="26"/>
  <c r="H52" i="26" s="1"/>
  <c r="G24" i="29"/>
  <c r="H24" i="29" s="1"/>
  <c r="G40" i="29"/>
  <c r="H40" i="29" s="1"/>
  <c r="G11" i="30"/>
  <c r="H11" i="30" s="1"/>
  <c r="G47" i="30"/>
  <c r="H47" i="30" s="1"/>
  <c r="G18" i="31"/>
  <c r="H18" i="31" s="1"/>
  <c r="G28" i="31"/>
  <c r="H28" i="31" s="1"/>
  <c r="G38" i="31"/>
  <c r="H38" i="31" s="1"/>
  <c r="G48" i="31"/>
  <c r="H48" i="31" s="1"/>
  <c r="G40" i="32"/>
  <c r="H40" i="32" s="1"/>
  <c r="G45" i="32"/>
  <c r="H45" i="32" s="1"/>
  <c r="G55" i="32"/>
  <c r="H55" i="32" s="1"/>
  <c r="G26" i="33"/>
  <c r="H26" i="33" s="1"/>
  <c r="G42" i="33"/>
  <c r="H42" i="33" s="1"/>
  <c r="G10" i="37"/>
  <c r="H10" i="37" s="1"/>
  <c r="G20" i="37"/>
  <c r="H20" i="37" s="1"/>
  <c r="G30" i="37"/>
  <c r="H30" i="37" s="1"/>
  <c r="G40" i="37"/>
  <c r="H40" i="37" s="1"/>
  <c r="G50" i="37"/>
  <c r="H50" i="37" s="1"/>
  <c r="G55" i="37"/>
  <c r="H55" i="37" s="1"/>
  <c r="G10" i="39"/>
  <c r="H10" i="39" s="1"/>
  <c r="G24" i="39"/>
  <c r="H24" i="39" s="1"/>
  <c r="G28" i="39"/>
  <c r="H28" i="39" s="1"/>
  <c r="G42" i="39"/>
  <c r="H42" i="39" s="1"/>
  <c r="G16" i="40"/>
  <c r="H16" i="40" s="1"/>
  <c r="G21" i="40"/>
  <c r="H21" i="40" s="1"/>
  <c r="G52" i="40"/>
  <c r="H52" i="40" s="1"/>
  <c r="G48" i="40"/>
  <c r="H48" i="40" s="1"/>
  <c r="G53" i="40"/>
  <c r="H53" i="40" s="1"/>
  <c r="G11" i="35"/>
  <c r="H7" i="35"/>
  <c r="H9" i="35"/>
  <c r="H57" i="35"/>
  <c r="G9" i="27"/>
  <c r="G10" i="27"/>
  <c r="I10" i="27" s="1"/>
  <c r="H57" i="27"/>
  <c r="E111" i="27"/>
  <c r="F111" i="27" s="1"/>
  <c r="H7" i="27"/>
  <c r="E61" i="27"/>
  <c r="F61" i="27" s="1"/>
  <c r="E67" i="27"/>
  <c r="H13" i="27"/>
  <c r="H54" i="27"/>
  <c r="E108" i="27"/>
  <c r="H57" i="36"/>
  <c r="E111" i="36"/>
  <c r="H7" i="36"/>
  <c r="E61" i="36"/>
  <c r="F61" i="36" s="1"/>
  <c r="G9" i="36"/>
  <c r="I13" i="36" s="1"/>
  <c r="J13" i="36" s="1"/>
  <c r="G10" i="36"/>
  <c r="I34" i="36" s="1"/>
  <c r="G11" i="39"/>
  <c r="H11" i="39" s="1"/>
  <c r="G15" i="39"/>
  <c r="H15" i="39" s="1"/>
  <c r="G19" i="39"/>
  <c r="H19" i="39" s="1"/>
  <c r="G23" i="39"/>
  <c r="H23" i="39" s="1"/>
  <c r="G27" i="39"/>
  <c r="H27" i="39" s="1"/>
  <c r="G31" i="39"/>
  <c r="H31" i="39" s="1"/>
  <c r="G35" i="39"/>
  <c r="H35" i="39" s="1"/>
  <c r="G39" i="39"/>
  <c r="H39" i="39" s="1"/>
  <c r="G43" i="39"/>
  <c r="H43" i="39" s="1"/>
  <c r="G47" i="39"/>
  <c r="H47" i="39" s="1"/>
  <c r="G51" i="39"/>
  <c r="H51" i="39" s="1"/>
  <c r="G13" i="39"/>
  <c r="H13" i="39" s="1"/>
  <c r="G17" i="39"/>
  <c r="H17" i="39" s="1"/>
  <c r="G21" i="39"/>
  <c r="H21" i="39" s="1"/>
  <c r="G25" i="39"/>
  <c r="H25" i="39" s="1"/>
  <c r="G33" i="39"/>
  <c r="H33" i="39" s="1"/>
  <c r="G41" i="39"/>
  <c r="H41" i="39" s="1"/>
  <c r="G49" i="39"/>
  <c r="H49" i="39" s="1"/>
  <c r="G53" i="39"/>
  <c r="H53" i="39" s="1"/>
  <c r="G11" i="31"/>
  <c r="H11" i="31" s="1"/>
  <c r="G19" i="31"/>
  <c r="H19" i="31" s="1"/>
  <c r="G23" i="31"/>
  <c r="H23" i="31" s="1"/>
  <c r="G27" i="31"/>
  <c r="H27" i="31" s="1"/>
  <c r="G31" i="31"/>
  <c r="H31" i="31" s="1"/>
  <c r="G39" i="31"/>
  <c r="H39" i="31" s="1"/>
  <c r="G43" i="31"/>
  <c r="H43" i="31" s="1"/>
  <c r="G47" i="31"/>
  <c r="H47" i="31" s="1"/>
  <c r="G51" i="31"/>
  <c r="H51" i="31" s="1"/>
  <c r="G13" i="31"/>
  <c r="H13" i="31" s="1"/>
  <c r="G17" i="31"/>
  <c r="H17" i="31" s="1"/>
  <c r="G21" i="31"/>
  <c r="H21" i="31" s="1"/>
  <c r="G29" i="31"/>
  <c r="H29" i="31" s="1"/>
  <c r="G33" i="31"/>
  <c r="H33" i="31" s="1"/>
  <c r="G37" i="31"/>
  <c r="H37" i="31" s="1"/>
  <c r="G41" i="31"/>
  <c r="H41" i="31" s="1"/>
  <c r="G49" i="31"/>
  <c r="H49" i="31" s="1"/>
  <c r="G53" i="31"/>
  <c r="H53" i="31" s="1"/>
  <c r="G51" i="41"/>
  <c r="H51" i="41" s="1"/>
  <c r="G55" i="41"/>
  <c r="H55" i="41" s="1"/>
  <c r="G10" i="41"/>
  <c r="H10" i="41" s="1"/>
  <c r="G14" i="41"/>
  <c r="H14" i="41" s="1"/>
  <c r="G18" i="41"/>
  <c r="H18" i="41" s="1"/>
  <c r="G22" i="41"/>
  <c r="H22" i="41" s="1"/>
  <c r="G12" i="41"/>
  <c r="H12" i="41" s="1"/>
  <c r="G16" i="41"/>
  <c r="H16" i="41" s="1"/>
  <c r="G20" i="41"/>
  <c r="H20" i="41" s="1"/>
  <c r="G24" i="41"/>
  <c r="H24" i="41" s="1"/>
  <c r="G28" i="41"/>
  <c r="H28" i="41" s="1"/>
  <c r="G32" i="41"/>
  <c r="H32" i="41" s="1"/>
  <c r="G36" i="41"/>
  <c r="H36" i="41" s="1"/>
  <c r="G40" i="41"/>
  <c r="H40" i="41" s="1"/>
  <c r="G44" i="41"/>
  <c r="H44" i="41" s="1"/>
  <c r="G48" i="41"/>
  <c r="H48" i="41" s="1"/>
  <c r="G52" i="41"/>
  <c r="H52" i="41" s="1"/>
  <c r="G13" i="41"/>
  <c r="H13" i="41" s="1"/>
  <c r="G17" i="41"/>
  <c r="H17" i="41" s="1"/>
  <c r="G21" i="41"/>
  <c r="H21" i="41" s="1"/>
  <c r="G25" i="41"/>
  <c r="H25" i="41" s="1"/>
  <c r="G29" i="41"/>
  <c r="H29" i="41" s="1"/>
  <c r="G33" i="41"/>
  <c r="H33" i="41" s="1"/>
  <c r="G37" i="41"/>
  <c r="H37" i="41" s="1"/>
  <c r="G41" i="41"/>
  <c r="H41" i="41" s="1"/>
  <c r="G45" i="41"/>
  <c r="H45" i="41" s="1"/>
  <c r="G49" i="41"/>
  <c r="H49" i="41" s="1"/>
  <c r="G53" i="41"/>
  <c r="H53" i="41" s="1"/>
  <c r="G26" i="41"/>
  <c r="H26" i="41" s="1"/>
  <c r="G30" i="41"/>
  <c r="H30" i="41" s="1"/>
  <c r="G34" i="41"/>
  <c r="H34" i="41" s="1"/>
  <c r="G38" i="41"/>
  <c r="H38" i="41" s="1"/>
  <c r="G42" i="41"/>
  <c r="H42" i="41" s="1"/>
  <c r="G46" i="41"/>
  <c r="H46" i="41" s="1"/>
  <c r="G50" i="41"/>
  <c r="H50" i="41" s="1"/>
  <c r="G54" i="41"/>
  <c r="H54" i="41" s="1"/>
  <c r="G10" i="40"/>
  <c r="H10" i="40" s="1"/>
  <c r="G22" i="40"/>
  <c r="H22" i="40" s="1"/>
  <c r="G26" i="40"/>
  <c r="H26" i="40" s="1"/>
  <c r="G30" i="40"/>
  <c r="H30" i="40" s="1"/>
  <c r="G34" i="40"/>
  <c r="H34" i="40" s="1"/>
  <c r="G38" i="40"/>
  <c r="H38" i="40" s="1"/>
  <c r="G42" i="40"/>
  <c r="H42" i="40" s="1"/>
  <c r="G46" i="40"/>
  <c r="H46" i="40" s="1"/>
  <c r="G50" i="40"/>
  <c r="H50" i="40" s="1"/>
  <c r="G11" i="40"/>
  <c r="H11" i="40" s="1"/>
  <c r="G15" i="40"/>
  <c r="H15" i="40" s="1"/>
  <c r="G19" i="40"/>
  <c r="H19" i="40" s="1"/>
  <c r="G31" i="40"/>
  <c r="H31" i="40" s="1"/>
  <c r="G35" i="40"/>
  <c r="H35" i="40" s="1"/>
  <c r="G39" i="40"/>
  <c r="H39" i="40" s="1"/>
  <c r="G43" i="40"/>
  <c r="H43" i="40" s="1"/>
  <c r="G47" i="40"/>
  <c r="H47" i="40" s="1"/>
  <c r="G51" i="40"/>
  <c r="H51" i="40" s="1"/>
  <c r="G55" i="40"/>
  <c r="H55" i="40" s="1"/>
  <c r="G13" i="32"/>
  <c r="H13" i="32" s="1"/>
  <c r="G21" i="32"/>
  <c r="H21" i="32" s="1"/>
  <c r="G37" i="32"/>
  <c r="H37" i="32" s="1"/>
  <c r="G17" i="32"/>
  <c r="H17" i="32" s="1"/>
  <c r="G25" i="32"/>
  <c r="H25" i="32" s="1"/>
  <c r="G10" i="32"/>
  <c r="H10" i="32" s="1"/>
  <c r="G14" i="32"/>
  <c r="H14" i="32" s="1"/>
  <c r="G22" i="32"/>
  <c r="H22" i="32" s="1"/>
  <c r="G26" i="32"/>
  <c r="H26" i="32" s="1"/>
  <c r="G30" i="32"/>
  <c r="H30" i="32" s="1"/>
  <c r="G34" i="32"/>
  <c r="H34" i="32" s="1"/>
  <c r="G46" i="32"/>
  <c r="H46" i="32" s="1"/>
  <c r="G50" i="32"/>
  <c r="H50" i="32" s="1"/>
  <c r="G54" i="32"/>
  <c r="H54" i="32" s="1"/>
  <c r="G18" i="32"/>
  <c r="H18" i="32" s="1"/>
  <c r="G19" i="32"/>
  <c r="H19" i="32" s="1"/>
  <c r="G23" i="32"/>
  <c r="H23" i="32" s="1"/>
  <c r="G27" i="32"/>
  <c r="H27" i="32" s="1"/>
  <c r="G31" i="32"/>
  <c r="H31" i="32" s="1"/>
  <c r="G35" i="32"/>
  <c r="H35" i="32" s="1"/>
  <c r="G39" i="32"/>
  <c r="H39" i="32" s="1"/>
  <c r="G43" i="32"/>
  <c r="H43" i="32" s="1"/>
  <c r="G17" i="30"/>
  <c r="H17" i="30" s="1"/>
  <c r="G21" i="30"/>
  <c r="H21" i="30" s="1"/>
  <c r="G25" i="30"/>
  <c r="H25" i="30" s="1"/>
  <c r="G29" i="30"/>
  <c r="H29" i="30" s="1"/>
  <c r="G33" i="30"/>
  <c r="H33" i="30" s="1"/>
  <c r="G37" i="30"/>
  <c r="H37" i="30" s="1"/>
  <c r="G41" i="30"/>
  <c r="H41" i="30" s="1"/>
  <c r="G53" i="30"/>
  <c r="H53" i="30" s="1"/>
  <c r="G48" i="30"/>
  <c r="H48" i="30" s="1"/>
  <c r="G52" i="30"/>
  <c r="H52" i="30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44" i="30"/>
  <c r="H44" i="30" s="1"/>
  <c r="G10" i="30"/>
  <c r="H10" i="30" s="1"/>
  <c r="G14" i="30"/>
  <c r="H14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0" i="30"/>
  <c r="H50" i="30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6" i="29"/>
  <c r="H46" i="29" s="1"/>
  <c r="G54" i="29"/>
  <c r="H54" i="29" s="1"/>
  <c r="G42" i="29"/>
  <c r="H42" i="29" s="1"/>
  <c r="G50" i="29"/>
  <c r="H50" i="29" s="1"/>
  <c r="G11" i="29"/>
  <c r="H11" i="29" s="1"/>
  <c r="G15" i="29"/>
  <c r="H15" i="29" s="1"/>
  <c r="G19" i="29"/>
  <c r="H19" i="29" s="1"/>
  <c r="G23" i="29"/>
  <c r="H23" i="29" s="1"/>
  <c r="G27" i="29"/>
  <c r="H27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5"/>
  <c r="I27" i="35" s="1"/>
  <c r="J27" i="35" s="1"/>
  <c r="G12" i="35"/>
  <c r="G17" i="34"/>
  <c r="H17" i="34" s="1"/>
  <c r="G25" i="34"/>
  <c r="H25" i="34" s="1"/>
  <c r="G33" i="34"/>
  <c r="H33" i="34" s="1"/>
  <c r="G37" i="34"/>
  <c r="H37" i="34" s="1"/>
  <c r="G41" i="34"/>
  <c r="H41" i="34" s="1"/>
  <c r="G45" i="34"/>
  <c r="H45" i="34" s="1"/>
  <c r="G49" i="34"/>
  <c r="H49" i="34" s="1"/>
  <c r="G12" i="34"/>
  <c r="H12" i="34" s="1"/>
  <c r="G21" i="34"/>
  <c r="H21" i="34" s="1"/>
  <c r="G29" i="34"/>
  <c r="H29" i="34" s="1"/>
  <c r="G18" i="34"/>
  <c r="H18" i="34" s="1"/>
  <c r="G26" i="34"/>
  <c r="H26" i="34" s="1"/>
  <c r="G30" i="34"/>
  <c r="H30" i="34" s="1"/>
  <c r="G38" i="34"/>
  <c r="H38" i="34" s="1"/>
  <c r="G42" i="34"/>
  <c r="H42" i="34" s="1"/>
  <c r="G46" i="34"/>
  <c r="H46" i="34" s="1"/>
  <c r="G54" i="34"/>
  <c r="H54" i="34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43" i="34"/>
  <c r="H43" i="34" s="1"/>
  <c r="G47" i="34"/>
  <c r="H47" i="34" s="1"/>
  <c r="G51" i="34"/>
  <c r="H51" i="34" s="1"/>
  <c r="G55" i="34"/>
  <c r="H55" i="34" s="1"/>
  <c r="G22" i="34"/>
  <c r="H22" i="34" s="1"/>
  <c r="G34" i="34"/>
  <c r="H34" i="34" s="1"/>
  <c r="G50" i="34"/>
  <c r="H50" i="34" s="1"/>
  <c r="G12" i="28"/>
  <c r="H12" i="28" s="1"/>
  <c r="G13" i="28"/>
  <c r="H13" i="28" s="1"/>
  <c r="G12" i="27"/>
  <c r="I37" i="27" s="1"/>
  <c r="G55" i="27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7" i="26"/>
  <c r="H47" i="26" s="1"/>
  <c r="G51" i="26"/>
  <c r="H51" i="26" s="1"/>
  <c r="G13" i="26"/>
  <c r="H13" i="26" s="1"/>
  <c r="G21" i="26"/>
  <c r="H21" i="26" s="1"/>
  <c r="G25" i="26"/>
  <c r="H25" i="26" s="1"/>
  <c r="G29" i="26"/>
  <c r="H29" i="26" s="1"/>
  <c r="G33" i="26"/>
  <c r="H33" i="26" s="1"/>
  <c r="G37" i="26"/>
  <c r="H37" i="26" s="1"/>
  <c r="G41" i="26"/>
  <c r="H41" i="26" s="1"/>
  <c r="G45" i="26"/>
  <c r="H45" i="26" s="1"/>
  <c r="G53" i="26"/>
  <c r="H53" i="26" s="1"/>
  <c r="G13" i="37"/>
  <c r="H13" i="37" s="1"/>
  <c r="G21" i="37"/>
  <c r="H21" i="37" s="1"/>
  <c r="G25" i="37"/>
  <c r="H25" i="37" s="1"/>
  <c r="G29" i="37"/>
  <c r="H29" i="37" s="1"/>
  <c r="G33" i="37"/>
  <c r="H33" i="37" s="1"/>
  <c r="G41" i="37"/>
  <c r="H41" i="37" s="1"/>
  <c r="G45" i="37"/>
  <c r="H45" i="37" s="1"/>
  <c r="G49" i="37"/>
  <c r="H49" i="37" s="1"/>
  <c r="G53" i="37"/>
  <c r="H53" i="37" s="1"/>
  <c r="G11" i="37"/>
  <c r="H11" i="37" s="1"/>
  <c r="G15" i="37"/>
  <c r="H15" i="37" s="1"/>
  <c r="G19" i="37"/>
  <c r="H19" i="37" s="1"/>
  <c r="G23" i="37"/>
  <c r="H23" i="37" s="1"/>
  <c r="G31" i="37"/>
  <c r="H31" i="37" s="1"/>
  <c r="G35" i="37"/>
  <c r="H35" i="37" s="1"/>
  <c r="G39" i="37"/>
  <c r="H39" i="37" s="1"/>
  <c r="G43" i="37"/>
  <c r="H43" i="37" s="1"/>
  <c r="G51" i="37"/>
  <c r="H51" i="37" s="1"/>
  <c r="G12" i="33"/>
  <c r="H12" i="33" s="1"/>
  <c r="G20" i="33"/>
  <c r="H20" i="33" s="1"/>
  <c r="G28" i="33"/>
  <c r="H28" i="33" s="1"/>
  <c r="G48" i="33"/>
  <c r="H48" i="33" s="1"/>
  <c r="G52" i="33"/>
  <c r="H52" i="33" s="1"/>
  <c r="G16" i="33"/>
  <c r="H16" i="33" s="1"/>
  <c r="G24" i="33"/>
  <c r="H24" i="33" s="1"/>
  <c r="G44" i="33"/>
  <c r="H44" i="33" s="1"/>
  <c r="G11" i="33"/>
  <c r="H11" i="33" s="1"/>
  <c r="G15" i="33"/>
  <c r="H15" i="33" s="1"/>
  <c r="G19" i="33"/>
  <c r="H19" i="33" s="1"/>
  <c r="G31" i="33"/>
  <c r="H31" i="33" s="1"/>
  <c r="G35" i="33"/>
  <c r="H35" i="33" s="1"/>
  <c r="G39" i="33"/>
  <c r="H39" i="33" s="1"/>
  <c r="G43" i="33"/>
  <c r="H43" i="33" s="1"/>
  <c r="G47" i="33"/>
  <c r="H47" i="33" s="1"/>
  <c r="G51" i="33"/>
  <c r="H51" i="33" s="1"/>
  <c r="G55" i="33"/>
  <c r="H55" i="33" s="1"/>
  <c r="G13" i="33"/>
  <c r="H13" i="33" s="1"/>
  <c r="G17" i="33"/>
  <c r="H17" i="33" s="1"/>
  <c r="G21" i="33"/>
  <c r="H21" i="33" s="1"/>
  <c r="G25" i="33"/>
  <c r="H25" i="33" s="1"/>
  <c r="G29" i="33"/>
  <c r="H29" i="33" s="1"/>
  <c r="G33" i="33"/>
  <c r="H33" i="33" s="1"/>
  <c r="G37" i="33"/>
  <c r="H37" i="33" s="1"/>
  <c r="G41" i="33"/>
  <c r="H41" i="33" s="1"/>
  <c r="E41" i="26"/>
  <c r="E13" i="32"/>
  <c r="E16" i="33"/>
  <c r="E21" i="37"/>
  <c r="E53" i="37"/>
  <c r="E19" i="40"/>
  <c r="E35" i="40"/>
  <c r="E51" i="40"/>
  <c r="E14" i="41"/>
  <c r="E22" i="41"/>
  <c r="E30" i="41"/>
  <c r="E38" i="41"/>
  <c r="E42" i="41"/>
  <c r="E46" i="41"/>
  <c r="E21" i="26"/>
  <c r="E43" i="29"/>
  <c r="E53" i="39"/>
  <c r="E53" i="26"/>
  <c r="E23" i="32"/>
  <c r="E39" i="32"/>
  <c r="E55" i="32"/>
  <c r="E25" i="26"/>
  <c r="E37" i="26"/>
  <c r="E16" i="32"/>
  <c r="E11" i="39"/>
  <c r="E57" i="39"/>
  <c r="E31" i="31"/>
  <c r="E39" i="31"/>
  <c r="E43" i="31"/>
  <c r="E47" i="31"/>
  <c r="E51" i="31"/>
  <c r="E7" i="32"/>
  <c r="E10" i="32"/>
  <c r="E41" i="32"/>
  <c r="E45" i="32"/>
  <c r="E34" i="33"/>
  <c r="E50" i="33"/>
  <c r="E30" i="40"/>
  <c r="E44" i="40"/>
  <c r="E50" i="41"/>
  <c r="E7" i="31"/>
  <c r="E14" i="31"/>
  <c r="E18" i="31"/>
  <c r="E22" i="31"/>
  <c r="E26" i="31"/>
  <c r="E34" i="31"/>
  <c r="E38" i="31"/>
  <c r="E42" i="31"/>
  <c r="E46" i="31"/>
  <c r="E54" i="31"/>
  <c r="E57" i="31"/>
  <c r="E9" i="32"/>
  <c r="E14" i="32"/>
  <c r="E32" i="32"/>
  <c r="E34" i="32"/>
  <c r="E36" i="32"/>
  <c r="E49" i="32"/>
  <c r="E51" i="32"/>
  <c r="E53" i="32"/>
  <c r="E9" i="33"/>
  <c r="E19" i="33"/>
  <c r="E24" i="33"/>
  <c r="E28" i="33"/>
  <c r="E33" i="33"/>
  <c r="E46" i="33"/>
  <c r="E21" i="34"/>
  <c r="E37" i="34"/>
  <c r="E46" i="34"/>
  <c r="E9" i="35"/>
  <c r="E15" i="37"/>
  <c r="E20" i="37"/>
  <c r="E25" i="37"/>
  <c r="E13" i="39"/>
  <c r="E18" i="39"/>
  <c r="E34" i="39"/>
  <c r="E50" i="39"/>
  <c r="E55" i="39"/>
  <c r="E34" i="40"/>
  <c r="E39" i="40"/>
  <c r="E48" i="40"/>
  <c r="E53" i="40"/>
  <c r="E19" i="41"/>
  <c r="E24" i="41"/>
  <c r="E29" i="41"/>
  <c r="E34" i="41"/>
  <c r="E27" i="31"/>
  <c r="E28" i="32"/>
  <c r="E30" i="32"/>
  <c r="E43" i="32"/>
  <c r="E7" i="33"/>
  <c r="E15" i="33"/>
  <c r="E20" i="33"/>
  <c r="E44" i="33"/>
  <c r="E10" i="34"/>
  <c r="E33" i="34"/>
  <c r="E9" i="37"/>
  <c r="E46" i="39"/>
  <c r="E25" i="40"/>
  <c r="E45" i="41"/>
  <c r="E9" i="31"/>
  <c r="E13" i="31"/>
  <c r="E17" i="31"/>
  <c r="E21" i="31"/>
  <c r="E29" i="31"/>
  <c r="E33" i="31"/>
  <c r="E37" i="31"/>
  <c r="E41" i="31"/>
  <c r="E49" i="31"/>
  <c r="E53" i="31"/>
  <c r="E12" i="32"/>
  <c r="E19" i="32"/>
  <c r="E25" i="32"/>
  <c r="E27" i="32"/>
  <c r="E40" i="32"/>
  <c r="E44" i="32"/>
  <c r="E46" i="32"/>
  <c r="E57" i="32"/>
  <c r="E13" i="33"/>
  <c r="E22" i="33"/>
  <c r="E31" i="33"/>
  <c r="E39" i="33"/>
  <c r="E42" i="33"/>
  <c r="E55" i="33"/>
  <c r="E7" i="34"/>
  <c r="E11" i="34"/>
  <c r="E14" i="34"/>
  <c r="E25" i="34"/>
  <c r="E41" i="34"/>
  <c r="E50" i="34"/>
  <c r="E57" i="34"/>
  <c r="E10" i="37"/>
  <c r="E31" i="37"/>
  <c r="E36" i="37"/>
  <c r="E41" i="37"/>
  <c r="E38" i="39"/>
  <c r="E12" i="40"/>
  <c r="E43" i="40"/>
  <c r="E51" i="41"/>
  <c r="E11" i="31"/>
  <c r="E19" i="31"/>
  <c r="E23" i="31"/>
  <c r="E21" i="32"/>
  <c r="E26" i="32"/>
  <c r="E25" i="33"/>
  <c r="E29" i="33"/>
  <c r="E37" i="33"/>
  <c r="E42" i="34"/>
  <c r="E30" i="39"/>
  <c r="E11" i="40"/>
  <c r="E12" i="31"/>
  <c r="E16" i="31"/>
  <c r="E24" i="31"/>
  <c r="E28" i="31"/>
  <c r="E32" i="31"/>
  <c r="E36" i="31"/>
  <c r="E44" i="31"/>
  <c r="E48" i="31"/>
  <c r="E52" i="31"/>
  <c r="E17" i="32"/>
  <c r="E18" i="32"/>
  <c r="E22" i="32"/>
  <c r="E31" i="32"/>
  <c r="E35" i="32"/>
  <c r="E37" i="32"/>
  <c r="E48" i="32"/>
  <c r="E50" i="32"/>
  <c r="E54" i="32"/>
  <c r="E11" i="33"/>
  <c r="E12" i="33"/>
  <c r="E17" i="33"/>
  <c r="E21" i="33"/>
  <c r="E26" i="33"/>
  <c r="E30" i="33"/>
  <c r="E35" i="33"/>
  <c r="E41" i="33"/>
  <c r="E48" i="33"/>
  <c r="E51" i="33"/>
  <c r="E54" i="33"/>
  <c r="E17" i="34"/>
  <c r="E29" i="34"/>
  <c r="E54" i="34"/>
  <c r="E26" i="37"/>
  <c r="E26" i="39"/>
  <c r="E42" i="39"/>
  <c r="E16" i="40"/>
  <c r="E21" i="40"/>
  <c r="E13" i="41"/>
  <c r="E18" i="41"/>
  <c r="E35" i="41"/>
  <c r="E40" i="41"/>
  <c r="E45" i="34"/>
  <c r="E49" i="34"/>
  <c r="E53" i="34"/>
  <c r="E7" i="36"/>
  <c r="E14" i="37"/>
  <c r="E19" i="37"/>
  <c r="E24" i="37"/>
  <c r="E30" i="37"/>
  <c r="E35" i="37"/>
  <c r="E40" i="37"/>
  <c r="E46" i="37"/>
  <c r="E51" i="37"/>
  <c r="E12" i="39"/>
  <c r="E17" i="39"/>
  <c r="E21" i="39"/>
  <c r="E25" i="39"/>
  <c r="E33" i="39"/>
  <c r="E41" i="39"/>
  <c r="E49" i="39"/>
  <c r="E54" i="39"/>
  <c r="E7" i="40"/>
  <c r="E10" i="40"/>
  <c r="E15" i="40"/>
  <c r="E20" i="40"/>
  <c r="E24" i="40"/>
  <c r="E29" i="40"/>
  <c r="E33" i="40"/>
  <c r="E38" i="40"/>
  <c r="E42" i="40"/>
  <c r="E47" i="40"/>
  <c r="E52" i="40"/>
  <c r="E12" i="41"/>
  <c r="E17" i="41"/>
  <c r="E23" i="41"/>
  <c r="E28" i="41"/>
  <c r="E33" i="41"/>
  <c r="E39" i="41"/>
  <c r="E44" i="41"/>
  <c r="E49" i="41"/>
  <c r="E55" i="41"/>
  <c r="E57" i="33"/>
  <c r="E9" i="34"/>
  <c r="E19" i="34"/>
  <c r="E23" i="34"/>
  <c r="E27" i="34"/>
  <c r="E31" i="34"/>
  <c r="E35" i="34"/>
  <c r="E39" i="34"/>
  <c r="E12" i="35"/>
  <c r="E57" i="35"/>
  <c r="E9" i="36"/>
  <c r="E7" i="37"/>
  <c r="E13" i="37"/>
  <c r="E18" i="37"/>
  <c r="E23" i="37"/>
  <c r="E28" i="37"/>
  <c r="E29" i="37"/>
  <c r="E34" i="37"/>
  <c r="E39" i="37"/>
  <c r="E44" i="37"/>
  <c r="E45" i="37"/>
  <c r="E50" i="37"/>
  <c r="E55" i="37"/>
  <c r="E7" i="39"/>
  <c r="E10" i="39"/>
  <c r="E16" i="39"/>
  <c r="E20" i="39"/>
  <c r="E24" i="39"/>
  <c r="E28" i="39"/>
  <c r="E32" i="39"/>
  <c r="E36" i="39"/>
  <c r="E40" i="39"/>
  <c r="E44" i="39"/>
  <c r="E48" i="39"/>
  <c r="E9" i="40"/>
  <c r="E28" i="40"/>
  <c r="E37" i="40"/>
  <c r="E46" i="40"/>
  <c r="E50" i="40"/>
  <c r="E55" i="40"/>
  <c r="E7" i="41"/>
  <c r="E11" i="41"/>
  <c r="E16" i="41"/>
  <c r="E21" i="41"/>
  <c r="E27" i="41"/>
  <c r="E32" i="41"/>
  <c r="E37" i="41"/>
  <c r="E43" i="41"/>
  <c r="E48" i="41"/>
  <c r="E53" i="41"/>
  <c r="E54" i="41"/>
  <c r="E57" i="41"/>
  <c r="E38" i="33"/>
  <c r="E43" i="33"/>
  <c r="E47" i="33"/>
  <c r="E52" i="33"/>
  <c r="E12" i="34"/>
  <c r="E18" i="34"/>
  <c r="E22" i="34"/>
  <c r="E26" i="34"/>
  <c r="E30" i="34"/>
  <c r="E34" i="34"/>
  <c r="E38" i="34"/>
  <c r="E43" i="34"/>
  <c r="E47" i="34"/>
  <c r="E51" i="34"/>
  <c r="E55" i="34"/>
  <c r="E7" i="35"/>
  <c r="E10" i="35"/>
  <c r="E11" i="35"/>
  <c r="E57" i="36"/>
  <c r="E11" i="37"/>
  <c r="E16" i="37"/>
  <c r="E33" i="37"/>
  <c r="E38" i="37"/>
  <c r="E43" i="37"/>
  <c r="E48" i="37"/>
  <c r="E49" i="37"/>
  <c r="E54" i="37"/>
  <c r="E57" i="37"/>
  <c r="E9" i="39"/>
  <c r="E15" i="39"/>
  <c r="E19" i="39"/>
  <c r="E23" i="39"/>
  <c r="E27" i="39"/>
  <c r="E31" i="39"/>
  <c r="E35" i="39"/>
  <c r="E39" i="39"/>
  <c r="E43" i="39"/>
  <c r="E47" i="39"/>
  <c r="E51" i="39"/>
  <c r="E13" i="40"/>
  <c r="E17" i="40"/>
  <c r="E22" i="40"/>
  <c r="E26" i="40"/>
  <c r="E31" i="40"/>
  <c r="E40" i="40"/>
  <c r="E57" i="40"/>
  <c r="E9" i="41"/>
  <c r="E10" i="41"/>
  <c r="E15" i="41"/>
  <c r="E20" i="41"/>
  <c r="E25" i="41"/>
  <c r="E26" i="41"/>
  <c r="E31" i="41"/>
  <c r="E36" i="41"/>
  <c r="E41" i="41"/>
  <c r="E47" i="41"/>
  <c r="E52" i="41"/>
  <c r="E42" i="29"/>
  <c r="E47" i="29"/>
  <c r="E7" i="30"/>
  <c r="E14" i="30"/>
  <c r="E50" i="30"/>
  <c r="E13" i="29"/>
  <c r="E17" i="29"/>
  <c r="E21" i="29"/>
  <c r="E25" i="29"/>
  <c r="E29" i="29"/>
  <c r="E33" i="29"/>
  <c r="E37" i="29"/>
  <c r="E46" i="29"/>
  <c r="E50" i="29"/>
  <c r="E54" i="29"/>
  <c r="E57" i="29"/>
  <c r="E9" i="30"/>
  <c r="E17" i="30"/>
  <c r="E25" i="30"/>
  <c r="E33" i="30"/>
  <c r="E41" i="30"/>
  <c r="E53" i="30"/>
  <c r="E7" i="27"/>
  <c r="E12" i="27"/>
  <c r="E54" i="27"/>
  <c r="E57" i="27"/>
  <c r="E9" i="28"/>
  <c r="E12" i="29"/>
  <c r="E16" i="29"/>
  <c r="E20" i="29"/>
  <c r="E24" i="29"/>
  <c r="E28" i="29"/>
  <c r="E32" i="29"/>
  <c r="E36" i="29"/>
  <c r="E40" i="29"/>
  <c r="E12" i="30"/>
  <c r="E16" i="30"/>
  <c r="E20" i="30"/>
  <c r="E24" i="30"/>
  <c r="E28" i="30"/>
  <c r="E32" i="30"/>
  <c r="E44" i="30"/>
  <c r="E48" i="30"/>
  <c r="E52" i="30"/>
  <c r="E12" i="28"/>
  <c r="E9" i="29"/>
  <c r="E51" i="29"/>
  <c r="E55" i="29"/>
  <c r="E10" i="30"/>
  <c r="E26" i="30"/>
  <c r="E30" i="30"/>
  <c r="E34" i="30"/>
  <c r="E38" i="30"/>
  <c r="E42" i="30"/>
  <c r="E46" i="30"/>
  <c r="E57" i="30"/>
  <c r="E9" i="27"/>
  <c r="E55" i="27"/>
  <c r="E7" i="28"/>
  <c r="E11" i="28"/>
  <c r="E21" i="30"/>
  <c r="E29" i="30"/>
  <c r="E37" i="30"/>
  <c r="E7" i="29"/>
  <c r="E11" i="29"/>
  <c r="E15" i="29"/>
  <c r="E19" i="29"/>
  <c r="E23" i="29"/>
  <c r="E27" i="29"/>
  <c r="E31" i="29"/>
  <c r="E35" i="29"/>
  <c r="E39" i="29"/>
  <c r="E44" i="29"/>
  <c r="E48" i="29"/>
  <c r="E52" i="29"/>
  <c r="E11" i="30"/>
  <c r="E15" i="30"/>
  <c r="E19" i="30"/>
  <c r="E23" i="30"/>
  <c r="E35" i="30"/>
  <c r="E39" i="30"/>
  <c r="E43" i="30"/>
  <c r="E47" i="30"/>
  <c r="E51" i="30"/>
  <c r="E55" i="30"/>
  <c r="E9" i="26"/>
  <c r="E35" i="26"/>
  <c r="E40" i="26"/>
  <c r="E7" i="26"/>
  <c r="E12" i="26"/>
  <c r="E13" i="26"/>
  <c r="E18" i="26"/>
  <c r="E23" i="26"/>
  <c r="E28" i="26"/>
  <c r="E29" i="26"/>
  <c r="E34" i="26"/>
  <c r="E39" i="26"/>
  <c r="E44" i="26"/>
  <c r="E45" i="26"/>
  <c r="E50" i="26"/>
  <c r="E16" i="26"/>
  <c r="E22" i="26"/>
  <c r="E27" i="26"/>
  <c r="E32" i="26"/>
  <c r="E33" i="26"/>
  <c r="E38" i="26"/>
  <c r="E48" i="26"/>
  <c r="E54" i="26"/>
  <c r="E57" i="26"/>
  <c r="E14" i="26"/>
  <c r="E19" i="26"/>
  <c r="E46" i="26"/>
  <c r="E51" i="26"/>
  <c r="E10" i="26"/>
  <c r="E15" i="26"/>
  <c r="E20" i="26"/>
  <c r="E26" i="26"/>
  <c r="E31" i="26"/>
  <c r="E42" i="26"/>
  <c r="E47" i="26"/>
  <c r="E52" i="26"/>
  <c r="J34" i="36" l="1"/>
  <c r="I47" i="36"/>
  <c r="I35" i="36"/>
  <c r="I40" i="36"/>
  <c r="I16" i="36"/>
  <c r="I21" i="36"/>
  <c r="I27" i="36"/>
  <c r="I49" i="36"/>
  <c r="I31" i="36"/>
  <c r="I24" i="36"/>
  <c r="I22" i="36"/>
  <c r="I42" i="36"/>
  <c r="I37" i="36"/>
  <c r="I46" i="36"/>
  <c r="I28" i="36"/>
  <c r="I25" i="36"/>
  <c r="I18" i="36"/>
  <c r="I45" i="36"/>
  <c r="I29" i="36"/>
  <c r="I36" i="36"/>
  <c r="I19" i="36"/>
  <c r="I17" i="36"/>
  <c r="I39" i="36"/>
  <c r="I41" i="36"/>
  <c r="I43" i="36"/>
  <c r="I30" i="36"/>
  <c r="I33" i="36"/>
  <c r="I48" i="36"/>
  <c r="I15" i="36"/>
  <c r="I51" i="36"/>
  <c r="J51" i="36" s="1"/>
  <c r="I23" i="36"/>
  <c r="I42" i="35"/>
  <c r="I40" i="35"/>
  <c r="I36" i="35"/>
  <c r="I23" i="35"/>
  <c r="I37" i="35"/>
  <c r="I45" i="35"/>
  <c r="I38" i="35"/>
  <c r="I49" i="35"/>
  <c r="I19" i="35"/>
  <c r="I18" i="35"/>
  <c r="I39" i="35"/>
  <c r="I50" i="35"/>
  <c r="I22" i="35"/>
  <c r="I53" i="35"/>
  <c r="I21" i="35"/>
  <c r="I17" i="35"/>
  <c r="I46" i="35"/>
  <c r="I48" i="35"/>
  <c r="I13" i="35"/>
  <c r="I26" i="35"/>
  <c r="I12" i="36"/>
  <c r="F13" i="36" s="1"/>
  <c r="I32" i="35"/>
  <c r="I20" i="35"/>
  <c r="I15" i="35"/>
  <c r="I29" i="35"/>
  <c r="I43" i="35"/>
  <c r="I44" i="35"/>
  <c r="I33" i="35"/>
  <c r="I52" i="35"/>
  <c r="I16" i="35"/>
  <c r="I47" i="35"/>
  <c r="I31" i="35"/>
  <c r="I24" i="35"/>
  <c r="I25" i="35"/>
  <c r="I54" i="35"/>
  <c r="J54" i="35" s="1"/>
  <c r="I30" i="35"/>
  <c r="I34" i="35"/>
  <c r="I51" i="35"/>
  <c r="I35" i="35"/>
  <c r="I11" i="36"/>
  <c r="H10" i="35"/>
  <c r="H12" i="35"/>
  <c r="H11" i="35"/>
  <c r="I18" i="27"/>
  <c r="I52" i="27"/>
  <c r="J52" i="27" s="1"/>
  <c r="I42" i="27"/>
  <c r="I21" i="27"/>
  <c r="I32" i="27"/>
  <c r="J32" i="27" s="1"/>
  <c r="I14" i="27"/>
  <c r="J14" i="27" s="1"/>
  <c r="I30" i="27"/>
  <c r="I25" i="27"/>
  <c r="J25" i="27" s="1"/>
  <c r="J37" i="27"/>
  <c r="J42" i="27"/>
  <c r="J30" i="27"/>
  <c r="J18" i="27"/>
  <c r="I27" i="27"/>
  <c r="I38" i="27"/>
  <c r="I24" i="27"/>
  <c r="I45" i="27"/>
  <c r="I16" i="27"/>
  <c r="I31" i="27"/>
  <c r="I22" i="27"/>
  <c r="F22" i="27" s="1"/>
  <c r="I49" i="27"/>
  <c r="I19" i="27"/>
  <c r="F19" i="27" s="1"/>
  <c r="I13" i="27"/>
  <c r="F18" i="27"/>
  <c r="J21" i="27"/>
  <c r="H55" i="27"/>
  <c r="E109" i="27"/>
  <c r="F109" i="27" s="1"/>
  <c r="I34" i="27"/>
  <c r="I39" i="27"/>
  <c r="I48" i="27"/>
  <c r="I33" i="27"/>
  <c r="J10" i="27"/>
  <c r="I46" i="27"/>
  <c r="I43" i="27"/>
  <c r="I40" i="27"/>
  <c r="E64" i="27"/>
  <c r="H10" i="27"/>
  <c r="I20" i="27"/>
  <c r="I50" i="27"/>
  <c r="I44" i="27"/>
  <c r="I51" i="27"/>
  <c r="I36" i="27"/>
  <c r="I15" i="27"/>
  <c r="I26" i="27"/>
  <c r="I28" i="27"/>
  <c r="H9" i="27"/>
  <c r="E63" i="27"/>
  <c r="H12" i="27"/>
  <c r="E66" i="27"/>
  <c r="H9" i="36"/>
  <c r="E63" i="36"/>
  <c r="E64" i="36"/>
  <c r="H10" i="36"/>
  <c r="I54" i="36"/>
  <c r="I10" i="36"/>
  <c r="F11" i="36" s="1"/>
  <c r="I55" i="36"/>
  <c r="J55" i="36" s="1"/>
  <c r="I52" i="36"/>
  <c r="I53" i="36"/>
  <c r="I55" i="29"/>
  <c r="J55" i="29" s="1"/>
  <c r="I37" i="29"/>
  <c r="J37" i="29" s="1"/>
  <c r="I31" i="29"/>
  <c r="J31" i="29" s="1"/>
  <c r="I28" i="29"/>
  <c r="J28" i="29" s="1"/>
  <c r="I27" i="29"/>
  <c r="J27" i="29" s="1"/>
  <c r="I43" i="29"/>
  <c r="J43" i="29" s="1"/>
  <c r="I12" i="29"/>
  <c r="J12" i="29" s="1"/>
  <c r="I54" i="29"/>
  <c r="J54" i="29" s="1"/>
  <c r="I21" i="29"/>
  <c r="J21" i="29" s="1"/>
  <c r="I25" i="29"/>
  <c r="J25" i="29" s="1"/>
  <c r="I23" i="29"/>
  <c r="J23" i="29" s="1"/>
  <c r="I42" i="29"/>
  <c r="J42" i="29" s="1"/>
  <c r="I52" i="29"/>
  <c r="J52" i="29" s="1"/>
  <c r="I19" i="29"/>
  <c r="J19" i="29" s="1"/>
  <c r="I47" i="29"/>
  <c r="J47" i="29" s="1"/>
  <c r="I9" i="29"/>
  <c r="I16" i="29"/>
  <c r="J16" i="29" s="1"/>
  <c r="I36" i="29"/>
  <c r="J36" i="29" s="1"/>
  <c r="I20" i="29"/>
  <c r="I7" i="29"/>
  <c r="J7" i="29" s="1"/>
  <c r="I32" i="29"/>
  <c r="J32" i="29" s="1"/>
  <c r="I46" i="29"/>
  <c r="J46" i="29" s="1"/>
  <c r="I29" i="29"/>
  <c r="J29" i="29" s="1"/>
  <c r="I13" i="29"/>
  <c r="J13" i="29" s="1"/>
  <c r="I48" i="29"/>
  <c r="I15" i="29"/>
  <c r="I44" i="29"/>
  <c r="J44" i="29" s="1"/>
  <c r="I11" i="29"/>
  <c r="I40" i="29"/>
  <c r="J40" i="29" s="1"/>
  <c r="I24" i="29"/>
  <c r="I57" i="29"/>
  <c r="J57" i="29" s="1"/>
  <c r="P17" i="29" s="1"/>
  <c r="I50" i="29"/>
  <c r="J50" i="29" s="1"/>
  <c r="I33" i="29"/>
  <c r="I17" i="29"/>
  <c r="I39" i="29"/>
  <c r="I51" i="29"/>
  <c r="I35" i="29"/>
  <c r="I57" i="35"/>
  <c r="J57" i="35" s="1"/>
  <c r="P17" i="35" s="1"/>
  <c r="I12" i="35"/>
  <c r="F13" i="35" s="1"/>
  <c r="I9" i="35"/>
  <c r="J9" i="35" s="1"/>
  <c r="I11" i="35"/>
  <c r="J11" i="35" s="1"/>
  <c r="I7" i="35"/>
  <c r="J7" i="35" s="1"/>
  <c r="I10" i="35"/>
  <c r="J10" i="35" s="1"/>
  <c r="I57" i="39"/>
  <c r="J57" i="39" s="1"/>
  <c r="P17" i="39" s="1"/>
  <c r="I53" i="39"/>
  <c r="J53" i="39" s="1"/>
  <c r="I48" i="39"/>
  <c r="J48" i="39" s="1"/>
  <c r="I44" i="39"/>
  <c r="J44" i="39" s="1"/>
  <c r="I40" i="39"/>
  <c r="J40" i="39" s="1"/>
  <c r="I36" i="39"/>
  <c r="J36" i="39" s="1"/>
  <c r="I32" i="39"/>
  <c r="J32" i="39" s="1"/>
  <c r="I28" i="39"/>
  <c r="J28" i="39" s="1"/>
  <c r="I24" i="39"/>
  <c r="J24" i="39" s="1"/>
  <c r="I20" i="39"/>
  <c r="J20" i="39" s="1"/>
  <c r="I16" i="39"/>
  <c r="J16" i="39" s="1"/>
  <c r="I11" i="39"/>
  <c r="J11" i="39" s="1"/>
  <c r="I10" i="39"/>
  <c r="J10" i="39" s="1"/>
  <c r="I7" i="39"/>
  <c r="J7" i="39" s="1"/>
  <c r="I54" i="39"/>
  <c r="J54" i="39" s="1"/>
  <c r="I49" i="39"/>
  <c r="J49" i="39" s="1"/>
  <c r="I41" i="39"/>
  <c r="J41" i="39" s="1"/>
  <c r="I33" i="39"/>
  <c r="J33" i="39" s="1"/>
  <c r="I25" i="39"/>
  <c r="J25" i="39" s="1"/>
  <c r="I21" i="39"/>
  <c r="J21" i="39" s="1"/>
  <c r="I17" i="39"/>
  <c r="J17" i="39" s="1"/>
  <c r="I12" i="39"/>
  <c r="J12" i="39" s="1"/>
  <c r="I55" i="39"/>
  <c r="I50" i="39"/>
  <c r="J50" i="39" s="1"/>
  <c r="I46" i="39"/>
  <c r="J46" i="39" s="1"/>
  <c r="I42" i="39"/>
  <c r="J42" i="39" s="1"/>
  <c r="I38" i="39"/>
  <c r="J38" i="39" s="1"/>
  <c r="I34" i="39"/>
  <c r="J34" i="39" s="1"/>
  <c r="I30" i="39"/>
  <c r="J30" i="39" s="1"/>
  <c r="I26" i="39"/>
  <c r="J26" i="39" s="1"/>
  <c r="I18" i="39"/>
  <c r="J18" i="39" s="1"/>
  <c r="I13" i="39"/>
  <c r="J13" i="39" s="1"/>
  <c r="I47" i="39"/>
  <c r="J47" i="39" s="1"/>
  <c r="I31" i="39"/>
  <c r="J31" i="39" s="1"/>
  <c r="I15" i="39"/>
  <c r="J15" i="39" s="1"/>
  <c r="I9" i="39"/>
  <c r="J9" i="39" s="1"/>
  <c r="I43" i="39"/>
  <c r="J43" i="39" s="1"/>
  <c r="I27" i="39"/>
  <c r="J27" i="39" s="1"/>
  <c r="I35" i="39"/>
  <c r="J35" i="39" s="1"/>
  <c r="I39" i="39"/>
  <c r="J39" i="39" s="1"/>
  <c r="I23" i="39"/>
  <c r="J23" i="39" s="1"/>
  <c r="I51" i="39"/>
  <c r="J51" i="39" s="1"/>
  <c r="I19" i="39"/>
  <c r="J19" i="39" s="1"/>
  <c r="I55" i="37"/>
  <c r="I50" i="37"/>
  <c r="J50" i="37" s="1"/>
  <c r="I45" i="37"/>
  <c r="J45" i="37" s="1"/>
  <c r="I44" i="37"/>
  <c r="J44" i="37" s="1"/>
  <c r="I39" i="37"/>
  <c r="J39" i="37" s="1"/>
  <c r="I34" i="37"/>
  <c r="J34" i="37" s="1"/>
  <c r="I29" i="37"/>
  <c r="J29" i="37" s="1"/>
  <c r="I28" i="37"/>
  <c r="J28" i="37" s="1"/>
  <c r="I23" i="37"/>
  <c r="J23" i="37" s="1"/>
  <c r="I18" i="37"/>
  <c r="J18" i="37" s="1"/>
  <c r="I13" i="37"/>
  <c r="J13" i="37" s="1"/>
  <c r="I7" i="37"/>
  <c r="J7" i="37" s="1"/>
  <c r="I51" i="37"/>
  <c r="J51" i="37" s="1"/>
  <c r="I46" i="37"/>
  <c r="J46" i="37" s="1"/>
  <c r="I41" i="37"/>
  <c r="J41" i="37" s="1"/>
  <c r="I40" i="37"/>
  <c r="J40" i="37" s="1"/>
  <c r="I35" i="37"/>
  <c r="J35" i="37" s="1"/>
  <c r="I30" i="37"/>
  <c r="J30" i="37" s="1"/>
  <c r="I25" i="37"/>
  <c r="J25" i="37" s="1"/>
  <c r="I24" i="37"/>
  <c r="J24" i="37" s="1"/>
  <c r="I19" i="37"/>
  <c r="J19" i="37" s="1"/>
  <c r="I14" i="37"/>
  <c r="J14" i="37" s="1"/>
  <c r="I9" i="37"/>
  <c r="J9" i="37" s="1"/>
  <c r="I53" i="37"/>
  <c r="J53" i="37" s="1"/>
  <c r="I36" i="37"/>
  <c r="J36" i="37" s="1"/>
  <c r="I31" i="37"/>
  <c r="J31" i="37" s="1"/>
  <c r="I26" i="37"/>
  <c r="J26" i="37" s="1"/>
  <c r="I21" i="37"/>
  <c r="J21" i="37" s="1"/>
  <c r="I20" i="37"/>
  <c r="J20" i="37" s="1"/>
  <c r="I15" i="37"/>
  <c r="J15" i="37" s="1"/>
  <c r="I10" i="37"/>
  <c r="J10" i="37" s="1"/>
  <c r="I43" i="37"/>
  <c r="J43" i="37" s="1"/>
  <c r="I48" i="37"/>
  <c r="J48" i="37" s="1"/>
  <c r="I57" i="37"/>
  <c r="J57" i="37" s="1"/>
  <c r="P17" i="37" s="1"/>
  <c r="I38" i="37"/>
  <c r="J38" i="37" s="1"/>
  <c r="I33" i="37"/>
  <c r="J33" i="37" s="1"/>
  <c r="I16" i="37"/>
  <c r="J16" i="37" s="1"/>
  <c r="I54" i="37"/>
  <c r="J54" i="37" s="1"/>
  <c r="I49" i="37"/>
  <c r="J49" i="37" s="1"/>
  <c r="I11" i="37"/>
  <c r="J11" i="37" s="1"/>
  <c r="I53" i="31"/>
  <c r="J53" i="31" s="1"/>
  <c r="I49" i="31"/>
  <c r="J49" i="31" s="1"/>
  <c r="I41" i="31"/>
  <c r="J41" i="31" s="1"/>
  <c r="I37" i="31"/>
  <c r="J37" i="31" s="1"/>
  <c r="I33" i="31"/>
  <c r="J33" i="31" s="1"/>
  <c r="I29" i="31"/>
  <c r="J29" i="31" s="1"/>
  <c r="I21" i="31"/>
  <c r="J21" i="31" s="1"/>
  <c r="I17" i="31"/>
  <c r="J17" i="31" s="1"/>
  <c r="I13" i="31"/>
  <c r="J13" i="31" s="1"/>
  <c r="I9" i="31"/>
  <c r="J9" i="31" s="1"/>
  <c r="I24" i="31"/>
  <c r="J24" i="31" s="1"/>
  <c r="I16" i="31"/>
  <c r="J16" i="31" s="1"/>
  <c r="I12" i="31"/>
  <c r="J12" i="31" s="1"/>
  <c r="I57" i="31"/>
  <c r="J57" i="31" s="1"/>
  <c r="P17" i="31" s="1"/>
  <c r="I54" i="31"/>
  <c r="J54" i="31" s="1"/>
  <c r="I46" i="31"/>
  <c r="J46" i="31" s="1"/>
  <c r="I42" i="31"/>
  <c r="J42" i="31" s="1"/>
  <c r="I38" i="31"/>
  <c r="J38" i="31" s="1"/>
  <c r="I34" i="31"/>
  <c r="J34" i="31" s="1"/>
  <c r="I26" i="31"/>
  <c r="J26" i="31" s="1"/>
  <c r="I22" i="31"/>
  <c r="J22" i="31" s="1"/>
  <c r="I18" i="31"/>
  <c r="J18" i="31" s="1"/>
  <c r="I14" i="31"/>
  <c r="J14" i="31" s="1"/>
  <c r="I7" i="31"/>
  <c r="J7" i="31" s="1"/>
  <c r="I28" i="31"/>
  <c r="J28" i="31" s="1"/>
  <c r="I51" i="31"/>
  <c r="J51" i="31" s="1"/>
  <c r="I47" i="31"/>
  <c r="J47" i="31" s="1"/>
  <c r="I43" i="31"/>
  <c r="J43" i="31" s="1"/>
  <c r="I39" i="31"/>
  <c r="J39" i="31" s="1"/>
  <c r="I31" i="31"/>
  <c r="J31" i="31" s="1"/>
  <c r="I27" i="31"/>
  <c r="J27" i="31" s="1"/>
  <c r="I23" i="31"/>
  <c r="J23" i="31" s="1"/>
  <c r="I19" i="31"/>
  <c r="J19" i="31" s="1"/>
  <c r="I11" i="31"/>
  <c r="J11" i="31" s="1"/>
  <c r="I52" i="31"/>
  <c r="J52" i="31" s="1"/>
  <c r="I48" i="31"/>
  <c r="J48" i="31" s="1"/>
  <c r="I44" i="31"/>
  <c r="J44" i="31" s="1"/>
  <c r="I36" i="31"/>
  <c r="J36" i="31" s="1"/>
  <c r="I32" i="31"/>
  <c r="J32" i="31" s="1"/>
  <c r="I9" i="36"/>
  <c r="I7" i="36"/>
  <c r="J7" i="36" s="1"/>
  <c r="I57" i="36"/>
  <c r="J57" i="36" s="1"/>
  <c r="P17" i="36" s="1"/>
  <c r="I19" i="32"/>
  <c r="J19" i="32" s="1"/>
  <c r="I13" i="32"/>
  <c r="J13" i="32" s="1"/>
  <c r="I12" i="32"/>
  <c r="J12" i="32" s="1"/>
  <c r="I18" i="32"/>
  <c r="J18" i="32" s="1"/>
  <c r="I17" i="32"/>
  <c r="J17" i="32" s="1"/>
  <c r="I14" i="32"/>
  <c r="J14" i="32" s="1"/>
  <c r="I9" i="32"/>
  <c r="J9" i="32" s="1"/>
  <c r="I16" i="32"/>
  <c r="J16" i="32" s="1"/>
  <c r="I10" i="32"/>
  <c r="J10" i="32" s="1"/>
  <c r="I7" i="32"/>
  <c r="I55" i="40"/>
  <c r="I51" i="40"/>
  <c r="J51" i="40" s="1"/>
  <c r="I50" i="40"/>
  <c r="J50" i="40" s="1"/>
  <c r="I46" i="40"/>
  <c r="J46" i="40" s="1"/>
  <c r="I37" i="40"/>
  <c r="J37" i="40" s="1"/>
  <c r="I28" i="40"/>
  <c r="J28" i="40" s="1"/>
  <c r="I19" i="40"/>
  <c r="J19" i="40" s="1"/>
  <c r="I9" i="40"/>
  <c r="J9" i="40" s="1"/>
  <c r="I52" i="40"/>
  <c r="J52" i="40" s="1"/>
  <c r="I47" i="40"/>
  <c r="J47" i="40" s="1"/>
  <c r="I43" i="40"/>
  <c r="J43" i="40" s="1"/>
  <c r="I42" i="40"/>
  <c r="J42" i="40" s="1"/>
  <c r="I38" i="40"/>
  <c r="J38" i="40" s="1"/>
  <c r="I33" i="40"/>
  <c r="J33" i="40" s="1"/>
  <c r="I29" i="40"/>
  <c r="J29" i="40" s="1"/>
  <c r="I24" i="40"/>
  <c r="J24" i="40" s="1"/>
  <c r="I20" i="40"/>
  <c r="J20" i="40" s="1"/>
  <c r="I15" i="40"/>
  <c r="J15" i="40" s="1"/>
  <c r="I11" i="40"/>
  <c r="J11" i="40" s="1"/>
  <c r="I10" i="40"/>
  <c r="J10" i="40" s="1"/>
  <c r="I7" i="40"/>
  <c r="J7" i="40" s="1"/>
  <c r="I53" i="40"/>
  <c r="J53" i="40" s="1"/>
  <c r="I48" i="40"/>
  <c r="J48" i="40" s="1"/>
  <c r="I44" i="40"/>
  <c r="J44" i="40" s="1"/>
  <c r="I39" i="40"/>
  <c r="J39" i="40" s="1"/>
  <c r="I35" i="40"/>
  <c r="J35" i="40" s="1"/>
  <c r="I34" i="40"/>
  <c r="J34" i="40" s="1"/>
  <c r="I30" i="40"/>
  <c r="J30" i="40" s="1"/>
  <c r="I25" i="40"/>
  <c r="J25" i="40" s="1"/>
  <c r="I21" i="40"/>
  <c r="J21" i="40" s="1"/>
  <c r="I16" i="40"/>
  <c r="J16" i="40" s="1"/>
  <c r="I12" i="40"/>
  <c r="J12" i="40" s="1"/>
  <c r="I57" i="40"/>
  <c r="J57" i="40" s="1"/>
  <c r="P17" i="40" s="1"/>
  <c r="I31" i="40"/>
  <c r="J31" i="40" s="1"/>
  <c r="I26" i="40"/>
  <c r="J26" i="40" s="1"/>
  <c r="I22" i="40"/>
  <c r="J22" i="40" s="1"/>
  <c r="I17" i="40"/>
  <c r="J17" i="40" s="1"/>
  <c r="I40" i="40"/>
  <c r="J40" i="40" s="1"/>
  <c r="I13" i="40"/>
  <c r="J13" i="40" s="1"/>
  <c r="I15" i="34"/>
  <c r="J15" i="34" s="1"/>
  <c r="I39" i="34"/>
  <c r="J39" i="34" s="1"/>
  <c r="I35" i="34"/>
  <c r="J35" i="34" s="1"/>
  <c r="I31" i="34"/>
  <c r="J31" i="34" s="1"/>
  <c r="I27" i="34"/>
  <c r="J27" i="34" s="1"/>
  <c r="I23" i="34"/>
  <c r="J23" i="34" s="1"/>
  <c r="I19" i="34"/>
  <c r="J19" i="34" s="1"/>
  <c r="I9" i="34"/>
  <c r="J9" i="34" s="1"/>
  <c r="I53" i="34"/>
  <c r="J53" i="34" s="1"/>
  <c r="I49" i="34"/>
  <c r="J49" i="34" s="1"/>
  <c r="I45" i="34"/>
  <c r="J45" i="34" s="1"/>
  <c r="I41" i="34"/>
  <c r="J41" i="34" s="1"/>
  <c r="I14" i="34"/>
  <c r="J14" i="34" s="1"/>
  <c r="I10" i="34"/>
  <c r="J10" i="34" s="1"/>
  <c r="I7" i="34"/>
  <c r="J7" i="34" s="1"/>
  <c r="I57" i="34"/>
  <c r="J57" i="34" s="1"/>
  <c r="P17" i="34" s="1"/>
  <c r="I54" i="34"/>
  <c r="J54" i="34" s="1"/>
  <c r="I50" i="34"/>
  <c r="J50" i="34" s="1"/>
  <c r="I46" i="34"/>
  <c r="J46" i="34" s="1"/>
  <c r="I42" i="34"/>
  <c r="J42" i="34" s="1"/>
  <c r="I37" i="34"/>
  <c r="J37" i="34" s="1"/>
  <c r="I33" i="34"/>
  <c r="J33" i="34" s="1"/>
  <c r="I29" i="34"/>
  <c r="J29" i="34" s="1"/>
  <c r="I25" i="34"/>
  <c r="J25" i="34" s="1"/>
  <c r="I21" i="34"/>
  <c r="J21" i="34" s="1"/>
  <c r="I43" i="34"/>
  <c r="J43" i="34" s="1"/>
  <c r="I34" i="34"/>
  <c r="J34" i="34" s="1"/>
  <c r="I18" i="34"/>
  <c r="J18" i="34" s="1"/>
  <c r="I11" i="34"/>
  <c r="J11" i="34" s="1"/>
  <c r="I17" i="34"/>
  <c r="J17" i="34" s="1"/>
  <c r="I55" i="34"/>
  <c r="I30" i="34"/>
  <c r="J30" i="34" s="1"/>
  <c r="I12" i="34"/>
  <c r="J12" i="34" s="1"/>
  <c r="I47" i="34"/>
  <c r="J47" i="34" s="1"/>
  <c r="I38" i="34"/>
  <c r="J38" i="34" s="1"/>
  <c r="I22" i="34"/>
  <c r="J22" i="34" s="1"/>
  <c r="I51" i="34"/>
  <c r="J51" i="34" s="1"/>
  <c r="I26" i="34"/>
  <c r="J26" i="34" s="1"/>
  <c r="I57" i="33"/>
  <c r="J57" i="33" s="1"/>
  <c r="P17" i="33" s="1"/>
  <c r="I44" i="33"/>
  <c r="J44" i="33" s="1"/>
  <c r="I39" i="33"/>
  <c r="J39" i="33" s="1"/>
  <c r="I35" i="33"/>
  <c r="J35" i="33" s="1"/>
  <c r="I55" i="33"/>
  <c r="I52" i="33"/>
  <c r="J52" i="33" s="1"/>
  <c r="I42" i="33"/>
  <c r="J42" i="33" s="1"/>
  <c r="I31" i="33"/>
  <c r="J31" i="33" s="1"/>
  <c r="I22" i="33"/>
  <c r="J22" i="33" s="1"/>
  <c r="I13" i="33"/>
  <c r="J13" i="33" s="1"/>
  <c r="I54" i="33"/>
  <c r="J54" i="33" s="1"/>
  <c r="I41" i="33"/>
  <c r="J41" i="33" s="1"/>
  <c r="I38" i="33"/>
  <c r="J38" i="33" s="1"/>
  <c r="I30" i="33"/>
  <c r="J30" i="33" s="1"/>
  <c r="I46" i="33"/>
  <c r="J46" i="33" s="1"/>
  <c r="I43" i="33"/>
  <c r="J43" i="33" s="1"/>
  <c r="I33" i="33"/>
  <c r="J33" i="33" s="1"/>
  <c r="I28" i="33"/>
  <c r="J28" i="33" s="1"/>
  <c r="I24" i="33"/>
  <c r="J24" i="33" s="1"/>
  <c r="I19" i="33"/>
  <c r="J19" i="33" s="1"/>
  <c r="I9" i="33"/>
  <c r="J9" i="33" s="1"/>
  <c r="I48" i="33"/>
  <c r="J48" i="33" s="1"/>
  <c r="I21" i="33"/>
  <c r="J21" i="33" s="1"/>
  <c r="I17" i="33"/>
  <c r="J17" i="33" s="1"/>
  <c r="I12" i="33"/>
  <c r="J12" i="33" s="1"/>
  <c r="I11" i="33"/>
  <c r="J11" i="33" s="1"/>
  <c r="I50" i="33"/>
  <c r="J50" i="33" s="1"/>
  <c r="I47" i="33"/>
  <c r="J47" i="33" s="1"/>
  <c r="I37" i="33"/>
  <c r="J37" i="33" s="1"/>
  <c r="I34" i="33"/>
  <c r="J34" i="33" s="1"/>
  <c r="I29" i="33"/>
  <c r="J29" i="33" s="1"/>
  <c r="I25" i="33"/>
  <c r="J25" i="33" s="1"/>
  <c r="I20" i="33"/>
  <c r="J20" i="33" s="1"/>
  <c r="I16" i="33"/>
  <c r="J16" i="33" s="1"/>
  <c r="I15" i="33"/>
  <c r="J15" i="33" s="1"/>
  <c r="I7" i="33"/>
  <c r="I51" i="33"/>
  <c r="J51" i="33" s="1"/>
  <c r="I26" i="33"/>
  <c r="J26" i="33" s="1"/>
  <c r="I57" i="41"/>
  <c r="J57" i="41" s="1"/>
  <c r="P17" i="41" s="1"/>
  <c r="I54" i="41"/>
  <c r="J54" i="41" s="1"/>
  <c r="I53" i="41"/>
  <c r="J53" i="41" s="1"/>
  <c r="I48" i="41"/>
  <c r="J48" i="41" s="1"/>
  <c r="I43" i="41"/>
  <c r="J43" i="41" s="1"/>
  <c r="I38" i="41"/>
  <c r="J38" i="41" s="1"/>
  <c r="I37" i="41"/>
  <c r="J37" i="41" s="1"/>
  <c r="I32" i="41"/>
  <c r="J32" i="41" s="1"/>
  <c r="I27" i="41"/>
  <c r="J27" i="41" s="1"/>
  <c r="I22" i="41"/>
  <c r="J22" i="41" s="1"/>
  <c r="I21" i="41"/>
  <c r="J21" i="41" s="1"/>
  <c r="I16" i="41"/>
  <c r="J16" i="41" s="1"/>
  <c r="I11" i="41"/>
  <c r="J11" i="41" s="1"/>
  <c r="I7" i="41"/>
  <c r="J7" i="41" s="1"/>
  <c r="I55" i="41"/>
  <c r="I50" i="41"/>
  <c r="J50" i="41" s="1"/>
  <c r="I49" i="41"/>
  <c r="J49" i="41" s="1"/>
  <c r="I44" i="41"/>
  <c r="J44" i="41" s="1"/>
  <c r="I39" i="41"/>
  <c r="J39" i="41" s="1"/>
  <c r="I34" i="41"/>
  <c r="J34" i="41" s="1"/>
  <c r="I33" i="41"/>
  <c r="J33" i="41" s="1"/>
  <c r="I28" i="41"/>
  <c r="J28" i="41" s="1"/>
  <c r="I23" i="41"/>
  <c r="J23" i="41" s="1"/>
  <c r="I18" i="41"/>
  <c r="J18" i="41" s="1"/>
  <c r="I17" i="41"/>
  <c r="J17" i="41" s="1"/>
  <c r="I12" i="41"/>
  <c r="J12" i="41" s="1"/>
  <c r="I51" i="41"/>
  <c r="J51" i="41" s="1"/>
  <c r="I46" i="41"/>
  <c r="J46" i="41" s="1"/>
  <c r="I45" i="41"/>
  <c r="J45" i="41" s="1"/>
  <c r="I40" i="41"/>
  <c r="J40" i="41" s="1"/>
  <c r="I35" i="41"/>
  <c r="J35" i="41" s="1"/>
  <c r="I30" i="41"/>
  <c r="J30" i="41" s="1"/>
  <c r="I29" i="41"/>
  <c r="J29" i="41" s="1"/>
  <c r="I24" i="41"/>
  <c r="J24" i="41" s="1"/>
  <c r="I19" i="41"/>
  <c r="J19" i="41" s="1"/>
  <c r="I14" i="41"/>
  <c r="J14" i="41" s="1"/>
  <c r="I13" i="41"/>
  <c r="J13" i="41" s="1"/>
  <c r="I31" i="41"/>
  <c r="J31" i="41" s="1"/>
  <c r="I26" i="41"/>
  <c r="J26" i="41" s="1"/>
  <c r="I47" i="41"/>
  <c r="J47" i="41" s="1"/>
  <c r="I42" i="41"/>
  <c r="J42" i="41" s="1"/>
  <c r="I41" i="41"/>
  <c r="J41" i="41" s="1"/>
  <c r="I36" i="41"/>
  <c r="J36" i="41" s="1"/>
  <c r="I9" i="41"/>
  <c r="J9" i="41" s="1"/>
  <c r="I52" i="41"/>
  <c r="J52" i="41" s="1"/>
  <c r="I15" i="41"/>
  <c r="J15" i="41" s="1"/>
  <c r="I10" i="41"/>
  <c r="J10" i="41" s="1"/>
  <c r="I25" i="41"/>
  <c r="J25" i="41" s="1"/>
  <c r="I20" i="41"/>
  <c r="J20" i="41" s="1"/>
  <c r="I52" i="30"/>
  <c r="J52" i="30" s="1"/>
  <c r="I48" i="30"/>
  <c r="J48" i="30" s="1"/>
  <c r="I44" i="30"/>
  <c r="J44" i="30" s="1"/>
  <c r="I32" i="30"/>
  <c r="J32" i="30" s="1"/>
  <c r="I28" i="30"/>
  <c r="J28" i="30" s="1"/>
  <c r="I24" i="30"/>
  <c r="J24" i="30" s="1"/>
  <c r="I20" i="30"/>
  <c r="J20" i="30" s="1"/>
  <c r="I16" i="30"/>
  <c r="J16" i="30" s="1"/>
  <c r="I12" i="30"/>
  <c r="J12" i="30" s="1"/>
  <c r="I46" i="30"/>
  <c r="J46" i="30" s="1"/>
  <c r="I38" i="30"/>
  <c r="J38" i="30" s="1"/>
  <c r="I30" i="30"/>
  <c r="J30" i="30" s="1"/>
  <c r="I14" i="30"/>
  <c r="J14" i="30" s="1"/>
  <c r="I47" i="30"/>
  <c r="J47" i="30" s="1"/>
  <c r="I43" i="30"/>
  <c r="J43" i="30" s="1"/>
  <c r="I39" i="30"/>
  <c r="J39" i="30" s="1"/>
  <c r="I35" i="30"/>
  <c r="J35" i="30" s="1"/>
  <c r="I23" i="30"/>
  <c r="J23" i="30" s="1"/>
  <c r="I11" i="30"/>
  <c r="J11" i="30" s="1"/>
  <c r="I53" i="30"/>
  <c r="J53" i="30" s="1"/>
  <c r="I41" i="30"/>
  <c r="J41" i="30" s="1"/>
  <c r="I37" i="30"/>
  <c r="J37" i="30" s="1"/>
  <c r="I33" i="30"/>
  <c r="J33" i="30" s="1"/>
  <c r="I29" i="30"/>
  <c r="J29" i="30" s="1"/>
  <c r="I25" i="30"/>
  <c r="J25" i="30" s="1"/>
  <c r="I21" i="30"/>
  <c r="J21" i="30" s="1"/>
  <c r="I17" i="30"/>
  <c r="J17" i="30" s="1"/>
  <c r="I9" i="30"/>
  <c r="J9" i="30" s="1"/>
  <c r="I57" i="30"/>
  <c r="J57" i="30" s="1"/>
  <c r="P17" i="30" s="1"/>
  <c r="I50" i="30"/>
  <c r="J50" i="30" s="1"/>
  <c r="I42" i="30"/>
  <c r="J42" i="30" s="1"/>
  <c r="I34" i="30"/>
  <c r="J34" i="30" s="1"/>
  <c r="I26" i="30"/>
  <c r="J26" i="30" s="1"/>
  <c r="I10" i="30"/>
  <c r="J10" i="30" s="1"/>
  <c r="I7" i="30"/>
  <c r="J7" i="30" s="1"/>
  <c r="I55" i="30"/>
  <c r="J55" i="30" s="1"/>
  <c r="I51" i="30"/>
  <c r="J51" i="30" s="1"/>
  <c r="I19" i="30"/>
  <c r="J19" i="30" s="1"/>
  <c r="I15" i="30"/>
  <c r="J15" i="30" s="1"/>
  <c r="I55" i="28"/>
  <c r="J55" i="28" s="1"/>
  <c r="I46" i="28"/>
  <c r="J46" i="28" s="1"/>
  <c r="I42" i="28"/>
  <c r="J42" i="28" s="1"/>
  <c r="I38" i="28"/>
  <c r="J38" i="28" s="1"/>
  <c r="I34" i="28"/>
  <c r="J34" i="28" s="1"/>
  <c r="I30" i="28"/>
  <c r="J30" i="28" s="1"/>
  <c r="I26" i="28"/>
  <c r="J26" i="28" s="1"/>
  <c r="I22" i="28"/>
  <c r="J22" i="28" s="1"/>
  <c r="I18" i="28"/>
  <c r="J18" i="28" s="1"/>
  <c r="I9" i="28"/>
  <c r="J9" i="28" s="1"/>
  <c r="I24" i="28"/>
  <c r="J24" i="28" s="1"/>
  <c r="I20" i="28"/>
  <c r="J20" i="28" s="1"/>
  <c r="I12" i="28"/>
  <c r="J12" i="28" s="1"/>
  <c r="I29" i="28"/>
  <c r="J29" i="28" s="1"/>
  <c r="I21" i="28"/>
  <c r="J21" i="28" s="1"/>
  <c r="I13" i="28"/>
  <c r="J13" i="28" s="1"/>
  <c r="I52" i="28"/>
  <c r="J52" i="28" s="1"/>
  <c r="I51" i="28"/>
  <c r="J51" i="28" s="1"/>
  <c r="I47" i="28"/>
  <c r="J47" i="28" s="1"/>
  <c r="I43" i="28"/>
  <c r="J43" i="28" s="1"/>
  <c r="I39" i="28"/>
  <c r="J39" i="28" s="1"/>
  <c r="I35" i="28"/>
  <c r="J35" i="28" s="1"/>
  <c r="I31" i="28"/>
  <c r="J31" i="28" s="1"/>
  <c r="I27" i="28"/>
  <c r="J27" i="28" s="1"/>
  <c r="I15" i="28"/>
  <c r="J15" i="28" s="1"/>
  <c r="I11" i="28"/>
  <c r="J11" i="28" s="1"/>
  <c r="I7" i="28"/>
  <c r="J7" i="28" s="1"/>
  <c r="I53" i="28"/>
  <c r="J53" i="28" s="1"/>
  <c r="I48" i="28"/>
  <c r="J48" i="28" s="1"/>
  <c r="I44" i="28"/>
  <c r="J44" i="28" s="1"/>
  <c r="I40" i="28"/>
  <c r="J40" i="28" s="1"/>
  <c r="I36" i="28"/>
  <c r="J36" i="28" s="1"/>
  <c r="I16" i="28"/>
  <c r="J16" i="28" s="1"/>
  <c r="I57" i="28"/>
  <c r="J57" i="28" s="1"/>
  <c r="P17" i="28" s="1"/>
  <c r="I49" i="28"/>
  <c r="J49" i="28" s="1"/>
  <c r="I33" i="28"/>
  <c r="J33" i="28" s="1"/>
  <c r="I25" i="28"/>
  <c r="J25" i="28" s="1"/>
  <c r="I17" i="28"/>
  <c r="J17" i="28" s="1"/>
  <c r="I57" i="27"/>
  <c r="J57" i="27" s="1"/>
  <c r="P17" i="27" s="1"/>
  <c r="I54" i="27"/>
  <c r="J54" i="27" s="1"/>
  <c r="I12" i="27"/>
  <c r="I7" i="27"/>
  <c r="J7" i="27" s="1"/>
  <c r="I55" i="27"/>
  <c r="I9" i="27"/>
  <c r="I57" i="26"/>
  <c r="J57" i="26" s="1"/>
  <c r="P17" i="26" s="1"/>
  <c r="I54" i="26"/>
  <c r="J54" i="26" s="1"/>
  <c r="I48" i="26"/>
  <c r="J48" i="26" s="1"/>
  <c r="I38" i="26"/>
  <c r="J38" i="26" s="1"/>
  <c r="I33" i="26"/>
  <c r="J33" i="26" s="1"/>
  <c r="I32" i="26"/>
  <c r="J32" i="26" s="1"/>
  <c r="I27" i="26"/>
  <c r="J27" i="26" s="1"/>
  <c r="I22" i="26"/>
  <c r="J22" i="26" s="1"/>
  <c r="I16" i="26"/>
  <c r="J16" i="26" s="1"/>
  <c r="I53" i="26"/>
  <c r="J53" i="26" s="1"/>
  <c r="I52" i="26"/>
  <c r="J52" i="26" s="1"/>
  <c r="I47" i="26"/>
  <c r="J47" i="26" s="1"/>
  <c r="I42" i="26"/>
  <c r="J42" i="26" s="1"/>
  <c r="I26" i="26"/>
  <c r="J26" i="26" s="1"/>
  <c r="I21" i="26"/>
  <c r="J21" i="26" s="1"/>
  <c r="I20" i="26"/>
  <c r="J20" i="26" s="1"/>
  <c r="I15" i="26"/>
  <c r="J15" i="26" s="1"/>
  <c r="I50" i="26"/>
  <c r="J50" i="26" s="1"/>
  <c r="I45" i="26"/>
  <c r="J45" i="26" s="1"/>
  <c r="I44" i="26"/>
  <c r="J44" i="26" s="1"/>
  <c r="I39" i="26"/>
  <c r="J39" i="26" s="1"/>
  <c r="I34" i="26"/>
  <c r="J34" i="26" s="1"/>
  <c r="I29" i="26"/>
  <c r="J29" i="26" s="1"/>
  <c r="I28" i="26"/>
  <c r="J28" i="26" s="1"/>
  <c r="I23" i="26"/>
  <c r="J23" i="26" s="1"/>
  <c r="I18" i="26"/>
  <c r="J18" i="26" s="1"/>
  <c r="I13" i="26"/>
  <c r="J13" i="26" s="1"/>
  <c r="I12" i="26"/>
  <c r="J12" i="26" s="1"/>
  <c r="I7" i="26"/>
  <c r="J7" i="26" s="1"/>
  <c r="I51" i="26"/>
  <c r="J51" i="26" s="1"/>
  <c r="I46" i="26"/>
  <c r="J46" i="26" s="1"/>
  <c r="I41" i="26"/>
  <c r="J41" i="26" s="1"/>
  <c r="I40" i="26"/>
  <c r="J40" i="26" s="1"/>
  <c r="I35" i="26"/>
  <c r="J35" i="26" s="1"/>
  <c r="I25" i="26"/>
  <c r="J25" i="26" s="1"/>
  <c r="I19" i="26"/>
  <c r="J19" i="26" s="1"/>
  <c r="I14" i="26"/>
  <c r="J14" i="26" s="1"/>
  <c r="I9" i="26"/>
  <c r="J9" i="26" s="1"/>
  <c r="I37" i="26"/>
  <c r="J37" i="26" s="1"/>
  <c r="I31" i="26"/>
  <c r="J31" i="26" s="1"/>
  <c r="I10" i="26"/>
  <c r="J10" i="26" s="1"/>
  <c r="F42" i="27" l="1"/>
  <c r="F26" i="27"/>
  <c r="J43" i="36"/>
  <c r="J19" i="36"/>
  <c r="J37" i="36"/>
  <c r="J27" i="36"/>
  <c r="F28" i="36"/>
  <c r="F21" i="36"/>
  <c r="F37" i="36"/>
  <c r="J36" i="36"/>
  <c r="J25" i="36"/>
  <c r="F27" i="36"/>
  <c r="J31" i="36"/>
  <c r="J41" i="36"/>
  <c r="F42" i="36"/>
  <c r="F45" i="36"/>
  <c r="F43" i="36"/>
  <c r="J42" i="36"/>
  <c r="F22" i="36"/>
  <c r="J21" i="36"/>
  <c r="F34" i="36"/>
  <c r="J33" i="36"/>
  <c r="J39" i="36"/>
  <c r="F40" i="36"/>
  <c r="F51" i="36"/>
  <c r="F15" i="36"/>
  <c r="J28" i="36"/>
  <c r="F29" i="36"/>
  <c r="J22" i="36"/>
  <c r="F23" i="36"/>
  <c r="F33" i="36"/>
  <c r="J16" i="36"/>
  <c r="F17" i="36"/>
  <c r="J48" i="36"/>
  <c r="F49" i="36"/>
  <c r="J45" i="36"/>
  <c r="F46" i="36"/>
  <c r="J18" i="36"/>
  <c r="F19" i="36"/>
  <c r="J35" i="36"/>
  <c r="F36" i="36"/>
  <c r="J23" i="36"/>
  <c r="F24" i="36"/>
  <c r="F48" i="36"/>
  <c r="J47" i="36"/>
  <c r="J15" i="36"/>
  <c r="F16" i="36"/>
  <c r="J30" i="36"/>
  <c r="F31" i="36"/>
  <c r="F18" i="36"/>
  <c r="J17" i="36"/>
  <c r="J29" i="36"/>
  <c r="F30" i="36"/>
  <c r="F39" i="36"/>
  <c r="J46" i="36"/>
  <c r="F47" i="36"/>
  <c r="F25" i="36"/>
  <c r="J24" i="36"/>
  <c r="J49" i="36"/>
  <c r="J40" i="36"/>
  <c r="F41" i="36"/>
  <c r="F35" i="36"/>
  <c r="D63" i="27"/>
  <c r="F63" i="27" s="1"/>
  <c r="J11" i="36"/>
  <c r="F12" i="36"/>
  <c r="F52" i="35"/>
  <c r="J51" i="35"/>
  <c r="J25" i="35"/>
  <c r="F26" i="35"/>
  <c r="F17" i="35"/>
  <c r="J16" i="35"/>
  <c r="J43" i="35"/>
  <c r="F44" i="35"/>
  <c r="J32" i="35"/>
  <c r="F33" i="35"/>
  <c r="F49" i="35"/>
  <c r="J48" i="35"/>
  <c r="F54" i="35"/>
  <c r="J53" i="35"/>
  <c r="J18" i="35"/>
  <c r="F19" i="35"/>
  <c r="J45" i="35"/>
  <c r="F46" i="35"/>
  <c r="F42" i="35"/>
  <c r="J40" i="35"/>
  <c r="J34" i="35"/>
  <c r="F35" i="35"/>
  <c r="J24" i="35"/>
  <c r="F25" i="35"/>
  <c r="J52" i="35"/>
  <c r="F53" i="35"/>
  <c r="F29" i="35"/>
  <c r="F30" i="35"/>
  <c r="J29" i="35"/>
  <c r="F47" i="35"/>
  <c r="J46" i="35"/>
  <c r="F23" i="35"/>
  <c r="J22" i="35"/>
  <c r="J19" i="35"/>
  <c r="F20" i="35"/>
  <c r="F38" i="35"/>
  <c r="J37" i="35"/>
  <c r="F43" i="35"/>
  <c r="J42" i="35"/>
  <c r="F24" i="27"/>
  <c r="F31" i="35"/>
  <c r="J30" i="35"/>
  <c r="F32" i="35"/>
  <c r="J31" i="35"/>
  <c r="F34" i="35"/>
  <c r="J33" i="35"/>
  <c r="F16" i="35"/>
  <c r="J15" i="35"/>
  <c r="J12" i="36"/>
  <c r="J26" i="35"/>
  <c r="F27" i="35"/>
  <c r="F18" i="35"/>
  <c r="J17" i="35"/>
  <c r="J50" i="35"/>
  <c r="F51" i="35"/>
  <c r="J49" i="35"/>
  <c r="F50" i="35"/>
  <c r="J23" i="35"/>
  <c r="F24" i="35"/>
  <c r="J35" i="35"/>
  <c r="F36" i="35"/>
  <c r="J47" i="35"/>
  <c r="F48" i="35"/>
  <c r="F45" i="35"/>
  <c r="J44" i="35"/>
  <c r="F21" i="35"/>
  <c r="J20" i="35"/>
  <c r="J13" i="35"/>
  <c r="F15" i="35"/>
  <c r="F22" i="35"/>
  <c r="J21" i="35"/>
  <c r="F40" i="35"/>
  <c r="J39" i="35"/>
  <c r="F39" i="35"/>
  <c r="J38" i="35"/>
  <c r="F37" i="35"/>
  <c r="J36" i="35"/>
  <c r="J12" i="35"/>
  <c r="F15" i="27"/>
  <c r="F30" i="27"/>
  <c r="J28" i="27"/>
  <c r="F37" i="27"/>
  <c r="J36" i="27"/>
  <c r="F51" i="27"/>
  <c r="J50" i="27"/>
  <c r="J43" i="27"/>
  <c r="F44" i="27"/>
  <c r="F34" i="27"/>
  <c r="J33" i="27"/>
  <c r="J49" i="27"/>
  <c r="F50" i="27"/>
  <c r="J16" i="27"/>
  <c r="F28" i="27"/>
  <c r="J27" i="27"/>
  <c r="F43" i="27"/>
  <c r="J34" i="27"/>
  <c r="J19" i="27"/>
  <c r="F20" i="27"/>
  <c r="J38" i="27"/>
  <c r="F39" i="27"/>
  <c r="J9" i="27"/>
  <c r="F10" i="27"/>
  <c r="F27" i="27"/>
  <c r="J26" i="27"/>
  <c r="F52" i="27"/>
  <c r="J51" i="27"/>
  <c r="F21" i="27"/>
  <c r="J20" i="27"/>
  <c r="D64" i="27"/>
  <c r="J46" i="27"/>
  <c r="J48" i="27"/>
  <c r="F49" i="27"/>
  <c r="J22" i="27"/>
  <c r="J45" i="27"/>
  <c r="F46" i="27"/>
  <c r="F33" i="27"/>
  <c r="F38" i="27"/>
  <c r="F48" i="27"/>
  <c r="F36" i="27"/>
  <c r="J12" i="27"/>
  <c r="F13" i="27"/>
  <c r="F16" i="27"/>
  <c r="J15" i="27"/>
  <c r="J44" i="27"/>
  <c r="F45" i="27"/>
  <c r="J40" i="27"/>
  <c r="J39" i="27"/>
  <c r="F40" i="27"/>
  <c r="F14" i="27"/>
  <c r="J13" i="27"/>
  <c r="J31" i="27"/>
  <c r="F32" i="27"/>
  <c r="F25" i="27"/>
  <c r="J24" i="27"/>
  <c r="F31" i="27"/>
  <c r="F53" i="36"/>
  <c r="J52" i="36"/>
  <c r="J54" i="36"/>
  <c r="F55" i="36"/>
  <c r="J9" i="36"/>
  <c r="F10" i="36"/>
  <c r="F54" i="36"/>
  <c r="J53" i="36"/>
  <c r="D63" i="36"/>
  <c r="F63" i="36" s="1"/>
  <c r="J10" i="36"/>
  <c r="F52" i="36"/>
  <c r="F57" i="41"/>
  <c r="J55" i="41"/>
  <c r="F57" i="33"/>
  <c r="J55" i="33"/>
  <c r="F57" i="39"/>
  <c r="J55" i="39"/>
  <c r="F57" i="35"/>
  <c r="F36" i="29"/>
  <c r="J35" i="29"/>
  <c r="J17" i="29"/>
  <c r="F25" i="29"/>
  <c r="J24" i="29"/>
  <c r="J48" i="29"/>
  <c r="F21" i="29"/>
  <c r="J20" i="29"/>
  <c r="J9" i="29"/>
  <c r="F57" i="26"/>
  <c r="F9" i="33"/>
  <c r="J7" i="33"/>
  <c r="F57" i="40"/>
  <c r="J55" i="40"/>
  <c r="F57" i="31"/>
  <c r="F57" i="37"/>
  <c r="J55" i="37"/>
  <c r="J33" i="29"/>
  <c r="F12" i="29"/>
  <c r="J11" i="29"/>
  <c r="F52" i="29"/>
  <c r="J51" i="29"/>
  <c r="F46" i="29"/>
  <c r="F57" i="27"/>
  <c r="J55" i="27"/>
  <c r="F57" i="34"/>
  <c r="J55" i="34"/>
  <c r="F9" i="32"/>
  <c r="J7" i="32"/>
  <c r="F57" i="36"/>
  <c r="F40" i="29"/>
  <c r="J39" i="29"/>
  <c r="F31" i="29"/>
  <c r="F16" i="29"/>
  <c r="J15" i="29"/>
  <c r="F54" i="29"/>
  <c r="F37" i="29"/>
  <c r="F43" i="29"/>
  <c r="F28" i="29"/>
  <c r="F47" i="29"/>
  <c r="F55" i="29"/>
  <c r="F42" i="29"/>
  <c r="F51" i="29"/>
  <c r="F35" i="29"/>
  <c r="F17" i="29"/>
  <c r="F48" i="29"/>
  <c r="F20" i="29"/>
  <c r="F24" i="29"/>
  <c r="F29" i="29"/>
  <c r="F50" i="29"/>
  <c r="F57" i="28"/>
  <c r="F13" i="29"/>
  <c r="F39" i="29"/>
  <c r="F57" i="30"/>
  <c r="F33" i="29"/>
  <c r="F11" i="29"/>
  <c r="F19" i="29"/>
  <c r="F44" i="29"/>
  <c r="F32" i="29"/>
  <c r="F23" i="29"/>
  <c r="F57" i="29"/>
  <c r="F7" i="29"/>
  <c r="F15" i="29"/>
  <c r="F9" i="29"/>
  <c r="F27" i="29"/>
  <c r="F9" i="40"/>
  <c r="F9" i="36"/>
  <c r="F9" i="31"/>
  <c r="F9" i="26"/>
  <c r="F9" i="27"/>
  <c r="F9" i="30"/>
  <c r="F9" i="35"/>
  <c r="F9" i="41"/>
  <c r="F9" i="34"/>
  <c r="F9" i="28"/>
  <c r="F9" i="37"/>
  <c r="F9" i="39"/>
  <c r="F11" i="41"/>
  <c r="F27" i="41"/>
  <c r="F52" i="41"/>
  <c r="F54" i="41"/>
  <c r="F30" i="33"/>
  <c r="F22" i="33"/>
  <c r="F31" i="33"/>
  <c r="F41" i="33"/>
  <c r="F31" i="34"/>
  <c r="F26" i="34"/>
  <c r="F43" i="34"/>
  <c r="F46" i="34"/>
  <c r="F14" i="34"/>
  <c r="F55" i="40"/>
  <c r="F13" i="40"/>
  <c r="F10" i="40"/>
  <c r="F22" i="31"/>
  <c r="F54" i="31"/>
  <c r="F39" i="37"/>
  <c r="F16" i="37"/>
  <c r="F48" i="37"/>
  <c r="F31" i="37"/>
  <c r="F30" i="37"/>
  <c r="F15" i="39"/>
  <c r="F10" i="39"/>
  <c r="F31" i="39"/>
  <c r="F18" i="39"/>
  <c r="F50" i="39"/>
  <c r="F12" i="39"/>
  <c r="F16" i="41"/>
  <c r="F42" i="41"/>
  <c r="F32" i="41"/>
  <c r="F25" i="41"/>
  <c r="F41" i="41"/>
  <c r="F13" i="41"/>
  <c r="F29" i="41"/>
  <c r="F45" i="41"/>
  <c r="F7" i="41"/>
  <c r="F23" i="41"/>
  <c r="F39" i="41"/>
  <c r="F55" i="41"/>
  <c r="F52" i="33"/>
  <c r="F17" i="33"/>
  <c r="F35" i="33"/>
  <c r="F12" i="33"/>
  <c r="F24" i="33"/>
  <c r="F37" i="33"/>
  <c r="F39" i="33"/>
  <c r="F19" i="33"/>
  <c r="F33" i="33"/>
  <c r="F39" i="34"/>
  <c r="F35" i="34"/>
  <c r="F30" i="34"/>
  <c r="F47" i="34"/>
  <c r="F7" i="34"/>
  <c r="F21" i="34"/>
  <c r="F37" i="34"/>
  <c r="F50" i="34"/>
  <c r="F53" i="34"/>
  <c r="F37" i="40"/>
  <c r="F17" i="40"/>
  <c r="F35" i="40"/>
  <c r="F12" i="40"/>
  <c r="F30" i="40"/>
  <c r="F44" i="40"/>
  <c r="F15" i="40"/>
  <c r="F29" i="40"/>
  <c r="F47" i="40"/>
  <c r="F16" i="32"/>
  <c r="F14" i="32"/>
  <c r="F37" i="31"/>
  <c r="F53" i="31"/>
  <c r="F24" i="31"/>
  <c r="F31" i="31"/>
  <c r="F47" i="31"/>
  <c r="F13" i="31"/>
  <c r="F26" i="31"/>
  <c r="F42" i="31"/>
  <c r="F55" i="37"/>
  <c r="F23" i="37"/>
  <c r="F21" i="37"/>
  <c r="F53" i="37"/>
  <c r="F20" i="37"/>
  <c r="F36" i="37"/>
  <c r="F19" i="37"/>
  <c r="F35" i="37"/>
  <c r="F51" i="37"/>
  <c r="F20" i="39"/>
  <c r="F36" i="39"/>
  <c r="F16" i="39"/>
  <c r="F19" i="39"/>
  <c r="F35" i="39"/>
  <c r="F51" i="39"/>
  <c r="F38" i="39"/>
  <c r="F55" i="39"/>
  <c r="F17" i="39"/>
  <c r="F33" i="39"/>
  <c r="F49" i="39"/>
  <c r="F37" i="41"/>
  <c r="F36" i="41"/>
  <c r="F40" i="41"/>
  <c r="F38" i="41"/>
  <c r="F16" i="33"/>
  <c r="F20" i="33"/>
  <c r="F33" i="34"/>
  <c r="F31" i="40"/>
  <c r="F11" i="40"/>
  <c r="F43" i="40"/>
  <c r="F42" i="40"/>
  <c r="F33" i="31"/>
  <c r="F49" i="31"/>
  <c r="F36" i="31"/>
  <c r="F52" i="31"/>
  <c r="F11" i="31"/>
  <c r="F43" i="31"/>
  <c r="F38" i="31"/>
  <c r="F50" i="37"/>
  <c r="F18" i="37"/>
  <c r="F15" i="37"/>
  <c r="F14" i="37"/>
  <c r="F46" i="37"/>
  <c r="F40" i="39"/>
  <c r="F47" i="39"/>
  <c r="F34" i="39"/>
  <c r="F7" i="35"/>
  <c r="F21" i="41"/>
  <c r="F53" i="41"/>
  <c r="F43" i="41"/>
  <c r="F14" i="41"/>
  <c r="F30" i="41"/>
  <c r="F46" i="41"/>
  <c r="F18" i="41"/>
  <c r="F34" i="41"/>
  <c r="F50" i="41"/>
  <c r="F12" i="41"/>
  <c r="F28" i="41"/>
  <c r="F44" i="41"/>
  <c r="F7" i="33"/>
  <c r="F21" i="33"/>
  <c r="F38" i="33"/>
  <c r="F13" i="33"/>
  <c r="F25" i="33"/>
  <c r="F44" i="33"/>
  <c r="F42" i="33"/>
  <c r="F43" i="33"/>
  <c r="F50" i="33"/>
  <c r="F27" i="34"/>
  <c r="F18" i="34"/>
  <c r="F34" i="34"/>
  <c r="F51" i="34"/>
  <c r="F11" i="34"/>
  <c r="F25" i="34"/>
  <c r="F41" i="34"/>
  <c r="F54" i="34"/>
  <c r="F28" i="40"/>
  <c r="F46" i="40"/>
  <c r="F22" i="40"/>
  <c r="F16" i="40"/>
  <c r="F34" i="40"/>
  <c r="F48" i="40"/>
  <c r="F19" i="40"/>
  <c r="F33" i="40"/>
  <c r="F51" i="40"/>
  <c r="F12" i="32"/>
  <c r="F17" i="32"/>
  <c r="F18" i="32"/>
  <c r="F41" i="31"/>
  <c r="F12" i="31"/>
  <c r="F28" i="31"/>
  <c r="F44" i="31"/>
  <c r="F29" i="31"/>
  <c r="F19" i="31"/>
  <c r="F51" i="31"/>
  <c r="F17" i="31"/>
  <c r="F14" i="31"/>
  <c r="F46" i="31"/>
  <c r="F28" i="37"/>
  <c r="F44" i="37"/>
  <c r="F38" i="37"/>
  <c r="F54" i="37"/>
  <c r="F25" i="37"/>
  <c r="F41" i="37"/>
  <c r="F7" i="37"/>
  <c r="F24" i="37"/>
  <c r="F40" i="37"/>
  <c r="F28" i="39"/>
  <c r="F32" i="39"/>
  <c r="F23" i="39"/>
  <c r="F39" i="39"/>
  <c r="F26" i="39"/>
  <c r="F42" i="39"/>
  <c r="F7" i="39"/>
  <c r="F21" i="39"/>
  <c r="F53" i="39"/>
  <c r="F11" i="35"/>
  <c r="F12" i="35"/>
  <c r="F20" i="41"/>
  <c r="F24" i="41"/>
  <c r="F22" i="41"/>
  <c r="F51" i="33"/>
  <c r="F34" i="33"/>
  <c r="F23" i="34"/>
  <c r="F19" i="34"/>
  <c r="F17" i="34"/>
  <c r="F49" i="34"/>
  <c r="F25" i="40"/>
  <c r="F24" i="40"/>
  <c r="F13" i="32"/>
  <c r="F27" i="31"/>
  <c r="F26" i="41"/>
  <c r="F10" i="41"/>
  <c r="F48" i="41"/>
  <c r="F15" i="41"/>
  <c r="F31" i="41"/>
  <c r="F47" i="41"/>
  <c r="F19" i="41"/>
  <c r="F35" i="41"/>
  <c r="F51" i="41"/>
  <c r="F17" i="41"/>
  <c r="F33" i="41"/>
  <c r="F49" i="41"/>
  <c r="F11" i="33"/>
  <c r="F26" i="33"/>
  <c r="F48" i="33"/>
  <c r="F15" i="33"/>
  <c r="F29" i="33"/>
  <c r="F47" i="33"/>
  <c r="F55" i="33"/>
  <c r="F28" i="33"/>
  <c r="F46" i="33"/>
  <c r="F54" i="33"/>
  <c r="F12" i="34"/>
  <c r="F22" i="34"/>
  <c r="F38" i="34"/>
  <c r="F55" i="34"/>
  <c r="F15" i="34"/>
  <c r="F29" i="34"/>
  <c r="F42" i="34"/>
  <c r="F10" i="34"/>
  <c r="F45" i="34"/>
  <c r="F50" i="40"/>
  <c r="F26" i="40"/>
  <c r="F40" i="40"/>
  <c r="F7" i="40"/>
  <c r="F21" i="40"/>
  <c r="F39" i="40"/>
  <c r="F53" i="40"/>
  <c r="F20" i="40"/>
  <c r="F38" i="40"/>
  <c r="F52" i="40"/>
  <c r="F7" i="32"/>
  <c r="F10" i="32"/>
  <c r="F19" i="32"/>
  <c r="F7" i="36"/>
  <c r="F16" i="31"/>
  <c r="F32" i="31"/>
  <c r="F48" i="31"/>
  <c r="F7" i="31"/>
  <c r="F23" i="31"/>
  <c r="F39" i="31"/>
  <c r="F21" i="31"/>
  <c r="F18" i="31"/>
  <c r="F34" i="31"/>
  <c r="F33" i="37"/>
  <c r="F34" i="37"/>
  <c r="F49" i="37"/>
  <c r="F11" i="37"/>
  <c r="F43" i="37"/>
  <c r="F10" i="37"/>
  <c r="F26" i="37"/>
  <c r="F13" i="37"/>
  <c r="F29" i="37"/>
  <c r="F45" i="37"/>
  <c r="F24" i="39"/>
  <c r="F44" i="39"/>
  <c r="F48" i="39"/>
  <c r="F27" i="39"/>
  <c r="F43" i="39"/>
  <c r="F13" i="39"/>
  <c r="F30" i="39"/>
  <c r="F46" i="39"/>
  <c r="F11" i="39"/>
  <c r="F25" i="39"/>
  <c r="F41" i="39"/>
  <c r="F54" i="39"/>
  <c r="F10" i="35"/>
  <c r="F12" i="27"/>
  <c r="F24" i="28"/>
  <c r="F53" i="28"/>
  <c r="F25" i="28"/>
  <c r="F19" i="30"/>
  <c r="F14" i="30"/>
  <c r="F46" i="30"/>
  <c r="F54" i="27"/>
  <c r="F18" i="28"/>
  <c r="F29" i="28"/>
  <c r="F12" i="28"/>
  <c r="F44" i="28"/>
  <c r="F46" i="28"/>
  <c r="F39" i="28"/>
  <c r="F55" i="30"/>
  <c r="F34" i="30"/>
  <c r="F50" i="30"/>
  <c r="F28" i="30"/>
  <c r="F44" i="30"/>
  <c r="F17" i="30"/>
  <c r="F33" i="30"/>
  <c r="F42" i="28"/>
  <c r="F7" i="28"/>
  <c r="F40" i="28"/>
  <c r="F38" i="28"/>
  <c r="F35" i="28"/>
  <c r="F51" i="28"/>
  <c r="F52" i="30"/>
  <c r="F51" i="30"/>
  <c r="F30" i="30"/>
  <c r="F24" i="30"/>
  <c r="F23" i="30"/>
  <c r="F29" i="30"/>
  <c r="F7" i="27"/>
  <c r="F55" i="27"/>
  <c r="F26" i="28"/>
  <c r="F55" i="28"/>
  <c r="F33" i="28"/>
  <c r="F49" i="28"/>
  <c r="F16" i="28"/>
  <c r="F48" i="28"/>
  <c r="F22" i="28"/>
  <c r="F13" i="28"/>
  <c r="F11" i="28"/>
  <c r="F27" i="28"/>
  <c r="F43" i="28"/>
  <c r="F16" i="30"/>
  <c r="F7" i="30"/>
  <c r="F35" i="30"/>
  <c r="F38" i="30"/>
  <c r="F32" i="30"/>
  <c r="F48" i="30"/>
  <c r="F39" i="30"/>
  <c r="F21" i="30"/>
  <c r="F37" i="30"/>
  <c r="F53" i="30"/>
  <c r="F17" i="28"/>
  <c r="F34" i="28"/>
  <c r="F20" i="28"/>
  <c r="F36" i="28"/>
  <c r="F52" i="28"/>
  <c r="F30" i="28"/>
  <c r="F21" i="28"/>
  <c r="F15" i="28"/>
  <c r="F31" i="28"/>
  <c r="F47" i="28"/>
  <c r="F20" i="30"/>
  <c r="F11" i="30"/>
  <c r="F43" i="30"/>
  <c r="F10" i="30"/>
  <c r="F26" i="30"/>
  <c r="F42" i="30"/>
  <c r="F12" i="30"/>
  <c r="F15" i="30"/>
  <c r="F47" i="30"/>
  <c r="F25" i="30"/>
  <c r="F41" i="30"/>
  <c r="F37" i="26"/>
  <c r="F19" i="26"/>
  <c r="F51" i="26"/>
  <c r="F53" i="26"/>
  <c r="F50" i="26"/>
  <c r="F38" i="26"/>
  <c r="F25" i="26"/>
  <c r="F41" i="26"/>
  <c r="F7" i="26"/>
  <c r="F40" i="26"/>
  <c r="F27" i="26"/>
  <c r="F54" i="26"/>
  <c r="F23" i="26"/>
  <c r="F39" i="26"/>
  <c r="F10" i="26"/>
  <c r="F26" i="26"/>
  <c r="F42" i="26"/>
  <c r="F13" i="26"/>
  <c r="F29" i="26"/>
  <c r="F45" i="26"/>
  <c r="F16" i="26"/>
  <c r="F12" i="26"/>
  <c r="F28" i="26"/>
  <c r="F44" i="26"/>
  <c r="F20" i="26"/>
  <c r="F52" i="26"/>
  <c r="F35" i="26"/>
  <c r="F22" i="26"/>
  <c r="F18" i="26"/>
  <c r="F34" i="26"/>
  <c r="F32" i="26"/>
  <c r="F15" i="26"/>
  <c r="F31" i="26"/>
  <c r="F47" i="26"/>
  <c r="F14" i="26"/>
  <c r="F46" i="26"/>
  <c r="F21" i="26"/>
  <c r="F48" i="26"/>
  <c r="F33" i="26"/>
  <c r="F64" i="27" l="1"/>
  <c r="D65" i="27"/>
  <c r="D64" i="36"/>
  <c r="D57" i="3"/>
  <c r="D11" i="3"/>
  <c r="D53" i="3"/>
  <c r="G53" i="3" s="1"/>
  <c r="D54" i="3"/>
  <c r="G54" i="3" s="1"/>
  <c r="D55" i="3"/>
  <c r="D9" i="3"/>
  <c r="D7" i="3"/>
  <c r="F65" i="27" l="1"/>
  <c r="D66" i="27"/>
  <c r="D65" i="36"/>
  <c r="F64" i="36"/>
  <c r="G7" i="3"/>
  <c r="I7" i="3" s="1"/>
  <c r="J7" i="3" s="1"/>
  <c r="G9" i="3"/>
  <c r="H9" i="3" s="1"/>
  <c r="G55" i="3"/>
  <c r="H55" i="3" s="1"/>
  <c r="G11" i="3"/>
  <c r="H11" i="3" s="1"/>
  <c r="G12" i="3"/>
  <c r="H12" i="3" s="1"/>
  <c r="G57" i="3"/>
  <c r="H57" i="3" s="1"/>
  <c r="H7" i="3"/>
  <c r="H54" i="3"/>
  <c r="H53" i="3"/>
  <c r="I9" i="3"/>
  <c r="F66" i="27" l="1"/>
  <c r="D67" i="27"/>
  <c r="D66" i="36"/>
  <c r="F65" i="36"/>
  <c r="I11" i="3"/>
  <c r="I57" i="3"/>
  <c r="J57" i="3" s="1"/>
  <c r="P17" i="3" s="1"/>
  <c r="I49" i="3"/>
  <c r="J49" i="3" s="1"/>
  <c r="I26" i="3"/>
  <c r="J26" i="3" s="1"/>
  <c r="I19" i="3"/>
  <c r="J19" i="3" s="1"/>
  <c r="I51" i="3"/>
  <c r="J51" i="3" s="1"/>
  <c r="I32" i="3"/>
  <c r="J32" i="3" s="1"/>
  <c r="I46" i="3"/>
  <c r="J46" i="3" s="1"/>
  <c r="I34" i="3"/>
  <c r="J34" i="3" s="1"/>
  <c r="I40" i="3"/>
  <c r="J40" i="3" s="1"/>
  <c r="I16" i="3"/>
  <c r="J16" i="3" s="1"/>
  <c r="I47" i="3"/>
  <c r="J47" i="3" s="1"/>
  <c r="I25" i="3"/>
  <c r="I44" i="3"/>
  <c r="I30" i="3"/>
  <c r="J30" i="3" s="1"/>
  <c r="I33" i="3"/>
  <c r="J33" i="3" s="1"/>
  <c r="I22" i="3"/>
  <c r="J22" i="3" s="1"/>
  <c r="I14" i="3"/>
  <c r="J14" i="3" s="1"/>
  <c r="I39" i="3"/>
  <c r="J39" i="3" s="1"/>
  <c r="I23" i="3"/>
  <c r="J23" i="3" s="1"/>
  <c r="I15" i="3"/>
  <c r="J15" i="3" s="1"/>
  <c r="I42" i="3"/>
  <c r="J42" i="3" s="1"/>
  <c r="I29" i="3"/>
  <c r="J29" i="3" s="1"/>
  <c r="I43" i="3"/>
  <c r="I37" i="3"/>
  <c r="I20" i="3"/>
  <c r="J20" i="3" s="1"/>
  <c r="I12" i="3"/>
  <c r="I50" i="3"/>
  <c r="J50" i="3" s="1"/>
  <c r="I28" i="3"/>
  <c r="J28" i="3" s="1"/>
  <c r="I21" i="3"/>
  <c r="J21" i="3" s="1"/>
  <c r="I13" i="3"/>
  <c r="F14" i="3" s="1"/>
  <c r="I41" i="3"/>
  <c r="J41" i="3" s="1"/>
  <c r="I27" i="3"/>
  <c r="J27" i="3" s="1"/>
  <c r="I36" i="3"/>
  <c r="J36" i="3" s="1"/>
  <c r="I48" i="3"/>
  <c r="I35" i="3"/>
  <c r="J35" i="3" s="1"/>
  <c r="I18" i="3"/>
  <c r="F19" i="3" s="1"/>
  <c r="F20" i="3"/>
  <c r="J25" i="3"/>
  <c r="F16" i="3"/>
  <c r="J9" i="3"/>
  <c r="F28" i="3"/>
  <c r="J18" i="3"/>
  <c r="I53" i="3"/>
  <c r="J53" i="3" s="1"/>
  <c r="I55" i="3"/>
  <c r="J55" i="3" s="1"/>
  <c r="I54" i="3"/>
  <c r="J54" i="3" s="1"/>
  <c r="F9" i="3"/>
  <c r="F7" i="3"/>
  <c r="F67" i="27" l="1"/>
  <c r="D68" i="27"/>
  <c r="F66" i="36"/>
  <c r="D67" i="36"/>
  <c r="F49" i="3"/>
  <c r="F44" i="3"/>
  <c r="F26" i="3"/>
  <c r="F37" i="3"/>
  <c r="J37" i="3"/>
  <c r="J43" i="3"/>
  <c r="F29" i="3"/>
  <c r="F25" i="3"/>
  <c r="F12" i="3"/>
  <c r="F39" i="3"/>
  <c r="F30" i="3"/>
  <c r="F13" i="3"/>
  <c r="F36" i="3"/>
  <c r="F51" i="3"/>
  <c r="F43" i="3"/>
  <c r="F46" i="3"/>
  <c r="J11" i="3"/>
  <c r="F15" i="3"/>
  <c r="F34" i="3"/>
  <c r="F11" i="3"/>
  <c r="J48" i="3"/>
  <c r="F42" i="3"/>
  <c r="F32" i="3"/>
  <c r="F23" i="3"/>
  <c r="F48" i="3"/>
  <c r="F41" i="3"/>
  <c r="F35" i="3"/>
  <c r="F47" i="3"/>
  <c r="F27" i="3"/>
  <c r="J13" i="3"/>
  <c r="J12" i="3"/>
  <c r="J44" i="3"/>
  <c r="F22" i="3"/>
  <c r="F21" i="3"/>
  <c r="F40" i="3"/>
  <c r="F18" i="3"/>
  <c r="F33" i="3"/>
  <c r="F50" i="3"/>
  <c r="F55" i="3"/>
  <c r="F57" i="3"/>
  <c r="F54" i="3"/>
  <c r="F53" i="3"/>
  <c r="E7" i="3"/>
  <c r="E9" i="3"/>
  <c r="E11" i="3"/>
  <c r="E53" i="3"/>
  <c r="E54" i="3"/>
  <c r="E55" i="3"/>
  <c r="E57" i="3"/>
  <c r="D69" i="27" l="1"/>
  <c r="F68" i="27"/>
  <c r="F67" i="36"/>
  <c r="D68" i="36"/>
  <c r="I46" i="32"/>
  <c r="I34" i="32"/>
  <c r="I30" i="32"/>
  <c r="I26" i="32"/>
  <c r="I22" i="32"/>
  <c r="I43" i="32"/>
  <c r="I51" i="32"/>
  <c r="I39" i="32"/>
  <c r="I50" i="32"/>
  <c r="I54" i="32"/>
  <c r="J54" i="32" s="1"/>
  <c r="I48" i="32"/>
  <c r="I44" i="32"/>
  <c r="I40" i="32"/>
  <c r="I36" i="32"/>
  <c r="I32" i="32"/>
  <c r="I28" i="32"/>
  <c r="I57" i="32"/>
  <c r="J57" i="32" s="1"/>
  <c r="P17" i="32" s="1"/>
  <c r="I41" i="32"/>
  <c r="I31" i="32"/>
  <c r="I27" i="32"/>
  <c r="I55" i="32"/>
  <c r="J55" i="32" s="1"/>
  <c r="I49" i="32"/>
  <c r="I37" i="32"/>
  <c r="I23" i="32"/>
  <c r="I45" i="32"/>
  <c r="I25" i="32"/>
  <c r="I53" i="32"/>
  <c r="I21" i="32"/>
  <c r="F21" i="32" s="1"/>
  <c r="I35" i="32"/>
  <c r="D70" i="27" l="1"/>
  <c r="F69" i="27"/>
  <c r="F68" i="36"/>
  <c r="D69" i="36"/>
  <c r="F26" i="32"/>
  <c r="J25" i="32"/>
  <c r="J41" i="32"/>
  <c r="F49" i="32"/>
  <c r="J48" i="32"/>
  <c r="F23" i="32"/>
  <c r="J22" i="32"/>
  <c r="F37" i="32"/>
  <c r="J36" i="32"/>
  <c r="F30" i="32"/>
  <c r="F27" i="32"/>
  <c r="J26" i="32"/>
  <c r="F28" i="32"/>
  <c r="J27" i="32"/>
  <c r="F41" i="32"/>
  <c r="J40" i="32"/>
  <c r="F51" i="32"/>
  <c r="J50" i="32"/>
  <c r="F34" i="32"/>
  <c r="F31" i="32"/>
  <c r="J30" i="32"/>
  <c r="J46" i="32"/>
  <c r="F36" i="32"/>
  <c r="J35" i="32"/>
  <c r="F50" i="32"/>
  <c r="J49" i="32"/>
  <c r="J32" i="32"/>
  <c r="J51" i="32"/>
  <c r="F39" i="32"/>
  <c r="F22" i="32"/>
  <c r="J21" i="32"/>
  <c r="F46" i="32"/>
  <c r="J45" i="32"/>
  <c r="F43" i="32"/>
  <c r="F48" i="32"/>
  <c r="J23" i="32"/>
  <c r="F25" i="32"/>
  <c r="F54" i="32"/>
  <c r="J53" i="32"/>
  <c r="J37" i="32"/>
  <c r="F32" i="32"/>
  <c r="J31" i="32"/>
  <c r="J28" i="32"/>
  <c r="F45" i="32"/>
  <c r="J44" i="32"/>
  <c r="F40" i="32"/>
  <c r="J39" i="32"/>
  <c r="F44" i="32"/>
  <c r="J43" i="32"/>
  <c r="F35" i="32"/>
  <c r="J34" i="32"/>
  <c r="F53" i="32"/>
  <c r="F57" i="32"/>
  <c r="F55" i="32"/>
  <c r="D71" i="27" l="1"/>
  <c r="F70" i="27"/>
  <c r="F69" i="36"/>
  <c r="D70" i="36"/>
  <c r="D72" i="27" l="1"/>
  <c r="F71" i="27"/>
  <c r="F70" i="36"/>
  <c r="D71" i="36"/>
  <c r="D73" i="27" l="1"/>
  <c r="F72" i="27"/>
  <c r="F71" i="36"/>
  <c r="D72" i="36"/>
  <c r="F73" i="27" l="1"/>
  <c r="D74" i="27"/>
  <c r="F72" i="36"/>
  <c r="D73" i="36"/>
  <c r="F74" i="27" l="1"/>
  <c r="D75" i="27"/>
  <c r="F73" i="36"/>
  <c r="D74" i="36"/>
  <c r="F75" i="27" l="1"/>
  <c r="D76" i="27"/>
  <c r="F74" i="36"/>
  <c r="D75" i="36"/>
  <c r="F76" i="27" l="1"/>
  <c r="D77" i="27"/>
  <c r="F75" i="36"/>
  <c r="D76" i="36"/>
  <c r="D78" i="27" l="1"/>
  <c r="F77" i="27"/>
  <c r="F76" i="36"/>
  <c r="D77" i="36"/>
  <c r="D79" i="27" l="1"/>
  <c r="F78" i="27"/>
  <c r="F77" i="36"/>
  <c r="D78" i="36"/>
  <c r="F79" i="27" l="1"/>
  <c r="D80" i="27"/>
  <c r="F78" i="36"/>
  <c r="D79" i="36"/>
  <c r="F80" i="27" l="1"/>
  <c r="D81" i="27"/>
  <c r="F79" i="36"/>
  <c r="D80" i="36"/>
  <c r="D82" i="27" l="1"/>
  <c r="F81" i="27"/>
  <c r="F80" i="36"/>
  <c r="D81" i="36"/>
  <c r="F82" i="27" l="1"/>
  <c r="D83" i="27"/>
  <c r="F81" i="36"/>
  <c r="D82" i="36"/>
  <c r="F83" i="27" l="1"/>
  <c r="D84" i="27"/>
  <c r="F82" i="36"/>
  <c r="D83" i="36"/>
  <c r="D85" i="27" l="1"/>
  <c r="F84" i="27"/>
  <c r="D84" i="36"/>
  <c r="F83" i="36"/>
  <c r="F85" i="27" l="1"/>
  <c r="D86" i="27"/>
  <c r="F84" i="36"/>
  <c r="D85" i="36"/>
  <c r="F86" i="27" l="1"/>
  <c r="D87" i="27"/>
  <c r="F85" i="36"/>
  <c r="D86" i="36"/>
  <c r="F87" i="27" l="1"/>
  <c r="D88" i="27"/>
  <c r="D87" i="36"/>
  <c r="F86" i="36"/>
  <c r="D89" i="27" l="1"/>
  <c r="F88" i="27"/>
  <c r="F87" i="36"/>
  <c r="D88" i="36"/>
  <c r="F109" i="36"/>
  <c r="F89" i="27" l="1"/>
  <c r="D90" i="27"/>
  <c r="D89" i="36"/>
  <c r="F88" i="36"/>
  <c r="F111" i="36"/>
  <c r="F110" i="36"/>
  <c r="D91" i="27" l="1"/>
  <c r="F90" i="27"/>
  <c r="D90" i="36"/>
  <c r="F89" i="36"/>
  <c r="F91" i="27" l="1"/>
  <c r="D92" i="27"/>
  <c r="D91" i="36"/>
  <c r="F90" i="36"/>
  <c r="F92" i="27" l="1"/>
  <c r="D93" i="27"/>
  <c r="F91" i="36"/>
  <c r="D92" i="36"/>
  <c r="F93" i="27" l="1"/>
  <c r="D94" i="27"/>
  <c r="D93" i="36"/>
  <c r="F92" i="36"/>
  <c r="D95" i="27" l="1"/>
  <c r="F94" i="27"/>
  <c r="F93" i="36"/>
  <c r="D94" i="36"/>
  <c r="D96" i="27" l="1"/>
  <c r="F95" i="27"/>
  <c r="F94" i="36"/>
  <c r="D95" i="36"/>
  <c r="D97" i="27" l="1"/>
  <c r="F96" i="27"/>
  <c r="D96" i="36"/>
  <c r="F95" i="36"/>
  <c r="F97" i="27" l="1"/>
  <c r="D98" i="27"/>
  <c r="F96" i="36"/>
  <c r="D97" i="36"/>
  <c r="D99" i="27" l="1"/>
  <c r="F98" i="27"/>
  <c r="D98" i="36"/>
  <c r="F97" i="36"/>
  <c r="D100" i="27" l="1"/>
  <c r="F99" i="27"/>
  <c r="F98" i="36"/>
  <c r="D99" i="36"/>
  <c r="F100" i="27" l="1"/>
  <c r="D101" i="27"/>
  <c r="D100" i="36"/>
  <c r="F99" i="36"/>
  <c r="F101" i="27" l="1"/>
  <c r="D102" i="27"/>
  <c r="F100" i="36"/>
  <c r="D101" i="36"/>
  <c r="D103" i="27" l="1"/>
  <c r="F102" i="27"/>
  <c r="F101" i="36"/>
  <c r="D102" i="36"/>
  <c r="F103" i="27" l="1"/>
  <c r="D104" i="27"/>
  <c r="F102" i="36"/>
  <c r="D103" i="36"/>
  <c r="D105" i="27" l="1"/>
  <c r="F104" i="27"/>
  <c r="D104" i="36"/>
  <c r="F103" i="36"/>
  <c r="F105" i="27" l="1"/>
  <c r="D106" i="27"/>
  <c r="D105" i="36"/>
  <c r="F104" i="36"/>
  <c r="F106" i="27" l="1"/>
  <c r="D107" i="27"/>
  <c r="F105" i="36"/>
  <c r="D106" i="36"/>
  <c r="F107" i="27" l="1"/>
  <c r="D108" i="27"/>
  <c r="F108" i="27" s="1"/>
  <c r="F113" i="27" s="1"/>
  <c r="D107" i="36"/>
  <c r="F106" i="36"/>
  <c r="D108" i="36" l="1"/>
  <c r="F108" i="36" s="1"/>
  <c r="F107" i="36"/>
  <c r="F113" i="36" l="1"/>
</calcChain>
</file>

<file path=xl/sharedStrings.xml><?xml version="1.0" encoding="utf-8"?>
<sst xmlns="http://schemas.openxmlformats.org/spreadsheetml/2006/main" count="810" uniqueCount="167">
  <si>
    <t>표준편차</t>
    <phoneticPr fontId="1" type="noConversion"/>
  </si>
  <si>
    <t>응시자 수</t>
    <phoneticPr fontId="1" type="noConversion"/>
  </si>
  <si>
    <t>평균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</si>
  <si>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</si>
  <si>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</si>
  <si>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</si>
  <si>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</si>
  <si>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</si>
  <si>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</si>
  <si>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</si>
  <si>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</si>
  <si>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</si>
  <si>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</si>
  <si>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</si>
  <si>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</si>
  <si>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</si>
  <si>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</si>
  <si>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</si>
  <si>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</si>
  <si>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</si>
  <si>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</si>
  <si>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-</t>
    <phoneticPr fontId="1" type="noConversion"/>
  </si>
  <si>
    <t>물리학Ⅱ</t>
    <phoneticPr fontId="1" type="noConversion"/>
  </si>
  <si>
    <t>물리학Ⅰ</t>
    <phoneticPr fontId="1" type="noConversion"/>
  </si>
  <si>
    <t>정치와 법</t>
    <phoneticPr fontId="1" type="noConversion"/>
  </si>
  <si>
    <t>수산·해운 산업 기초</t>
    <phoneticPr fontId="1" type="noConversion"/>
  </si>
  <si>
    <t>성공적인 직업생활</t>
    <phoneticPr fontId="1" type="noConversion"/>
  </si>
  <si>
    <t>물리학Ⅱ</t>
    <phoneticPr fontId="1" type="noConversion"/>
  </si>
  <si>
    <t>시험명</t>
    <phoneticPr fontId="1" type="noConversion"/>
  </si>
  <si>
    <t>직업탐구 (수산·해운 산업 기초)</t>
    <phoneticPr fontId="1" type="noConversion"/>
  </si>
  <si>
    <t>B2:K58</t>
    <phoneticPr fontId="1" type="noConversion"/>
  </si>
  <si>
    <t>B3:M39</t>
    <phoneticPr fontId="1" type="noConversion"/>
  </si>
  <si>
    <r>
      <t>생활과</t>
    </r>
    <r>
      <rPr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돋움"/>
        <family val="3"/>
        <charset val="129"/>
      </rPr>
      <t>윤리</t>
    </r>
  </si>
  <si>
    <r>
      <t>윤리와</t>
    </r>
    <r>
      <rPr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돋움"/>
        <family val="3"/>
        <charset val="129"/>
      </rPr>
      <t>사상</t>
    </r>
  </si>
  <si>
    <t>한국지리</t>
  </si>
  <si>
    <t>세계지리</t>
  </si>
  <si>
    <t>표준점수</t>
  </si>
  <si>
    <t>남자</t>
  </si>
  <si>
    <t>여자</t>
  </si>
  <si>
    <t>계</t>
  </si>
  <si>
    <r>
      <t>누적</t>
    </r>
    <r>
      <rPr>
        <sz val="7.5"/>
        <color rgb="FF000000"/>
        <rFont val="맑은 고딕"/>
        <family val="3"/>
        <charset val="129"/>
        <scheme val="minor"/>
      </rPr>
      <t>(</t>
    </r>
    <r>
      <rPr>
        <sz val="7.5"/>
        <color rgb="FF000000"/>
        <rFont val="돋움"/>
        <family val="3"/>
        <charset val="129"/>
      </rPr>
      <t>계</t>
    </r>
    <r>
      <rPr>
        <sz val="7.5"/>
        <color rgb="FF000000"/>
        <rFont val="맑은 고딕"/>
        <family val="3"/>
        <charset val="129"/>
        <scheme val="minor"/>
      </rPr>
      <t>)</t>
    </r>
  </si>
  <si>
    <t>동아시아사</t>
  </si>
  <si>
    <t>세계사</t>
  </si>
  <si>
    <t>경제</t>
  </si>
  <si>
    <r>
      <t>정치와</t>
    </r>
    <r>
      <rPr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돋움"/>
        <family val="3"/>
        <charset val="129"/>
      </rPr>
      <t>법</t>
    </r>
  </si>
  <si>
    <r>
      <t>사회</t>
    </r>
    <r>
      <rPr>
        <sz val="7.5"/>
        <color rgb="FF000000"/>
        <rFont val="맑은 고딕"/>
        <family val="3"/>
        <charset val="129"/>
        <scheme val="minor"/>
      </rPr>
      <t>·</t>
    </r>
    <r>
      <rPr>
        <sz val="7.5"/>
        <color rgb="FF000000"/>
        <rFont val="돋움"/>
        <family val="3"/>
        <charset val="129"/>
      </rPr>
      <t>문화</t>
    </r>
  </si>
  <si>
    <r>
      <t>물리학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</t>
    </r>
  </si>
  <si>
    <r>
      <t>화학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</t>
    </r>
  </si>
  <si>
    <r>
      <t>생명과학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</t>
    </r>
  </si>
  <si>
    <r>
      <t>지구과학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</t>
    </r>
  </si>
  <si>
    <r>
      <t>물리학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II</t>
    </r>
  </si>
  <si>
    <r>
      <t>화학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II</t>
    </r>
  </si>
  <si>
    <r>
      <t>생명과학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II</t>
    </r>
  </si>
  <si>
    <r>
      <t>지구과학</t>
    </r>
    <r>
      <rPr>
        <i/>
        <sz val="7.5"/>
        <color rgb="FF000000"/>
        <rFont val="맑은 고딕"/>
        <family val="3"/>
        <charset val="129"/>
        <scheme val="minor"/>
      </rPr>
      <t xml:space="preserve"> </t>
    </r>
    <r>
      <rPr>
        <sz val="7.5"/>
        <color rgb="FF000000"/>
        <rFont val="바탕"/>
        <family val="1"/>
        <charset val="129"/>
      </rPr>
      <t>II</t>
    </r>
  </si>
  <si>
    <r>
      <t>성공적인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직업생활</t>
    </r>
  </si>
  <si>
    <r>
      <t>농업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기초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기술</t>
    </r>
  </si>
  <si>
    <r>
      <t>공업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일반</t>
    </r>
  </si>
  <si>
    <r>
      <t>상업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경제</t>
    </r>
  </si>
  <si>
    <r>
      <t>누적</t>
    </r>
    <r>
      <rPr>
        <sz val="8.5"/>
        <color rgb="FF000000"/>
        <rFont val="맑은 고딕"/>
        <family val="3"/>
        <charset val="129"/>
        <scheme val="minor"/>
      </rPr>
      <t>(</t>
    </r>
    <r>
      <rPr>
        <sz val="8.5"/>
        <color rgb="FF000000"/>
        <rFont val="돋움"/>
        <family val="3"/>
        <charset val="129"/>
      </rPr>
      <t>계</t>
    </r>
    <r>
      <rPr>
        <sz val="8.5"/>
        <color rgb="FF000000"/>
        <rFont val="맑은 고딕"/>
        <family val="3"/>
        <charset val="129"/>
        <scheme val="minor"/>
      </rPr>
      <t>)</t>
    </r>
  </si>
  <si>
    <r>
      <t>수산</t>
    </r>
    <r>
      <rPr>
        <sz val="8.5"/>
        <color rgb="FF000000"/>
        <rFont val="맑은 고딕"/>
        <family val="3"/>
        <charset val="129"/>
        <scheme val="minor"/>
      </rPr>
      <t>·</t>
    </r>
    <r>
      <rPr>
        <sz val="8.5"/>
        <color rgb="FF000000"/>
        <rFont val="돋움"/>
        <family val="3"/>
        <charset val="129"/>
      </rPr>
      <t>해운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산업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기초</t>
    </r>
  </si>
  <si>
    <r>
      <t>인간</t>
    </r>
    <r>
      <rPr>
        <sz val="8.5"/>
        <color rgb="FF000000"/>
        <rFont val="맑은 고딕"/>
        <family val="3"/>
        <charset val="129"/>
        <scheme val="minor"/>
      </rPr>
      <t xml:space="preserve"> </t>
    </r>
    <r>
      <rPr>
        <sz val="8.5"/>
        <color rgb="FF000000"/>
        <rFont val="돋움"/>
        <family val="3"/>
        <charset val="129"/>
      </rPr>
      <t>발달</t>
    </r>
  </si>
  <si>
    <t>등급</t>
  </si>
  <si>
    <r>
      <t>생활과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윤리</t>
    </r>
  </si>
  <si>
    <r>
      <t>윤리와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사상</t>
    </r>
  </si>
  <si>
    <r>
      <t>인원</t>
    </r>
    <r>
      <rPr>
        <sz val="10"/>
        <color rgb="FF000000"/>
        <rFont val="맑은 고딕"/>
        <family val="3"/>
        <charset val="129"/>
        <scheme val="minor"/>
      </rPr>
      <t>(</t>
    </r>
    <r>
      <rPr>
        <sz val="10"/>
        <color rgb="FF000000"/>
        <rFont val="바탕체"/>
        <family val="1"/>
        <charset val="129"/>
      </rPr>
      <t>명</t>
    </r>
    <r>
      <rPr>
        <sz val="10"/>
        <color rgb="FF000000"/>
        <rFont val="맑은 고딕"/>
        <family val="3"/>
        <charset val="129"/>
        <scheme val="minor"/>
      </rPr>
      <t>)</t>
    </r>
  </si>
  <si>
    <r>
      <t>비율</t>
    </r>
    <r>
      <rPr>
        <sz val="10"/>
        <color rgb="FF000000"/>
        <rFont val="맑은 고딕"/>
        <family val="3"/>
        <charset val="129"/>
        <scheme val="minor"/>
      </rPr>
      <t>(%)</t>
    </r>
  </si>
  <si>
    <r>
      <t>구분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점수</t>
    </r>
  </si>
  <si>
    <r>
      <t>32</t>
    </r>
    <r>
      <rPr>
        <sz val="10"/>
        <color rgb="FF000000"/>
        <rFont val="바탕체"/>
        <family val="1"/>
        <charset val="129"/>
      </rPr>
      <t>미만</t>
    </r>
  </si>
  <si>
    <r>
      <t>38</t>
    </r>
    <r>
      <rPr>
        <sz val="10"/>
        <color rgb="FF000000"/>
        <rFont val="바탕체"/>
        <family val="1"/>
        <charset val="129"/>
      </rPr>
      <t>미만</t>
    </r>
  </si>
  <si>
    <r>
      <t>34</t>
    </r>
    <r>
      <rPr>
        <sz val="10"/>
        <color rgb="FF000000"/>
        <rFont val="바탕체"/>
        <family val="1"/>
        <charset val="129"/>
      </rPr>
      <t>미만</t>
    </r>
  </si>
  <si>
    <r>
      <t>35</t>
    </r>
    <r>
      <rPr>
        <sz val="10"/>
        <color rgb="FF000000"/>
        <rFont val="바탕체"/>
        <family val="1"/>
        <charset val="129"/>
      </rPr>
      <t>미만</t>
    </r>
  </si>
  <si>
    <r>
      <t>정치와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법</t>
    </r>
  </si>
  <si>
    <r>
      <t>36</t>
    </r>
    <r>
      <rPr>
        <sz val="10"/>
        <color rgb="FF000000"/>
        <rFont val="바탕체"/>
        <family val="1"/>
        <charset val="129"/>
      </rPr>
      <t>미만</t>
    </r>
  </si>
  <si>
    <r>
      <t>37</t>
    </r>
    <r>
      <rPr>
        <sz val="10"/>
        <color rgb="FF000000"/>
        <rFont val="바탕체"/>
        <family val="1"/>
        <charset val="129"/>
      </rPr>
      <t>미만</t>
    </r>
  </si>
  <si>
    <r>
      <t>사회</t>
    </r>
    <r>
      <rPr>
        <sz val="10"/>
        <color rgb="FF000000"/>
        <rFont val="맑은 고딕"/>
        <family val="3"/>
        <charset val="129"/>
        <scheme val="minor"/>
      </rPr>
      <t>·</t>
    </r>
    <r>
      <rPr>
        <sz val="10"/>
        <color rgb="FF000000"/>
        <rFont val="바탕체"/>
        <family val="1"/>
        <charset val="129"/>
      </rPr>
      <t>문화</t>
    </r>
  </si>
  <si>
    <r>
      <t>물리학</t>
    </r>
    <r>
      <rPr>
        <sz val="10"/>
        <color rgb="FF000000"/>
        <rFont val="맑은 고딕"/>
        <family val="3"/>
        <charset val="129"/>
        <scheme val="minor"/>
      </rPr>
      <t xml:space="preserve"> Ⅰ</t>
    </r>
  </si>
  <si>
    <r>
      <t>화학</t>
    </r>
    <r>
      <rPr>
        <sz val="10"/>
        <color rgb="FF000000"/>
        <rFont val="맑은 고딕"/>
        <family val="3"/>
        <charset val="129"/>
        <scheme val="minor"/>
      </rPr>
      <t xml:space="preserve"> Ⅰ</t>
    </r>
  </si>
  <si>
    <r>
      <t>생명과학</t>
    </r>
    <r>
      <rPr>
        <sz val="10"/>
        <color rgb="FF000000"/>
        <rFont val="맑은 고딕"/>
        <family val="3"/>
        <charset val="129"/>
        <scheme val="minor"/>
      </rPr>
      <t xml:space="preserve"> Ⅰ</t>
    </r>
  </si>
  <si>
    <r>
      <t>지구과학</t>
    </r>
    <r>
      <rPr>
        <sz val="10"/>
        <color rgb="FF000000"/>
        <rFont val="맑은 고딕"/>
        <family val="3"/>
        <charset val="129"/>
        <scheme val="minor"/>
      </rPr>
      <t xml:space="preserve"> Ⅰ</t>
    </r>
  </si>
  <si>
    <r>
      <t>33</t>
    </r>
    <r>
      <rPr>
        <sz val="10"/>
        <color rgb="FF000000"/>
        <rFont val="바탕체"/>
        <family val="1"/>
        <charset val="129"/>
      </rPr>
      <t>미만</t>
    </r>
  </si>
  <si>
    <r>
      <t>물리학</t>
    </r>
    <r>
      <rPr>
        <sz val="10"/>
        <color rgb="FF000000"/>
        <rFont val="맑은 고딕"/>
        <family val="3"/>
        <charset val="129"/>
        <scheme val="minor"/>
      </rPr>
      <t xml:space="preserve"> Ⅱ</t>
    </r>
  </si>
  <si>
    <r>
      <t>화학</t>
    </r>
    <r>
      <rPr>
        <sz val="10"/>
        <color rgb="FF000000"/>
        <rFont val="맑은 고딕"/>
        <family val="3"/>
        <charset val="129"/>
        <scheme val="minor"/>
      </rPr>
      <t xml:space="preserve"> Ⅱ</t>
    </r>
  </si>
  <si>
    <r>
      <t>생명과학</t>
    </r>
    <r>
      <rPr>
        <sz val="10"/>
        <color rgb="FF000000"/>
        <rFont val="맑은 고딕"/>
        <family val="3"/>
        <charset val="129"/>
        <scheme val="minor"/>
      </rPr>
      <t xml:space="preserve"> Ⅱ</t>
    </r>
  </si>
  <si>
    <r>
      <t>지구과학</t>
    </r>
    <r>
      <rPr>
        <sz val="10"/>
        <color rgb="FF000000"/>
        <rFont val="맑은 고딕"/>
        <family val="3"/>
        <charset val="129"/>
        <scheme val="minor"/>
      </rPr>
      <t xml:space="preserve"> Ⅱ</t>
    </r>
  </si>
  <si>
    <r>
      <t>39</t>
    </r>
    <r>
      <rPr>
        <sz val="10"/>
        <color rgb="FF000000"/>
        <rFont val="바탕체"/>
        <family val="1"/>
        <charset val="129"/>
      </rPr>
      <t>미만</t>
    </r>
  </si>
  <si>
    <r>
      <t>40</t>
    </r>
    <r>
      <rPr>
        <sz val="10"/>
        <color rgb="FF000000"/>
        <rFont val="바탕체"/>
        <family val="1"/>
        <charset val="129"/>
      </rPr>
      <t>미만</t>
    </r>
  </si>
  <si>
    <r>
      <t>성공적인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직업생활</t>
    </r>
  </si>
  <si>
    <r>
      <t>농업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기초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기술</t>
    </r>
  </si>
  <si>
    <r>
      <t>공업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일반</t>
    </r>
  </si>
  <si>
    <r>
      <t>상업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경제</t>
    </r>
  </si>
  <si>
    <t>-</t>
  </si>
  <si>
    <r>
      <t>수산</t>
    </r>
    <r>
      <rPr>
        <sz val="10"/>
        <color rgb="FF000000"/>
        <rFont val="맑은 고딕"/>
        <family val="3"/>
        <charset val="129"/>
        <scheme val="minor"/>
      </rPr>
      <t>·</t>
    </r>
    <r>
      <rPr>
        <sz val="10"/>
        <color rgb="FF000000"/>
        <rFont val="바탕체"/>
        <family val="1"/>
        <charset val="129"/>
      </rPr>
      <t>해운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산업</t>
    </r>
    <r>
      <rPr>
        <sz val="10"/>
        <color rgb="FF000000"/>
        <rFont val="맑은 고딕"/>
        <family val="3"/>
        <charset val="129"/>
        <scheme val="minor"/>
      </rPr>
      <t xml:space="preserve"> </t>
    </r>
    <r>
      <rPr>
        <sz val="10"/>
        <color rgb="FF000000"/>
        <rFont val="바탕체"/>
        <family val="1"/>
        <charset val="129"/>
      </rPr>
      <t>기초</t>
    </r>
  </si>
  <si>
    <t>인간발달</t>
  </si>
  <si>
    <r>
      <t>42</t>
    </r>
    <r>
      <rPr>
        <sz val="10"/>
        <color rgb="FF000000"/>
        <rFont val="바탕체"/>
        <family val="1"/>
        <charset val="129"/>
      </rPr>
      <t>미만</t>
    </r>
  </si>
  <si>
    <t>-</t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</si>
  <si>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</si>
  <si>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t>2023</t>
    </r>
    <r>
      <rPr>
        <sz val="12"/>
        <color theme="1"/>
        <rFont val="맑은 고딕"/>
        <family val="2"/>
        <charset val="129"/>
      </rPr>
      <t>학년도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대학수학능력시험</t>
    </r>
    <r>
      <rPr>
        <sz val="12"/>
        <color theme="1"/>
        <rFont val="Microsoft Sans Serif"/>
        <family val="2"/>
      </rPr>
      <t xml:space="preserve"> 6</t>
    </r>
    <r>
      <rPr>
        <sz val="12"/>
        <color theme="1"/>
        <rFont val="맑은 고딕"/>
        <family val="2"/>
        <charset val="129"/>
      </rPr>
      <t>월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모의평가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</si>
  <si>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</si>
  <si>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</si>
  <si>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</si>
  <si>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</si>
  <si>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</si>
  <si>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</si>
  <si>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</si>
  <si>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</si>
  <si>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농업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기술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</si>
  <si>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</si>
  <si>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</si>
  <si>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</si>
  <si>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</si>
  <si>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Ⅱ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</si>
  <si>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</si>
  <si>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</si>
  <si>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</si>
  <si>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</si>
  <si>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</si>
  <si>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</si>
  <si>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</si>
  <si>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</si>
  <si>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</si>
  <si>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</si>
  <si>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</si>
  <si>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t>2023</t>
    </r>
    <r>
      <rPr>
        <sz val="12"/>
        <color theme="1"/>
        <rFont val="맑은 고딕"/>
        <family val="2"/>
        <charset val="129"/>
      </rPr>
      <t>학년도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대학수학능력시험</t>
    </r>
    <r>
      <rPr>
        <sz val="12"/>
        <color theme="1"/>
        <rFont val="Microsoft Sans Serif"/>
        <family val="2"/>
      </rPr>
      <t xml:space="preserve"> 6</t>
    </r>
    <r>
      <rPr>
        <sz val="12"/>
        <color theme="1"/>
        <rFont val="맑은 고딕"/>
        <family val="2"/>
        <charset val="129"/>
      </rPr>
      <t>월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모의평가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</si>
  <si>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</si>
  <si>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phoneticPr fontId="1" type="noConversion"/>
  </si>
  <si>
    <r>
      <rPr>
        <sz val="13"/>
        <color theme="1"/>
        <rFont val="맑은 고딕"/>
        <family val="2"/>
        <charset val="129"/>
      </rPr>
      <t>표준점수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</si>
  <si>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</si>
  <si>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백분위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</si>
  <si>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</si>
  <si>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</si>
  <si>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</si>
  <si>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</si>
  <si>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3"/>
        <charset val="129"/>
      </rPr>
      <t>시험명</t>
    </r>
  </si>
  <si>
    <r>
      <t>2023</t>
    </r>
    <r>
      <rPr>
        <sz val="12"/>
        <color theme="1"/>
        <rFont val="맑은 고딕"/>
        <family val="3"/>
        <charset val="129"/>
      </rPr>
      <t>학년도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대학수학능력시험</t>
    </r>
    <r>
      <rPr>
        <sz val="12"/>
        <color theme="1"/>
        <rFont val="Microsoft Sans Serif"/>
        <family val="2"/>
      </rPr>
      <t xml:space="preserve"> 6</t>
    </r>
    <r>
      <rPr>
        <sz val="12"/>
        <color theme="1"/>
        <rFont val="맑은 고딕"/>
        <family val="3"/>
        <charset val="129"/>
      </rPr>
      <t>월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모의평가</t>
    </r>
    <phoneticPr fontId="1" type="noConversion"/>
  </si>
  <si>
    <r>
      <rPr>
        <sz val="12"/>
        <color theme="1"/>
        <rFont val="맑은 고딕"/>
        <family val="3"/>
        <charset val="129"/>
      </rPr>
      <t>과목</t>
    </r>
  </si>
  <si>
    <r>
      <rPr>
        <sz val="12"/>
        <color theme="1"/>
        <rFont val="맑은 고딕"/>
        <family val="3"/>
        <charset val="129"/>
      </rPr>
      <t>탐구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3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</si>
  <si>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</si>
  <si>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</si>
  <si>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</si>
  <si>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</si>
  <si>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</si>
  <si>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</si>
  <si>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</si>
  <si>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</si>
  <si>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</si>
  <si>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</si>
  <si>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</si>
  <si>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</si>
  <si>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</si>
  <si>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</si>
  <si>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</si>
  <si>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</si>
  <si>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</si>
  <si>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</si>
  <si>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</si>
  <si>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</si>
  <si>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</si>
  <si>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</si>
  <si>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</si>
  <si>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지구과학Ⅱ</t>
    </r>
    <phoneticPr fontId="1" type="noConversion"/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</si>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</sst>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_ "/>
    <numFmt numFmtId="177" formatCode="0_);[Red]\(0\)"/>
  </numFmts>
  <fonts count="5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7.5"/>
      <color rgb="FF000000"/>
      <name val="돋움"/>
      <family val="3"/>
      <charset val="129"/>
    </font>
    <font>
      <sz val="7.5"/>
      <color rgb="FF000000"/>
      <name val="맑은 고딕"/>
      <family val="3"/>
      <charset val="129"/>
      <scheme val="minor"/>
    </font>
    <font>
      <sz val="5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i/>
      <sz val="7.5"/>
      <color rgb="FF000000"/>
      <name val="돋움"/>
      <family val="3"/>
      <charset val="129"/>
    </font>
    <font>
      <i/>
      <sz val="7.5"/>
      <color rgb="FF000000"/>
      <name val="맑은 고딕"/>
      <family val="3"/>
      <charset val="129"/>
      <scheme val="minor"/>
    </font>
    <font>
      <sz val="7.5"/>
      <color rgb="FF000000"/>
      <name val="바탕"/>
      <family val="1"/>
      <charset val="129"/>
    </font>
    <font>
      <sz val="8.5"/>
      <color rgb="FF000000"/>
      <name val="돋움"/>
      <family val="3"/>
      <charset val="129"/>
    </font>
    <font>
      <sz val="8.5"/>
      <color rgb="FF000000"/>
      <name val="맑은 고딕"/>
      <family val="3"/>
      <charset val="129"/>
      <scheme val="minor"/>
    </font>
    <font>
      <sz val="8"/>
      <color rgb="FF000000"/>
      <name val="맑은 고딕"/>
      <family val="3"/>
      <charset val="129"/>
      <scheme val="minor"/>
    </font>
    <font>
      <sz val="8"/>
      <color rgb="FF000000"/>
      <name val="돋움"/>
      <family val="3"/>
      <charset val="129"/>
    </font>
    <font>
      <sz val="9.5"/>
      <color rgb="FF000000"/>
      <name val="맑은 고딕"/>
      <family val="3"/>
      <charset val="129"/>
      <scheme val="minor"/>
    </font>
    <font>
      <sz val="10"/>
      <color rgb="FF000000"/>
      <name val="바탕체"/>
      <family val="1"/>
      <charset val="129"/>
    </font>
    <font>
      <sz val="12"/>
      <color theme="1"/>
      <name val="맑은 고딕"/>
      <family val="3"/>
      <charset val="129"/>
    </font>
    <font>
      <sz val="12"/>
      <color theme="1"/>
      <name val="Microsoft Sans Serif"/>
      <family val="2"/>
      <charset val="129"/>
    </font>
    <font>
      <sz val="13"/>
      <color theme="1"/>
      <name val="Microsoft Sans Serif"/>
      <family val="2"/>
    </font>
    <font>
      <sz val="13"/>
      <color theme="1"/>
      <name val="맑은 고딕"/>
      <family val="2"/>
      <charset val="129"/>
    </font>
    <font>
      <sz val="13"/>
      <name val="Microsoft Sans Serif"/>
      <family val="2"/>
    </font>
    <font>
      <b/>
      <sz val="13"/>
      <color theme="1"/>
      <name val="Microsoft Sans Serif"/>
      <family val="2"/>
    </font>
    <font>
      <b/>
      <sz val="13"/>
      <color theme="1"/>
      <name val="맑은 고딕"/>
      <family val="3"/>
      <charset val="129"/>
    </font>
    <font>
      <b/>
      <sz val="13"/>
      <color theme="1"/>
      <name val="Microsoft Sans Serif"/>
      <family val="3"/>
      <charset val="129"/>
    </font>
    <font>
      <sz val="12"/>
      <color theme="1"/>
      <name val="Microsoft Sans Serif"/>
      <family val="3"/>
      <charset val="129"/>
    </font>
  </fonts>
  <fills count="4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99FF"/>
        <bgColor indexed="64"/>
      </patternFill>
    </fill>
  </fills>
  <borders count="121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medium">
        <color rgb="FF000000"/>
      </left>
      <right/>
      <top style="medium">
        <color rgb="FF000000"/>
      </top>
      <bottom style="medium">
        <color rgb="FF808080"/>
      </bottom>
      <diagonal/>
    </border>
    <border>
      <left/>
      <right/>
      <top style="medium">
        <color rgb="FF000000"/>
      </top>
      <bottom style="medium">
        <color rgb="FF80808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 style="medium">
        <color rgb="FF808080"/>
      </top>
      <bottom style="thin">
        <color rgb="FF00000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thin">
        <color rgb="FF000000"/>
      </bottom>
      <diagonal/>
    </border>
    <border>
      <left style="medium">
        <color rgb="FF808080"/>
      </left>
      <right style="medium">
        <color rgb="FF000000"/>
      </right>
      <top style="medium">
        <color rgb="FF808080"/>
      </top>
      <bottom style="thin">
        <color rgb="FF000000"/>
      </bottom>
      <diagonal/>
    </border>
    <border>
      <left style="medium">
        <color rgb="FF000000"/>
      </left>
      <right style="medium">
        <color rgb="FF808080"/>
      </right>
      <top style="thin">
        <color rgb="FF00000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thin">
        <color rgb="FF000000"/>
      </top>
      <bottom style="medium">
        <color rgb="FF808080"/>
      </bottom>
      <diagonal/>
    </border>
    <border>
      <left style="medium">
        <color rgb="FF808080"/>
      </left>
      <right style="medium">
        <color rgb="FF000000"/>
      </right>
      <top style="thin">
        <color rgb="FF00000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808080"/>
      </bottom>
      <diagonal/>
    </border>
    <border>
      <left style="medium">
        <color rgb="FF808080"/>
      </left>
      <right style="medium">
        <color rgb="FF000000"/>
      </right>
      <top style="medium">
        <color rgb="FF808080"/>
      </top>
      <bottom style="medium">
        <color rgb="FF808080"/>
      </bottom>
      <diagonal/>
    </border>
    <border>
      <left style="medium">
        <color rgb="FF000000"/>
      </left>
      <right style="medium">
        <color rgb="FF808080"/>
      </right>
      <top style="medium">
        <color rgb="FF808080"/>
      </top>
      <bottom style="medium">
        <color rgb="FF000000"/>
      </bottom>
      <diagonal/>
    </border>
    <border>
      <left style="medium">
        <color rgb="FF808080"/>
      </left>
      <right style="medium">
        <color rgb="FF808080"/>
      </right>
      <top style="medium">
        <color rgb="FF808080"/>
      </top>
      <bottom style="medium">
        <color rgb="FF000000"/>
      </bottom>
      <diagonal/>
    </border>
    <border>
      <left style="medium">
        <color rgb="FF808080"/>
      </left>
      <right style="medium">
        <color rgb="FF000000"/>
      </right>
      <top style="medium">
        <color rgb="FF808080"/>
      </top>
      <bottom style="medium">
        <color rgb="FF000000"/>
      </bottom>
      <diagonal/>
    </border>
    <border>
      <left style="medium">
        <color rgb="FF000000"/>
      </left>
      <right style="medium">
        <color rgb="FF808080"/>
      </right>
      <top style="medium">
        <color rgb="FF000000"/>
      </top>
      <bottom style="medium">
        <color rgb="FF000000"/>
      </bottom>
      <diagonal/>
    </border>
    <border>
      <left style="medium">
        <color rgb="FF808080"/>
      </left>
      <right style="medium">
        <color rgb="FF808080"/>
      </right>
      <top style="medium">
        <color rgb="FF000000"/>
      </top>
      <bottom style="medium">
        <color rgb="FF000000"/>
      </bottom>
      <diagonal/>
    </border>
    <border>
      <left style="medium">
        <color rgb="FF80808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 style="medium">
        <color rgb="FF808080"/>
      </bottom>
      <diagonal/>
    </border>
    <border>
      <left style="medium">
        <color indexed="64"/>
      </left>
      <right/>
      <top style="medium">
        <color rgb="FF000000"/>
      </top>
      <bottom style="medium">
        <color rgb="FF80808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/>
      <diagonal/>
    </border>
    <border>
      <left style="thick">
        <color rgb="FF000000"/>
      </left>
      <right style="medium">
        <color rgb="FF000000"/>
      </right>
      <top/>
      <bottom/>
      <diagonal/>
    </border>
    <border>
      <left style="thick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/>
      <right style="double">
        <color rgb="FF000000"/>
      </right>
      <top style="thick">
        <color rgb="FF000000"/>
      </top>
      <bottom style="medium">
        <color rgb="FF000000"/>
      </bottom>
      <diagonal/>
    </border>
    <border>
      <left style="double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/>
      <diagonal/>
    </border>
    <border>
      <left style="medium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ck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medium">
        <color rgb="FF000000"/>
      </right>
      <top/>
      <bottom style="double">
        <color rgb="FF000000"/>
      </bottom>
      <diagonal/>
    </border>
    <border>
      <left style="thick">
        <color rgb="FF000000"/>
      </left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double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double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double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thick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double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double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 style="double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51">
    <xf numFmtId="0" fontId="0" fillId="0" borderId="0">
      <alignment vertical="center"/>
    </xf>
    <xf numFmtId="0" fontId="2" fillId="0" borderId="0"/>
    <xf numFmtId="0" fontId="4" fillId="0" borderId="26" applyNumberFormat="0" applyFill="0" applyAlignment="0" applyProtection="0">
      <alignment vertical="center"/>
    </xf>
    <xf numFmtId="0" fontId="5" fillId="0" borderId="27" applyNumberFormat="0" applyFill="0" applyAlignment="0" applyProtection="0">
      <alignment vertical="center"/>
    </xf>
    <xf numFmtId="0" fontId="6" fillId="0" borderId="28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9" borderId="29" applyNumberFormat="0" applyAlignment="0" applyProtection="0">
      <alignment vertical="center"/>
    </xf>
    <xf numFmtId="0" fontId="10" fillId="10" borderId="30" applyNumberFormat="0" applyAlignment="0" applyProtection="0">
      <alignment vertical="center"/>
    </xf>
    <xf numFmtId="0" fontId="11" fillId="10" borderId="29" applyNumberFormat="0" applyAlignment="0" applyProtection="0">
      <alignment vertical="center"/>
    </xf>
    <xf numFmtId="0" fontId="12" fillId="0" borderId="31" applyNumberFormat="0" applyFill="0" applyAlignment="0" applyProtection="0">
      <alignment vertical="center"/>
    </xf>
    <xf numFmtId="0" fontId="13" fillId="11" borderId="32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34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3" fillId="3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3" fillId="34" borderId="0" applyNumberFormat="0" applyBorder="0" applyAlignment="0" applyProtection="0">
      <alignment vertical="center"/>
    </xf>
    <xf numFmtId="0" fontId="3" fillId="35" borderId="0" applyNumberFormat="0" applyBorder="0" applyAlignment="0" applyProtection="0">
      <alignment vertical="center"/>
    </xf>
    <xf numFmtId="0" fontId="18" fillId="0" borderId="0"/>
    <xf numFmtId="0" fontId="19" fillId="0" borderId="0" applyNumberFormat="0" applyFill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3" fillId="0" borderId="0">
      <alignment vertical="center"/>
    </xf>
    <xf numFmtId="0" fontId="3" fillId="12" borderId="33" applyNumberFormat="0" applyFont="0" applyAlignment="0" applyProtection="0">
      <alignment vertical="center"/>
    </xf>
    <xf numFmtId="0" fontId="2" fillId="0" borderId="0"/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18" fillId="0" borderId="0"/>
    <xf numFmtId="9" fontId="3" fillId="0" borderId="0" applyFont="0" applyFill="0" applyBorder="0" applyAlignment="0" applyProtection="0">
      <alignment vertical="center"/>
    </xf>
  </cellStyleXfs>
  <cellXfs count="34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0" xfId="0" quotePrefix="1" applyFill="1" applyBorder="1" applyAlignment="1">
      <alignment horizontal="center" vertical="center"/>
    </xf>
    <xf numFmtId="0" fontId="0" fillId="5" borderId="0" xfId="0" applyFill="1">
      <alignment vertical="center"/>
    </xf>
    <xf numFmtId="0" fontId="23" fillId="5" borderId="0" xfId="0" applyFont="1" applyFill="1" applyAlignment="1">
      <alignment horizontal="center" vertical="center"/>
    </xf>
    <xf numFmtId="0" fontId="23" fillId="5" borderId="0" xfId="0" applyFont="1" applyFill="1">
      <alignment vertical="center"/>
    </xf>
    <xf numFmtId="0" fontId="24" fillId="5" borderId="0" xfId="0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4" fillId="4" borderId="15" xfId="0" applyFont="1" applyFill="1" applyBorder="1" applyAlignment="1">
      <alignment horizontal="center" vertical="center"/>
    </xf>
    <xf numFmtId="0" fontId="25" fillId="5" borderId="52" xfId="0" applyFont="1" applyFill="1" applyBorder="1">
      <alignment vertical="center"/>
    </xf>
    <xf numFmtId="0" fontId="0" fillId="5" borderId="54" xfId="0" applyFill="1" applyBorder="1">
      <alignment vertical="center"/>
    </xf>
    <xf numFmtId="0" fontId="25" fillId="5" borderId="55" xfId="0" applyFont="1" applyFill="1" applyBorder="1">
      <alignment vertical="center"/>
    </xf>
    <xf numFmtId="0" fontId="0" fillId="5" borderId="56" xfId="0" applyFill="1" applyBorder="1">
      <alignment vertical="center"/>
    </xf>
    <xf numFmtId="0" fontId="24" fillId="5" borderId="0" xfId="0" applyFont="1" applyFill="1" applyBorder="1">
      <alignment vertical="center"/>
    </xf>
    <xf numFmtId="0" fontId="0" fillId="5" borderId="57" xfId="0" applyFill="1" applyBorder="1">
      <alignment vertical="center"/>
    </xf>
    <xf numFmtId="0" fontId="0" fillId="5" borderId="58" xfId="0" applyFill="1" applyBorder="1">
      <alignment vertical="center"/>
    </xf>
    <xf numFmtId="0" fontId="0" fillId="5" borderId="59" xfId="0" applyFill="1" applyBorder="1">
      <alignment vertical="center"/>
    </xf>
    <xf numFmtId="0" fontId="25" fillId="5" borderId="53" xfId="0" applyFont="1" applyFill="1" applyBorder="1">
      <alignment vertical="center"/>
    </xf>
    <xf numFmtId="0" fontId="23" fillId="5" borderId="52" xfId="0" applyFont="1" applyFill="1" applyBorder="1">
      <alignment vertical="center"/>
    </xf>
    <xf numFmtId="0" fontId="23" fillId="5" borderId="53" xfId="0" applyFont="1" applyFill="1" applyBorder="1" applyAlignment="1">
      <alignment horizontal="center" vertical="center"/>
    </xf>
    <xf numFmtId="0" fontId="23" fillId="5" borderId="55" xfId="0" applyFont="1" applyFill="1" applyBorder="1">
      <alignment vertical="center"/>
    </xf>
    <xf numFmtId="0" fontId="23" fillId="5" borderId="57" xfId="0" applyFont="1" applyFill="1" applyBorder="1">
      <alignment vertical="center"/>
    </xf>
    <xf numFmtId="0" fontId="23" fillId="5" borderId="58" xfId="0" applyFont="1" applyFill="1" applyBorder="1" applyAlignment="1">
      <alignment horizontal="center" vertical="center"/>
    </xf>
    <xf numFmtId="0" fontId="23" fillId="5" borderId="59" xfId="0" applyFont="1" applyFill="1" applyBorder="1">
      <alignment vertical="center"/>
    </xf>
    <xf numFmtId="0" fontId="23" fillId="0" borderId="53" xfId="0" applyFont="1" applyBorder="1">
      <alignment vertical="center"/>
    </xf>
    <xf numFmtId="0" fontId="23" fillId="5" borderId="56" xfId="0" applyFont="1" applyFill="1" applyBorder="1">
      <alignment vertical="center"/>
    </xf>
    <xf numFmtId="0" fontId="23" fillId="5" borderId="58" xfId="0" applyFont="1" applyFill="1" applyBorder="1">
      <alignment vertical="center"/>
    </xf>
    <xf numFmtId="0" fontId="23" fillId="5" borderId="54" xfId="0" applyFont="1" applyFill="1" applyBorder="1">
      <alignment vertical="center"/>
    </xf>
    <xf numFmtId="0" fontId="29" fillId="38" borderId="63" xfId="0" applyFont="1" applyFill="1" applyBorder="1" applyAlignment="1">
      <alignment horizontal="center" vertical="center" wrapText="1"/>
    </xf>
    <xf numFmtId="0" fontId="29" fillId="38" borderId="64" xfId="0" applyFont="1" applyFill="1" applyBorder="1" applyAlignment="1">
      <alignment horizontal="center" vertical="center" wrapText="1"/>
    </xf>
    <xf numFmtId="0" fontId="29" fillId="38" borderId="64" xfId="0" applyFont="1" applyFill="1" applyBorder="1" applyAlignment="1">
      <alignment horizontal="left" vertical="center" wrapText="1"/>
    </xf>
    <xf numFmtId="0" fontId="29" fillId="38" borderId="65" xfId="0" applyFont="1" applyFill="1" applyBorder="1" applyAlignment="1">
      <alignment horizontal="left" vertical="center" wrapText="1"/>
    </xf>
    <xf numFmtId="0" fontId="29" fillId="38" borderId="65" xfId="0" applyFont="1" applyFill="1" applyBorder="1" applyAlignment="1">
      <alignment horizontal="center" vertical="center" wrapText="1"/>
    </xf>
    <xf numFmtId="0" fontId="29" fillId="38" borderId="64" xfId="0" applyFont="1" applyFill="1" applyBorder="1" applyAlignment="1">
      <alignment horizontal="left" vertical="center" wrapText="1" indent="1"/>
    </xf>
    <xf numFmtId="0" fontId="30" fillId="0" borderId="66" xfId="0" applyFont="1" applyBorder="1" applyAlignment="1">
      <alignment horizontal="center" vertical="center" wrapText="1"/>
    </xf>
    <xf numFmtId="3" fontId="30" fillId="0" borderId="67" xfId="0" applyNumberFormat="1" applyFont="1" applyBorder="1" applyAlignment="1">
      <alignment horizontal="center" vertical="center" wrapText="1"/>
    </xf>
    <xf numFmtId="3" fontId="30" fillId="0" borderId="67" xfId="0" applyNumberFormat="1" applyFont="1" applyBorder="1" applyAlignment="1">
      <alignment horizontal="left" vertical="center" wrapText="1"/>
    </xf>
    <xf numFmtId="3" fontId="30" fillId="0" borderId="68" xfId="0" applyNumberFormat="1" applyFont="1" applyBorder="1" applyAlignment="1">
      <alignment horizontal="left" vertical="center" wrapText="1"/>
    </xf>
    <xf numFmtId="0" fontId="30" fillId="0" borderId="67" xfId="0" applyFont="1" applyBorder="1" applyAlignment="1">
      <alignment horizontal="center" vertical="center" wrapText="1"/>
    </xf>
    <xf numFmtId="0" fontId="30" fillId="0" borderId="67" xfId="0" applyFont="1" applyBorder="1" applyAlignment="1">
      <alignment horizontal="left" vertical="center" wrapText="1"/>
    </xf>
    <xf numFmtId="0" fontId="30" fillId="0" borderId="68" xfId="0" applyFont="1" applyBorder="1" applyAlignment="1">
      <alignment horizontal="center" vertical="center" wrapText="1"/>
    </xf>
    <xf numFmtId="3" fontId="30" fillId="0" borderId="68" xfId="0" applyNumberFormat="1" applyFont="1" applyBorder="1" applyAlignment="1">
      <alignment horizontal="center" vertical="center" wrapText="1"/>
    </xf>
    <xf numFmtId="0" fontId="30" fillId="0" borderId="69" xfId="0" applyFont="1" applyBorder="1" applyAlignment="1">
      <alignment horizontal="center" vertical="center" wrapText="1"/>
    </xf>
    <xf numFmtId="3" fontId="30" fillId="0" borderId="70" xfId="0" applyNumberFormat="1" applyFont="1" applyBorder="1" applyAlignment="1">
      <alignment horizontal="center" vertical="center" wrapText="1"/>
    </xf>
    <xf numFmtId="3" fontId="30" fillId="0" borderId="70" xfId="0" applyNumberFormat="1" applyFont="1" applyBorder="1" applyAlignment="1">
      <alignment horizontal="left" vertical="center" wrapText="1"/>
    </xf>
    <xf numFmtId="3" fontId="30" fillId="0" borderId="71" xfId="0" applyNumberFormat="1" applyFont="1" applyBorder="1" applyAlignment="1">
      <alignment horizontal="left" vertical="center" wrapText="1"/>
    </xf>
    <xf numFmtId="0" fontId="30" fillId="0" borderId="70" xfId="0" applyFont="1" applyBorder="1" applyAlignment="1">
      <alignment horizontal="center" vertical="center" wrapText="1"/>
    </xf>
    <xf numFmtId="0" fontId="30" fillId="0" borderId="70" xfId="0" applyFont="1" applyBorder="1" applyAlignment="1">
      <alignment horizontal="left" vertical="center" wrapText="1"/>
    </xf>
    <xf numFmtId="0" fontId="30" fillId="0" borderId="71" xfId="0" applyFont="1" applyBorder="1" applyAlignment="1">
      <alignment horizontal="center" vertical="center" wrapText="1"/>
    </xf>
    <xf numFmtId="3" fontId="30" fillId="0" borderId="71" xfId="0" applyNumberFormat="1" applyFont="1" applyBorder="1" applyAlignment="1">
      <alignment horizontal="center" vertical="center" wrapText="1"/>
    </xf>
    <xf numFmtId="0" fontId="31" fillId="0" borderId="69" xfId="0" applyFont="1" applyBorder="1" applyAlignment="1">
      <alignment horizontal="left" vertical="center" wrapText="1"/>
    </xf>
    <xf numFmtId="0" fontId="31" fillId="0" borderId="70" xfId="0" applyFont="1" applyBorder="1" applyAlignment="1">
      <alignment horizontal="left" vertical="center" wrapText="1"/>
    </xf>
    <xf numFmtId="0" fontId="31" fillId="0" borderId="71" xfId="0" applyFont="1" applyBorder="1" applyAlignment="1">
      <alignment horizontal="left" vertical="center" wrapText="1"/>
    </xf>
    <xf numFmtId="0" fontId="31" fillId="0" borderId="72" xfId="0" applyFont="1" applyBorder="1" applyAlignment="1">
      <alignment horizontal="left" vertical="center" wrapText="1"/>
    </xf>
    <xf numFmtId="0" fontId="31" fillId="0" borderId="73" xfId="0" applyFont="1" applyBorder="1" applyAlignment="1">
      <alignment horizontal="left" vertical="center" wrapText="1"/>
    </xf>
    <xf numFmtId="0" fontId="31" fillId="0" borderId="74" xfId="0" applyFont="1" applyBorder="1" applyAlignment="1">
      <alignment horizontal="left" vertical="center" wrapText="1"/>
    </xf>
    <xf numFmtId="0" fontId="29" fillId="0" borderId="75" xfId="0" applyFont="1" applyBorder="1" applyAlignment="1">
      <alignment horizontal="center" vertical="center" wrapText="1"/>
    </xf>
    <xf numFmtId="3" fontId="30" fillId="0" borderId="76" xfId="0" applyNumberFormat="1" applyFont="1" applyBorder="1" applyAlignment="1">
      <alignment horizontal="center" vertical="center" wrapText="1"/>
    </xf>
    <xf numFmtId="3" fontId="30" fillId="0" borderId="76" xfId="0" applyNumberFormat="1" applyFont="1" applyBorder="1" applyAlignment="1">
      <alignment horizontal="left" vertical="center" wrapText="1"/>
    </xf>
    <xf numFmtId="0" fontId="32" fillId="0" borderId="77" xfId="0" applyFont="1" applyBorder="1" applyAlignment="1">
      <alignment vertical="top" wrapText="1"/>
    </xf>
    <xf numFmtId="0" fontId="30" fillId="0" borderId="67" xfId="0" applyFont="1" applyBorder="1" applyAlignment="1">
      <alignment horizontal="left" vertical="center" wrapText="1" indent="1"/>
    </xf>
    <xf numFmtId="0" fontId="30" fillId="0" borderId="70" xfId="0" applyFont="1" applyBorder="1" applyAlignment="1">
      <alignment horizontal="left" vertical="center" wrapText="1" indent="1"/>
    </xf>
    <xf numFmtId="3" fontId="30" fillId="0" borderId="76" xfId="0" applyNumberFormat="1" applyFont="1" applyBorder="1" applyAlignment="1">
      <alignment horizontal="left" vertical="center" wrapText="1" indent="1"/>
    </xf>
    <xf numFmtId="0" fontId="31" fillId="0" borderId="77" xfId="0" applyFont="1" applyBorder="1" applyAlignment="1">
      <alignment horizontal="left" vertical="center" wrapText="1"/>
    </xf>
    <xf numFmtId="0" fontId="29" fillId="38" borderId="64" xfId="0" applyFont="1" applyFill="1" applyBorder="1" applyAlignment="1">
      <alignment horizontal="right" vertical="center" wrapText="1"/>
    </xf>
    <xf numFmtId="0" fontId="30" fillId="0" borderId="70" xfId="0" applyFont="1" applyBorder="1" applyAlignment="1">
      <alignment horizontal="right" vertical="center" wrapText="1"/>
    </xf>
    <xf numFmtId="3" fontId="30" fillId="0" borderId="76" xfId="0" applyNumberFormat="1" applyFont="1" applyBorder="1" applyAlignment="1">
      <alignment horizontal="right" vertical="center" wrapText="1"/>
    </xf>
    <xf numFmtId="0" fontId="30" fillId="0" borderId="76" xfId="0" applyFont="1" applyBorder="1" applyAlignment="1">
      <alignment horizontal="center" vertical="center" wrapText="1"/>
    </xf>
    <xf numFmtId="0" fontId="36" fillId="38" borderId="63" xfId="0" applyFont="1" applyFill="1" applyBorder="1" applyAlignment="1">
      <alignment horizontal="center" vertical="center" wrapText="1"/>
    </xf>
    <xf numFmtId="0" fontId="36" fillId="38" borderId="64" xfId="0" applyFont="1" applyFill="1" applyBorder="1" applyAlignment="1">
      <alignment horizontal="center" vertical="center" wrapText="1"/>
    </xf>
    <xf numFmtId="0" fontId="36" fillId="38" borderId="64" xfId="0" applyFont="1" applyFill="1" applyBorder="1" applyAlignment="1">
      <alignment horizontal="right" vertical="center" wrapText="1"/>
    </xf>
    <xf numFmtId="0" fontId="36" fillId="38" borderId="65" xfId="0" applyFont="1" applyFill="1" applyBorder="1" applyAlignment="1">
      <alignment horizontal="center" vertical="center" wrapText="1"/>
    </xf>
    <xf numFmtId="0" fontId="36" fillId="38" borderId="64" xfId="0" applyFont="1" applyFill="1" applyBorder="1" applyAlignment="1">
      <alignment horizontal="left" vertical="center" wrapText="1"/>
    </xf>
    <xf numFmtId="0" fontId="38" fillId="0" borderId="66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center" vertical="center" wrapText="1"/>
    </xf>
    <xf numFmtId="0" fontId="38" fillId="0" borderId="68" xfId="0" applyFont="1" applyBorder="1" applyAlignment="1">
      <alignment horizontal="center" vertical="center" wrapText="1"/>
    </xf>
    <xf numFmtId="0" fontId="38" fillId="0" borderId="67" xfId="0" applyFont="1" applyBorder="1" applyAlignment="1">
      <alignment horizontal="right" vertical="center" wrapText="1"/>
    </xf>
    <xf numFmtId="0" fontId="38" fillId="0" borderId="67" xfId="0" applyFont="1" applyBorder="1" applyAlignment="1">
      <alignment horizontal="left" vertical="center" wrapText="1" indent="1"/>
    </xf>
    <xf numFmtId="0" fontId="38" fillId="0" borderId="69" xfId="0" applyFont="1" applyBorder="1" applyAlignment="1">
      <alignment horizontal="center" vertical="center" wrapText="1"/>
    </xf>
    <xf numFmtId="0" fontId="38" fillId="0" borderId="70" xfId="0" applyFont="1" applyBorder="1" applyAlignment="1">
      <alignment horizontal="center" vertical="center" wrapText="1"/>
    </xf>
    <xf numFmtId="0" fontId="38" fillId="0" borderId="71" xfId="0" applyFont="1" applyBorder="1" applyAlignment="1">
      <alignment horizontal="center" vertical="center" wrapText="1"/>
    </xf>
    <xf numFmtId="0" fontId="38" fillId="0" borderId="70" xfId="0" applyFont="1" applyBorder="1" applyAlignment="1">
      <alignment horizontal="right" vertical="center" wrapText="1"/>
    </xf>
    <xf numFmtId="0" fontId="38" fillId="0" borderId="70" xfId="0" applyFont="1" applyBorder="1" applyAlignment="1">
      <alignment horizontal="left" vertical="center" wrapText="1" indent="1"/>
    </xf>
    <xf numFmtId="3" fontId="38" fillId="0" borderId="71" xfId="0" applyNumberFormat="1" applyFont="1" applyBorder="1" applyAlignment="1">
      <alignment horizontal="center" vertical="center" wrapText="1"/>
    </xf>
    <xf numFmtId="0" fontId="38" fillId="0" borderId="70" xfId="0" applyFont="1" applyBorder="1" applyAlignment="1">
      <alignment horizontal="left" vertical="center" wrapText="1"/>
    </xf>
    <xf numFmtId="0" fontId="39" fillId="0" borderId="75" xfId="0" applyFont="1" applyBorder="1" applyAlignment="1">
      <alignment horizontal="center" vertical="center" wrapText="1"/>
    </xf>
    <xf numFmtId="3" fontId="38" fillId="0" borderId="76" xfId="0" applyNumberFormat="1" applyFont="1" applyBorder="1" applyAlignment="1">
      <alignment horizontal="center" vertical="center" wrapText="1"/>
    </xf>
    <xf numFmtId="3" fontId="38" fillId="0" borderId="76" xfId="0" applyNumberFormat="1" applyFont="1" applyBorder="1" applyAlignment="1">
      <alignment horizontal="right" vertical="center" wrapText="1"/>
    </xf>
    <xf numFmtId="0" fontId="38" fillId="0" borderId="76" xfId="0" applyFont="1" applyBorder="1" applyAlignment="1">
      <alignment horizontal="center" vertical="center" wrapText="1"/>
    </xf>
    <xf numFmtId="0" fontId="38" fillId="0" borderId="76" xfId="0" applyFont="1" applyBorder="1" applyAlignment="1">
      <alignment horizontal="right" vertical="center" wrapText="1"/>
    </xf>
    <xf numFmtId="0" fontId="38" fillId="0" borderId="76" xfId="0" applyFont="1" applyBorder="1" applyAlignment="1">
      <alignment horizontal="left" vertical="center" wrapText="1"/>
    </xf>
    <xf numFmtId="0" fontId="38" fillId="0" borderId="76" xfId="0" applyFont="1" applyBorder="1" applyAlignment="1">
      <alignment horizontal="left" vertical="center" wrapText="1" indent="1"/>
    </xf>
    <xf numFmtId="0" fontId="40" fillId="38" borderId="80" xfId="0" applyFont="1" applyFill="1" applyBorder="1" applyAlignment="1">
      <alignment horizontal="left" vertical="center" wrapText="1"/>
    </xf>
    <xf numFmtId="0" fontId="41" fillId="38" borderId="81" xfId="0" applyFont="1" applyFill="1" applyBorder="1" applyAlignment="1">
      <alignment horizontal="left" vertical="center" wrapText="1" indent="1"/>
    </xf>
    <xf numFmtId="0" fontId="0" fillId="38" borderId="82" xfId="0" applyFill="1" applyBorder="1" applyAlignment="1">
      <alignment vertical="top" wrapText="1"/>
    </xf>
    <xf numFmtId="0" fontId="41" fillId="38" borderId="88" xfId="0" applyFont="1" applyFill="1" applyBorder="1" applyAlignment="1">
      <alignment horizontal="center" vertical="center" wrapText="1"/>
    </xf>
    <xf numFmtId="0" fontId="41" fillId="38" borderId="92" xfId="0" applyFont="1" applyFill="1" applyBorder="1" applyAlignment="1">
      <alignment horizontal="center" vertical="center" wrapText="1"/>
    </xf>
    <xf numFmtId="0" fontId="41" fillId="38" borderId="89" xfId="0" applyFont="1" applyFill="1" applyBorder="1" applyAlignment="1">
      <alignment horizontal="center" vertical="center" wrapText="1"/>
    </xf>
    <xf numFmtId="0" fontId="41" fillId="38" borderId="95" xfId="0" applyFont="1" applyFill="1" applyBorder="1" applyAlignment="1">
      <alignment horizontal="center" vertical="center" wrapText="1"/>
    </xf>
    <xf numFmtId="0" fontId="28" fillId="0" borderId="96" xfId="0" applyFont="1" applyBorder="1" applyAlignment="1">
      <alignment horizontal="center" vertical="center" wrapText="1"/>
    </xf>
    <xf numFmtId="0" fontId="28" fillId="0" borderId="97" xfId="0" applyFont="1" applyBorder="1" applyAlignment="1">
      <alignment horizontal="center" vertical="center" wrapText="1"/>
    </xf>
    <xf numFmtId="3" fontId="28" fillId="0" borderId="97" xfId="0" applyNumberFormat="1" applyFont="1" applyBorder="1" applyAlignment="1">
      <alignment horizontal="center" vertical="center" wrapText="1"/>
    </xf>
    <xf numFmtId="0" fontId="28" fillId="0" borderId="98" xfId="0" applyFont="1" applyBorder="1" applyAlignment="1">
      <alignment horizontal="center" vertical="center" wrapText="1"/>
    </xf>
    <xf numFmtId="0" fontId="28" fillId="0" borderId="99" xfId="0" applyFont="1" applyBorder="1" applyAlignment="1">
      <alignment horizontal="center" vertical="center" wrapText="1"/>
    </xf>
    <xf numFmtId="3" fontId="28" fillId="0" borderId="97" xfId="0" applyNumberFormat="1" applyFont="1" applyBorder="1" applyAlignment="1">
      <alignment horizontal="right" vertical="center" wrapText="1"/>
    </xf>
    <xf numFmtId="0" fontId="28" fillId="0" borderId="98" xfId="0" applyFont="1" applyBorder="1" applyAlignment="1">
      <alignment horizontal="right" vertical="center" wrapText="1"/>
    </xf>
    <xf numFmtId="0" fontId="28" fillId="0" borderId="98" xfId="0" applyFont="1" applyBorder="1" applyAlignment="1">
      <alignment horizontal="left" vertical="center" wrapText="1" indent="1"/>
    </xf>
    <xf numFmtId="0" fontId="28" fillId="0" borderId="100" xfId="0" applyFont="1" applyBorder="1" applyAlignment="1">
      <alignment horizontal="left" vertical="center" wrapText="1" indent="1"/>
    </xf>
    <xf numFmtId="0" fontId="28" fillId="0" borderId="101" xfId="0" applyFont="1" applyBorder="1" applyAlignment="1">
      <alignment horizontal="center" vertical="center" wrapText="1"/>
    </xf>
    <xf numFmtId="0" fontId="28" fillId="0" borderId="102" xfId="0" applyFont="1" applyBorder="1" applyAlignment="1">
      <alignment horizontal="center" vertical="center" wrapText="1"/>
    </xf>
    <xf numFmtId="3" fontId="28" fillId="0" borderId="102" xfId="0" applyNumberFormat="1" applyFont="1" applyBorder="1" applyAlignment="1">
      <alignment horizontal="center" vertical="center" wrapText="1"/>
    </xf>
    <xf numFmtId="0" fontId="28" fillId="0" borderId="103" xfId="0" applyFont="1" applyBorder="1" applyAlignment="1">
      <alignment horizontal="center" vertical="center" wrapText="1"/>
    </xf>
    <xf numFmtId="0" fontId="28" fillId="0" borderId="104" xfId="0" applyFont="1" applyBorder="1" applyAlignment="1">
      <alignment horizontal="center" vertical="center" wrapText="1"/>
    </xf>
    <xf numFmtId="3" fontId="28" fillId="0" borderId="102" xfId="0" applyNumberFormat="1" applyFont="1" applyBorder="1" applyAlignment="1">
      <alignment horizontal="right" vertical="center" wrapText="1"/>
    </xf>
    <xf numFmtId="0" fontId="28" fillId="0" borderId="103" xfId="0" applyFont="1" applyBorder="1" applyAlignment="1">
      <alignment horizontal="right" vertical="center" wrapText="1"/>
    </xf>
    <xf numFmtId="0" fontId="28" fillId="0" borderId="103" xfId="0" applyFont="1" applyBorder="1" applyAlignment="1">
      <alignment horizontal="left" vertical="center" wrapText="1" indent="1"/>
    </xf>
    <xf numFmtId="0" fontId="28" fillId="0" borderId="105" xfId="0" applyFont="1" applyBorder="1" applyAlignment="1">
      <alignment horizontal="left" vertical="center" wrapText="1" indent="1"/>
    </xf>
    <xf numFmtId="0" fontId="28" fillId="0" borderId="102" xfId="0" applyFont="1" applyBorder="1" applyAlignment="1">
      <alignment horizontal="right" vertical="center" wrapText="1"/>
    </xf>
    <xf numFmtId="0" fontId="28" fillId="0" borderId="106" xfId="0" applyFont="1" applyBorder="1" applyAlignment="1">
      <alignment horizontal="center" vertical="center" wrapText="1"/>
    </xf>
    <xf numFmtId="0" fontId="28" fillId="0" borderId="107" xfId="0" applyFont="1" applyBorder="1" applyAlignment="1">
      <alignment horizontal="center" vertical="center" wrapText="1"/>
    </xf>
    <xf numFmtId="3" fontId="28" fillId="0" borderId="107" xfId="0" applyNumberFormat="1" applyFont="1" applyBorder="1" applyAlignment="1">
      <alignment horizontal="center" vertical="center" wrapText="1"/>
    </xf>
    <xf numFmtId="0" fontId="28" fillId="0" borderId="108" xfId="0" applyFont="1" applyBorder="1" applyAlignment="1">
      <alignment horizontal="center" vertical="center" wrapText="1"/>
    </xf>
    <xf numFmtId="0" fontId="28" fillId="0" borderId="109" xfId="0" applyFont="1" applyBorder="1" applyAlignment="1">
      <alignment horizontal="center" vertical="center" wrapText="1"/>
    </xf>
    <xf numFmtId="3" fontId="28" fillId="0" borderId="107" xfId="0" applyNumberFormat="1" applyFont="1" applyBorder="1" applyAlignment="1">
      <alignment horizontal="right" vertical="center" wrapText="1"/>
    </xf>
    <xf numFmtId="0" fontId="28" fillId="0" borderId="108" xfId="0" applyFont="1" applyBorder="1" applyAlignment="1">
      <alignment horizontal="right" vertical="center" wrapText="1"/>
    </xf>
    <xf numFmtId="0" fontId="28" fillId="0" borderId="108" xfId="0" applyFont="1" applyBorder="1" applyAlignment="1">
      <alignment horizontal="left" vertical="center" wrapText="1" indent="1"/>
    </xf>
    <xf numFmtId="0" fontId="28" fillId="0" borderId="110" xfId="0" applyFont="1" applyBorder="1" applyAlignment="1">
      <alignment horizontal="left" vertical="center" wrapText="1" indent="1"/>
    </xf>
    <xf numFmtId="0" fontId="28" fillId="0" borderId="97" xfId="0" applyFont="1" applyBorder="1" applyAlignment="1">
      <alignment horizontal="right" vertical="center" wrapText="1"/>
    </xf>
    <xf numFmtId="0" fontId="28" fillId="0" borderId="107" xfId="0" applyFont="1" applyBorder="1" applyAlignment="1">
      <alignment horizontal="right" vertical="center" wrapText="1"/>
    </xf>
    <xf numFmtId="0" fontId="28" fillId="38" borderId="80" xfId="0" applyFont="1" applyFill="1" applyBorder="1" applyAlignment="1">
      <alignment horizontal="left" vertical="center" wrapText="1"/>
    </xf>
    <xf numFmtId="3" fontId="28" fillId="0" borderId="97" xfId="0" applyNumberFormat="1" applyFont="1" applyBorder="1" applyAlignment="1">
      <alignment horizontal="left" vertical="center" wrapText="1" indent="1"/>
    </xf>
    <xf numFmtId="0" fontId="28" fillId="0" borderId="100" xfId="0" applyFont="1" applyBorder="1" applyAlignment="1">
      <alignment horizontal="right" vertical="center" wrapText="1"/>
    </xf>
    <xf numFmtId="3" fontId="28" fillId="0" borderId="102" xfId="0" applyNumberFormat="1" applyFont="1" applyBorder="1" applyAlignment="1">
      <alignment horizontal="left" vertical="center" wrapText="1" indent="1"/>
    </xf>
    <xf numFmtId="0" fontId="28" fillId="0" borderId="105" xfId="0" applyFont="1" applyBorder="1" applyAlignment="1">
      <alignment horizontal="right" vertical="center" wrapText="1"/>
    </xf>
    <xf numFmtId="3" fontId="28" fillId="0" borderId="107" xfId="0" applyNumberFormat="1" applyFont="1" applyBorder="1" applyAlignment="1">
      <alignment horizontal="left" vertical="center" wrapText="1" indent="1"/>
    </xf>
    <xf numFmtId="0" fontId="28" fillId="0" borderId="110" xfId="0" applyFont="1" applyBorder="1" applyAlignment="1">
      <alignment horizontal="right" vertical="center" wrapText="1"/>
    </xf>
    <xf numFmtId="0" fontId="32" fillId="38" borderId="80" xfId="0" applyFont="1" applyFill="1" applyBorder="1" applyAlignment="1">
      <alignment horizontal="left" vertical="center" wrapText="1"/>
    </xf>
    <xf numFmtId="0" fontId="28" fillId="0" borderId="97" xfId="0" applyFont="1" applyBorder="1" applyAlignment="1">
      <alignment horizontal="left" vertical="center" wrapText="1" indent="1"/>
    </xf>
    <xf numFmtId="0" fontId="28" fillId="0" borderId="102" xfId="0" applyFont="1" applyBorder="1" applyAlignment="1">
      <alignment horizontal="left" vertical="center" wrapText="1" indent="1"/>
    </xf>
    <xf numFmtId="0" fontId="28" fillId="0" borderId="107" xfId="0" applyFont="1" applyBorder="1" applyAlignment="1">
      <alignment horizontal="left" vertical="center" wrapText="1" indent="1"/>
    </xf>
    <xf numFmtId="176" fontId="0" fillId="0" borderId="0" xfId="0" applyNumberFormat="1">
      <alignment vertical="center"/>
    </xf>
    <xf numFmtId="0" fontId="24" fillId="4" borderId="21" xfId="0" applyFont="1" applyFill="1" applyBorder="1" applyAlignment="1">
      <alignment horizontal="center" vertical="center"/>
    </xf>
    <xf numFmtId="2" fontId="24" fillId="0" borderId="20" xfId="0" applyNumberFormat="1" applyFont="1" applyBorder="1" applyAlignment="1">
      <alignment horizontal="center" vertical="center"/>
    </xf>
    <xf numFmtId="3" fontId="24" fillId="0" borderId="19" xfId="0" applyNumberFormat="1" applyFont="1" applyBorder="1" applyAlignment="1">
      <alignment horizontal="center" vertical="center"/>
    </xf>
    <xf numFmtId="0" fontId="24" fillId="4" borderId="4" xfId="0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center" vertical="center"/>
    </xf>
    <xf numFmtId="2" fontId="24" fillId="0" borderId="16" xfId="0" applyNumberFormat="1" applyFont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44" fillId="4" borderId="14" xfId="0" applyFont="1" applyFill="1" applyBorder="1" applyAlignment="1">
      <alignment horizontal="center" vertical="center"/>
    </xf>
    <xf numFmtId="0" fontId="44" fillId="4" borderId="13" xfId="0" applyFont="1" applyFill="1" applyBorder="1" applyAlignment="1">
      <alignment horizontal="center" vertical="center"/>
    </xf>
    <xf numFmtId="0" fontId="44" fillId="4" borderId="12" xfId="0" applyFont="1" applyFill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4" fillId="0" borderId="8" xfId="0" applyFont="1" applyBorder="1" applyAlignment="1">
      <alignment horizontal="center" vertical="center"/>
    </xf>
    <xf numFmtId="177" fontId="44" fillId="0" borderId="8" xfId="0" applyNumberFormat="1" applyFont="1" applyBorder="1" applyAlignment="1">
      <alignment horizontal="center" vertical="center"/>
    </xf>
    <xf numFmtId="176" fontId="46" fillId="0" borderId="8" xfId="1" applyNumberFormat="1" applyFont="1" applyBorder="1" applyAlignment="1">
      <alignment horizontal="center" vertical="center"/>
    </xf>
    <xf numFmtId="10" fontId="46" fillId="0" borderId="7" xfId="50" applyNumberFormat="1" applyFont="1" applyBorder="1" applyAlignment="1">
      <alignment horizontal="center" vertical="center"/>
    </xf>
    <xf numFmtId="176" fontId="44" fillId="0" borderId="10" xfId="0" applyNumberFormat="1" applyFont="1" applyBorder="1" applyAlignment="1">
      <alignment horizontal="center" vertical="center"/>
    </xf>
    <xf numFmtId="10" fontId="46" fillId="0" borderId="5" xfId="50" applyNumberFormat="1" applyFont="1" applyBorder="1" applyAlignment="1">
      <alignment horizontal="center" vertical="center"/>
    </xf>
    <xf numFmtId="0" fontId="44" fillId="0" borderId="9" xfId="0" applyFont="1" applyBorder="1" applyAlignment="1">
      <alignment horizontal="center" vertical="center"/>
    </xf>
    <xf numFmtId="0" fontId="44" fillId="3" borderId="35" xfId="0" applyFont="1" applyFill="1" applyBorder="1" applyAlignment="1">
      <alignment vertical="center"/>
    </xf>
    <xf numFmtId="0" fontId="44" fillId="3" borderId="36" xfId="0" applyFont="1" applyFill="1" applyBorder="1" applyAlignment="1">
      <alignment vertical="center"/>
    </xf>
    <xf numFmtId="0" fontId="44" fillId="3" borderId="37" xfId="0" applyFont="1" applyFill="1" applyBorder="1" applyAlignment="1">
      <alignment vertical="center"/>
    </xf>
    <xf numFmtId="176" fontId="44" fillId="0" borderId="6" xfId="0" applyNumberFormat="1" applyFont="1" applyBorder="1" applyAlignment="1">
      <alignment horizontal="center" vertical="center"/>
    </xf>
    <xf numFmtId="0" fontId="44" fillId="5" borderId="11" xfId="0" applyFont="1" applyFill="1" applyBorder="1" applyAlignment="1">
      <alignment horizontal="center" vertical="center"/>
    </xf>
    <xf numFmtId="0" fontId="44" fillId="5" borderId="9" xfId="0" applyFont="1" applyFill="1" applyBorder="1" applyAlignment="1">
      <alignment horizontal="center" vertical="center"/>
    </xf>
    <xf numFmtId="0" fontId="44" fillId="2" borderId="17" xfId="0" applyFont="1" applyFill="1" applyBorder="1" applyAlignment="1">
      <alignment horizontal="center" vertical="center"/>
    </xf>
    <xf numFmtId="0" fontId="44" fillId="2" borderId="2" xfId="0" applyFont="1" applyFill="1" applyBorder="1" applyAlignment="1">
      <alignment horizontal="center" vertical="center"/>
    </xf>
    <xf numFmtId="0" fontId="44" fillId="2" borderId="24" xfId="0" applyFont="1" applyFill="1" applyBorder="1" applyAlignment="1">
      <alignment horizontal="center" vertical="center"/>
    </xf>
    <xf numFmtId="177" fontId="44" fillId="2" borderId="2" xfId="0" applyNumberFormat="1" applyFont="1" applyFill="1" applyBorder="1" applyAlignment="1">
      <alignment horizontal="center" vertical="center"/>
    </xf>
    <xf numFmtId="176" fontId="46" fillId="2" borderId="24" xfId="1" applyNumberFormat="1" applyFont="1" applyFill="1" applyBorder="1" applyAlignment="1">
      <alignment horizontal="center" vertical="center"/>
    </xf>
    <xf numFmtId="10" fontId="46" fillId="2" borderId="24" xfId="50" applyNumberFormat="1" applyFont="1" applyFill="1" applyBorder="1" applyAlignment="1">
      <alignment horizontal="center" vertical="center"/>
    </xf>
    <xf numFmtId="176" fontId="44" fillId="2" borderId="2" xfId="0" applyNumberFormat="1" applyFont="1" applyFill="1" applyBorder="1" applyAlignment="1">
      <alignment horizontal="center" vertical="center"/>
    </xf>
    <xf numFmtId="10" fontId="46" fillId="2" borderId="16" xfId="50" applyNumberFormat="1" applyFont="1" applyFill="1" applyBorder="1" applyAlignment="1">
      <alignment horizontal="center" vertical="center"/>
    </xf>
    <xf numFmtId="0" fontId="44" fillId="5" borderId="8" xfId="0" applyFont="1" applyFill="1" applyBorder="1" applyAlignment="1">
      <alignment horizontal="center" vertical="center"/>
    </xf>
    <xf numFmtId="0" fontId="44" fillId="40" borderId="11" xfId="0" applyFont="1" applyFill="1" applyBorder="1" applyAlignment="1">
      <alignment horizontal="center" vertical="center"/>
    </xf>
    <xf numFmtId="0" fontId="44" fillId="40" borderId="8" xfId="0" applyFont="1" applyFill="1" applyBorder="1" applyAlignment="1">
      <alignment horizontal="center" vertical="center"/>
    </xf>
    <xf numFmtId="177" fontId="44" fillId="40" borderId="8" xfId="0" applyNumberFormat="1" applyFont="1" applyFill="1" applyBorder="1" applyAlignment="1">
      <alignment horizontal="center" vertical="center"/>
    </xf>
    <xf numFmtId="176" fontId="46" fillId="40" borderId="8" xfId="1" applyNumberFormat="1" applyFont="1" applyFill="1" applyBorder="1" applyAlignment="1">
      <alignment horizontal="center" vertical="center"/>
    </xf>
    <xf numFmtId="10" fontId="46" fillId="40" borderId="7" xfId="50" applyNumberFormat="1" applyFont="1" applyFill="1" applyBorder="1" applyAlignment="1">
      <alignment horizontal="center" vertical="center"/>
    </xf>
    <xf numFmtId="176" fontId="44" fillId="40" borderId="6" xfId="0" applyNumberFormat="1" applyFont="1" applyFill="1" applyBorder="1" applyAlignment="1">
      <alignment horizontal="center" vertical="center"/>
    </xf>
    <xf numFmtId="10" fontId="46" fillId="40" borderId="5" xfId="50" applyNumberFormat="1" applyFont="1" applyFill="1" applyBorder="1" applyAlignment="1">
      <alignment horizontal="center" vertical="center"/>
    </xf>
    <xf numFmtId="177" fontId="44" fillId="5" borderId="8" xfId="0" applyNumberFormat="1" applyFont="1" applyFill="1" applyBorder="1" applyAlignment="1">
      <alignment horizontal="center" vertical="center"/>
    </xf>
    <xf numFmtId="176" fontId="46" fillId="5" borderId="8" xfId="1" applyNumberFormat="1" applyFont="1" applyFill="1" applyBorder="1" applyAlignment="1">
      <alignment horizontal="center" vertical="center"/>
    </xf>
    <xf numFmtId="10" fontId="46" fillId="5" borderId="7" xfId="50" applyNumberFormat="1" applyFont="1" applyFill="1" applyBorder="1" applyAlignment="1">
      <alignment horizontal="center" vertical="center"/>
    </xf>
    <xf numFmtId="176" fontId="44" fillId="5" borderId="6" xfId="0" applyNumberFormat="1" applyFont="1" applyFill="1" applyBorder="1" applyAlignment="1">
      <alignment horizontal="center" vertical="center"/>
    </xf>
    <xf numFmtId="10" fontId="46" fillId="5" borderId="5" xfId="50" applyNumberFormat="1" applyFont="1" applyFill="1" applyBorder="1" applyAlignment="1">
      <alignment horizontal="center" vertical="center"/>
    </xf>
    <xf numFmtId="0" fontId="44" fillId="39" borderId="11" xfId="0" applyFont="1" applyFill="1" applyBorder="1" applyAlignment="1">
      <alignment horizontal="center" vertical="center"/>
    </xf>
    <xf numFmtId="0" fontId="44" fillId="39" borderId="8" xfId="0" applyFont="1" applyFill="1" applyBorder="1" applyAlignment="1">
      <alignment horizontal="center" vertical="center"/>
    </xf>
    <xf numFmtId="177" fontId="44" fillId="39" borderId="8" xfId="0" applyNumberFormat="1" applyFont="1" applyFill="1" applyBorder="1" applyAlignment="1">
      <alignment horizontal="center" vertical="center"/>
    </xf>
    <xf numFmtId="176" fontId="46" fillId="39" borderId="8" xfId="1" applyNumberFormat="1" applyFont="1" applyFill="1" applyBorder="1" applyAlignment="1">
      <alignment horizontal="center" vertical="center"/>
    </xf>
    <xf numFmtId="10" fontId="46" fillId="39" borderId="7" xfId="50" applyNumberFormat="1" applyFont="1" applyFill="1" applyBorder="1" applyAlignment="1">
      <alignment horizontal="center" vertical="center"/>
    </xf>
    <xf numFmtId="176" fontId="44" fillId="39" borderId="6" xfId="0" applyNumberFormat="1" applyFont="1" applyFill="1" applyBorder="1" applyAlignment="1">
      <alignment horizontal="center" vertical="center"/>
    </xf>
    <xf numFmtId="10" fontId="46" fillId="39" borderId="5" xfId="50" applyNumberFormat="1" applyFont="1" applyFill="1" applyBorder="1" applyAlignment="1">
      <alignment horizontal="center" vertical="center"/>
    </xf>
    <xf numFmtId="0" fontId="44" fillId="3" borderId="8" xfId="0" applyFont="1" applyFill="1" applyBorder="1" applyAlignment="1">
      <alignment horizontal="center" vertical="center"/>
    </xf>
    <xf numFmtId="177" fontId="44" fillId="3" borderId="8" xfId="0" applyNumberFormat="1" applyFont="1" applyFill="1" applyBorder="1" applyAlignment="1">
      <alignment horizontal="center" vertical="center"/>
    </xf>
    <xf numFmtId="176" fontId="46" fillId="3" borderId="8" xfId="1" applyNumberFormat="1" applyFont="1" applyFill="1" applyBorder="1" applyAlignment="1">
      <alignment horizontal="center" vertical="center"/>
    </xf>
    <xf numFmtId="10" fontId="46" fillId="3" borderId="7" xfId="50" applyNumberFormat="1" applyFont="1" applyFill="1" applyBorder="1" applyAlignment="1">
      <alignment horizontal="center" vertical="center"/>
    </xf>
    <xf numFmtId="176" fontId="44" fillId="3" borderId="6" xfId="0" applyNumberFormat="1" applyFont="1" applyFill="1" applyBorder="1" applyAlignment="1">
      <alignment horizontal="center" vertical="center"/>
    </xf>
    <xf numFmtId="10" fontId="46" fillId="3" borderId="5" xfId="50" applyNumberFormat="1" applyFont="1" applyFill="1" applyBorder="1" applyAlignment="1">
      <alignment horizontal="center" vertical="center"/>
    </xf>
    <xf numFmtId="0" fontId="44" fillId="5" borderId="17" xfId="0" applyFont="1" applyFill="1" applyBorder="1" applyAlignment="1">
      <alignment horizontal="center" vertical="center"/>
    </xf>
    <xf numFmtId="0" fontId="44" fillId="3" borderId="2" xfId="0" applyFont="1" applyFill="1" applyBorder="1" applyAlignment="1">
      <alignment horizontal="center" vertical="center"/>
    </xf>
    <xf numFmtId="0" fontId="44" fillId="3" borderId="24" xfId="0" applyFont="1" applyFill="1" applyBorder="1" applyAlignment="1">
      <alignment horizontal="center" vertical="center"/>
    </xf>
    <xf numFmtId="177" fontId="44" fillId="3" borderId="2" xfId="0" applyNumberFormat="1" applyFont="1" applyFill="1" applyBorder="1" applyAlignment="1">
      <alignment horizontal="center" vertical="center"/>
    </xf>
    <xf numFmtId="176" fontId="46" fillId="3" borderId="24" xfId="1" applyNumberFormat="1" applyFont="1" applyFill="1" applyBorder="1" applyAlignment="1">
      <alignment horizontal="center" vertical="center"/>
    </xf>
    <xf numFmtId="10" fontId="46" fillId="3" borderId="24" xfId="50" applyNumberFormat="1" applyFont="1" applyFill="1" applyBorder="1" applyAlignment="1">
      <alignment horizontal="center" vertical="center"/>
    </xf>
    <xf numFmtId="176" fontId="44" fillId="3" borderId="2" xfId="0" applyNumberFormat="1" applyFont="1" applyFill="1" applyBorder="1" applyAlignment="1">
      <alignment horizontal="center" vertical="center"/>
    </xf>
    <xf numFmtId="10" fontId="46" fillId="3" borderId="16" xfId="50" applyNumberFormat="1" applyFont="1" applyFill="1" applyBorder="1" applyAlignment="1">
      <alignment horizontal="center" vertical="center"/>
    </xf>
    <xf numFmtId="0" fontId="44" fillId="39" borderId="17" xfId="0" applyFont="1" applyFill="1" applyBorder="1" applyAlignment="1">
      <alignment horizontal="center" vertical="center"/>
    </xf>
    <xf numFmtId="0" fontId="44" fillId="39" borderId="2" xfId="0" applyFont="1" applyFill="1" applyBorder="1" applyAlignment="1">
      <alignment horizontal="center" vertical="center"/>
    </xf>
    <xf numFmtId="0" fontId="44" fillId="39" borderId="24" xfId="0" applyFont="1" applyFill="1" applyBorder="1" applyAlignment="1">
      <alignment horizontal="center" vertical="center"/>
    </xf>
    <xf numFmtId="177" fontId="44" fillId="39" borderId="2" xfId="0" applyNumberFormat="1" applyFont="1" applyFill="1" applyBorder="1" applyAlignment="1">
      <alignment horizontal="center" vertical="center"/>
    </xf>
    <xf numFmtId="176" fontId="46" fillId="39" borderId="24" xfId="1" applyNumberFormat="1" applyFont="1" applyFill="1" applyBorder="1" applyAlignment="1">
      <alignment horizontal="center" vertical="center"/>
    </xf>
    <xf numFmtId="10" fontId="46" fillId="39" borderId="24" xfId="50" applyNumberFormat="1" applyFont="1" applyFill="1" applyBorder="1" applyAlignment="1">
      <alignment horizontal="center" vertical="center"/>
    </xf>
    <xf numFmtId="176" fontId="44" fillId="39" borderId="2" xfId="0" applyNumberFormat="1" applyFont="1" applyFill="1" applyBorder="1" applyAlignment="1">
      <alignment horizontal="center" vertical="center"/>
    </xf>
    <xf numFmtId="10" fontId="46" fillId="39" borderId="16" xfId="50" applyNumberFormat="1" applyFont="1" applyFill="1" applyBorder="1" applyAlignment="1">
      <alignment horizontal="center" vertical="center"/>
    </xf>
    <xf numFmtId="0" fontId="44" fillId="0" borderId="6" xfId="0" applyFont="1" applyBorder="1" applyAlignment="1">
      <alignment horizontal="center" vertical="center"/>
    </xf>
    <xf numFmtId="0" fontId="47" fillId="37" borderId="40" xfId="0" applyFont="1" applyFill="1" applyBorder="1" applyAlignment="1">
      <alignment horizontal="center" vertical="center"/>
    </xf>
    <xf numFmtId="0" fontId="47" fillId="37" borderId="41" xfId="0" applyFont="1" applyFill="1" applyBorder="1" applyAlignment="1">
      <alignment horizontal="center" vertical="center"/>
    </xf>
    <xf numFmtId="0" fontId="47" fillId="37" borderId="14" xfId="0" applyFont="1" applyFill="1" applyBorder="1" applyAlignment="1">
      <alignment horizontal="center" vertical="center"/>
    </xf>
    <xf numFmtId="0" fontId="48" fillId="37" borderId="12" xfId="0" applyFont="1" applyFill="1" applyBorder="1" applyAlignment="1">
      <alignment horizontal="center" vertical="center"/>
    </xf>
    <xf numFmtId="0" fontId="47" fillId="37" borderId="42" xfId="0" applyFont="1" applyFill="1" applyBorder="1" applyAlignment="1">
      <alignment horizontal="center" vertical="center"/>
    </xf>
    <xf numFmtId="0" fontId="44" fillId="5" borderId="21" xfId="0" applyFont="1" applyFill="1" applyBorder="1" applyAlignment="1">
      <alignment horizontal="center" vertical="center"/>
    </xf>
    <xf numFmtId="0" fontId="44" fillId="5" borderId="43" xfId="0" applyFont="1" applyFill="1" applyBorder="1" applyAlignment="1">
      <alignment horizontal="center" vertical="center"/>
    </xf>
    <xf numFmtId="0" fontId="44" fillId="5" borderId="22" xfId="0" applyFont="1" applyFill="1" applyBorder="1" applyAlignment="1">
      <alignment horizontal="center" vertical="center"/>
    </xf>
    <xf numFmtId="0" fontId="47" fillId="37" borderId="44" xfId="0" applyFont="1" applyFill="1" applyBorder="1" applyAlignment="1">
      <alignment horizontal="center" vertical="center"/>
    </xf>
    <xf numFmtId="0" fontId="44" fillId="5" borderId="45" xfId="0" applyFont="1" applyFill="1" applyBorder="1" applyAlignment="1">
      <alignment horizontal="center" vertical="center"/>
    </xf>
    <xf numFmtId="0" fontId="44" fillId="5" borderId="5" xfId="0" applyFont="1" applyFill="1" applyBorder="1" applyAlignment="1">
      <alignment horizontal="center" vertical="center"/>
    </xf>
    <xf numFmtId="0" fontId="47" fillId="37" borderId="46" xfId="0" applyFont="1" applyFill="1" applyBorder="1" applyAlignment="1">
      <alignment horizontal="center" vertical="center"/>
    </xf>
    <xf numFmtId="0" fontId="44" fillId="5" borderId="47" xfId="0" applyFont="1" applyFill="1" applyBorder="1" applyAlignment="1">
      <alignment horizontal="center" vertical="center"/>
    </xf>
    <xf numFmtId="0" fontId="44" fillId="5" borderId="16" xfId="0" applyFont="1" applyFill="1" applyBorder="1" applyAlignment="1">
      <alignment horizontal="center" vertical="center"/>
    </xf>
    <xf numFmtId="0" fontId="44" fillId="5" borderId="0" xfId="0" applyFont="1" applyFill="1" applyBorder="1" applyAlignment="1">
      <alignment horizontal="center" vertical="center"/>
    </xf>
    <xf numFmtId="0" fontId="44" fillId="5" borderId="0" xfId="0" applyFont="1" applyFill="1" applyBorder="1">
      <alignment vertical="center"/>
    </xf>
    <xf numFmtId="0" fontId="47" fillId="37" borderId="15" xfId="0" applyFont="1" applyFill="1" applyBorder="1" applyAlignment="1">
      <alignment horizontal="center" vertical="center"/>
    </xf>
    <xf numFmtId="0" fontId="48" fillId="37" borderId="41" xfId="0" applyFont="1" applyFill="1" applyBorder="1" applyAlignment="1">
      <alignment horizontal="center" vertical="center"/>
    </xf>
    <xf numFmtId="0" fontId="47" fillId="37" borderId="12" xfId="0" applyFont="1" applyFill="1" applyBorder="1" applyAlignment="1">
      <alignment horizontal="center" vertical="center"/>
    </xf>
    <xf numFmtId="0" fontId="47" fillId="5" borderId="0" xfId="0" applyFont="1" applyFill="1" applyBorder="1" applyAlignment="1">
      <alignment horizontal="center" vertical="center"/>
    </xf>
    <xf numFmtId="0" fontId="47" fillId="37" borderId="15" xfId="0" applyFont="1" applyFill="1" applyBorder="1" applyAlignment="1">
      <alignment horizontal="center" vertical="center" wrapText="1"/>
    </xf>
    <xf numFmtId="0" fontId="47" fillId="37" borderId="14" xfId="0" applyFont="1" applyFill="1" applyBorder="1" applyAlignment="1">
      <alignment horizontal="center" vertical="center" wrapText="1"/>
    </xf>
    <xf numFmtId="0" fontId="49" fillId="37" borderId="13" xfId="0" applyFont="1" applyFill="1" applyBorder="1" applyAlignment="1">
      <alignment horizontal="center" vertical="center" wrapText="1"/>
    </xf>
    <xf numFmtId="0" fontId="47" fillId="37" borderId="12" xfId="0" applyFont="1" applyFill="1" applyBorder="1" applyAlignment="1">
      <alignment horizontal="center" vertical="center" wrapText="1"/>
    </xf>
    <xf numFmtId="0" fontId="47" fillId="37" borderId="48" xfId="0" applyFont="1" applyFill="1" applyBorder="1" applyAlignment="1">
      <alignment horizontal="center" vertical="center"/>
    </xf>
    <xf numFmtId="0" fontId="44" fillId="5" borderId="51" xfId="0" applyFont="1" applyFill="1" applyBorder="1" applyAlignment="1">
      <alignment horizontal="center" vertical="center"/>
    </xf>
    <xf numFmtId="0" fontId="47" fillId="37" borderId="49" xfId="0" applyFont="1" applyFill="1" applyBorder="1" applyAlignment="1">
      <alignment horizontal="center" vertical="center"/>
    </xf>
    <xf numFmtId="0" fontId="44" fillId="5" borderId="6" xfId="0" applyFont="1" applyFill="1" applyBorder="1" applyAlignment="1">
      <alignment horizontal="center" vertical="center"/>
    </xf>
    <xf numFmtId="0" fontId="44" fillId="5" borderId="25" xfId="0" applyFont="1" applyFill="1" applyBorder="1" applyAlignment="1">
      <alignment horizontal="center" vertical="center"/>
    </xf>
    <xf numFmtId="0" fontId="47" fillId="37" borderId="50" xfId="0" applyFont="1" applyFill="1" applyBorder="1" applyAlignment="1">
      <alignment horizontal="center" vertical="center"/>
    </xf>
    <xf numFmtId="0" fontId="44" fillId="5" borderId="4" xfId="0" applyFont="1" applyFill="1" applyBorder="1" applyAlignment="1">
      <alignment horizontal="center" vertical="center"/>
    </xf>
    <xf numFmtId="0" fontId="44" fillId="5" borderId="2" xfId="0" applyFont="1" applyFill="1" applyBorder="1" applyAlignment="1">
      <alignment horizontal="center" vertical="center"/>
    </xf>
    <xf numFmtId="0" fontId="44" fillId="5" borderId="39" xfId="0" applyFont="1" applyFill="1" applyBorder="1" applyAlignment="1">
      <alignment horizontal="center" vertical="center"/>
    </xf>
    <xf numFmtId="0" fontId="29" fillId="38" borderId="60" xfId="0" applyFont="1" applyFill="1" applyBorder="1" applyAlignment="1">
      <alignment horizontal="center" vertical="center" wrapText="1"/>
    </xf>
    <xf numFmtId="0" fontId="29" fillId="38" borderId="61" xfId="0" applyFont="1" applyFill="1" applyBorder="1" applyAlignment="1">
      <alignment horizontal="center" vertical="center" wrapText="1"/>
    </xf>
    <xf numFmtId="0" fontId="29" fillId="38" borderId="62" xfId="0" applyFont="1" applyFill="1" applyBorder="1" applyAlignment="1">
      <alignment horizontal="center" vertical="center" wrapText="1"/>
    </xf>
    <xf numFmtId="0" fontId="29" fillId="38" borderId="78" xfId="0" applyFont="1" applyFill="1" applyBorder="1" applyAlignment="1">
      <alignment horizontal="center" vertical="center" wrapText="1"/>
    </xf>
    <xf numFmtId="0" fontId="29" fillId="38" borderId="79" xfId="0" applyFont="1" applyFill="1" applyBorder="1" applyAlignment="1">
      <alignment horizontal="center" vertical="center" wrapText="1"/>
    </xf>
    <xf numFmtId="0" fontId="36" fillId="38" borderId="79" xfId="0" applyFont="1" applyFill="1" applyBorder="1" applyAlignment="1">
      <alignment horizontal="left" vertical="center" wrapText="1" indent="4"/>
    </xf>
    <xf numFmtId="0" fontId="36" fillId="38" borderId="61" xfId="0" applyFont="1" applyFill="1" applyBorder="1" applyAlignment="1">
      <alignment horizontal="left" vertical="center" wrapText="1" indent="4"/>
    </xf>
    <xf numFmtId="0" fontId="36" fillId="38" borderId="62" xfId="0" applyFont="1" applyFill="1" applyBorder="1" applyAlignment="1">
      <alignment horizontal="left" vertical="center" wrapText="1" indent="4"/>
    </xf>
    <xf numFmtId="0" fontId="33" fillId="38" borderId="79" xfId="0" applyFont="1" applyFill="1" applyBorder="1" applyAlignment="1">
      <alignment horizontal="center" vertical="center" wrapText="1"/>
    </xf>
    <xf numFmtId="0" fontId="33" fillId="38" borderId="61" xfId="0" applyFont="1" applyFill="1" applyBorder="1" applyAlignment="1">
      <alignment horizontal="center" vertical="center" wrapText="1"/>
    </xf>
    <xf numFmtId="0" fontId="33" fillId="38" borderId="62" xfId="0" applyFont="1" applyFill="1" applyBorder="1" applyAlignment="1">
      <alignment horizontal="center" vertical="center" wrapText="1"/>
    </xf>
    <xf numFmtId="0" fontId="33" fillId="38" borderId="60" xfId="0" applyFont="1" applyFill="1" applyBorder="1" applyAlignment="1">
      <alignment horizontal="center" vertical="center" wrapText="1"/>
    </xf>
    <xf numFmtId="0" fontId="33" fillId="38" borderId="78" xfId="0" applyFont="1" applyFill="1" applyBorder="1" applyAlignment="1">
      <alignment horizontal="center" vertical="center" wrapText="1"/>
    </xf>
    <xf numFmtId="0" fontId="36" fillId="38" borderId="60" xfId="0" applyFont="1" applyFill="1" applyBorder="1" applyAlignment="1">
      <alignment horizontal="center" vertical="center" wrapText="1"/>
    </xf>
    <xf numFmtId="0" fontId="36" fillId="38" borderId="61" xfId="0" applyFont="1" applyFill="1" applyBorder="1" applyAlignment="1">
      <alignment horizontal="center" vertical="center" wrapText="1"/>
    </xf>
    <xf numFmtId="0" fontId="36" fillId="38" borderId="62" xfId="0" applyFont="1" applyFill="1" applyBorder="1" applyAlignment="1">
      <alignment horizontal="center" vertical="center" wrapText="1"/>
    </xf>
    <xf numFmtId="0" fontId="36" fillId="38" borderId="78" xfId="0" applyFont="1" applyFill="1" applyBorder="1" applyAlignment="1">
      <alignment horizontal="center" vertical="center" wrapText="1"/>
    </xf>
    <xf numFmtId="0" fontId="41" fillId="38" borderId="83" xfId="0" applyFont="1" applyFill="1" applyBorder="1" applyAlignment="1">
      <alignment horizontal="center" vertical="center" wrapText="1"/>
    </xf>
    <xf numFmtId="0" fontId="41" fillId="38" borderId="84" xfId="0" applyFont="1" applyFill="1" applyBorder="1" applyAlignment="1">
      <alignment horizontal="center" vertical="center" wrapText="1"/>
    </xf>
    <xf numFmtId="0" fontId="41" fillId="38" borderId="85" xfId="0" applyFont="1" applyFill="1" applyBorder="1" applyAlignment="1">
      <alignment horizontal="center" vertical="center" wrapText="1"/>
    </xf>
    <xf numFmtId="0" fontId="41" fillId="38" borderId="86" xfId="0" applyFont="1" applyFill="1" applyBorder="1" applyAlignment="1">
      <alignment horizontal="center" vertical="center" wrapText="1"/>
    </xf>
    <xf numFmtId="0" fontId="41" fillId="38" borderId="87" xfId="0" applyFont="1" applyFill="1" applyBorder="1" applyAlignment="1">
      <alignment horizontal="center" vertical="center" wrapText="1"/>
    </xf>
    <xf numFmtId="0" fontId="41" fillId="38" borderId="88" xfId="0" applyFont="1" applyFill="1" applyBorder="1" applyAlignment="1">
      <alignment horizontal="left" vertical="center" wrapText="1"/>
    </xf>
    <xf numFmtId="0" fontId="41" fillId="38" borderId="89" xfId="0" applyFont="1" applyFill="1" applyBorder="1" applyAlignment="1">
      <alignment horizontal="left" vertical="center" wrapText="1"/>
    </xf>
    <xf numFmtId="0" fontId="41" fillId="38" borderId="90" xfId="0" applyFont="1" applyFill="1" applyBorder="1" applyAlignment="1">
      <alignment horizontal="left" vertical="center" wrapText="1" indent="1"/>
    </xf>
    <xf numFmtId="0" fontId="41" fillId="38" borderId="91" xfId="0" applyFont="1" applyFill="1" applyBorder="1" applyAlignment="1">
      <alignment horizontal="left" vertical="center" wrapText="1" indent="1"/>
    </xf>
    <xf numFmtId="0" fontId="41" fillId="38" borderId="83" xfId="0" applyFont="1" applyFill="1" applyBorder="1" applyAlignment="1">
      <alignment horizontal="left" vertical="center" wrapText="1" indent="5"/>
    </xf>
    <xf numFmtId="0" fontId="41" fillId="38" borderId="84" xfId="0" applyFont="1" applyFill="1" applyBorder="1" applyAlignment="1">
      <alignment horizontal="left" vertical="center" wrapText="1" indent="5"/>
    </xf>
    <xf numFmtId="0" fontId="41" fillId="38" borderId="85" xfId="0" applyFont="1" applyFill="1" applyBorder="1" applyAlignment="1">
      <alignment horizontal="left" vertical="center" wrapText="1" indent="5"/>
    </xf>
    <xf numFmtId="0" fontId="41" fillId="38" borderId="93" xfId="0" applyFont="1" applyFill="1" applyBorder="1" applyAlignment="1">
      <alignment horizontal="left" vertical="center" wrapText="1" indent="1"/>
    </xf>
    <xf numFmtId="0" fontId="41" fillId="38" borderId="94" xfId="0" applyFont="1" applyFill="1" applyBorder="1" applyAlignment="1">
      <alignment horizontal="left" vertical="center" wrapText="1" indent="1"/>
    </xf>
    <xf numFmtId="0" fontId="28" fillId="0" borderId="111" xfId="0" applyFont="1" applyBorder="1" applyAlignment="1">
      <alignment horizontal="left" vertical="center" wrapText="1"/>
    </xf>
    <xf numFmtId="0" fontId="28" fillId="0" borderId="112" xfId="0" applyFont="1" applyBorder="1" applyAlignment="1">
      <alignment horizontal="left" vertical="center" wrapText="1"/>
    </xf>
    <xf numFmtId="0" fontId="28" fillId="0" borderId="113" xfId="0" applyFont="1" applyBorder="1" applyAlignment="1">
      <alignment horizontal="left" vertical="center" wrapText="1"/>
    </xf>
    <xf numFmtId="0" fontId="28" fillId="0" borderId="114" xfId="0" applyFont="1" applyBorder="1" applyAlignment="1">
      <alignment horizontal="left" vertical="center" wrapText="1"/>
    </xf>
    <xf numFmtId="0" fontId="28" fillId="0" borderId="0" xfId="0" applyFont="1" applyBorder="1" applyAlignment="1">
      <alignment horizontal="left" vertical="center" wrapText="1"/>
    </xf>
    <xf numFmtId="0" fontId="28" fillId="0" borderId="115" xfId="0" applyFont="1" applyBorder="1" applyAlignment="1">
      <alignment horizontal="left" vertical="center" wrapText="1"/>
    </xf>
    <xf numFmtId="0" fontId="28" fillId="0" borderId="116" xfId="0" applyFont="1" applyBorder="1" applyAlignment="1">
      <alignment horizontal="left" vertical="center" wrapText="1"/>
    </xf>
    <xf numFmtId="0" fontId="28" fillId="0" borderId="117" xfId="0" applyFont="1" applyBorder="1" applyAlignment="1">
      <alignment horizontal="left" vertical="center" wrapText="1"/>
    </xf>
    <xf numFmtId="0" fontId="28" fillId="0" borderId="118" xfId="0" applyFont="1" applyBorder="1" applyAlignment="1">
      <alignment horizontal="left" vertical="center" wrapText="1"/>
    </xf>
    <xf numFmtId="0" fontId="41" fillId="38" borderId="83" xfId="0" applyFont="1" applyFill="1" applyBorder="1" applyAlignment="1">
      <alignment horizontal="left" vertical="center" wrapText="1" indent="3"/>
    </xf>
    <xf numFmtId="0" fontId="41" fillId="38" borderId="84" xfId="0" applyFont="1" applyFill="1" applyBorder="1" applyAlignment="1">
      <alignment horizontal="left" vertical="center" wrapText="1" indent="3"/>
    </xf>
    <xf numFmtId="0" fontId="41" fillId="38" borderId="85" xfId="0" applyFont="1" applyFill="1" applyBorder="1" applyAlignment="1">
      <alignment horizontal="left" vertical="center" wrapText="1" indent="3"/>
    </xf>
    <xf numFmtId="0" fontId="41" fillId="38" borderId="86" xfId="0" applyFont="1" applyFill="1" applyBorder="1" applyAlignment="1">
      <alignment horizontal="left" vertical="center" wrapText="1" indent="4"/>
    </xf>
    <xf numFmtId="0" fontId="41" fillId="38" borderId="84" xfId="0" applyFont="1" applyFill="1" applyBorder="1" applyAlignment="1">
      <alignment horizontal="left" vertical="center" wrapText="1" indent="4"/>
    </xf>
    <xf numFmtId="0" fontId="41" fillId="38" borderId="85" xfId="0" applyFont="1" applyFill="1" applyBorder="1" applyAlignment="1">
      <alignment horizontal="left" vertical="center" wrapText="1" indent="4"/>
    </xf>
    <xf numFmtId="0" fontId="24" fillId="5" borderId="23" xfId="0" applyFont="1" applyFill="1" applyBorder="1" applyAlignment="1">
      <alignment horizontal="center" vertical="center"/>
    </xf>
    <xf numFmtId="0" fontId="24" fillId="5" borderId="20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18" xfId="0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44" fillId="3" borderId="35" xfId="0" applyFont="1" applyFill="1" applyBorder="1" applyAlignment="1">
      <alignment horizontal="center" vertical="center"/>
    </xf>
    <xf numFmtId="0" fontId="44" fillId="3" borderId="36" xfId="0" applyFont="1" applyFill="1" applyBorder="1" applyAlignment="1">
      <alignment horizontal="center" vertical="center"/>
    </xf>
    <xf numFmtId="0" fontId="44" fillId="3" borderId="37" xfId="0" applyFont="1" applyFill="1" applyBorder="1" applyAlignment="1">
      <alignment horizontal="center" vertical="center"/>
    </xf>
    <xf numFmtId="0" fontId="44" fillId="0" borderId="119" xfId="0" applyFont="1" applyBorder="1" applyAlignment="1">
      <alignment horizontal="center" vertical="center"/>
    </xf>
    <xf numFmtId="0" fontId="44" fillId="0" borderId="8" xfId="0" applyFont="1" applyBorder="1" applyAlignment="1">
      <alignment horizontal="center" vertical="center"/>
    </xf>
    <xf numFmtId="177" fontId="44" fillId="0" borderId="119" xfId="0" applyNumberFormat="1" applyFont="1" applyBorder="1" applyAlignment="1">
      <alignment horizontal="center" vertical="center"/>
    </xf>
    <xf numFmtId="177" fontId="44" fillId="0" borderId="8" xfId="0" applyNumberFormat="1" applyFont="1" applyBorder="1" applyAlignment="1">
      <alignment horizontal="center" vertical="center"/>
    </xf>
    <xf numFmtId="176" fontId="46" fillId="0" borderId="119" xfId="1" applyNumberFormat="1" applyFont="1" applyBorder="1" applyAlignment="1">
      <alignment horizontal="center" vertical="center"/>
    </xf>
    <xf numFmtId="176" fontId="46" fillId="0" borderId="8" xfId="1" applyNumberFormat="1" applyFont="1" applyBorder="1" applyAlignment="1">
      <alignment horizontal="center" vertical="center"/>
    </xf>
    <xf numFmtId="10" fontId="46" fillId="0" borderId="119" xfId="50" applyNumberFormat="1" applyFont="1" applyBorder="1" applyAlignment="1">
      <alignment horizontal="center" vertical="center"/>
    </xf>
    <xf numFmtId="10" fontId="46" fillId="0" borderId="8" xfId="50" applyNumberFormat="1" applyFont="1" applyBorder="1" applyAlignment="1">
      <alignment horizontal="center" vertical="center"/>
    </xf>
    <xf numFmtId="176" fontId="44" fillId="0" borderId="119" xfId="0" applyNumberFormat="1" applyFont="1" applyBorder="1" applyAlignment="1">
      <alignment horizontal="center" vertical="center"/>
    </xf>
    <xf numFmtId="176" fontId="44" fillId="0" borderId="8" xfId="0" applyNumberFormat="1" applyFont="1" applyBorder="1" applyAlignment="1">
      <alignment horizontal="center" vertical="center"/>
    </xf>
    <xf numFmtId="10" fontId="46" fillId="0" borderId="120" xfId="50" applyNumberFormat="1" applyFont="1" applyBorder="1" applyAlignment="1">
      <alignment horizontal="center" vertical="center"/>
    </xf>
    <xf numFmtId="10" fontId="46" fillId="0" borderId="51" xfId="50" applyNumberFormat="1" applyFont="1" applyBorder="1" applyAlignment="1">
      <alignment horizontal="center" vertical="center"/>
    </xf>
    <xf numFmtId="0" fontId="44" fillId="5" borderId="119" xfId="0" applyFont="1" applyFill="1" applyBorder="1" applyAlignment="1">
      <alignment horizontal="center" vertical="center"/>
    </xf>
    <xf numFmtId="0" fontId="44" fillId="5" borderId="8" xfId="0" applyFont="1" applyFill="1" applyBorder="1" applyAlignment="1">
      <alignment horizontal="center" vertical="center"/>
    </xf>
    <xf numFmtId="0" fontId="43" fillId="5" borderId="3" xfId="0" applyFont="1" applyFill="1" applyBorder="1" applyAlignment="1">
      <alignment horizontal="center" vertical="center"/>
    </xf>
    <xf numFmtId="0" fontId="44" fillId="40" borderId="119" xfId="0" applyFont="1" applyFill="1" applyBorder="1" applyAlignment="1">
      <alignment horizontal="center" vertical="center"/>
    </xf>
    <xf numFmtId="0" fontId="44" fillId="40" borderId="8" xfId="0" applyFont="1" applyFill="1" applyBorder="1" applyAlignment="1">
      <alignment horizontal="center" vertical="center"/>
    </xf>
    <xf numFmtId="177" fontId="44" fillId="40" borderId="119" xfId="0" applyNumberFormat="1" applyFont="1" applyFill="1" applyBorder="1" applyAlignment="1">
      <alignment horizontal="center" vertical="center"/>
    </xf>
    <xf numFmtId="177" fontId="44" fillId="40" borderId="8" xfId="0" applyNumberFormat="1" applyFont="1" applyFill="1" applyBorder="1" applyAlignment="1">
      <alignment horizontal="center" vertical="center"/>
    </xf>
    <xf numFmtId="176" fontId="46" fillId="40" borderId="119" xfId="1" applyNumberFormat="1" applyFont="1" applyFill="1" applyBorder="1" applyAlignment="1">
      <alignment horizontal="center" vertical="center"/>
    </xf>
    <xf numFmtId="176" fontId="46" fillId="40" borderId="8" xfId="1" applyNumberFormat="1" applyFont="1" applyFill="1" applyBorder="1" applyAlignment="1">
      <alignment horizontal="center" vertical="center"/>
    </xf>
    <xf numFmtId="10" fontId="46" fillId="40" borderId="119" xfId="50" applyNumberFormat="1" applyFont="1" applyFill="1" applyBorder="1" applyAlignment="1">
      <alignment horizontal="center" vertical="center"/>
    </xf>
    <xf numFmtId="10" fontId="46" fillId="40" borderId="8" xfId="50" applyNumberFormat="1" applyFont="1" applyFill="1" applyBorder="1" applyAlignment="1">
      <alignment horizontal="center" vertical="center"/>
    </xf>
    <xf numFmtId="176" fontId="44" fillId="40" borderId="119" xfId="0" applyNumberFormat="1" applyFont="1" applyFill="1" applyBorder="1" applyAlignment="1">
      <alignment horizontal="center" vertical="center"/>
    </xf>
    <xf numFmtId="176" fontId="44" fillId="40" borderId="8" xfId="0" applyNumberFormat="1" applyFont="1" applyFill="1" applyBorder="1" applyAlignment="1">
      <alignment horizontal="center" vertical="center"/>
    </xf>
    <xf numFmtId="10" fontId="46" fillId="40" borderId="120" xfId="50" applyNumberFormat="1" applyFont="1" applyFill="1" applyBorder="1" applyAlignment="1">
      <alignment horizontal="center" vertical="center"/>
    </xf>
    <xf numFmtId="10" fontId="46" fillId="40" borderId="51" xfId="50" applyNumberFormat="1" applyFont="1" applyFill="1" applyBorder="1" applyAlignment="1">
      <alignment horizontal="center" vertical="center"/>
    </xf>
    <xf numFmtId="0" fontId="26" fillId="5" borderId="3" xfId="0" applyFont="1" applyFill="1" applyBorder="1" applyAlignment="1">
      <alignment horizontal="center" vertical="center"/>
    </xf>
    <xf numFmtId="0" fontId="24" fillId="5" borderId="10" xfId="0" applyFont="1" applyFill="1" applyBorder="1" applyAlignment="1">
      <alignment horizontal="center" vertical="center"/>
    </xf>
    <xf numFmtId="0" fontId="24" fillId="5" borderId="38" xfId="0" applyFont="1" applyFill="1" applyBorder="1" applyAlignment="1">
      <alignment horizontal="center" vertical="center"/>
    </xf>
    <xf numFmtId="0" fontId="50" fillId="5" borderId="2" xfId="0" applyFont="1" applyFill="1" applyBorder="1" applyAlignment="1">
      <alignment horizontal="center" vertical="center"/>
    </xf>
    <xf numFmtId="0" fontId="24" fillId="5" borderId="2" xfId="0" applyFont="1" applyFill="1" applyBorder="1" applyAlignment="1">
      <alignment horizontal="center" vertical="center"/>
    </xf>
    <xf numFmtId="0" fontId="24" fillId="5" borderId="39" xfId="0" applyFont="1" applyFill="1" applyBorder="1" applyAlignment="1">
      <alignment horizontal="center" vertical="center"/>
    </xf>
  </cellXfs>
  <cellStyles count="51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백분율" xfId="50" builtinId="5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5" xfId="48" xr:uid="{00000000-0005-0000-0000-00002F000000}"/>
    <cellStyle name="하이퍼링크 2" xfId="46" xr:uid="{00000000-0005-0000-0000-000030000000}"/>
  </cellStyles>
  <dxfs count="161"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D4D4D4"/>
      <color rgb="FF00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</xdr:colOff>
          <xdr:row>5</xdr:row>
          <xdr:rowOff>6350</xdr:rowOff>
        </xdr:from>
        <xdr:to>
          <xdr:col>8</xdr:col>
          <xdr:colOff>6350</xdr:colOff>
          <xdr:row>8</xdr:row>
          <xdr:rowOff>12700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53</xdr:row>
      <xdr:rowOff>0</xdr:rowOff>
    </xdr:from>
    <xdr:to>
      <xdr:col>5</xdr:col>
      <xdr:colOff>476250</xdr:colOff>
      <xdr:row>53</xdr:row>
      <xdr:rowOff>120650</xdr:rowOff>
    </xdr:to>
    <xdr:pic>
      <xdr:nvPicPr>
        <xdr:cNvPr id="2" name="_x451701448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11766550"/>
          <a:ext cx="47625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0</xdr:colOff>
      <xdr:row>53</xdr:row>
      <xdr:rowOff>0</xdr:rowOff>
    </xdr:from>
    <xdr:to>
      <xdr:col>10</xdr:col>
      <xdr:colOff>476250</xdr:colOff>
      <xdr:row>53</xdr:row>
      <xdr:rowOff>120650</xdr:rowOff>
    </xdr:to>
    <xdr:pic>
      <xdr:nvPicPr>
        <xdr:cNvPr id="3" name="_x45170476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0" y="11766550"/>
          <a:ext cx="47625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0</xdr:colOff>
      <xdr:row>53</xdr:row>
      <xdr:rowOff>0</xdr:rowOff>
    </xdr:from>
    <xdr:to>
      <xdr:col>15</xdr:col>
      <xdr:colOff>476250</xdr:colOff>
      <xdr:row>53</xdr:row>
      <xdr:rowOff>120650</xdr:rowOff>
    </xdr:to>
    <xdr:pic>
      <xdr:nvPicPr>
        <xdr:cNvPr id="4" name="_x45170411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0" y="11766550"/>
          <a:ext cx="47625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53</xdr:row>
      <xdr:rowOff>0</xdr:rowOff>
    </xdr:from>
    <xdr:to>
      <xdr:col>20</xdr:col>
      <xdr:colOff>476250</xdr:colOff>
      <xdr:row>53</xdr:row>
      <xdr:rowOff>120650</xdr:rowOff>
    </xdr:to>
    <xdr:pic>
      <xdr:nvPicPr>
        <xdr:cNvPr id="5" name="_x451707568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8000" y="11766550"/>
          <a:ext cx="47625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90</xdr:col>
      <xdr:colOff>0</xdr:colOff>
      <xdr:row>54</xdr:row>
      <xdr:rowOff>0</xdr:rowOff>
    </xdr:from>
    <xdr:to>
      <xdr:col>90</xdr:col>
      <xdr:colOff>482600</xdr:colOff>
      <xdr:row>54</xdr:row>
      <xdr:rowOff>120650</xdr:rowOff>
    </xdr:to>
    <xdr:pic>
      <xdr:nvPicPr>
        <xdr:cNvPr id="6" name="_x387121240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436000" y="11988800"/>
          <a:ext cx="48260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95</xdr:col>
      <xdr:colOff>0</xdr:colOff>
      <xdr:row>54</xdr:row>
      <xdr:rowOff>0</xdr:rowOff>
    </xdr:from>
    <xdr:to>
      <xdr:col>95</xdr:col>
      <xdr:colOff>482600</xdr:colOff>
      <xdr:row>54</xdr:row>
      <xdr:rowOff>120650</xdr:rowOff>
    </xdr:to>
    <xdr:pic>
      <xdr:nvPicPr>
        <xdr:cNvPr id="7" name="_x38712260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738000" y="11988800"/>
          <a:ext cx="48260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100</xdr:col>
      <xdr:colOff>0</xdr:colOff>
      <xdr:row>54</xdr:row>
      <xdr:rowOff>0</xdr:rowOff>
    </xdr:from>
    <xdr:to>
      <xdr:col>100</xdr:col>
      <xdr:colOff>482600</xdr:colOff>
      <xdr:row>54</xdr:row>
      <xdr:rowOff>120650</xdr:rowOff>
    </xdr:to>
    <xdr:pic>
      <xdr:nvPicPr>
        <xdr:cNvPr id="8" name="_x38712548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040000" y="11988800"/>
          <a:ext cx="48260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105</xdr:col>
      <xdr:colOff>0</xdr:colOff>
      <xdr:row>54</xdr:row>
      <xdr:rowOff>0</xdr:rowOff>
    </xdr:from>
    <xdr:to>
      <xdr:col>105</xdr:col>
      <xdr:colOff>482600</xdr:colOff>
      <xdr:row>54</xdr:row>
      <xdr:rowOff>120650</xdr:rowOff>
    </xdr:to>
    <xdr:pic>
      <xdr:nvPicPr>
        <xdr:cNvPr id="9" name="_x38712656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342000" y="11988800"/>
          <a:ext cx="482600" cy="120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26"/>
  <sheetViews>
    <sheetView tabSelected="1" workbookViewId="0">
      <selection activeCell="D16" sqref="D16"/>
    </sheetView>
  </sheetViews>
  <sheetFormatPr defaultRowHeight="17" x14ac:dyDescent="0.45"/>
  <cols>
    <col min="2" max="2" width="22" style="1" customWidth="1"/>
    <col min="3" max="5" width="12.58203125" style="1" customWidth="1"/>
  </cols>
  <sheetData>
    <row r="3" spans="2:5" x14ac:dyDescent="0.45">
      <c r="C3" s="1" t="s">
        <v>1</v>
      </c>
      <c r="D3" s="1" t="s">
        <v>2</v>
      </c>
      <c r="E3" s="1" t="s">
        <v>0</v>
      </c>
    </row>
    <row r="4" spans="2:5" x14ac:dyDescent="0.45">
      <c r="B4" s="1" t="s">
        <v>3</v>
      </c>
      <c r="C4" s="1">
        <f>MAX('202306'!F:F)</f>
        <v>125552</v>
      </c>
      <c r="D4" s="1">
        <v>31.16</v>
      </c>
      <c r="E4" s="1">
        <v>11.66</v>
      </c>
    </row>
    <row r="5" spans="2:5" x14ac:dyDescent="0.45">
      <c r="B5" s="1" t="s">
        <v>4</v>
      </c>
      <c r="C5" s="1">
        <f>MAX('202306'!K:K)</f>
        <v>30708</v>
      </c>
      <c r="D5" s="1">
        <v>21.56</v>
      </c>
      <c r="E5" s="1">
        <v>11.87</v>
      </c>
    </row>
    <row r="6" spans="2:5" x14ac:dyDescent="0.45">
      <c r="B6" s="1" t="s">
        <v>5</v>
      </c>
      <c r="C6" s="1">
        <f>MAX('202306'!P:P)</f>
        <v>32076</v>
      </c>
      <c r="D6" s="1">
        <v>26.15</v>
      </c>
      <c r="E6" s="1">
        <v>11.98</v>
      </c>
    </row>
    <row r="7" spans="2:5" x14ac:dyDescent="0.45">
      <c r="B7" s="1" t="s">
        <v>6</v>
      </c>
      <c r="C7" s="1">
        <f>MAX('202306'!U:U)</f>
        <v>25271</v>
      </c>
      <c r="D7" s="1">
        <v>26.82</v>
      </c>
      <c r="E7" s="1">
        <v>12.92</v>
      </c>
    </row>
    <row r="8" spans="2:5" x14ac:dyDescent="0.45">
      <c r="B8" s="1" t="s">
        <v>7</v>
      </c>
      <c r="C8" s="1">
        <f>MAX('202306'!Z:Z)</f>
        <v>18847</v>
      </c>
      <c r="D8" s="1">
        <v>24.71</v>
      </c>
      <c r="E8" s="1">
        <v>13.43</v>
      </c>
    </row>
    <row r="9" spans="2:5" x14ac:dyDescent="0.45">
      <c r="B9" s="1" t="s">
        <v>8</v>
      </c>
      <c r="C9" s="1">
        <f>MAX('202306'!AE:AE)</f>
        <v>14697</v>
      </c>
      <c r="D9" s="1">
        <v>21.42</v>
      </c>
      <c r="E9" s="1">
        <v>12.86</v>
      </c>
    </row>
    <row r="10" spans="2:5" x14ac:dyDescent="0.45">
      <c r="B10" s="1" t="s">
        <v>9</v>
      </c>
      <c r="C10" s="1">
        <f>MAX('202306'!AJ:AJ)</f>
        <v>5974</v>
      </c>
      <c r="D10" s="1">
        <v>20</v>
      </c>
      <c r="E10" s="1">
        <v>12.5</v>
      </c>
    </row>
    <row r="11" spans="2:5" x14ac:dyDescent="0.45">
      <c r="B11" s="1" t="s">
        <v>24</v>
      </c>
      <c r="C11" s="1">
        <f>MAX('202306'!AO:AO)</f>
        <v>25273</v>
      </c>
      <c r="D11" s="1">
        <v>23.32</v>
      </c>
      <c r="E11" s="1">
        <v>12.81</v>
      </c>
    </row>
    <row r="12" spans="2:5" x14ac:dyDescent="0.45">
      <c r="B12" s="1" t="s">
        <v>10</v>
      </c>
      <c r="C12" s="1">
        <f>MAX('202306'!AT:AT)</f>
        <v>116333</v>
      </c>
      <c r="D12" s="1">
        <v>27.96</v>
      </c>
      <c r="E12" s="1">
        <v>12.97</v>
      </c>
    </row>
    <row r="13" spans="2:5" x14ac:dyDescent="0.45">
      <c r="B13" s="1" t="s">
        <v>23</v>
      </c>
      <c r="C13" s="1">
        <f>MAX('202306'!AY:AY)</f>
        <v>52931</v>
      </c>
      <c r="D13" s="1">
        <v>26.92</v>
      </c>
      <c r="E13" s="1">
        <v>13.4</v>
      </c>
    </row>
    <row r="14" spans="2:5" x14ac:dyDescent="0.45">
      <c r="B14" s="1" t="s">
        <v>11</v>
      </c>
      <c r="C14" s="1">
        <f>MAX('202306'!BD:BD)</f>
        <v>62797</v>
      </c>
      <c r="D14" s="1">
        <v>23</v>
      </c>
      <c r="E14" s="1">
        <v>10.79</v>
      </c>
    </row>
    <row r="15" spans="2:5" x14ac:dyDescent="0.45">
      <c r="B15" s="1" t="s">
        <v>12</v>
      </c>
      <c r="C15" s="1">
        <f>MAX('202306'!BI:BI)</f>
        <v>118860</v>
      </c>
      <c r="D15" s="1">
        <v>27.93</v>
      </c>
      <c r="E15" s="1">
        <v>12.05</v>
      </c>
    </row>
    <row r="16" spans="2:5" x14ac:dyDescent="0.45">
      <c r="B16" s="1" t="s">
        <v>13</v>
      </c>
      <c r="C16" s="1">
        <f>MAX('202306'!BN:BN)</f>
        <v>116228</v>
      </c>
      <c r="D16" s="1">
        <v>25.51</v>
      </c>
      <c r="E16" s="1">
        <v>12.5</v>
      </c>
    </row>
    <row r="17" spans="2:5" x14ac:dyDescent="0.45">
      <c r="B17" s="1" t="s">
        <v>22</v>
      </c>
      <c r="C17" s="1">
        <f>MAX('202306'!BS:BS)</f>
        <v>3982</v>
      </c>
      <c r="D17" s="1">
        <v>16.760000000000002</v>
      </c>
      <c r="E17" s="1">
        <v>11.17</v>
      </c>
    </row>
    <row r="18" spans="2:5" x14ac:dyDescent="0.45">
      <c r="B18" s="1" t="s">
        <v>14</v>
      </c>
      <c r="C18" s="1">
        <f>MAX('202306'!BX:BX)</f>
        <v>4510</v>
      </c>
      <c r="D18" s="1">
        <v>18.2</v>
      </c>
      <c r="E18" s="1">
        <v>11.5</v>
      </c>
    </row>
    <row r="19" spans="2:5" x14ac:dyDescent="0.45">
      <c r="B19" s="1" t="s">
        <v>15</v>
      </c>
      <c r="C19" s="1">
        <f>MAX('202306'!CC:CC)</f>
        <v>7943</v>
      </c>
      <c r="D19" s="1">
        <v>17.649999999999999</v>
      </c>
      <c r="E19" s="1">
        <v>12.88</v>
      </c>
    </row>
    <row r="20" spans="2:5" x14ac:dyDescent="0.45">
      <c r="B20" s="1" t="s">
        <v>16</v>
      </c>
      <c r="C20" s="1">
        <f>MAX('202306'!CH:CH)</f>
        <v>5018</v>
      </c>
      <c r="D20" s="1">
        <v>17.669788760462335</v>
      </c>
      <c r="E20" s="1">
        <v>9.1734519131680017</v>
      </c>
    </row>
    <row r="21" spans="2:5" x14ac:dyDescent="0.45">
      <c r="B21" s="1" t="s">
        <v>26</v>
      </c>
      <c r="C21" s="1">
        <f>MAX('202306'!CM:CM)</f>
        <v>6025</v>
      </c>
      <c r="D21" s="1">
        <v>21.848132780082988</v>
      </c>
      <c r="E21" s="1">
        <v>9.6478754481423206</v>
      </c>
    </row>
    <row r="22" spans="2:5" x14ac:dyDescent="0.45">
      <c r="B22" s="1" t="s">
        <v>17</v>
      </c>
      <c r="C22" s="1">
        <f>MAX('202306'!CR:CR)</f>
        <v>690</v>
      </c>
      <c r="D22" s="1">
        <v>13.282608695652174</v>
      </c>
      <c r="E22" s="1">
        <v>7.6577034533999973</v>
      </c>
    </row>
    <row r="23" spans="2:5" x14ac:dyDescent="0.45">
      <c r="B23" s="1" t="s">
        <v>18</v>
      </c>
      <c r="C23" s="1">
        <f>MAX('202306'!CW:CW)</f>
        <v>1216</v>
      </c>
      <c r="D23" s="1">
        <v>23.58</v>
      </c>
      <c r="E23" s="1">
        <v>13.05</v>
      </c>
    </row>
    <row r="24" spans="2:5" x14ac:dyDescent="0.45">
      <c r="B24" s="1" t="s">
        <v>19</v>
      </c>
      <c r="C24" s="1">
        <f>MAX('202306'!DB:DB)</f>
        <v>2432</v>
      </c>
      <c r="D24" s="1">
        <v>15.057154605263158</v>
      </c>
      <c r="E24" s="1">
        <v>8.6007251719070865</v>
      </c>
    </row>
    <row r="25" spans="2:5" x14ac:dyDescent="0.45">
      <c r="B25" s="1" t="s">
        <v>25</v>
      </c>
      <c r="C25" s="1">
        <f>MAX('202306'!DG:DG)</f>
        <v>97</v>
      </c>
      <c r="D25" s="1">
        <v>15.164948453608247</v>
      </c>
      <c r="E25" s="1">
        <v>6.2617813288004669</v>
      </c>
    </row>
    <row r="26" spans="2:5" x14ac:dyDescent="0.45">
      <c r="B26" s="1" t="s">
        <v>20</v>
      </c>
      <c r="C26" s="1">
        <f>MAX('202306'!DL:DL)</f>
        <v>1834</v>
      </c>
      <c r="D26" s="1">
        <v>14.635223555070883</v>
      </c>
      <c r="E26" s="1">
        <v>7.1779440955313056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매크로3">
                <anchor moveWithCells="1" sizeWithCells="1">
                  <from>
                    <xdr:col>6</xdr:col>
                    <xdr:colOff>6350</xdr:colOff>
                    <xdr:row>5</xdr:row>
                    <xdr:rowOff>6350</xdr:rowOff>
                  </from>
                  <to>
                    <xdr:col>8</xdr:col>
                    <xdr:colOff>6350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2"/>
  <dimension ref="B2:DL55"/>
  <sheetViews>
    <sheetView topLeftCell="CO10" zoomScale="60" zoomScaleNormal="60" workbookViewId="0">
      <selection activeCell="CQ32" sqref="CQ32"/>
    </sheetView>
  </sheetViews>
  <sheetFormatPr defaultRowHeight="17" x14ac:dyDescent="0.45"/>
  <cols>
    <col min="5" max="5" width="8.6640625" customWidth="1"/>
    <col min="7" max="8" width="8.6640625" customWidth="1"/>
    <col min="58" max="58" width="8.6640625" customWidth="1"/>
  </cols>
  <sheetData>
    <row r="2" spans="2:116" ht="17.5" thickBot="1" x14ac:dyDescent="0.5"/>
    <row r="3" spans="2:116" ht="17.5" thickBot="1" x14ac:dyDescent="0.5">
      <c r="B3" s="252" t="s">
        <v>32</v>
      </c>
      <c r="C3" s="253"/>
      <c r="D3" s="253"/>
      <c r="E3" s="253"/>
      <c r="F3" s="254"/>
      <c r="G3" s="252" t="s">
        <v>33</v>
      </c>
      <c r="H3" s="253"/>
      <c r="I3" s="253"/>
      <c r="J3" s="253"/>
      <c r="K3" s="254"/>
      <c r="L3" s="252" t="s">
        <v>34</v>
      </c>
      <c r="M3" s="253"/>
      <c r="N3" s="253"/>
      <c r="O3" s="253"/>
      <c r="P3" s="254"/>
      <c r="Q3" s="252" t="s">
        <v>35</v>
      </c>
      <c r="R3" s="253"/>
      <c r="S3" s="253"/>
      <c r="T3" s="253"/>
      <c r="U3" s="255"/>
      <c r="V3" s="256" t="s">
        <v>41</v>
      </c>
      <c r="W3" s="253"/>
      <c r="X3" s="253"/>
      <c r="Y3" s="253"/>
      <c r="Z3" s="254"/>
      <c r="AA3" s="252" t="s">
        <v>42</v>
      </c>
      <c r="AB3" s="253"/>
      <c r="AC3" s="253"/>
      <c r="AD3" s="253"/>
      <c r="AE3" s="254"/>
      <c r="AF3" s="252" t="s">
        <v>43</v>
      </c>
      <c r="AG3" s="253"/>
      <c r="AH3" s="253"/>
      <c r="AI3" s="253"/>
      <c r="AJ3" s="254"/>
      <c r="AK3" s="252" t="s">
        <v>44</v>
      </c>
      <c r="AL3" s="253"/>
      <c r="AM3" s="253"/>
      <c r="AN3" s="253"/>
      <c r="AO3" s="255"/>
      <c r="AP3" s="256" t="s">
        <v>45</v>
      </c>
      <c r="AQ3" s="253"/>
      <c r="AR3" s="253"/>
      <c r="AS3" s="253"/>
      <c r="AT3" s="255"/>
      <c r="AU3" s="260" t="s">
        <v>46</v>
      </c>
      <c r="AV3" s="261"/>
      <c r="AW3" s="261"/>
      <c r="AX3" s="261"/>
      <c r="AY3" s="262"/>
      <c r="AZ3" s="263" t="s">
        <v>47</v>
      </c>
      <c r="BA3" s="261"/>
      <c r="BB3" s="261"/>
      <c r="BC3" s="261"/>
      <c r="BD3" s="262"/>
      <c r="BE3" s="263" t="s">
        <v>48</v>
      </c>
      <c r="BF3" s="261"/>
      <c r="BG3" s="261"/>
      <c r="BH3" s="261"/>
      <c r="BI3" s="262"/>
      <c r="BJ3" s="263" t="s">
        <v>49</v>
      </c>
      <c r="BK3" s="261"/>
      <c r="BL3" s="261"/>
      <c r="BM3" s="261"/>
      <c r="BN3" s="264"/>
      <c r="BO3" s="260" t="s">
        <v>50</v>
      </c>
      <c r="BP3" s="261"/>
      <c r="BQ3" s="261"/>
      <c r="BR3" s="261"/>
      <c r="BS3" s="262"/>
      <c r="BT3" s="263" t="s">
        <v>51</v>
      </c>
      <c r="BU3" s="261"/>
      <c r="BV3" s="261"/>
      <c r="BW3" s="261"/>
      <c r="BX3" s="262"/>
      <c r="BY3" s="263" t="s">
        <v>52</v>
      </c>
      <c r="BZ3" s="261"/>
      <c r="CA3" s="261"/>
      <c r="CB3" s="261"/>
      <c r="CC3" s="262"/>
      <c r="CD3" s="263" t="s">
        <v>53</v>
      </c>
      <c r="CE3" s="261"/>
      <c r="CF3" s="261"/>
      <c r="CG3" s="261"/>
      <c r="CH3" s="264"/>
      <c r="CI3" s="257" t="s">
        <v>54</v>
      </c>
      <c r="CJ3" s="258"/>
      <c r="CK3" s="258"/>
      <c r="CL3" s="258"/>
      <c r="CM3" s="259"/>
      <c r="CN3" s="265" t="s">
        <v>55</v>
      </c>
      <c r="CO3" s="266"/>
      <c r="CP3" s="266"/>
      <c r="CQ3" s="266"/>
      <c r="CR3" s="267"/>
      <c r="CS3" s="265" t="s">
        <v>56</v>
      </c>
      <c r="CT3" s="266"/>
      <c r="CU3" s="266"/>
      <c r="CV3" s="266"/>
      <c r="CW3" s="267"/>
      <c r="CX3" s="265" t="s">
        <v>57</v>
      </c>
      <c r="CY3" s="266"/>
      <c r="CZ3" s="266"/>
      <c r="DA3" s="266"/>
      <c r="DB3" s="268"/>
      <c r="DC3" s="257" t="s">
        <v>59</v>
      </c>
      <c r="DD3" s="258"/>
      <c r="DE3" s="258"/>
      <c r="DF3" s="258"/>
      <c r="DG3" s="259"/>
      <c r="DH3" s="265" t="s">
        <v>60</v>
      </c>
      <c r="DI3" s="266"/>
      <c r="DJ3" s="266"/>
      <c r="DK3" s="266"/>
      <c r="DL3" s="267"/>
    </row>
    <row r="4" spans="2:116" x14ac:dyDescent="0.45">
      <c r="B4" s="30" t="s">
        <v>36</v>
      </c>
      <c r="C4" s="31" t="s">
        <v>37</v>
      </c>
      <c r="D4" s="32" t="s">
        <v>38</v>
      </c>
      <c r="E4" s="31" t="s">
        <v>39</v>
      </c>
      <c r="F4" s="33" t="s">
        <v>40</v>
      </c>
      <c r="G4" s="30" t="s">
        <v>36</v>
      </c>
      <c r="H4" s="31" t="s">
        <v>37</v>
      </c>
      <c r="I4" s="32" t="s">
        <v>38</v>
      </c>
      <c r="J4" s="31" t="s">
        <v>39</v>
      </c>
      <c r="K4" s="34" t="s">
        <v>40</v>
      </c>
      <c r="L4" s="30" t="s">
        <v>36</v>
      </c>
      <c r="M4" s="31" t="s">
        <v>37</v>
      </c>
      <c r="N4" s="35" t="s">
        <v>38</v>
      </c>
      <c r="O4" s="31" t="s">
        <v>39</v>
      </c>
      <c r="P4" s="34" t="s">
        <v>40</v>
      </c>
      <c r="Q4" s="30" t="s">
        <v>36</v>
      </c>
      <c r="R4" s="31" t="s">
        <v>37</v>
      </c>
      <c r="S4" s="31" t="s">
        <v>38</v>
      </c>
      <c r="T4" s="31" t="s">
        <v>39</v>
      </c>
      <c r="U4" s="34" t="s">
        <v>40</v>
      </c>
      <c r="V4" s="30" t="s">
        <v>36</v>
      </c>
      <c r="W4" s="32" t="s">
        <v>37</v>
      </c>
      <c r="X4" s="32" t="s">
        <v>38</v>
      </c>
      <c r="Y4" s="31" t="s">
        <v>39</v>
      </c>
      <c r="Z4" s="34" t="s">
        <v>40</v>
      </c>
      <c r="AA4" s="30" t="s">
        <v>36</v>
      </c>
      <c r="AB4" s="32" t="s">
        <v>37</v>
      </c>
      <c r="AC4" s="32" t="s">
        <v>38</v>
      </c>
      <c r="AD4" s="31" t="s">
        <v>39</v>
      </c>
      <c r="AE4" s="34" t="s">
        <v>40</v>
      </c>
      <c r="AF4" s="30" t="s">
        <v>36</v>
      </c>
      <c r="AG4" s="32" t="s">
        <v>37</v>
      </c>
      <c r="AH4" s="32" t="s">
        <v>38</v>
      </c>
      <c r="AI4" s="31" t="s">
        <v>39</v>
      </c>
      <c r="AJ4" s="34" t="s">
        <v>40</v>
      </c>
      <c r="AK4" s="30" t="s">
        <v>36</v>
      </c>
      <c r="AL4" s="31" t="s">
        <v>37</v>
      </c>
      <c r="AM4" s="31" t="s">
        <v>38</v>
      </c>
      <c r="AN4" s="31" t="s">
        <v>39</v>
      </c>
      <c r="AO4" s="34" t="s">
        <v>40</v>
      </c>
      <c r="AP4" s="30" t="s">
        <v>36</v>
      </c>
      <c r="AQ4" s="31" t="s">
        <v>37</v>
      </c>
      <c r="AR4" s="32" t="s">
        <v>38</v>
      </c>
      <c r="AS4" s="31" t="s">
        <v>39</v>
      </c>
      <c r="AT4" s="33" t="s">
        <v>40</v>
      </c>
      <c r="AU4" s="30" t="s">
        <v>36</v>
      </c>
      <c r="AV4" s="31" t="s">
        <v>37</v>
      </c>
      <c r="AW4" s="31" t="s">
        <v>38</v>
      </c>
      <c r="AX4" s="31" t="s">
        <v>39</v>
      </c>
      <c r="AY4" s="34" t="s">
        <v>40</v>
      </c>
      <c r="AZ4" s="30" t="s">
        <v>36</v>
      </c>
      <c r="BA4" s="31" t="s">
        <v>37</v>
      </c>
      <c r="BB4" s="31" t="s">
        <v>38</v>
      </c>
      <c r="BC4" s="31" t="s">
        <v>39</v>
      </c>
      <c r="BD4" s="34" t="s">
        <v>40</v>
      </c>
      <c r="BE4" s="30" t="s">
        <v>36</v>
      </c>
      <c r="BF4" s="31" t="s">
        <v>37</v>
      </c>
      <c r="BG4" s="31" t="s">
        <v>38</v>
      </c>
      <c r="BH4" s="31" t="s">
        <v>39</v>
      </c>
      <c r="BI4" s="33" t="s">
        <v>40</v>
      </c>
      <c r="BJ4" s="30" t="s">
        <v>36</v>
      </c>
      <c r="BK4" s="31" t="s">
        <v>37</v>
      </c>
      <c r="BL4" s="32" t="s">
        <v>38</v>
      </c>
      <c r="BM4" s="31" t="s">
        <v>39</v>
      </c>
      <c r="BN4" s="33" t="s">
        <v>40</v>
      </c>
      <c r="BO4" s="30" t="s">
        <v>36</v>
      </c>
      <c r="BP4" s="66" t="s">
        <v>37</v>
      </c>
      <c r="BQ4" s="31" t="s">
        <v>38</v>
      </c>
      <c r="BR4" s="31" t="s">
        <v>39</v>
      </c>
      <c r="BS4" s="34" t="s">
        <v>40</v>
      </c>
      <c r="BT4" s="30" t="s">
        <v>36</v>
      </c>
      <c r="BU4" s="66" t="s">
        <v>37</v>
      </c>
      <c r="BV4" s="31" t="s">
        <v>38</v>
      </c>
      <c r="BW4" s="31" t="s">
        <v>39</v>
      </c>
      <c r="BX4" s="34" t="s">
        <v>40</v>
      </c>
      <c r="BY4" s="30" t="s">
        <v>36</v>
      </c>
      <c r="BZ4" s="66" t="s">
        <v>37</v>
      </c>
      <c r="CA4" s="66" t="s">
        <v>38</v>
      </c>
      <c r="CB4" s="31" t="s">
        <v>39</v>
      </c>
      <c r="CC4" s="34" t="s">
        <v>40</v>
      </c>
      <c r="CD4" s="30" t="s">
        <v>36</v>
      </c>
      <c r="CE4" s="66" t="s">
        <v>37</v>
      </c>
      <c r="CF4" s="66" t="s">
        <v>38</v>
      </c>
      <c r="CG4" s="31" t="s">
        <v>39</v>
      </c>
      <c r="CH4" s="34" t="s">
        <v>40</v>
      </c>
      <c r="CI4" s="70" t="s">
        <v>36</v>
      </c>
      <c r="CJ4" s="71" t="s">
        <v>37</v>
      </c>
      <c r="CK4" s="72" t="s">
        <v>38</v>
      </c>
      <c r="CL4" s="71" t="s">
        <v>39</v>
      </c>
      <c r="CM4" s="73" t="s">
        <v>58</v>
      </c>
      <c r="CN4" s="70" t="s">
        <v>36</v>
      </c>
      <c r="CO4" s="71" t="s">
        <v>37</v>
      </c>
      <c r="CP4" s="71" t="s">
        <v>38</v>
      </c>
      <c r="CQ4" s="72" t="s">
        <v>39</v>
      </c>
      <c r="CR4" s="73" t="s">
        <v>58</v>
      </c>
      <c r="CS4" s="70" t="s">
        <v>36</v>
      </c>
      <c r="CT4" s="74" t="s">
        <v>37</v>
      </c>
      <c r="CU4" s="74" t="s">
        <v>38</v>
      </c>
      <c r="CV4" s="71" t="s">
        <v>39</v>
      </c>
      <c r="CW4" s="73" t="s">
        <v>58</v>
      </c>
      <c r="CX4" s="70" t="s">
        <v>36</v>
      </c>
      <c r="CY4" s="71" t="s">
        <v>37</v>
      </c>
      <c r="CZ4" s="72" t="s">
        <v>38</v>
      </c>
      <c r="DA4" s="71" t="s">
        <v>39</v>
      </c>
      <c r="DB4" s="73" t="s">
        <v>58</v>
      </c>
      <c r="DC4" s="70" t="s">
        <v>36</v>
      </c>
      <c r="DD4" s="74" t="s">
        <v>37</v>
      </c>
      <c r="DE4" s="71" t="s">
        <v>38</v>
      </c>
      <c r="DF4" s="71" t="s">
        <v>39</v>
      </c>
      <c r="DG4" s="73" t="s">
        <v>58</v>
      </c>
      <c r="DH4" s="70" t="s">
        <v>36</v>
      </c>
      <c r="DI4" s="71" t="s">
        <v>37</v>
      </c>
      <c r="DJ4" s="71" t="s">
        <v>38</v>
      </c>
      <c r="DK4" s="71" t="s">
        <v>39</v>
      </c>
      <c r="DL4" s="73" t="s">
        <v>58</v>
      </c>
    </row>
    <row r="5" spans="2:116" ht="17.5" thickBot="1" x14ac:dyDescent="0.5">
      <c r="B5" s="36">
        <v>66</v>
      </c>
      <c r="C5" s="37">
        <v>1706</v>
      </c>
      <c r="D5" s="38">
        <v>3289</v>
      </c>
      <c r="E5" s="37">
        <v>5003</v>
      </c>
      <c r="F5" s="39">
        <v>5003</v>
      </c>
      <c r="G5" s="36">
        <v>74</v>
      </c>
      <c r="H5" s="40">
        <v>85</v>
      </c>
      <c r="I5" s="41">
        <v>227</v>
      </c>
      <c r="J5" s="41">
        <v>312</v>
      </c>
      <c r="K5" s="42">
        <v>312</v>
      </c>
      <c r="L5" s="36">
        <v>70</v>
      </c>
      <c r="M5" s="40">
        <v>601</v>
      </c>
      <c r="N5" s="41">
        <v>438</v>
      </c>
      <c r="O5" s="38">
        <v>1042</v>
      </c>
      <c r="P5" s="43">
        <v>1042</v>
      </c>
      <c r="Q5" s="36">
        <v>68</v>
      </c>
      <c r="R5" s="40">
        <v>641</v>
      </c>
      <c r="S5" s="40">
        <v>505</v>
      </c>
      <c r="T5" s="37">
        <v>1147</v>
      </c>
      <c r="U5" s="43">
        <v>1147</v>
      </c>
      <c r="V5" s="36">
        <v>69</v>
      </c>
      <c r="W5" s="41">
        <v>578</v>
      </c>
      <c r="X5" s="41">
        <v>365</v>
      </c>
      <c r="Y5" s="41">
        <v>945</v>
      </c>
      <c r="Z5" s="42">
        <v>945</v>
      </c>
      <c r="AA5" s="36">
        <v>72</v>
      </c>
      <c r="AB5" s="41">
        <v>202</v>
      </c>
      <c r="AC5" s="62">
        <v>79</v>
      </c>
      <c r="AD5" s="41">
        <v>281</v>
      </c>
      <c r="AE5" s="42">
        <v>281</v>
      </c>
      <c r="AF5" s="36">
        <v>74</v>
      </c>
      <c r="AG5" s="41">
        <v>148</v>
      </c>
      <c r="AH5" s="62">
        <v>34</v>
      </c>
      <c r="AI5" s="41">
        <v>182</v>
      </c>
      <c r="AJ5" s="42">
        <v>182</v>
      </c>
      <c r="AK5" s="36">
        <v>71</v>
      </c>
      <c r="AL5" s="40">
        <v>175</v>
      </c>
      <c r="AM5" s="40">
        <v>139</v>
      </c>
      <c r="AN5" s="40">
        <v>315</v>
      </c>
      <c r="AO5" s="42">
        <v>315</v>
      </c>
      <c r="AP5" s="36">
        <v>67</v>
      </c>
      <c r="AQ5" s="37">
        <v>1353</v>
      </c>
      <c r="AR5" s="38">
        <v>1620</v>
      </c>
      <c r="AS5" s="37">
        <v>2977</v>
      </c>
      <c r="AT5" s="39">
        <v>2977</v>
      </c>
      <c r="AU5" s="36">
        <v>67</v>
      </c>
      <c r="AV5" s="37">
        <v>1208</v>
      </c>
      <c r="AW5" s="40">
        <v>154</v>
      </c>
      <c r="AX5" s="37">
        <v>1364</v>
      </c>
      <c r="AY5" s="43">
        <v>1364</v>
      </c>
      <c r="AZ5" s="36">
        <v>75</v>
      </c>
      <c r="BA5" s="40">
        <v>483</v>
      </c>
      <c r="BB5" s="40">
        <v>174</v>
      </c>
      <c r="BC5" s="40">
        <v>658</v>
      </c>
      <c r="BD5" s="42">
        <v>658</v>
      </c>
      <c r="BE5" s="36">
        <v>68</v>
      </c>
      <c r="BF5" s="37">
        <v>1666</v>
      </c>
      <c r="BG5" s="37">
        <v>1118</v>
      </c>
      <c r="BH5" s="37">
        <v>2788</v>
      </c>
      <c r="BI5" s="39">
        <v>2788</v>
      </c>
      <c r="BJ5" s="36">
        <v>70</v>
      </c>
      <c r="BK5" s="37">
        <v>1828</v>
      </c>
      <c r="BL5" s="41">
        <v>643</v>
      </c>
      <c r="BM5" s="37">
        <v>2474</v>
      </c>
      <c r="BN5" s="39">
        <v>2474</v>
      </c>
      <c r="BO5" s="36">
        <v>80</v>
      </c>
      <c r="BP5" s="40">
        <v>14</v>
      </c>
      <c r="BQ5" s="40">
        <v>1</v>
      </c>
      <c r="BR5" s="40">
        <v>15</v>
      </c>
      <c r="BS5" s="42">
        <v>15</v>
      </c>
      <c r="BT5" s="36">
        <v>78</v>
      </c>
      <c r="BU5" s="40">
        <v>30</v>
      </c>
      <c r="BV5" s="40">
        <v>1</v>
      </c>
      <c r="BW5" s="40">
        <v>31</v>
      </c>
      <c r="BX5" s="42">
        <v>31</v>
      </c>
      <c r="BY5" s="36">
        <v>75</v>
      </c>
      <c r="BZ5" s="40">
        <v>90</v>
      </c>
      <c r="CA5" s="40">
        <v>49</v>
      </c>
      <c r="CB5" s="40">
        <v>139</v>
      </c>
      <c r="CC5" s="42">
        <v>139</v>
      </c>
      <c r="CD5" s="36">
        <v>85</v>
      </c>
      <c r="CE5" s="40">
        <v>2</v>
      </c>
      <c r="CF5" s="40">
        <v>0</v>
      </c>
      <c r="CG5" s="40">
        <v>2</v>
      </c>
      <c r="CH5" s="42">
        <v>2</v>
      </c>
      <c r="CI5" s="75">
        <v>76</v>
      </c>
      <c r="CJ5" s="76">
        <v>6</v>
      </c>
      <c r="CK5" s="76">
        <v>1</v>
      </c>
      <c r="CL5" s="76">
        <v>7</v>
      </c>
      <c r="CM5" s="77">
        <v>7</v>
      </c>
      <c r="CN5" s="75">
        <v>89</v>
      </c>
      <c r="CO5" s="76">
        <v>0</v>
      </c>
      <c r="CP5" s="76">
        <v>1</v>
      </c>
      <c r="CQ5" s="78">
        <v>1</v>
      </c>
      <c r="CR5" s="77">
        <v>1</v>
      </c>
      <c r="CS5" s="75">
        <v>70</v>
      </c>
      <c r="CT5" s="79">
        <v>23</v>
      </c>
      <c r="CU5" s="76">
        <v>5</v>
      </c>
      <c r="CV5" s="76">
        <v>28</v>
      </c>
      <c r="CW5" s="77">
        <v>28</v>
      </c>
      <c r="CX5" s="75">
        <v>91</v>
      </c>
      <c r="CY5" s="76">
        <v>3</v>
      </c>
      <c r="CZ5" s="76">
        <v>3</v>
      </c>
      <c r="DA5" s="76">
        <v>6</v>
      </c>
      <c r="DB5" s="77">
        <v>6</v>
      </c>
      <c r="DC5" s="75">
        <v>88</v>
      </c>
      <c r="DD5" s="79">
        <v>0</v>
      </c>
      <c r="DE5" s="76">
        <v>1</v>
      </c>
      <c r="DF5" s="76">
        <v>1</v>
      </c>
      <c r="DG5" s="77">
        <v>1</v>
      </c>
      <c r="DH5" s="75">
        <v>99</v>
      </c>
      <c r="DI5" s="76">
        <v>1</v>
      </c>
      <c r="DJ5" s="76">
        <v>1</v>
      </c>
      <c r="DK5" s="76">
        <v>2</v>
      </c>
      <c r="DL5" s="77">
        <v>2</v>
      </c>
    </row>
    <row r="6" spans="2:116" ht="17.5" thickBot="1" x14ac:dyDescent="0.5">
      <c r="B6" s="44">
        <v>64</v>
      </c>
      <c r="C6" s="45">
        <v>2395</v>
      </c>
      <c r="D6" s="46">
        <v>4994</v>
      </c>
      <c r="E6" s="45">
        <v>7397</v>
      </c>
      <c r="F6" s="47">
        <v>12400</v>
      </c>
      <c r="G6" s="44">
        <v>72</v>
      </c>
      <c r="H6" s="48">
        <v>37</v>
      </c>
      <c r="I6" s="49">
        <v>109</v>
      </c>
      <c r="J6" s="49">
        <v>146</v>
      </c>
      <c r="K6" s="50">
        <v>458</v>
      </c>
      <c r="L6" s="44">
        <v>68</v>
      </c>
      <c r="M6" s="48">
        <v>159</v>
      </c>
      <c r="N6" s="49">
        <v>149</v>
      </c>
      <c r="O6" s="49">
        <v>309</v>
      </c>
      <c r="P6" s="51">
        <v>1351</v>
      </c>
      <c r="Q6" s="44">
        <v>66</v>
      </c>
      <c r="R6" s="48">
        <v>605</v>
      </c>
      <c r="S6" s="48">
        <v>598</v>
      </c>
      <c r="T6" s="45">
        <v>1206</v>
      </c>
      <c r="U6" s="51">
        <v>2353</v>
      </c>
      <c r="V6" s="44">
        <v>67</v>
      </c>
      <c r="W6" s="49">
        <v>494</v>
      </c>
      <c r="X6" s="49">
        <v>328</v>
      </c>
      <c r="Y6" s="49">
        <v>822</v>
      </c>
      <c r="Z6" s="51">
        <v>1767</v>
      </c>
      <c r="AA6" s="44">
        <v>71</v>
      </c>
      <c r="AB6" s="49">
        <v>222</v>
      </c>
      <c r="AC6" s="49">
        <v>127</v>
      </c>
      <c r="AD6" s="49">
        <v>351</v>
      </c>
      <c r="AE6" s="50">
        <v>632</v>
      </c>
      <c r="AF6" s="44">
        <v>72</v>
      </c>
      <c r="AG6" s="49">
        <v>121</v>
      </c>
      <c r="AH6" s="63">
        <v>38</v>
      </c>
      <c r="AI6" s="49">
        <v>159</v>
      </c>
      <c r="AJ6" s="50">
        <v>341</v>
      </c>
      <c r="AK6" s="44">
        <v>69</v>
      </c>
      <c r="AL6" s="48">
        <v>196</v>
      </c>
      <c r="AM6" s="48">
        <v>221</v>
      </c>
      <c r="AN6" s="48">
        <v>418</v>
      </c>
      <c r="AO6" s="50">
        <v>733</v>
      </c>
      <c r="AP6" s="44">
        <v>65</v>
      </c>
      <c r="AQ6" s="45">
        <v>1819</v>
      </c>
      <c r="AR6" s="46">
        <v>2701</v>
      </c>
      <c r="AS6" s="45">
        <v>4531</v>
      </c>
      <c r="AT6" s="47">
        <v>7508</v>
      </c>
      <c r="AU6" s="44">
        <v>66</v>
      </c>
      <c r="AV6" s="45">
        <v>1571</v>
      </c>
      <c r="AW6" s="48">
        <v>252</v>
      </c>
      <c r="AX6" s="45">
        <v>1827</v>
      </c>
      <c r="AY6" s="51">
        <v>3191</v>
      </c>
      <c r="AZ6" s="44">
        <v>73</v>
      </c>
      <c r="BA6" s="48">
        <v>99</v>
      </c>
      <c r="BB6" s="48">
        <v>25</v>
      </c>
      <c r="BC6" s="48">
        <v>124</v>
      </c>
      <c r="BD6" s="50">
        <v>782</v>
      </c>
      <c r="BE6" s="44">
        <v>67</v>
      </c>
      <c r="BF6" s="48">
        <v>605</v>
      </c>
      <c r="BG6" s="48">
        <v>434</v>
      </c>
      <c r="BH6" s="45">
        <v>1042</v>
      </c>
      <c r="BI6" s="47">
        <v>3830</v>
      </c>
      <c r="BJ6" s="44">
        <v>68</v>
      </c>
      <c r="BK6" s="45">
        <v>1373</v>
      </c>
      <c r="BL6" s="49">
        <v>565</v>
      </c>
      <c r="BM6" s="45">
        <v>1944</v>
      </c>
      <c r="BN6" s="47">
        <v>4418</v>
      </c>
      <c r="BO6" s="44">
        <v>78</v>
      </c>
      <c r="BP6" s="48">
        <v>24</v>
      </c>
      <c r="BQ6" s="48">
        <v>0</v>
      </c>
      <c r="BR6" s="48">
        <v>24</v>
      </c>
      <c r="BS6" s="50">
        <v>39</v>
      </c>
      <c r="BT6" s="44">
        <v>76</v>
      </c>
      <c r="BU6" s="48">
        <v>14</v>
      </c>
      <c r="BV6" s="48">
        <v>2</v>
      </c>
      <c r="BW6" s="48">
        <v>16</v>
      </c>
      <c r="BX6" s="50">
        <v>47</v>
      </c>
      <c r="BY6" s="44">
        <v>74</v>
      </c>
      <c r="BZ6" s="48">
        <v>45</v>
      </c>
      <c r="CA6" s="48">
        <v>33</v>
      </c>
      <c r="CB6" s="48">
        <v>78</v>
      </c>
      <c r="CC6" s="50">
        <v>217</v>
      </c>
      <c r="CD6" s="44">
        <v>83</v>
      </c>
      <c r="CE6" s="48">
        <v>4</v>
      </c>
      <c r="CF6" s="48">
        <v>2</v>
      </c>
      <c r="CG6" s="48">
        <v>6</v>
      </c>
      <c r="CH6" s="50">
        <v>8</v>
      </c>
      <c r="CI6" s="80">
        <v>74</v>
      </c>
      <c r="CJ6" s="81">
        <v>2</v>
      </c>
      <c r="CK6" s="81">
        <v>3</v>
      </c>
      <c r="CL6" s="81">
        <v>5</v>
      </c>
      <c r="CM6" s="82">
        <v>12</v>
      </c>
      <c r="CN6" s="80">
        <v>82</v>
      </c>
      <c r="CO6" s="81">
        <v>1</v>
      </c>
      <c r="CP6" s="81">
        <v>2</v>
      </c>
      <c r="CQ6" s="83">
        <v>3</v>
      </c>
      <c r="CR6" s="82">
        <v>4</v>
      </c>
      <c r="CS6" s="80">
        <v>69</v>
      </c>
      <c r="CT6" s="84">
        <v>13</v>
      </c>
      <c r="CU6" s="81">
        <v>5</v>
      </c>
      <c r="CV6" s="81">
        <v>18</v>
      </c>
      <c r="CW6" s="82">
        <v>46</v>
      </c>
      <c r="CX6" s="80">
        <v>88</v>
      </c>
      <c r="CY6" s="81">
        <v>4</v>
      </c>
      <c r="CZ6" s="81">
        <v>4</v>
      </c>
      <c r="DA6" s="81">
        <v>8</v>
      </c>
      <c r="DB6" s="82">
        <v>14</v>
      </c>
      <c r="DC6" s="80">
        <v>78</v>
      </c>
      <c r="DD6" s="84">
        <v>2</v>
      </c>
      <c r="DE6" s="81">
        <v>0</v>
      </c>
      <c r="DF6" s="81">
        <v>2</v>
      </c>
      <c r="DG6" s="82">
        <v>3</v>
      </c>
      <c r="DH6" s="80">
        <v>96</v>
      </c>
      <c r="DI6" s="81">
        <v>0</v>
      </c>
      <c r="DJ6" s="81">
        <v>2</v>
      </c>
      <c r="DK6" s="81">
        <v>2</v>
      </c>
      <c r="DL6" s="82">
        <v>4</v>
      </c>
    </row>
    <row r="7" spans="2:116" ht="17.5" thickBot="1" x14ac:dyDescent="0.5">
      <c r="B7" s="44">
        <v>63</v>
      </c>
      <c r="C7" s="48">
        <v>503</v>
      </c>
      <c r="D7" s="46">
        <v>1234</v>
      </c>
      <c r="E7" s="45">
        <v>1741</v>
      </c>
      <c r="F7" s="47">
        <v>14141</v>
      </c>
      <c r="G7" s="44">
        <v>71</v>
      </c>
      <c r="H7" s="48">
        <v>191</v>
      </c>
      <c r="I7" s="49">
        <v>437</v>
      </c>
      <c r="J7" s="49">
        <v>628</v>
      </c>
      <c r="K7" s="51">
        <v>1086</v>
      </c>
      <c r="L7" s="44">
        <v>67</v>
      </c>
      <c r="M7" s="48">
        <v>628</v>
      </c>
      <c r="N7" s="49">
        <v>560</v>
      </c>
      <c r="O7" s="46">
        <v>1188</v>
      </c>
      <c r="P7" s="51">
        <v>2539</v>
      </c>
      <c r="Q7" s="44">
        <v>65</v>
      </c>
      <c r="R7" s="48">
        <v>189</v>
      </c>
      <c r="S7" s="48">
        <v>199</v>
      </c>
      <c r="T7" s="48">
        <v>391</v>
      </c>
      <c r="U7" s="51">
        <v>2744</v>
      </c>
      <c r="V7" s="44">
        <v>66</v>
      </c>
      <c r="W7" s="63">
        <v>22</v>
      </c>
      <c r="X7" s="63">
        <v>23</v>
      </c>
      <c r="Y7" s="48">
        <v>46</v>
      </c>
      <c r="Z7" s="51">
        <v>1813</v>
      </c>
      <c r="AA7" s="44">
        <v>70</v>
      </c>
      <c r="AB7" s="63">
        <v>50</v>
      </c>
      <c r="AC7" s="63">
        <v>16</v>
      </c>
      <c r="AD7" s="48">
        <v>66</v>
      </c>
      <c r="AE7" s="50">
        <v>698</v>
      </c>
      <c r="AF7" s="44">
        <v>71</v>
      </c>
      <c r="AG7" s="63">
        <v>10</v>
      </c>
      <c r="AH7" s="63">
        <v>5</v>
      </c>
      <c r="AI7" s="63">
        <v>15</v>
      </c>
      <c r="AJ7" s="50">
        <v>356</v>
      </c>
      <c r="AK7" s="44">
        <v>68</v>
      </c>
      <c r="AL7" s="48">
        <v>241</v>
      </c>
      <c r="AM7" s="48">
        <v>361</v>
      </c>
      <c r="AN7" s="48">
        <v>603</v>
      </c>
      <c r="AO7" s="51">
        <v>1336</v>
      </c>
      <c r="AP7" s="44">
        <v>64</v>
      </c>
      <c r="AQ7" s="48">
        <v>288</v>
      </c>
      <c r="AR7" s="49">
        <v>570</v>
      </c>
      <c r="AS7" s="48">
        <v>863</v>
      </c>
      <c r="AT7" s="47">
        <v>8371</v>
      </c>
      <c r="AU7" s="44">
        <v>65</v>
      </c>
      <c r="AV7" s="48">
        <v>619</v>
      </c>
      <c r="AW7" s="48">
        <v>81</v>
      </c>
      <c r="AX7" s="48">
        <v>703</v>
      </c>
      <c r="AY7" s="51">
        <v>3894</v>
      </c>
      <c r="AZ7" s="44">
        <v>72</v>
      </c>
      <c r="BA7" s="48">
        <v>616</v>
      </c>
      <c r="BB7" s="48">
        <v>243</v>
      </c>
      <c r="BC7" s="48">
        <v>860</v>
      </c>
      <c r="BD7" s="51">
        <v>1642</v>
      </c>
      <c r="BE7" s="44">
        <v>66</v>
      </c>
      <c r="BF7" s="45">
        <v>1773</v>
      </c>
      <c r="BG7" s="45">
        <v>1394</v>
      </c>
      <c r="BH7" s="45">
        <v>3175</v>
      </c>
      <c r="BI7" s="47">
        <v>7005</v>
      </c>
      <c r="BJ7" s="44">
        <v>67</v>
      </c>
      <c r="BK7" s="45">
        <v>1710</v>
      </c>
      <c r="BL7" s="49">
        <v>691</v>
      </c>
      <c r="BM7" s="45">
        <v>2405</v>
      </c>
      <c r="BN7" s="47">
        <v>6823</v>
      </c>
      <c r="BO7" s="44">
        <v>77</v>
      </c>
      <c r="BP7" s="48">
        <v>15</v>
      </c>
      <c r="BQ7" s="48">
        <v>0</v>
      </c>
      <c r="BR7" s="48">
        <v>15</v>
      </c>
      <c r="BS7" s="50">
        <v>54</v>
      </c>
      <c r="BT7" s="44">
        <v>75</v>
      </c>
      <c r="BU7" s="48">
        <v>32</v>
      </c>
      <c r="BV7" s="48">
        <v>3</v>
      </c>
      <c r="BW7" s="48">
        <v>35</v>
      </c>
      <c r="BX7" s="50">
        <v>82</v>
      </c>
      <c r="BY7" s="44">
        <v>73</v>
      </c>
      <c r="BZ7" s="48">
        <v>86</v>
      </c>
      <c r="CA7" s="48">
        <v>24</v>
      </c>
      <c r="CB7" s="48">
        <v>110</v>
      </c>
      <c r="CC7" s="50">
        <v>327</v>
      </c>
      <c r="CD7" s="44">
        <v>82</v>
      </c>
      <c r="CE7" s="48">
        <v>8</v>
      </c>
      <c r="CF7" s="48">
        <v>1</v>
      </c>
      <c r="CG7" s="48">
        <v>9</v>
      </c>
      <c r="CH7" s="50">
        <v>17</v>
      </c>
      <c r="CI7" s="80">
        <v>73</v>
      </c>
      <c r="CJ7" s="81">
        <v>18</v>
      </c>
      <c r="CK7" s="81">
        <v>15</v>
      </c>
      <c r="CL7" s="81">
        <v>33</v>
      </c>
      <c r="CM7" s="82">
        <v>45</v>
      </c>
      <c r="CN7" s="80">
        <v>81</v>
      </c>
      <c r="CO7" s="81">
        <v>1</v>
      </c>
      <c r="CP7" s="81">
        <v>2</v>
      </c>
      <c r="CQ7" s="83">
        <v>3</v>
      </c>
      <c r="CR7" s="82">
        <v>7</v>
      </c>
      <c r="CS7" s="80">
        <v>68</v>
      </c>
      <c r="CT7" s="84">
        <v>22</v>
      </c>
      <c r="CU7" s="81">
        <v>11</v>
      </c>
      <c r="CV7" s="81">
        <v>33</v>
      </c>
      <c r="CW7" s="82">
        <v>79</v>
      </c>
      <c r="CX7" s="80">
        <v>87</v>
      </c>
      <c r="CY7" s="81">
        <v>0</v>
      </c>
      <c r="CZ7" s="81">
        <v>4</v>
      </c>
      <c r="DA7" s="81">
        <v>4</v>
      </c>
      <c r="DB7" s="82">
        <v>18</v>
      </c>
      <c r="DC7" s="80">
        <v>75</v>
      </c>
      <c r="DD7" s="84">
        <v>1</v>
      </c>
      <c r="DE7" s="81">
        <v>0</v>
      </c>
      <c r="DF7" s="81">
        <v>1</v>
      </c>
      <c r="DG7" s="82">
        <v>4</v>
      </c>
      <c r="DH7" s="80">
        <v>95</v>
      </c>
      <c r="DI7" s="81">
        <v>1</v>
      </c>
      <c r="DJ7" s="81">
        <v>2</v>
      </c>
      <c r="DK7" s="81">
        <v>3</v>
      </c>
      <c r="DL7" s="82">
        <v>7</v>
      </c>
    </row>
    <row r="8" spans="2:116" ht="17.5" thickBot="1" x14ac:dyDescent="0.5">
      <c r="B8" s="44">
        <v>62</v>
      </c>
      <c r="C8" s="45">
        <v>1315</v>
      </c>
      <c r="D8" s="46">
        <v>3238</v>
      </c>
      <c r="E8" s="45">
        <v>4561</v>
      </c>
      <c r="F8" s="47">
        <v>18702</v>
      </c>
      <c r="G8" s="44">
        <v>70</v>
      </c>
      <c r="H8" s="48">
        <v>130</v>
      </c>
      <c r="I8" s="49">
        <v>323</v>
      </c>
      <c r="J8" s="49">
        <v>453</v>
      </c>
      <c r="K8" s="51">
        <v>1539</v>
      </c>
      <c r="L8" s="44">
        <v>66</v>
      </c>
      <c r="M8" s="48">
        <v>321</v>
      </c>
      <c r="N8" s="49">
        <v>273</v>
      </c>
      <c r="O8" s="49">
        <v>595</v>
      </c>
      <c r="P8" s="51">
        <v>3134</v>
      </c>
      <c r="Q8" s="44">
        <v>64</v>
      </c>
      <c r="R8" s="48">
        <v>302</v>
      </c>
      <c r="S8" s="48">
        <v>308</v>
      </c>
      <c r="T8" s="48">
        <v>611</v>
      </c>
      <c r="U8" s="51">
        <v>3355</v>
      </c>
      <c r="V8" s="44">
        <v>65</v>
      </c>
      <c r="W8" s="49">
        <v>226</v>
      </c>
      <c r="X8" s="49">
        <v>140</v>
      </c>
      <c r="Y8" s="49">
        <v>366</v>
      </c>
      <c r="Z8" s="51">
        <v>2179</v>
      </c>
      <c r="AA8" s="44">
        <v>69</v>
      </c>
      <c r="AB8" s="49">
        <v>197</v>
      </c>
      <c r="AC8" s="63">
        <v>87</v>
      </c>
      <c r="AD8" s="49">
        <v>284</v>
      </c>
      <c r="AE8" s="50">
        <v>982</v>
      </c>
      <c r="AF8" s="44">
        <v>70</v>
      </c>
      <c r="AG8" s="63">
        <v>52</v>
      </c>
      <c r="AH8" s="63">
        <v>15</v>
      </c>
      <c r="AI8" s="63">
        <v>68</v>
      </c>
      <c r="AJ8" s="50">
        <v>424</v>
      </c>
      <c r="AK8" s="44">
        <v>67</v>
      </c>
      <c r="AL8" s="48">
        <v>224</v>
      </c>
      <c r="AM8" s="48">
        <v>383</v>
      </c>
      <c r="AN8" s="48">
        <v>607</v>
      </c>
      <c r="AO8" s="51">
        <v>1943</v>
      </c>
      <c r="AP8" s="44">
        <v>63</v>
      </c>
      <c r="AQ8" s="45">
        <v>1186</v>
      </c>
      <c r="AR8" s="46">
        <v>2425</v>
      </c>
      <c r="AS8" s="45">
        <v>3617</v>
      </c>
      <c r="AT8" s="47">
        <v>11988</v>
      </c>
      <c r="AU8" s="44">
        <v>64</v>
      </c>
      <c r="AV8" s="48">
        <v>752</v>
      </c>
      <c r="AW8" s="48">
        <v>129</v>
      </c>
      <c r="AX8" s="48">
        <v>883</v>
      </c>
      <c r="AY8" s="51">
        <v>4777</v>
      </c>
      <c r="AZ8" s="44">
        <v>71</v>
      </c>
      <c r="BA8" s="48">
        <v>18</v>
      </c>
      <c r="BB8" s="48">
        <v>5</v>
      </c>
      <c r="BC8" s="48">
        <v>23</v>
      </c>
      <c r="BD8" s="51">
        <v>1665</v>
      </c>
      <c r="BE8" s="44">
        <v>65</v>
      </c>
      <c r="BF8" s="48">
        <v>154</v>
      </c>
      <c r="BG8" s="48">
        <v>113</v>
      </c>
      <c r="BH8" s="48">
        <v>267</v>
      </c>
      <c r="BI8" s="47">
        <v>7272</v>
      </c>
      <c r="BJ8" s="44">
        <v>66</v>
      </c>
      <c r="BK8" s="45">
        <v>2730</v>
      </c>
      <c r="BL8" s="46">
        <v>1265</v>
      </c>
      <c r="BM8" s="45">
        <v>4004</v>
      </c>
      <c r="BN8" s="47">
        <v>10827</v>
      </c>
      <c r="BO8" s="44">
        <v>76</v>
      </c>
      <c r="BP8" s="48">
        <v>10</v>
      </c>
      <c r="BQ8" s="48">
        <v>0</v>
      </c>
      <c r="BR8" s="48">
        <v>10</v>
      </c>
      <c r="BS8" s="50">
        <v>64</v>
      </c>
      <c r="BT8" s="44">
        <v>74</v>
      </c>
      <c r="BU8" s="48">
        <v>5</v>
      </c>
      <c r="BV8" s="48">
        <v>2</v>
      </c>
      <c r="BW8" s="48">
        <v>7</v>
      </c>
      <c r="BX8" s="50">
        <v>89</v>
      </c>
      <c r="BY8" s="44">
        <v>72</v>
      </c>
      <c r="BZ8" s="48">
        <v>8</v>
      </c>
      <c r="CA8" s="48">
        <v>12</v>
      </c>
      <c r="CB8" s="48">
        <v>20</v>
      </c>
      <c r="CC8" s="50">
        <v>347</v>
      </c>
      <c r="CD8" s="44">
        <v>80</v>
      </c>
      <c r="CE8" s="48">
        <v>19</v>
      </c>
      <c r="CF8" s="48">
        <v>2</v>
      </c>
      <c r="CG8" s="48">
        <v>21</v>
      </c>
      <c r="CH8" s="50">
        <v>38</v>
      </c>
      <c r="CI8" s="80">
        <v>72</v>
      </c>
      <c r="CJ8" s="81">
        <v>1</v>
      </c>
      <c r="CK8" s="81">
        <v>0</v>
      </c>
      <c r="CL8" s="81">
        <v>1</v>
      </c>
      <c r="CM8" s="82">
        <v>46</v>
      </c>
      <c r="CN8" s="80">
        <v>80</v>
      </c>
      <c r="CO8" s="81">
        <v>2</v>
      </c>
      <c r="CP8" s="81">
        <v>0</v>
      </c>
      <c r="CQ8" s="83">
        <v>2</v>
      </c>
      <c r="CR8" s="82">
        <v>9</v>
      </c>
      <c r="CS8" s="80">
        <v>67</v>
      </c>
      <c r="CT8" s="84">
        <v>3</v>
      </c>
      <c r="CU8" s="81">
        <v>1</v>
      </c>
      <c r="CV8" s="81">
        <v>4</v>
      </c>
      <c r="CW8" s="82">
        <v>83</v>
      </c>
      <c r="CX8" s="80">
        <v>86</v>
      </c>
      <c r="CY8" s="81">
        <v>1</v>
      </c>
      <c r="CZ8" s="81">
        <v>2</v>
      </c>
      <c r="DA8" s="81">
        <v>3</v>
      </c>
      <c r="DB8" s="82">
        <v>21</v>
      </c>
      <c r="DC8" s="80">
        <v>74</v>
      </c>
      <c r="DD8" s="84">
        <v>2</v>
      </c>
      <c r="DE8" s="81">
        <v>0</v>
      </c>
      <c r="DF8" s="81">
        <v>2</v>
      </c>
      <c r="DG8" s="82">
        <v>6</v>
      </c>
      <c r="DH8" s="80">
        <v>94</v>
      </c>
      <c r="DI8" s="81">
        <v>0</v>
      </c>
      <c r="DJ8" s="81">
        <v>2</v>
      </c>
      <c r="DK8" s="81">
        <v>2</v>
      </c>
      <c r="DL8" s="82">
        <v>9</v>
      </c>
    </row>
    <row r="9" spans="2:116" ht="17.5" thickBot="1" x14ac:dyDescent="0.5">
      <c r="B9" s="44">
        <v>61</v>
      </c>
      <c r="C9" s="48">
        <v>796</v>
      </c>
      <c r="D9" s="46">
        <v>1628</v>
      </c>
      <c r="E9" s="45">
        <v>2431</v>
      </c>
      <c r="F9" s="47">
        <v>21133</v>
      </c>
      <c r="G9" s="44">
        <v>69</v>
      </c>
      <c r="H9" s="48">
        <v>143</v>
      </c>
      <c r="I9" s="49">
        <v>340</v>
      </c>
      <c r="J9" s="49">
        <v>484</v>
      </c>
      <c r="K9" s="51">
        <v>2023</v>
      </c>
      <c r="L9" s="44">
        <v>65</v>
      </c>
      <c r="M9" s="48">
        <v>323</v>
      </c>
      <c r="N9" s="49">
        <v>332</v>
      </c>
      <c r="O9" s="49">
        <v>659</v>
      </c>
      <c r="P9" s="51">
        <v>3793</v>
      </c>
      <c r="Q9" s="44">
        <v>63</v>
      </c>
      <c r="R9" s="48">
        <v>370</v>
      </c>
      <c r="S9" s="48">
        <v>425</v>
      </c>
      <c r="T9" s="48">
        <v>796</v>
      </c>
      <c r="U9" s="51">
        <v>4151</v>
      </c>
      <c r="V9" s="44">
        <v>64</v>
      </c>
      <c r="W9" s="49">
        <v>267</v>
      </c>
      <c r="X9" s="49">
        <v>200</v>
      </c>
      <c r="Y9" s="49">
        <v>467</v>
      </c>
      <c r="Z9" s="51">
        <v>2646</v>
      </c>
      <c r="AA9" s="44">
        <v>68</v>
      </c>
      <c r="AB9" s="49">
        <v>228</v>
      </c>
      <c r="AC9" s="49">
        <v>128</v>
      </c>
      <c r="AD9" s="49">
        <v>356</v>
      </c>
      <c r="AE9" s="51">
        <v>1338</v>
      </c>
      <c r="AF9" s="44">
        <v>69</v>
      </c>
      <c r="AG9" s="63">
        <v>48</v>
      </c>
      <c r="AH9" s="63">
        <v>20</v>
      </c>
      <c r="AI9" s="63">
        <v>68</v>
      </c>
      <c r="AJ9" s="50">
        <v>492</v>
      </c>
      <c r="AK9" s="44">
        <v>66</v>
      </c>
      <c r="AL9" s="48">
        <v>82</v>
      </c>
      <c r="AM9" s="48">
        <v>129</v>
      </c>
      <c r="AN9" s="48">
        <v>211</v>
      </c>
      <c r="AO9" s="51">
        <v>2154</v>
      </c>
      <c r="AP9" s="44">
        <v>62</v>
      </c>
      <c r="AQ9" s="45">
        <v>1672</v>
      </c>
      <c r="AR9" s="46">
        <v>3273</v>
      </c>
      <c r="AS9" s="45">
        <v>4955</v>
      </c>
      <c r="AT9" s="47">
        <v>16943</v>
      </c>
      <c r="AU9" s="44">
        <v>63</v>
      </c>
      <c r="AV9" s="45">
        <v>1954</v>
      </c>
      <c r="AW9" s="48">
        <v>394</v>
      </c>
      <c r="AX9" s="45">
        <v>2354</v>
      </c>
      <c r="AY9" s="51">
        <v>7131</v>
      </c>
      <c r="AZ9" s="44">
        <v>70</v>
      </c>
      <c r="BA9" s="48">
        <v>281</v>
      </c>
      <c r="BB9" s="48">
        <v>127</v>
      </c>
      <c r="BC9" s="48">
        <v>408</v>
      </c>
      <c r="BD9" s="51">
        <v>2073</v>
      </c>
      <c r="BE9" s="44">
        <v>64</v>
      </c>
      <c r="BF9" s="45">
        <v>2148</v>
      </c>
      <c r="BG9" s="45">
        <v>1642</v>
      </c>
      <c r="BH9" s="45">
        <v>3796</v>
      </c>
      <c r="BI9" s="47">
        <v>11068</v>
      </c>
      <c r="BJ9" s="44">
        <v>65</v>
      </c>
      <c r="BK9" s="45">
        <v>1163</v>
      </c>
      <c r="BL9" s="49">
        <v>585</v>
      </c>
      <c r="BM9" s="45">
        <v>1752</v>
      </c>
      <c r="BN9" s="47">
        <v>12579</v>
      </c>
      <c r="BO9" s="44">
        <v>75</v>
      </c>
      <c r="BP9" s="48">
        <v>39</v>
      </c>
      <c r="BQ9" s="48">
        <v>2</v>
      </c>
      <c r="BR9" s="48">
        <v>41</v>
      </c>
      <c r="BS9" s="50">
        <v>105</v>
      </c>
      <c r="BT9" s="44">
        <v>73</v>
      </c>
      <c r="BU9" s="48">
        <v>42</v>
      </c>
      <c r="BV9" s="48">
        <v>5</v>
      </c>
      <c r="BW9" s="48">
        <v>47</v>
      </c>
      <c r="BX9" s="50">
        <v>136</v>
      </c>
      <c r="BY9" s="44">
        <v>71</v>
      </c>
      <c r="BZ9" s="48">
        <v>95</v>
      </c>
      <c r="CA9" s="48">
        <v>59</v>
      </c>
      <c r="CB9" s="48">
        <v>154</v>
      </c>
      <c r="CC9" s="50">
        <v>501</v>
      </c>
      <c r="CD9" s="44">
        <v>79</v>
      </c>
      <c r="CE9" s="48">
        <v>20</v>
      </c>
      <c r="CF9" s="48">
        <v>6</v>
      </c>
      <c r="CG9" s="48">
        <v>26</v>
      </c>
      <c r="CH9" s="50">
        <v>64</v>
      </c>
      <c r="CI9" s="80">
        <v>71</v>
      </c>
      <c r="CJ9" s="81">
        <v>14</v>
      </c>
      <c r="CK9" s="81">
        <v>3</v>
      </c>
      <c r="CL9" s="81">
        <v>17</v>
      </c>
      <c r="CM9" s="82">
        <v>63</v>
      </c>
      <c r="CN9" s="80">
        <v>78</v>
      </c>
      <c r="CO9" s="81">
        <v>0</v>
      </c>
      <c r="CP9" s="81">
        <v>4</v>
      </c>
      <c r="CQ9" s="83">
        <v>4</v>
      </c>
      <c r="CR9" s="82">
        <v>13</v>
      </c>
      <c r="CS9" s="80">
        <v>66</v>
      </c>
      <c r="CT9" s="84">
        <v>32</v>
      </c>
      <c r="CU9" s="81">
        <v>12</v>
      </c>
      <c r="CV9" s="81">
        <v>44</v>
      </c>
      <c r="CW9" s="82">
        <v>127</v>
      </c>
      <c r="CX9" s="80">
        <v>85</v>
      </c>
      <c r="CY9" s="81">
        <v>1</v>
      </c>
      <c r="CZ9" s="81">
        <v>4</v>
      </c>
      <c r="DA9" s="81">
        <v>5</v>
      </c>
      <c r="DB9" s="82">
        <v>26</v>
      </c>
      <c r="DC9" s="80">
        <v>67</v>
      </c>
      <c r="DD9" s="84">
        <v>0</v>
      </c>
      <c r="DE9" s="81">
        <v>1</v>
      </c>
      <c r="DF9" s="81">
        <v>1</v>
      </c>
      <c r="DG9" s="82">
        <v>7</v>
      </c>
      <c r="DH9" s="80">
        <v>92</v>
      </c>
      <c r="DI9" s="81">
        <v>0</v>
      </c>
      <c r="DJ9" s="81">
        <v>1</v>
      </c>
      <c r="DK9" s="81">
        <v>1</v>
      </c>
      <c r="DL9" s="82">
        <v>10</v>
      </c>
    </row>
    <row r="10" spans="2:116" ht="17.5" thickBot="1" x14ac:dyDescent="0.5">
      <c r="B10" s="44">
        <v>60</v>
      </c>
      <c r="C10" s="45">
        <v>1053</v>
      </c>
      <c r="D10" s="46">
        <v>2502</v>
      </c>
      <c r="E10" s="45">
        <v>3561</v>
      </c>
      <c r="F10" s="47">
        <v>24694</v>
      </c>
      <c r="G10" s="44">
        <v>68</v>
      </c>
      <c r="H10" s="48">
        <v>73</v>
      </c>
      <c r="I10" s="49">
        <v>150</v>
      </c>
      <c r="J10" s="49">
        <v>223</v>
      </c>
      <c r="K10" s="51">
        <v>2246</v>
      </c>
      <c r="L10" s="44">
        <v>64</v>
      </c>
      <c r="M10" s="48">
        <v>93</v>
      </c>
      <c r="N10" s="48">
        <v>92</v>
      </c>
      <c r="O10" s="49">
        <v>187</v>
      </c>
      <c r="P10" s="51">
        <v>3980</v>
      </c>
      <c r="Q10" s="44">
        <v>62</v>
      </c>
      <c r="R10" s="48">
        <v>203</v>
      </c>
      <c r="S10" s="48">
        <v>189</v>
      </c>
      <c r="T10" s="48">
        <v>393</v>
      </c>
      <c r="U10" s="51">
        <v>4544</v>
      </c>
      <c r="V10" s="44">
        <v>63</v>
      </c>
      <c r="W10" s="49">
        <v>230</v>
      </c>
      <c r="X10" s="49">
        <v>136</v>
      </c>
      <c r="Y10" s="49">
        <v>366</v>
      </c>
      <c r="Z10" s="51">
        <v>3012</v>
      </c>
      <c r="AA10" s="44">
        <v>67</v>
      </c>
      <c r="AB10" s="49">
        <v>161</v>
      </c>
      <c r="AC10" s="63">
        <v>74</v>
      </c>
      <c r="AD10" s="49">
        <v>235</v>
      </c>
      <c r="AE10" s="51">
        <v>1573</v>
      </c>
      <c r="AF10" s="44">
        <v>68</v>
      </c>
      <c r="AG10" s="63">
        <v>76</v>
      </c>
      <c r="AH10" s="63">
        <v>22</v>
      </c>
      <c r="AI10" s="63">
        <v>98</v>
      </c>
      <c r="AJ10" s="50">
        <v>590</v>
      </c>
      <c r="AK10" s="44">
        <v>65</v>
      </c>
      <c r="AL10" s="48">
        <v>384</v>
      </c>
      <c r="AM10" s="48">
        <v>472</v>
      </c>
      <c r="AN10" s="48">
        <v>859</v>
      </c>
      <c r="AO10" s="51">
        <v>3013</v>
      </c>
      <c r="AP10" s="44">
        <v>61</v>
      </c>
      <c r="AQ10" s="45">
        <v>1306</v>
      </c>
      <c r="AR10" s="46">
        <v>2645</v>
      </c>
      <c r="AS10" s="45">
        <v>3955</v>
      </c>
      <c r="AT10" s="47">
        <v>20898</v>
      </c>
      <c r="AU10" s="44">
        <v>62</v>
      </c>
      <c r="AV10" s="45">
        <v>1257</v>
      </c>
      <c r="AW10" s="48">
        <v>241</v>
      </c>
      <c r="AX10" s="45">
        <v>1502</v>
      </c>
      <c r="AY10" s="51">
        <v>8633</v>
      </c>
      <c r="AZ10" s="44">
        <v>69</v>
      </c>
      <c r="BA10" s="48">
        <v>695</v>
      </c>
      <c r="BB10" s="48">
        <v>356</v>
      </c>
      <c r="BC10" s="45">
        <v>1055</v>
      </c>
      <c r="BD10" s="51">
        <v>3128</v>
      </c>
      <c r="BE10" s="44">
        <v>63</v>
      </c>
      <c r="BF10" s="45">
        <v>2042</v>
      </c>
      <c r="BG10" s="45">
        <v>1728</v>
      </c>
      <c r="BH10" s="45">
        <v>3779</v>
      </c>
      <c r="BI10" s="47">
        <v>14847</v>
      </c>
      <c r="BJ10" s="44">
        <v>64</v>
      </c>
      <c r="BK10" s="45">
        <v>1312</v>
      </c>
      <c r="BL10" s="49">
        <v>695</v>
      </c>
      <c r="BM10" s="45">
        <v>2010</v>
      </c>
      <c r="BN10" s="47">
        <v>14589</v>
      </c>
      <c r="BO10" s="44">
        <v>74</v>
      </c>
      <c r="BP10" s="48">
        <v>16</v>
      </c>
      <c r="BQ10" s="48">
        <v>0</v>
      </c>
      <c r="BR10" s="48">
        <v>16</v>
      </c>
      <c r="BS10" s="50">
        <v>121</v>
      </c>
      <c r="BT10" s="44">
        <v>72</v>
      </c>
      <c r="BU10" s="48">
        <v>39</v>
      </c>
      <c r="BV10" s="48">
        <v>6</v>
      </c>
      <c r="BW10" s="48">
        <v>45</v>
      </c>
      <c r="BX10" s="50">
        <v>181</v>
      </c>
      <c r="BY10" s="44">
        <v>70</v>
      </c>
      <c r="BZ10" s="48">
        <v>97</v>
      </c>
      <c r="CA10" s="48">
        <v>54</v>
      </c>
      <c r="CB10" s="48">
        <v>152</v>
      </c>
      <c r="CC10" s="50">
        <v>653</v>
      </c>
      <c r="CD10" s="44">
        <v>78</v>
      </c>
      <c r="CE10" s="48">
        <v>12</v>
      </c>
      <c r="CF10" s="48">
        <v>1</v>
      </c>
      <c r="CG10" s="48">
        <v>13</v>
      </c>
      <c r="CH10" s="50">
        <v>77</v>
      </c>
      <c r="CI10" s="80">
        <v>70</v>
      </c>
      <c r="CJ10" s="81">
        <v>28</v>
      </c>
      <c r="CK10" s="81">
        <v>33</v>
      </c>
      <c r="CL10" s="81">
        <v>61</v>
      </c>
      <c r="CM10" s="82">
        <v>124</v>
      </c>
      <c r="CN10" s="80">
        <v>77</v>
      </c>
      <c r="CO10" s="81">
        <v>3</v>
      </c>
      <c r="CP10" s="81">
        <v>1</v>
      </c>
      <c r="CQ10" s="83">
        <v>4</v>
      </c>
      <c r="CR10" s="82">
        <v>17</v>
      </c>
      <c r="CS10" s="80">
        <v>65</v>
      </c>
      <c r="CT10" s="84">
        <v>15</v>
      </c>
      <c r="CU10" s="81">
        <v>4</v>
      </c>
      <c r="CV10" s="81">
        <v>19</v>
      </c>
      <c r="CW10" s="82">
        <v>146</v>
      </c>
      <c r="CX10" s="80">
        <v>84</v>
      </c>
      <c r="CY10" s="81">
        <v>2</v>
      </c>
      <c r="CZ10" s="81">
        <v>3</v>
      </c>
      <c r="DA10" s="81">
        <v>5</v>
      </c>
      <c r="DB10" s="82">
        <v>31</v>
      </c>
      <c r="DC10" s="80">
        <v>66</v>
      </c>
      <c r="DD10" s="84">
        <v>4</v>
      </c>
      <c r="DE10" s="81">
        <v>0</v>
      </c>
      <c r="DF10" s="81">
        <v>4</v>
      </c>
      <c r="DG10" s="82">
        <v>11</v>
      </c>
      <c r="DH10" s="80">
        <v>90</v>
      </c>
      <c r="DI10" s="81">
        <v>0</v>
      </c>
      <c r="DJ10" s="81">
        <v>2</v>
      </c>
      <c r="DK10" s="81">
        <v>2</v>
      </c>
      <c r="DL10" s="82">
        <v>12</v>
      </c>
    </row>
    <row r="11" spans="2:116" ht="17.5" thickBot="1" x14ac:dyDescent="0.5">
      <c r="B11" s="44">
        <v>59</v>
      </c>
      <c r="C11" s="45">
        <v>1127</v>
      </c>
      <c r="D11" s="46">
        <v>2451</v>
      </c>
      <c r="E11" s="45">
        <v>3585</v>
      </c>
      <c r="F11" s="47">
        <v>28279</v>
      </c>
      <c r="G11" s="44">
        <v>67</v>
      </c>
      <c r="H11" s="48">
        <v>131</v>
      </c>
      <c r="I11" s="49">
        <v>390</v>
      </c>
      <c r="J11" s="49">
        <v>523</v>
      </c>
      <c r="K11" s="51">
        <v>2769</v>
      </c>
      <c r="L11" s="44">
        <v>63</v>
      </c>
      <c r="M11" s="48">
        <v>318</v>
      </c>
      <c r="N11" s="49">
        <v>324</v>
      </c>
      <c r="O11" s="49">
        <v>645</v>
      </c>
      <c r="P11" s="51">
        <v>4625</v>
      </c>
      <c r="Q11" s="44">
        <v>61</v>
      </c>
      <c r="R11" s="48">
        <v>196</v>
      </c>
      <c r="S11" s="48">
        <v>172</v>
      </c>
      <c r="T11" s="48">
        <v>368</v>
      </c>
      <c r="U11" s="51">
        <v>4912</v>
      </c>
      <c r="V11" s="44">
        <v>62</v>
      </c>
      <c r="W11" s="49">
        <v>117</v>
      </c>
      <c r="X11" s="63">
        <v>98</v>
      </c>
      <c r="Y11" s="49">
        <v>215</v>
      </c>
      <c r="Z11" s="51">
        <v>3227</v>
      </c>
      <c r="AA11" s="44">
        <v>66</v>
      </c>
      <c r="AB11" s="63">
        <v>87</v>
      </c>
      <c r="AC11" s="63">
        <v>37</v>
      </c>
      <c r="AD11" s="49">
        <v>124</v>
      </c>
      <c r="AE11" s="51">
        <v>1697</v>
      </c>
      <c r="AF11" s="44">
        <v>67</v>
      </c>
      <c r="AG11" s="63">
        <v>25</v>
      </c>
      <c r="AH11" s="63">
        <v>13</v>
      </c>
      <c r="AI11" s="63">
        <v>38</v>
      </c>
      <c r="AJ11" s="50">
        <v>628</v>
      </c>
      <c r="AK11" s="44">
        <v>64</v>
      </c>
      <c r="AL11" s="48">
        <v>120</v>
      </c>
      <c r="AM11" s="48">
        <v>183</v>
      </c>
      <c r="AN11" s="48">
        <v>304</v>
      </c>
      <c r="AO11" s="51">
        <v>3317</v>
      </c>
      <c r="AP11" s="44">
        <v>60</v>
      </c>
      <c r="AQ11" s="48">
        <v>762</v>
      </c>
      <c r="AR11" s="46">
        <v>1552</v>
      </c>
      <c r="AS11" s="45">
        <v>2318</v>
      </c>
      <c r="AT11" s="47">
        <v>23216</v>
      </c>
      <c r="AU11" s="44">
        <v>61</v>
      </c>
      <c r="AV11" s="45">
        <v>1909</v>
      </c>
      <c r="AW11" s="48">
        <v>403</v>
      </c>
      <c r="AX11" s="45">
        <v>2319</v>
      </c>
      <c r="AY11" s="51">
        <v>10952</v>
      </c>
      <c r="AZ11" s="44">
        <v>68</v>
      </c>
      <c r="BA11" s="48">
        <v>625</v>
      </c>
      <c r="BB11" s="48">
        <v>320</v>
      </c>
      <c r="BC11" s="48">
        <v>945</v>
      </c>
      <c r="BD11" s="51">
        <v>4073</v>
      </c>
      <c r="BE11" s="44">
        <v>62</v>
      </c>
      <c r="BF11" s="45">
        <v>2410</v>
      </c>
      <c r="BG11" s="45">
        <v>2244</v>
      </c>
      <c r="BH11" s="45">
        <v>4667</v>
      </c>
      <c r="BI11" s="47">
        <v>19514</v>
      </c>
      <c r="BJ11" s="44">
        <v>63</v>
      </c>
      <c r="BK11" s="45">
        <v>2006</v>
      </c>
      <c r="BL11" s="46">
        <v>1027</v>
      </c>
      <c r="BM11" s="45">
        <v>3039</v>
      </c>
      <c r="BN11" s="47">
        <v>17628</v>
      </c>
      <c r="BO11" s="44">
        <v>73</v>
      </c>
      <c r="BP11" s="48">
        <v>87</v>
      </c>
      <c r="BQ11" s="48">
        <v>4</v>
      </c>
      <c r="BR11" s="48">
        <v>91</v>
      </c>
      <c r="BS11" s="50">
        <v>212</v>
      </c>
      <c r="BT11" s="44">
        <v>71</v>
      </c>
      <c r="BU11" s="48">
        <v>39</v>
      </c>
      <c r="BV11" s="48">
        <v>9</v>
      </c>
      <c r="BW11" s="48">
        <v>48</v>
      </c>
      <c r="BX11" s="50">
        <v>229</v>
      </c>
      <c r="BY11" s="44">
        <v>69</v>
      </c>
      <c r="BZ11" s="48">
        <v>81</v>
      </c>
      <c r="CA11" s="48">
        <v>56</v>
      </c>
      <c r="CB11" s="48">
        <v>137</v>
      </c>
      <c r="CC11" s="50">
        <v>790</v>
      </c>
      <c r="CD11" s="44">
        <v>77</v>
      </c>
      <c r="CE11" s="48">
        <v>39</v>
      </c>
      <c r="CF11" s="48">
        <v>7</v>
      </c>
      <c r="CG11" s="48">
        <v>46</v>
      </c>
      <c r="CH11" s="50">
        <v>123</v>
      </c>
      <c r="CI11" s="80">
        <v>69</v>
      </c>
      <c r="CJ11" s="81">
        <v>1</v>
      </c>
      <c r="CK11" s="81">
        <v>1</v>
      </c>
      <c r="CL11" s="81">
        <v>2</v>
      </c>
      <c r="CM11" s="82">
        <v>126</v>
      </c>
      <c r="CN11" s="80">
        <v>76</v>
      </c>
      <c r="CO11" s="81">
        <v>2</v>
      </c>
      <c r="CP11" s="81">
        <v>1</v>
      </c>
      <c r="CQ11" s="83">
        <v>3</v>
      </c>
      <c r="CR11" s="82">
        <v>20</v>
      </c>
      <c r="CS11" s="80">
        <v>64</v>
      </c>
      <c r="CT11" s="84">
        <v>23</v>
      </c>
      <c r="CU11" s="81">
        <v>1</v>
      </c>
      <c r="CV11" s="81">
        <v>24</v>
      </c>
      <c r="CW11" s="82">
        <v>170</v>
      </c>
      <c r="CX11" s="80">
        <v>82</v>
      </c>
      <c r="CY11" s="81">
        <v>0</v>
      </c>
      <c r="CZ11" s="81">
        <v>3</v>
      </c>
      <c r="DA11" s="81">
        <v>3</v>
      </c>
      <c r="DB11" s="82">
        <v>34</v>
      </c>
      <c r="DC11" s="80">
        <v>64</v>
      </c>
      <c r="DD11" s="84">
        <v>1</v>
      </c>
      <c r="DE11" s="81">
        <v>1</v>
      </c>
      <c r="DF11" s="81">
        <v>2</v>
      </c>
      <c r="DG11" s="82">
        <v>13</v>
      </c>
      <c r="DH11" s="80">
        <v>88</v>
      </c>
      <c r="DI11" s="81">
        <v>2</v>
      </c>
      <c r="DJ11" s="81">
        <v>1</v>
      </c>
      <c r="DK11" s="81">
        <v>3</v>
      </c>
      <c r="DL11" s="82">
        <v>15</v>
      </c>
    </row>
    <row r="12" spans="2:116" ht="17.5" thickBot="1" x14ac:dyDescent="0.5">
      <c r="B12" s="44">
        <v>58</v>
      </c>
      <c r="C12" s="45">
        <v>2115</v>
      </c>
      <c r="D12" s="46">
        <v>4966</v>
      </c>
      <c r="E12" s="45">
        <v>7099</v>
      </c>
      <c r="F12" s="47">
        <v>35378</v>
      </c>
      <c r="G12" s="44">
        <v>66</v>
      </c>
      <c r="H12" s="48">
        <v>228</v>
      </c>
      <c r="I12" s="49">
        <v>511</v>
      </c>
      <c r="J12" s="49">
        <v>740</v>
      </c>
      <c r="K12" s="51">
        <v>3509</v>
      </c>
      <c r="L12" s="44">
        <v>62</v>
      </c>
      <c r="M12" s="48">
        <v>378</v>
      </c>
      <c r="N12" s="49">
        <v>467</v>
      </c>
      <c r="O12" s="49">
        <v>849</v>
      </c>
      <c r="P12" s="51">
        <v>5474</v>
      </c>
      <c r="Q12" s="44">
        <v>60</v>
      </c>
      <c r="R12" s="48">
        <v>273</v>
      </c>
      <c r="S12" s="48">
        <v>284</v>
      </c>
      <c r="T12" s="48">
        <v>558</v>
      </c>
      <c r="U12" s="51">
        <v>5470</v>
      </c>
      <c r="V12" s="44">
        <v>61</v>
      </c>
      <c r="W12" s="49">
        <v>367</v>
      </c>
      <c r="X12" s="49">
        <v>257</v>
      </c>
      <c r="Y12" s="49">
        <v>627</v>
      </c>
      <c r="Z12" s="51">
        <v>3854</v>
      </c>
      <c r="AA12" s="44">
        <v>65</v>
      </c>
      <c r="AB12" s="49">
        <v>114</v>
      </c>
      <c r="AC12" s="49">
        <v>101</v>
      </c>
      <c r="AD12" s="49">
        <v>215</v>
      </c>
      <c r="AE12" s="51">
        <v>1912</v>
      </c>
      <c r="AF12" s="44">
        <v>66</v>
      </c>
      <c r="AG12" s="63">
        <v>27</v>
      </c>
      <c r="AH12" s="63">
        <v>10</v>
      </c>
      <c r="AI12" s="63">
        <v>37</v>
      </c>
      <c r="AJ12" s="50">
        <v>665</v>
      </c>
      <c r="AK12" s="44">
        <v>63</v>
      </c>
      <c r="AL12" s="48">
        <v>207</v>
      </c>
      <c r="AM12" s="48">
        <v>306</v>
      </c>
      <c r="AN12" s="48">
        <v>514</v>
      </c>
      <c r="AO12" s="51">
        <v>3831</v>
      </c>
      <c r="AP12" s="44">
        <v>59</v>
      </c>
      <c r="AQ12" s="45">
        <v>2419</v>
      </c>
      <c r="AR12" s="46">
        <v>4926</v>
      </c>
      <c r="AS12" s="45">
        <v>7362</v>
      </c>
      <c r="AT12" s="47">
        <v>30578</v>
      </c>
      <c r="AU12" s="44">
        <v>60</v>
      </c>
      <c r="AV12" s="45">
        <v>1342</v>
      </c>
      <c r="AW12" s="48">
        <v>307</v>
      </c>
      <c r="AX12" s="45">
        <v>1649</v>
      </c>
      <c r="AY12" s="51">
        <v>12601</v>
      </c>
      <c r="AZ12" s="44">
        <v>67</v>
      </c>
      <c r="BA12" s="48">
        <v>621</v>
      </c>
      <c r="BB12" s="48">
        <v>369</v>
      </c>
      <c r="BC12" s="48">
        <v>992</v>
      </c>
      <c r="BD12" s="51">
        <v>5065</v>
      </c>
      <c r="BE12" s="44">
        <v>61</v>
      </c>
      <c r="BF12" s="48">
        <v>833</v>
      </c>
      <c r="BG12" s="48">
        <v>855</v>
      </c>
      <c r="BH12" s="45">
        <v>1692</v>
      </c>
      <c r="BI12" s="47">
        <v>21206</v>
      </c>
      <c r="BJ12" s="44">
        <v>62</v>
      </c>
      <c r="BK12" s="45">
        <v>2711</v>
      </c>
      <c r="BL12" s="46">
        <v>1554</v>
      </c>
      <c r="BM12" s="45">
        <v>4273</v>
      </c>
      <c r="BN12" s="47">
        <v>21901</v>
      </c>
      <c r="BO12" s="44">
        <v>72</v>
      </c>
      <c r="BP12" s="48">
        <v>23</v>
      </c>
      <c r="BQ12" s="48">
        <v>2</v>
      </c>
      <c r="BR12" s="48">
        <v>25</v>
      </c>
      <c r="BS12" s="50">
        <v>237</v>
      </c>
      <c r="BT12" s="44">
        <v>70</v>
      </c>
      <c r="BU12" s="48">
        <v>24</v>
      </c>
      <c r="BV12" s="48">
        <v>8</v>
      </c>
      <c r="BW12" s="48">
        <v>32</v>
      </c>
      <c r="BX12" s="50">
        <v>261</v>
      </c>
      <c r="BY12" s="44">
        <v>68</v>
      </c>
      <c r="BZ12" s="48">
        <v>46</v>
      </c>
      <c r="CA12" s="48">
        <v>23</v>
      </c>
      <c r="CB12" s="48">
        <v>69</v>
      </c>
      <c r="CC12" s="50">
        <v>859</v>
      </c>
      <c r="CD12" s="44">
        <v>75</v>
      </c>
      <c r="CE12" s="48">
        <v>29</v>
      </c>
      <c r="CF12" s="48">
        <v>3</v>
      </c>
      <c r="CG12" s="48">
        <v>32</v>
      </c>
      <c r="CH12" s="50">
        <v>155</v>
      </c>
      <c r="CI12" s="80">
        <v>68</v>
      </c>
      <c r="CJ12" s="81">
        <v>29</v>
      </c>
      <c r="CK12" s="81">
        <v>21</v>
      </c>
      <c r="CL12" s="81">
        <v>50</v>
      </c>
      <c r="CM12" s="82">
        <v>176</v>
      </c>
      <c r="CN12" s="80">
        <v>74</v>
      </c>
      <c r="CO12" s="81">
        <v>1</v>
      </c>
      <c r="CP12" s="81">
        <v>3</v>
      </c>
      <c r="CQ12" s="83">
        <v>4</v>
      </c>
      <c r="CR12" s="82">
        <v>24</v>
      </c>
      <c r="CS12" s="80">
        <v>63</v>
      </c>
      <c r="CT12" s="84">
        <v>29</v>
      </c>
      <c r="CU12" s="81">
        <v>10</v>
      </c>
      <c r="CV12" s="81">
        <v>39</v>
      </c>
      <c r="CW12" s="82">
        <v>209</v>
      </c>
      <c r="CX12" s="80">
        <v>81</v>
      </c>
      <c r="CY12" s="81">
        <v>4</v>
      </c>
      <c r="CZ12" s="81">
        <v>7</v>
      </c>
      <c r="DA12" s="81">
        <v>11</v>
      </c>
      <c r="DB12" s="82">
        <v>45</v>
      </c>
      <c r="DC12" s="80">
        <v>59</v>
      </c>
      <c r="DD12" s="84">
        <v>1</v>
      </c>
      <c r="DE12" s="81">
        <v>2</v>
      </c>
      <c r="DF12" s="81">
        <v>3</v>
      </c>
      <c r="DG12" s="82">
        <v>16</v>
      </c>
      <c r="DH12" s="80">
        <v>87</v>
      </c>
      <c r="DI12" s="81">
        <v>1</v>
      </c>
      <c r="DJ12" s="81">
        <v>3</v>
      </c>
      <c r="DK12" s="81">
        <v>4</v>
      </c>
      <c r="DL12" s="82">
        <v>19</v>
      </c>
    </row>
    <row r="13" spans="2:116" ht="17.5" thickBot="1" x14ac:dyDescent="0.5">
      <c r="B13" s="44">
        <v>57</v>
      </c>
      <c r="C13" s="48">
        <v>931</v>
      </c>
      <c r="D13" s="46">
        <v>2106</v>
      </c>
      <c r="E13" s="45">
        <v>3047</v>
      </c>
      <c r="F13" s="47">
        <v>38425</v>
      </c>
      <c r="G13" s="44">
        <v>65</v>
      </c>
      <c r="H13" s="48">
        <v>119</v>
      </c>
      <c r="I13" s="49">
        <v>299</v>
      </c>
      <c r="J13" s="49">
        <v>418</v>
      </c>
      <c r="K13" s="51">
        <v>3927</v>
      </c>
      <c r="L13" s="44">
        <v>61</v>
      </c>
      <c r="M13" s="48">
        <v>314</v>
      </c>
      <c r="N13" s="49">
        <v>324</v>
      </c>
      <c r="O13" s="49">
        <v>638</v>
      </c>
      <c r="P13" s="51">
        <v>6112</v>
      </c>
      <c r="Q13" s="44">
        <v>59</v>
      </c>
      <c r="R13" s="48">
        <v>381</v>
      </c>
      <c r="S13" s="48">
        <v>421</v>
      </c>
      <c r="T13" s="48">
        <v>804</v>
      </c>
      <c r="U13" s="51">
        <v>6274</v>
      </c>
      <c r="V13" s="44">
        <v>60</v>
      </c>
      <c r="W13" s="49">
        <v>135</v>
      </c>
      <c r="X13" s="49">
        <v>109</v>
      </c>
      <c r="Y13" s="49">
        <v>244</v>
      </c>
      <c r="Z13" s="51">
        <v>4098</v>
      </c>
      <c r="AA13" s="44">
        <v>64</v>
      </c>
      <c r="AB13" s="49">
        <v>206</v>
      </c>
      <c r="AC13" s="49">
        <v>129</v>
      </c>
      <c r="AD13" s="49">
        <v>335</v>
      </c>
      <c r="AE13" s="51">
        <v>2247</v>
      </c>
      <c r="AF13" s="44">
        <v>65</v>
      </c>
      <c r="AG13" s="63">
        <v>43</v>
      </c>
      <c r="AH13" s="63">
        <v>20</v>
      </c>
      <c r="AI13" s="63">
        <v>63</v>
      </c>
      <c r="AJ13" s="50">
        <v>728</v>
      </c>
      <c r="AK13" s="44">
        <v>62</v>
      </c>
      <c r="AL13" s="48">
        <v>122</v>
      </c>
      <c r="AM13" s="48">
        <v>203</v>
      </c>
      <c r="AN13" s="48">
        <v>325</v>
      </c>
      <c r="AO13" s="51">
        <v>4156</v>
      </c>
      <c r="AP13" s="44">
        <v>58</v>
      </c>
      <c r="AQ13" s="45">
        <v>1044</v>
      </c>
      <c r="AR13" s="46">
        <v>2431</v>
      </c>
      <c r="AS13" s="45">
        <v>3480</v>
      </c>
      <c r="AT13" s="47">
        <v>34058</v>
      </c>
      <c r="AU13" s="44">
        <v>59</v>
      </c>
      <c r="AV13" s="48">
        <v>843</v>
      </c>
      <c r="AW13" s="48">
        <v>208</v>
      </c>
      <c r="AX13" s="45">
        <v>1052</v>
      </c>
      <c r="AY13" s="51">
        <v>13653</v>
      </c>
      <c r="AZ13" s="44">
        <v>66</v>
      </c>
      <c r="BA13" s="48">
        <v>278</v>
      </c>
      <c r="BB13" s="48">
        <v>159</v>
      </c>
      <c r="BC13" s="48">
        <v>437</v>
      </c>
      <c r="BD13" s="51">
        <v>5502</v>
      </c>
      <c r="BE13" s="44">
        <v>60</v>
      </c>
      <c r="BF13" s="45">
        <v>1672</v>
      </c>
      <c r="BG13" s="45">
        <v>1534</v>
      </c>
      <c r="BH13" s="45">
        <v>3211</v>
      </c>
      <c r="BI13" s="47">
        <v>24417</v>
      </c>
      <c r="BJ13" s="44">
        <v>61</v>
      </c>
      <c r="BK13" s="45">
        <v>1455</v>
      </c>
      <c r="BL13" s="49">
        <v>848</v>
      </c>
      <c r="BM13" s="45">
        <v>2308</v>
      </c>
      <c r="BN13" s="47">
        <v>24209</v>
      </c>
      <c r="BO13" s="44">
        <v>71</v>
      </c>
      <c r="BP13" s="48">
        <v>47</v>
      </c>
      <c r="BQ13" s="48">
        <v>1</v>
      </c>
      <c r="BR13" s="48">
        <v>49</v>
      </c>
      <c r="BS13" s="50">
        <v>286</v>
      </c>
      <c r="BT13" s="44">
        <v>69</v>
      </c>
      <c r="BU13" s="48">
        <v>38</v>
      </c>
      <c r="BV13" s="48">
        <v>10</v>
      </c>
      <c r="BW13" s="48">
        <v>48</v>
      </c>
      <c r="BX13" s="50">
        <v>309</v>
      </c>
      <c r="BY13" s="44">
        <v>67</v>
      </c>
      <c r="BZ13" s="48">
        <v>97</v>
      </c>
      <c r="CA13" s="48">
        <v>75</v>
      </c>
      <c r="CB13" s="48">
        <v>172</v>
      </c>
      <c r="CC13" s="51">
        <v>1031</v>
      </c>
      <c r="CD13" s="44">
        <v>74</v>
      </c>
      <c r="CE13" s="48">
        <v>36</v>
      </c>
      <c r="CF13" s="48">
        <v>3</v>
      </c>
      <c r="CG13" s="48">
        <v>39</v>
      </c>
      <c r="CH13" s="50">
        <v>194</v>
      </c>
      <c r="CI13" s="80">
        <v>67</v>
      </c>
      <c r="CJ13" s="81">
        <v>65</v>
      </c>
      <c r="CK13" s="81">
        <v>57</v>
      </c>
      <c r="CL13" s="81">
        <v>122</v>
      </c>
      <c r="CM13" s="82">
        <v>298</v>
      </c>
      <c r="CN13" s="80">
        <v>73</v>
      </c>
      <c r="CO13" s="81">
        <v>1</v>
      </c>
      <c r="CP13" s="81">
        <v>3</v>
      </c>
      <c r="CQ13" s="83">
        <v>4</v>
      </c>
      <c r="CR13" s="82">
        <v>28</v>
      </c>
      <c r="CS13" s="80">
        <v>62</v>
      </c>
      <c r="CT13" s="84">
        <v>15</v>
      </c>
      <c r="CU13" s="81">
        <v>3</v>
      </c>
      <c r="CV13" s="81">
        <v>18</v>
      </c>
      <c r="CW13" s="82">
        <v>227</v>
      </c>
      <c r="CX13" s="80">
        <v>80</v>
      </c>
      <c r="CY13" s="81">
        <v>3</v>
      </c>
      <c r="CZ13" s="81">
        <v>3</v>
      </c>
      <c r="DA13" s="81">
        <v>6</v>
      </c>
      <c r="DB13" s="82">
        <v>51</v>
      </c>
      <c r="DC13" s="80">
        <v>58</v>
      </c>
      <c r="DD13" s="84">
        <v>1</v>
      </c>
      <c r="DE13" s="81">
        <v>0</v>
      </c>
      <c r="DF13" s="81">
        <v>1</v>
      </c>
      <c r="DG13" s="82">
        <v>17</v>
      </c>
      <c r="DH13" s="80">
        <v>85</v>
      </c>
      <c r="DI13" s="81">
        <v>1</v>
      </c>
      <c r="DJ13" s="81">
        <v>4</v>
      </c>
      <c r="DK13" s="81">
        <v>5</v>
      </c>
      <c r="DL13" s="82">
        <v>24</v>
      </c>
    </row>
    <row r="14" spans="2:116" ht="17.5" thickBot="1" x14ac:dyDescent="0.5">
      <c r="B14" s="44">
        <v>56</v>
      </c>
      <c r="C14" s="45">
        <v>1139</v>
      </c>
      <c r="D14" s="46">
        <v>2786</v>
      </c>
      <c r="E14" s="45">
        <v>3932</v>
      </c>
      <c r="F14" s="47">
        <v>42357</v>
      </c>
      <c r="G14" s="44">
        <v>64</v>
      </c>
      <c r="H14" s="48">
        <v>95</v>
      </c>
      <c r="I14" s="49">
        <v>291</v>
      </c>
      <c r="J14" s="49">
        <v>387</v>
      </c>
      <c r="K14" s="51">
        <v>4314</v>
      </c>
      <c r="L14" s="44">
        <v>60</v>
      </c>
      <c r="M14" s="48">
        <v>198</v>
      </c>
      <c r="N14" s="49">
        <v>229</v>
      </c>
      <c r="O14" s="49">
        <v>427</v>
      </c>
      <c r="P14" s="51">
        <v>6539</v>
      </c>
      <c r="Q14" s="44">
        <v>58</v>
      </c>
      <c r="R14" s="48">
        <v>223</v>
      </c>
      <c r="S14" s="48">
        <v>237</v>
      </c>
      <c r="T14" s="48">
        <v>461</v>
      </c>
      <c r="U14" s="51">
        <v>6735</v>
      </c>
      <c r="V14" s="44">
        <v>59</v>
      </c>
      <c r="W14" s="49">
        <v>182</v>
      </c>
      <c r="X14" s="49">
        <v>154</v>
      </c>
      <c r="Y14" s="49">
        <v>336</v>
      </c>
      <c r="Z14" s="51">
        <v>4434</v>
      </c>
      <c r="AA14" s="44">
        <v>63</v>
      </c>
      <c r="AB14" s="49">
        <v>131</v>
      </c>
      <c r="AC14" s="63">
        <v>68</v>
      </c>
      <c r="AD14" s="49">
        <v>200</v>
      </c>
      <c r="AE14" s="51">
        <v>2447</v>
      </c>
      <c r="AF14" s="44">
        <v>64</v>
      </c>
      <c r="AG14" s="63">
        <v>87</v>
      </c>
      <c r="AH14" s="63">
        <v>33</v>
      </c>
      <c r="AI14" s="49">
        <v>120</v>
      </c>
      <c r="AJ14" s="50">
        <v>848</v>
      </c>
      <c r="AK14" s="44">
        <v>61</v>
      </c>
      <c r="AL14" s="48">
        <v>335</v>
      </c>
      <c r="AM14" s="48">
        <v>529</v>
      </c>
      <c r="AN14" s="48">
        <v>864</v>
      </c>
      <c r="AO14" s="51">
        <v>5020</v>
      </c>
      <c r="AP14" s="44">
        <v>57</v>
      </c>
      <c r="AQ14" s="45">
        <v>1229</v>
      </c>
      <c r="AR14" s="46">
        <v>2379</v>
      </c>
      <c r="AS14" s="45">
        <v>3612</v>
      </c>
      <c r="AT14" s="47">
        <v>37670</v>
      </c>
      <c r="AU14" s="44">
        <v>58</v>
      </c>
      <c r="AV14" s="45">
        <v>2122</v>
      </c>
      <c r="AW14" s="48">
        <v>533</v>
      </c>
      <c r="AX14" s="45">
        <v>2658</v>
      </c>
      <c r="AY14" s="51">
        <v>16311</v>
      </c>
      <c r="AZ14" s="44">
        <v>65</v>
      </c>
      <c r="BA14" s="48">
        <v>786</v>
      </c>
      <c r="BB14" s="48">
        <v>468</v>
      </c>
      <c r="BC14" s="45">
        <v>1257</v>
      </c>
      <c r="BD14" s="51">
        <v>6759</v>
      </c>
      <c r="BE14" s="44">
        <v>59</v>
      </c>
      <c r="BF14" s="45">
        <v>1831</v>
      </c>
      <c r="BG14" s="45">
        <v>2007</v>
      </c>
      <c r="BH14" s="45">
        <v>3845</v>
      </c>
      <c r="BI14" s="47">
        <v>28262</v>
      </c>
      <c r="BJ14" s="44">
        <v>60</v>
      </c>
      <c r="BK14" s="45">
        <v>1269</v>
      </c>
      <c r="BL14" s="49">
        <v>647</v>
      </c>
      <c r="BM14" s="45">
        <v>1917</v>
      </c>
      <c r="BN14" s="47">
        <v>26126</v>
      </c>
      <c r="BO14" s="44">
        <v>70</v>
      </c>
      <c r="BP14" s="48">
        <v>31</v>
      </c>
      <c r="BQ14" s="48">
        <v>4</v>
      </c>
      <c r="BR14" s="48">
        <v>35</v>
      </c>
      <c r="BS14" s="50">
        <v>321</v>
      </c>
      <c r="BT14" s="44">
        <v>68</v>
      </c>
      <c r="BU14" s="48">
        <v>48</v>
      </c>
      <c r="BV14" s="48">
        <v>16</v>
      </c>
      <c r="BW14" s="48">
        <v>64</v>
      </c>
      <c r="BX14" s="50">
        <v>373</v>
      </c>
      <c r="BY14" s="44">
        <v>66</v>
      </c>
      <c r="BZ14" s="48">
        <v>34</v>
      </c>
      <c r="CA14" s="48">
        <v>22</v>
      </c>
      <c r="CB14" s="48">
        <v>56</v>
      </c>
      <c r="CC14" s="51">
        <v>1087</v>
      </c>
      <c r="CD14" s="44">
        <v>73</v>
      </c>
      <c r="CE14" s="48">
        <v>38</v>
      </c>
      <c r="CF14" s="48">
        <v>11</v>
      </c>
      <c r="CG14" s="48">
        <v>49</v>
      </c>
      <c r="CH14" s="50">
        <v>243</v>
      </c>
      <c r="CI14" s="80">
        <v>66</v>
      </c>
      <c r="CJ14" s="81">
        <v>13</v>
      </c>
      <c r="CK14" s="81">
        <v>7</v>
      </c>
      <c r="CL14" s="81">
        <v>20</v>
      </c>
      <c r="CM14" s="82">
        <v>318</v>
      </c>
      <c r="CN14" s="80">
        <v>72</v>
      </c>
      <c r="CO14" s="81">
        <v>3</v>
      </c>
      <c r="CP14" s="81">
        <v>4</v>
      </c>
      <c r="CQ14" s="83">
        <v>7</v>
      </c>
      <c r="CR14" s="82">
        <v>35</v>
      </c>
      <c r="CS14" s="80">
        <v>61</v>
      </c>
      <c r="CT14" s="84">
        <v>11</v>
      </c>
      <c r="CU14" s="81">
        <v>2</v>
      </c>
      <c r="CV14" s="81">
        <v>13</v>
      </c>
      <c r="CW14" s="82">
        <v>240</v>
      </c>
      <c r="CX14" s="80">
        <v>79</v>
      </c>
      <c r="CY14" s="81">
        <v>5</v>
      </c>
      <c r="CZ14" s="81">
        <v>6</v>
      </c>
      <c r="DA14" s="81">
        <v>11</v>
      </c>
      <c r="DB14" s="82">
        <v>62</v>
      </c>
      <c r="DC14" s="80">
        <v>56</v>
      </c>
      <c r="DD14" s="84">
        <v>1</v>
      </c>
      <c r="DE14" s="81">
        <v>2</v>
      </c>
      <c r="DF14" s="81">
        <v>3</v>
      </c>
      <c r="DG14" s="82">
        <v>20</v>
      </c>
      <c r="DH14" s="80">
        <v>83</v>
      </c>
      <c r="DI14" s="81">
        <v>1</v>
      </c>
      <c r="DJ14" s="81">
        <v>2</v>
      </c>
      <c r="DK14" s="81">
        <v>3</v>
      </c>
      <c r="DL14" s="82">
        <v>27</v>
      </c>
    </row>
    <row r="15" spans="2:116" ht="17.5" thickBot="1" x14ac:dyDescent="0.5">
      <c r="B15" s="44">
        <v>55</v>
      </c>
      <c r="C15" s="45">
        <v>1315</v>
      </c>
      <c r="D15" s="46">
        <v>2848</v>
      </c>
      <c r="E15" s="45">
        <v>4171</v>
      </c>
      <c r="F15" s="47">
        <v>46528</v>
      </c>
      <c r="G15" s="44">
        <v>63</v>
      </c>
      <c r="H15" s="48">
        <v>116</v>
      </c>
      <c r="I15" s="49">
        <v>346</v>
      </c>
      <c r="J15" s="49">
        <v>463</v>
      </c>
      <c r="K15" s="51">
        <v>4777</v>
      </c>
      <c r="L15" s="44">
        <v>59</v>
      </c>
      <c r="M15" s="48">
        <v>245</v>
      </c>
      <c r="N15" s="49">
        <v>262</v>
      </c>
      <c r="O15" s="49">
        <v>508</v>
      </c>
      <c r="P15" s="51">
        <v>7047</v>
      </c>
      <c r="Q15" s="44">
        <v>57</v>
      </c>
      <c r="R15" s="48">
        <v>209</v>
      </c>
      <c r="S15" s="48">
        <v>196</v>
      </c>
      <c r="T15" s="48">
        <v>406</v>
      </c>
      <c r="U15" s="51">
        <v>7141</v>
      </c>
      <c r="V15" s="44">
        <v>58</v>
      </c>
      <c r="W15" s="49">
        <v>308</v>
      </c>
      <c r="X15" s="49">
        <v>266</v>
      </c>
      <c r="Y15" s="49">
        <v>576</v>
      </c>
      <c r="Z15" s="51">
        <v>5010</v>
      </c>
      <c r="AA15" s="44">
        <v>62</v>
      </c>
      <c r="AB15" s="63">
        <v>93</v>
      </c>
      <c r="AC15" s="63">
        <v>46</v>
      </c>
      <c r="AD15" s="49">
        <v>139</v>
      </c>
      <c r="AE15" s="51">
        <v>2586</v>
      </c>
      <c r="AF15" s="44">
        <v>63</v>
      </c>
      <c r="AG15" s="63">
        <v>41</v>
      </c>
      <c r="AH15" s="63">
        <v>19</v>
      </c>
      <c r="AI15" s="63">
        <v>60</v>
      </c>
      <c r="AJ15" s="50">
        <v>908</v>
      </c>
      <c r="AK15" s="44">
        <v>60</v>
      </c>
      <c r="AL15" s="48">
        <v>148</v>
      </c>
      <c r="AM15" s="48">
        <v>206</v>
      </c>
      <c r="AN15" s="48">
        <v>354</v>
      </c>
      <c r="AO15" s="51">
        <v>5374</v>
      </c>
      <c r="AP15" s="44">
        <v>56</v>
      </c>
      <c r="AQ15" s="48">
        <v>828</v>
      </c>
      <c r="AR15" s="46">
        <v>1889</v>
      </c>
      <c r="AS15" s="45">
        <v>2722</v>
      </c>
      <c r="AT15" s="47">
        <v>40392</v>
      </c>
      <c r="AU15" s="44">
        <v>57</v>
      </c>
      <c r="AV15" s="48">
        <v>688</v>
      </c>
      <c r="AW15" s="48">
        <v>187</v>
      </c>
      <c r="AX15" s="48">
        <v>876</v>
      </c>
      <c r="AY15" s="51">
        <v>17187</v>
      </c>
      <c r="AZ15" s="44">
        <v>64</v>
      </c>
      <c r="BA15" s="48">
        <v>560</v>
      </c>
      <c r="BB15" s="48">
        <v>316</v>
      </c>
      <c r="BC15" s="48">
        <v>880</v>
      </c>
      <c r="BD15" s="51">
        <v>7639</v>
      </c>
      <c r="BE15" s="44">
        <v>58</v>
      </c>
      <c r="BF15" s="45">
        <v>2893</v>
      </c>
      <c r="BG15" s="45">
        <v>3064</v>
      </c>
      <c r="BH15" s="45">
        <v>5965</v>
      </c>
      <c r="BI15" s="47">
        <v>34227</v>
      </c>
      <c r="BJ15" s="44">
        <v>59</v>
      </c>
      <c r="BK15" s="45">
        <v>1610</v>
      </c>
      <c r="BL15" s="49">
        <v>949</v>
      </c>
      <c r="BM15" s="45">
        <v>2565</v>
      </c>
      <c r="BN15" s="47">
        <v>28691</v>
      </c>
      <c r="BO15" s="44">
        <v>69</v>
      </c>
      <c r="BP15" s="48">
        <v>30</v>
      </c>
      <c r="BQ15" s="48">
        <v>3</v>
      </c>
      <c r="BR15" s="48">
        <v>33</v>
      </c>
      <c r="BS15" s="50">
        <v>354</v>
      </c>
      <c r="BT15" s="44">
        <v>67</v>
      </c>
      <c r="BU15" s="48">
        <v>41</v>
      </c>
      <c r="BV15" s="48">
        <v>6</v>
      </c>
      <c r="BW15" s="48">
        <v>47</v>
      </c>
      <c r="BX15" s="50">
        <v>420</v>
      </c>
      <c r="BY15" s="44">
        <v>65</v>
      </c>
      <c r="BZ15" s="48">
        <v>48</v>
      </c>
      <c r="CA15" s="48">
        <v>35</v>
      </c>
      <c r="CB15" s="48">
        <v>83</v>
      </c>
      <c r="CC15" s="51">
        <v>1170</v>
      </c>
      <c r="CD15" s="44">
        <v>72</v>
      </c>
      <c r="CE15" s="48">
        <v>22</v>
      </c>
      <c r="CF15" s="48">
        <v>8</v>
      </c>
      <c r="CG15" s="48">
        <v>30</v>
      </c>
      <c r="CH15" s="50">
        <v>273</v>
      </c>
      <c r="CI15" s="80">
        <v>65</v>
      </c>
      <c r="CJ15" s="81">
        <v>46</v>
      </c>
      <c r="CK15" s="81">
        <v>61</v>
      </c>
      <c r="CL15" s="81">
        <v>107</v>
      </c>
      <c r="CM15" s="82">
        <v>425</v>
      </c>
      <c r="CN15" s="80">
        <v>71</v>
      </c>
      <c r="CO15" s="81">
        <v>0</v>
      </c>
      <c r="CP15" s="81">
        <v>3</v>
      </c>
      <c r="CQ15" s="83">
        <v>3</v>
      </c>
      <c r="CR15" s="82">
        <v>38</v>
      </c>
      <c r="CS15" s="80">
        <v>60</v>
      </c>
      <c r="CT15" s="84">
        <v>35</v>
      </c>
      <c r="CU15" s="81">
        <v>8</v>
      </c>
      <c r="CV15" s="81">
        <v>43</v>
      </c>
      <c r="CW15" s="82">
        <v>283</v>
      </c>
      <c r="CX15" s="80">
        <v>78</v>
      </c>
      <c r="CY15" s="81">
        <v>3</v>
      </c>
      <c r="CZ15" s="81">
        <v>2</v>
      </c>
      <c r="DA15" s="81">
        <v>5</v>
      </c>
      <c r="DB15" s="82">
        <v>67</v>
      </c>
      <c r="DC15" s="80">
        <v>55</v>
      </c>
      <c r="DD15" s="84">
        <v>2</v>
      </c>
      <c r="DE15" s="81">
        <v>1</v>
      </c>
      <c r="DF15" s="81">
        <v>3</v>
      </c>
      <c r="DG15" s="82">
        <v>23</v>
      </c>
      <c r="DH15" s="80">
        <v>81</v>
      </c>
      <c r="DI15" s="81">
        <v>2</v>
      </c>
      <c r="DJ15" s="81">
        <v>4</v>
      </c>
      <c r="DK15" s="81">
        <v>6</v>
      </c>
      <c r="DL15" s="82">
        <v>33</v>
      </c>
    </row>
    <row r="16" spans="2:116" ht="17.5" thickBot="1" x14ac:dyDescent="0.5">
      <c r="B16" s="44">
        <v>54</v>
      </c>
      <c r="C16" s="48">
        <v>966</v>
      </c>
      <c r="D16" s="46">
        <v>2190</v>
      </c>
      <c r="E16" s="45">
        <v>3164</v>
      </c>
      <c r="F16" s="47">
        <v>49692</v>
      </c>
      <c r="G16" s="44">
        <v>62</v>
      </c>
      <c r="H16" s="48">
        <v>102</v>
      </c>
      <c r="I16" s="49">
        <v>254</v>
      </c>
      <c r="J16" s="49">
        <v>358</v>
      </c>
      <c r="K16" s="51">
        <v>5135</v>
      </c>
      <c r="L16" s="44">
        <v>58</v>
      </c>
      <c r="M16" s="48">
        <v>309</v>
      </c>
      <c r="N16" s="49">
        <v>306</v>
      </c>
      <c r="O16" s="49">
        <v>616</v>
      </c>
      <c r="P16" s="51">
        <v>7663</v>
      </c>
      <c r="Q16" s="44">
        <v>56</v>
      </c>
      <c r="R16" s="48">
        <v>504</v>
      </c>
      <c r="S16" s="48">
        <v>549</v>
      </c>
      <c r="T16" s="45">
        <v>1056</v>
      </c>
      <c r="U16" s="51">
        <v>8197</v>
      </c>
      <c r="V16" s="44">
        <v>57</v>
      </c>
      <c r="W16" s="49">
        <v>199</v>
      </c>
      <c r="X16" s="49">
        <v>174</v>
      </c>
      <c r="Y16" s="49">
        <v>373</v>
      </c>
      <c r="Z16" s="51">
        <v>5383</v>
      </c>
      <c r="AA16" s="44">
        <v>61</v>
      </c>
      <c r="AB16" s="49">
        <v>195</v>
      </c>
      <c r="AC16" s="49">
        <v>123</v>
      </c>
      <c r="AD16" s="49">
        <v>319</v>
      </c>
      <c r="AE16" s="51">
        <v>2905</v>
      </c>
      <c r="AF16" s="44">
        <v>62</v>
      </c>
      <c r="AG16" s="63">
        <v>28</v>
      </c>
      <c r="AH16" s="63">
        <v>9</v>
      </c>
      <c r="AI16" s="63">
        <v>37</v>
      </c>
      <c r="AJ16" s="50">
        <v>945</v>
      </c>
      <c r="AK16" s="44">
        <v>59</v>
      </c>
      <c r="AL16" s="48">
        <v>166</v>
      </c>
      <c r="AM16" s="48">
        <v>291</v>
      </c>
      <c r="AN16" s="48">
        <v>457</v>
      </c>
      <c r="AO16" s="51">
        <v>5831</v>
      </c>
      <c r="AP16" s="44">
        <v>55</v>
      </c>
      <c r="AQ16" s="45">
        <v>1996</v>
      </c>
      <c r="AR16" s="46">
        <v>4261</v>
      </c>
      <c r="AS16" s="45">
        <v>6274</v>
      </c>
      <c r="AT16" s="47">
        <v>46666</v>
      </c>
      <c r="AU16" s="44">
        <v>56</v>
      </c>
      <c r="AV16" s="45">
        <v>1042</v>
      </c>
      <c r="AW16" s="48">
        <v>276</v>
      </c>
      <c r="AX16" s="45">
        <v>1320</v>
      </c>
      <c r="AY16" s="51">
        <v>18507</v>
      </c>
      <c r="AZ16" s="44">
        <v>63</v>
      </c>
      <c r="BA16" s="48">
        <v>575</v>
      </c>
      <c r="BB16" s="48">
        <v>342</v>
      </c>
      <c r="BC16" s="48">
        <v>918</v>
      </c>
      <c r="BD16" s="51">
        <v>8557</v>
      </c>
      <c r="BE16" s="44">
        <v>57</v>
      </c>
      <c r="BF16" s="45">
        <v>1384</v>
      </c>
      <c r="BG16" s="45">
        <v>1610</v>
      </c>
      <c r="BH16" s="45">
        <v>3000</v>
      </c>
      <c r="BI16" s="47">
        <v>37227</v>
      </c>
      <c r="BJ16" s="44">
        <v>58</v>
      </c>
      <c r="BK16" s="45">
        <v>2696</v>
      </c>
      <c r="BL16" s="46">
        <v>1614</v>
      </c>
      <c r="BM16" s="45">
        <v>4325</v>
      </c>
      <c r="BN16" s="47">
        <v>33016</v>
      </c>
      <c r="BO16" s="44">
        <v>68</v>
      </c>
      <c r="BP16" s="48">
        <v>33</v>
      </c>
      <c r="BQ16" s="48">
        <v>6</v>
      </c>
      <c r="BR16" s="48">
        <v>39</v>
      </c>
      <c r="BS16" s="50">
        <v>393</v>
      </c>
      <c r="BT16" s="44">
        <v>66</v>
      </c>
      <c r="BU16" s="48">
        <v>51</v>
      </c>
      <c r="BV16" s="48">
        <v>12</v>
      </c>
      <c r="BW16" s="48">
        <v>63</v>
      </c>
      <c r="BX16" s="50">
        <v>483</v>
      </c>
      <c r="BY16" s="44">
        <v>64</v>
      </c>
      <c r="BZ16" s="48">
        <v>30</v>
      </c>
      <c r="CA16" s="48">
        <v>28</v>
      </c>
      <c r="CB16" s="48">
        <v>58</v>
      </c>
      <c r="CC16" s="51">
        <v>1228</v>
      </c>
      <c r="CD16" s="44">
        <v>71</v>
      </c>
      <c r="CE16" s="48">
        <v>53</v>
      </c>
      <c r="CF16" s="48">
        <v>10</v>
      </c>
      <c r="CG16" s="48">
        <v>63</v>
      </c>
      <c r="CH16" s="50">
        <v>336</v>
      </c>
      <c r="CI16" s="80">
        <v>64</v>
      </c>
      <c r="CJ16" s="81">
        <v>95</v>
      </c>
      <c r="CK16" s="81">
        <v>91</v>
      </c>
      <c r="CL16" s="81">
        <v>187</v>
      </c>
      <c r="CM16" s="82">
        <v>612</v>
      </c>
      <c r="CN16" s="80">
        <v>69</v>
      </c>
      <c r="CO16" s="81">
        <v>4</v>
      </c>
      <c r="CP16" s="81">
        <v>4</v>
      </c>
      <c r="CQ16" s="83">
        <v>8</v>
      </c>
      <c r="CR16" s="82">
        <v>46</v>
      </c>
      <c r="CS16" s="80">
        <v>59</v>
      </c>
      <c r="CT16" s="84">
        <v>14</v>
      </c>
      <c r="CU16" s="81">
        <v>4</v>
      </c>
      <c r="CV16" s="81">
        <v>18</v>
      </c>
      <c r="CW16" s="82">
        <v>301</v>
      </c>
      <c r="CX16" s="80">
        <v>77</v>
      </c>
      <c r="CY16" s="81">
        <v>2</v>
      </c>
      <c r="CZ16" s="81">
        <v>7</v>
      </c>
      <c r="DA16" s="81">
        <v>9</v>
      </c>
      <c r="DB16" s="82">
        <v>76</v>
      </c>
      <c r="DC16" s="80">
        <v>53</v>
      </c>
      <c r="DD16" s="84">
        <v>2</v>
      </c>
      <c r="DE16" s="81">
        <v>2</v>
      </c>
      <c r="DF16" s="81">
        <v>4</v>
      </c>
      <c r="DG16" s="82">
        <v>27</v>
      </c>
      <c r="DH16" s="80">
        <v>80</v>
      </c>
      <c r="DI16" s="81">
        <v>1</v>
      </c>
      <c r="DJ16" s="81">
        <v>0</v>
      </c>
      <c r="DK16" s="81">
        <v>1</v>
      </c>
      <c r="DL16" s="82">
        <v>34</v>
      </c>
    </row>
    <row r="17" spans="2:116" ht="17.5" thickBot="1" x14ac:dyDescent="0.5">
      <c r="B17" s="44">
        <v>53</v>
      </c>
      <c r="C17" s="45">
        <v>1368</v>
      </c>
      <c r="D17" s="46">
        <v>3339</v>
      </c>
      <c r="E17" s="45">
        <v>4717</v>
      </c>
      <c r="F17" s="47">
        <v>54409</v>
      </c>
      <c r="G17" s="44">
        <v>61</v>
      </c>
      <c r="H17" s="48">
        <v>118</v>
      </c>
      <c r="I17" s="49">
        <v>301</v>
      </c>
      <c r="J17" s="49">
        <v>420</v>
      </c>
      <c r="K17" s="51">
        <v>5555</v>
      </c>
      <c r="L17" s="44">
        <v>57</v>
      </c>
      <c r="M17" s="48">
        <v>576</v>
      </c>
      <c r="N17" s="49">
        <v>700</v>
      </c>
      <c r="O17" s="46">
        <v>1279</v>
      </c>
      <c r="P17" s="51">
        <v>8942</v>
      </c>
      <c r="Q17" s="44">
        <v>55</v>
      </c>
      <c r="R17" s="48">
        <v>221</v>
      </c>
      <c r="S17" s="48">
        <v>241</v>
      </c>
      <c r="T17" s="48">
        <v>463</v>
      </c>
      <c r="U17" s="51">
        <v>8660</v>
      </c>
      <c r="V17" s="44">
        <v>56</v>
      </c>
      <c r="W17" s="49">
        <v>155</v>
      </c>
      <c r="X17" s="49">
        <v>153</v>
      </c>
      <c r="Y17" s="49">
        <v>308</v>
      </c>
      <c r="Z17" s="51">
        <v>5691</v>
      </c>
      <c r="AA17" s="44">
        <v>60</v>
      </c>
      <c r="AB17" s="63">
        <v>92</v>
      </c>
      <c r="AC17" s="63">
        <v>55</v>
      </c>
      <c r="AD17" s="49">
        <v>147</v>
      </c>
      <c r="AE17" s="51">
        <v>3052</v>
      </c>
      <c r="AF17" s="44">
        <v>61</v>
      </c>
      <c r="AG17" s="63">
        <v>43</v>
      </c>
      <c r="AH17" s="63">
        <v>37</v>
      </c>
      <c r="AI17" s="63">
        <v>80</v>
      </c>
      <c r="AJ17" s="51">
        <v>1025</v>
      </c>
      <c r="AK17" s="44">
        <v>58</v>
      </c>
      <c r="AL17" s="48">
        <v>332</v>
      </c>
      <c r="AM17" s="48">
        <v>578</v>
      </c>
      <c r="AN17" s="48">
        <v>911</v>
      </c>
      <c r="AO17" s="51">
        <v>6742</v>
      </c>
      <c r="AP17" s="44">
        <v>54</v>
      </c>
      <c r="AQ17" s="48">
        <v>958</v>
      </c>
      <c r="AR17" s="46">
        <v>2174</v>
      </c>
      <c r="AS17" s="45">
        <v>3135</v>
      </c>
      <c r="AT17" s="47">
        <v>49801</v>
      </c>
      <c r="AU17" s="44">
        <v>55</v>
      </c>
      <c r="AV17" s="45">
        <v>1610</v>
      </c>
      <c r="AW17" s="48">
        <v>438</v>
      </c>
      <c r="AX17" s="45">
        <v>2049</v>
      </c>
      <c r="AY17" s="51">
        <v>20556</v>
      </c>
      <c r="AZ17" s="44">
        <v>62</v>
      </c>
      <c r="BA17" s="48">
        <v>811</v>
      </c>
      <c r="BB17" s="48">
        <v>511</v>
      </c>
      <c r="BC17" s="45">
        <v>1323</v>
      </c>
      <c r="BD17" s="51">
        <v>9880</v>
      </c>
      <c r="BE17" s="44">
        <v>56</v>
      </c>
      <c r="BF17" s="45">
        <v>1284</v>
      </c>
      <c r="BG17" s="45">
        <v>1524</v>
      </c>
      <c r="BH17" s="45">
        <v>2815</v>
      </c>
      <c r="BI17" s="47">
        <v>40042</v>
      </c>
      <c r="BJ17" s="44">
        <v>57</v>
      </c>
      <c r="BK17" s="45">
        <v>1300</v>
      </c>
      <c r="BL17" s="49">
        <v>854</v>
      </c>
      <c r="BM17" s="45">
        <v>2162</v>
      </c>
      <c r="BN17" s="47">
        <v>35178</v>
      </c>
      <c r="BO17" s="44">
        <v>67</v>
      </c>
      <c r="BP17" s="48">
        <v>36</v>
      </c>
      <c r="BQ17" s="48">
        <v>4</v>
      </c>
      <c r="BR17" s="48">
        <v>40</v>
      </c>
      <c r="BS17" s="50">
        <v>433</v>
      </c>
      <c r="BT17" s="44">
        <v>65</v>
      </c>
      <c r="BU17" s="48">
        <v>80</v>
      </c>
      <c r="BV17" s="48">
        <v>26</v>
      </c>
      <c r="BW17" s="48">
        <v>106</v>
      </c>
      <c r="BX17" s="50">
        <v>589</v>
      </c>
      <c r="BY17" s="44">
        <v>63</v>
      </c>
      <c r="BZ17" s="48">
        <v>62</v>
      </c>
      <c r="CA17" s="48">
        <v>63</v>
      </c>
      <c r="CB17" s="48">
        <v>125</v>
      </c>
      <c r="CC17" s="51">
        <v>1353</v>
      </c>
      <c r="CD17" s="44">
        <v>70</v>
      </c>
      <c r="CE17" s="48">
        <v>29</v>
      </c>
      <c r="CF17" s="48">
        <v>12</v>
      </c>
      <c r="CG17" s="48">
        <v>41</v>
      </c>
      <c r="CH17" s="50">
        <v>377</v>
      </c>
      <c r="CI17" s="80">
        <v>63</v>
      </c>
      <c r="CJ17" s="81">
        <v>28</v>
      </c>
      <c r="CK17" s="81">
        <v>20</v>
      </c>
      <c r="CL17" s="81">
        <v>49</v>
      </c>
      <c r="CM17" s="82">
        <v>661</v>
      </c>
      <c r="CN17" s="80">
        <v>68</v>
      </c>
      <c r="CO17" s="81">
        <v>1</v>
      </c>
      <c r="CP17" s="81">
        <v>3</v>
      </c>
      <c r="CQ17" s="83">
        <v>4</v>
      </c>
      <c r="CR17" s="82">
        <v>50</v>
      </c>
      <c r="CS17" s="80">
        <v>58</v>
      </c>
      <c r="CT17" s="84">
        <v>9</v>
      </c>
      <c r="CU17" s="81">
        <v>7</v>
      </c>
      <c r="CV17" s="81">
        <v>16</v>
      </c>
      <c r="CW17" s="82">
        <v>317</v>
      </c>
      <c r="CX17" s="80">
        <v>76</v>
      </c>
      <c r="CY17" s="81">
        <v>3</v>
      </c>
      <c r="CZ17" s="81">
        <v>4</v>
      </c>
      <c r="DA17" s="81">
        <v>7</v>
      </c>
      <c r="DB17" s="82">
        <v>83</v>
      </c>
      <c r="DC17" s="80">
        <v>51</v>
      </c>
      <c r="DD17" s="84">
        <v>2</v>
      </c>
      <c r="DE17" s="81">
        <v>1</v>
      </c>
      <c r="DF17" s="81">
        <v>3</v>
      </c>
      <c r="DG17" s="82">
        <v>30</v>
      </c>
      <c r="DH17" s="80">
        <v>78</v>
      </c>
      <c r="DI17" s="81">
        <v>1</v>
      </c>
      <c r="DJ17" s="81">
        <v>2</v>
      </c>
      <c r="DK17" s="81">
        <v>3</v>
      </c>
      <c r="DL17" s="82">
        <v>37</v>
      </c>
    </row>
    <row r="18" spans="2:116" ht="17.5" thickBot="1" x14ac:dyDescent="0.5">
      <c r="B18" s="44">
        <v>52</v>
      </c>
      <c r="C18" s="45">
        <v>2260</v>
      </c>
      <c r="D18" s="46">
        <v>5052</v>
      </c>
      <c r="E18" s="45">
        <v>7326</v>
      </c>
      <c r="F18" s="47">
        <v>61735</v>
      </c>
      <c r="G18" s="44">
        <v>60</v>
      </c>
      <c r="H18" s="48">
        <v>227</v>
      </c>
      <c r="I18" s="49">
        <v>649</v>
      </c>
      <c r="J18" s="49">
        <v>878</v>
      </c>
      <c r="K18" s="51">
        <v>6433</v>
      </c>
      <c r="L18" s="44">
        <v>56</v>
      </c>
      <c r="M18" s="48">
        <v>304</v>
      </c>
      <c r="N18" s="49">
        <v>312</v>
      </c>
      <c r="O18" s="49">
        <v>619</v>
      </c>
      <c r="P18" s="51">
        <v>9561</v>
      </c>
      <c r="Q18" s="44">
        <v>54</v>
      </c>
      <c r="R18" s="48">
        <v>272</v>
      </c>
      <c r="S18" s="48">
        <v>279</v>
      </c>
      <c r="T18" s="48">
        <v>552</v>
      </c>
      <c r="U18" s="51">
        <v>9212</v>
      </c>
      <c r="V18" s="44">
        <v>55</v>
      </c>
      <c r="W18" s="49">
        <v>356</v>
      </c>
      <c r="X18" s="49">
        <v>365</v>
      </c>
      <c r="Y18" s="49">
        <v>723</v>
      </c>
      <c r="Z18" s="51">
        <v>6414</v>
      </c>
      <c r="AA18" s="44">
        <v>59</v>
      </c>
      <c r="AB18" s="49">
        <v>139</v>
      </c>
      <c r="AC18" s="63">
        <v>59</v>
      </c>
      <c r="AD18" s="49">
        <v>198</v>
      </c>
      <c r="AE18" s="51">
        <v>3250</v>
      </c>
      <c r="AF18" s="44">
        <v>60</v>
      </c>
      <c r="AG18" s="63">
        <v>88</v>
      </c>
      <c r="AH18" s="63">
        <v>37</v>
      </c>
      <c r="AI18" s="49">
        <v>126</v>
      </c>
      <c r="AJ18" s="51">
        <v>1151</v>
      </c>
      <c r="AK18" s="44">
        <v>57</v>
      </c>
      <c r="AL18" s="48">
        <v>199</v>
      </c>
      <c r="AM18" s="48">
        <v>318</v>
      </c>
      <c r="AN18" s="48">
        <v>517</v>
      </c>
      <c r="AO18" s="51">
        <v>7259</v>
      </c>
      <c r="AP18" s="44">
        <v>53</v>
      </c>
      <c r="AQ18" s="48">
        <v>962</v>
      </c>
      <c r="AR18" s="46">
        <v>2023</v>
      </c>
      <c r="AS18" s="45">
        <v>2995</v>
      </c>
      <c r="AT18" s="47">
        <v>52796</v>
      </c>
      <c r="AU18" s="44">
        <v>54</v>
      </c>
      <c r="AV18" s="48">
        <v>958</v>
      </c>
      <c r="AW18" s="48">
        <v>261</v>
      </c>
      <c r="AX18" s="45">
        <v>1221</v>
      </c>
      <c r="AY18" s="51">
        <v>21777</v>
      </c>
      <c r="AZ18" s="44">
        <v>61</v>
      </c>
      <c r="BA18" s="48">
        <v>581</v>
      </c>
      <c r="BB18" s="48">
        <v>375</v>
      </c>
      <c r="BC18" s="48">
        <v>959</v>
      </c>
      <c r="BD18" s="51">
        <v>10839</v>
      </c>
      <c r="BE18" s="44">
        <v>55</v>
      </c>
      <c r="BF18" s="45">
        <v>1624</v>
      </c>
      <c r="BG18" s="45">
        <v>1997</v>
      </c>
      <c r="BH18" s="45">
        <v>3631</v>
      </c>
      <c r="BI18" s="47">
        <v>43673</v>
      </c>
      <c r="BJ18" s="44">
        <v>56</v>
      </c>
      <c r="BK18" s="45">
        <v>1214</v>
      </c>
      <c r="BL18" s="49">
        <v>830</v>
      </c>
      <c r="BM18" s="45">
        <v>2047</v>
      </c>
      <c r="BN18" s="47">
        <v>37225</v>
      </c>
      <c r="BO18" s="44">
        <v>66</v>
      </c>
      <c r="BP18" s="48">
        <v>37</v>
      </c>
      <c r="BQ18" s="48">
        <v>3</v>
      </c>
      <c r="BR18" s="48">
        <v>40</v>
      </c>
      <c r="BS18" s="50">
        <v>473</v>
      </c>
      <c r="BT18" s="44">
        <v>64</v>
      </c>
      <c r="BU18" s="48">
        <v>44</v>
      </c>
      <c r="BV18" s="48">
        <v>15</v>
      </c>
      <c r="BW18" s="48">
        <v>59</v>
      </c>
      <c r="BX18" s="50">
        <v>648</v>
      </c>
      <c r="BY18" s="44">
        <v>62</v>
      </c>
      <c r="BZ18" s="48">
        <v>24</v>
      </c>
      <c r="CA18" s="48">
        <v>23</v>
      </c>
      <c r="CB18" s="48">
        <v>47</v>
      </c>
      <c r="CC18" s="51">
        <v>1400</v>
      </c>
      <c r="CD18" s="44">
        <v>69</v>
      </c>
      <c r="CE18" s="48">
        <v>36</v>
      </c>
      <c r="CF18" s="48">
        <v>13</v>
      </c>
      <c r="CG18" s="48">
        <v>49</v>
      </c>
      <c r="CH18" s="50">
        <v>426</v>
      </c>
      <c r="CI18" s="80">
        <v>62</v>
      </c>
      <c r="CJ18" s="81">
        <v>86</v>
      </c>
      <c r="CK18" s="81">
        <v>92</v>
      </c>
      <c r="CL18" s="81">
        <v>178</v>
      </c>
      <c r="CM18" s="82">
        <v>839</v>
      </c>
      <c r="CN18" s="80">
        <v>67</v>
      </c>
      <c r="CO18" s="81">
        <v>5</v>
      </c>
      <c r="CP18" s="81">
        <v>10</v>
      </c>
      <c r="CQ18" s="83">
        <v>15</v>
      </c>
      <c r="CR18" s="82">
        <v>65</v>
      </c>
      <c r="CS18" s="80">
        <v>57</v>
      </c>
      <c r="CT18" s="84">
        <v>12</v>
      </c>
      <c r="CU18" s="81">
        <v>0</v>
      </c>
      <c r="CV18" s="81">
        <v>12</v>
      </c>
      <c r="CW18" s="82">
        <v>329</v>
      </c>
      <c r="CX18" s="80">
        <v>74</v>
      </c>
      <c r="CY18" s="81">
        <v>4</v>
      </c>
      <c r="CZ18" s="81">
        <v>3</v>
      </c>
      <c r="DA18" s="81">
        <v>7</v>
      </c>
      <c r="DB18" s="82">
        <v>90</v>
      </c>
      <c r="DC18" s="80">
        <v>50</v>
      </c>
      <c r="DD18" s="84">
        <v>3</v>
      </c>
      <c r="DE18" s="81">
        <v>2</v>
      </c>
      <c r="DF18" s="81">
        <v>5</v>
      </c>
      <c r="DG18" s="82">
        <v>35</v>
      </c>
      <c r="DH18" s="80">
        <v>77</v>
      </c>
      <c r="DI18" s="81">
        <v>1</v>
      </c>
      <c r="DJ18" s="81">
        <v>4</v>
      </c>
      <c r="DK18" s="81">
        <v>5</v>
      </c>
      <c r="DL18" s="82">
        <v>42</v>
      </c>
    </row>
    <row r="19" spans="2:116" ht="17.5" thickBot="1" x14ac:dyDescent="0.5">
      <c r="B19" s="44">
        <v>51</v>
      </c>
      <c r="C19" s="45">
        <v>1384</v>
      </c>
      <c r="D19" s="46">
        <v>3182</v>
      </c>
      <c r="E19" s="45">
        <v>4581</v>
      </c>
      <c r="F19" s="47">
        <v>66316</v>
      </c>
      <c r="G19" s="44">
        <v>59</v>
      </c>
      <c r="H19" s="48">
        <v>145</v>
      </c>
      <c r="I19" s="49">
        <v>367</v>
      </c>
      <c r="J19" s="49">
        <v>512</v>
      </c>
      <c r="K19" s="51">
        <v>6945</v>
      </c>
      <c r="L19" s="44">
        <v>55</v>
      </c>
      <c r="M19" s="48">
        <v>330</v>
      </c>
      <c r="N19" s="49">
        <v>343</v>
      </c>
      <c r="O19" s="49">
        <v>675</v>
      </c>
      <c r="P19" s="51">
        <v>10236</v>
      </c>
      <c r="Q19" s="44">
        <v>53</v>
      </c>
      <c r="R19" s="48">
        <v>247</v>
      </c>
      <c r="S19" s="48">
        <v>225</v>
      </c>
      <c r="T19" s="48">
        <v>475</v>
      </c>
      <c r="U19" s="51">
        <v>9687</v>
      </c>
      <c r="V19" s="44">
        <v>54</v>
      </c>
      <c r="W19" s="49">
        <v>155</v>
      </c>
      <c r="X19" s="49">
        <v>157</v>
      </c>
      <c r="Y19" s="49">
        <v>312</v>
      </c>
      <c r="Z19" s="51">
        <v>6726</v>
      </c>
      <c r="AA19" s="44">
        <v>58</v>
      </c>
      <c r="AB19" s="49">
        <v>114</v>
      </c>
      <c r="AC19" s="63">
        <v>69</v>
      </c>
      <c r="AD19" s="49">
        <v>183</v>
      </c>
      <c r="AE19" s="51">
        <v>3433</v>
      </c>
      <c r="AF19" s="44">
        <v>59</v>
      </c>
      <c r="AG19" s="63">
        <v>63</v>
      </c>
      <c r="AH19" s="63">
        <v>17</v>
      </c>
      <c r="AI19" s="63">
        <v>80</v>
      </c>
      <c r="AJ19" s="51">
        <v>1231</v>
      </c>
      <c r="AK19" s="44">
        <v>56</v>
      </c>
      <c r="AL19" s="48">
        <v>180</v>
      </c>
      <c r="AM19" s="48">
        <v>290</v>
      </c>
      <c r="AN19" s="48">
        <v>470</v>
      </c>
      <c r="AO19" s="51">
        <v>7729</v>
      </c>
      <c r="AP19" s="44">
        <v>52</v>
      </c>
      <c r="AQ19" s="45">
        <v>1659</v>
      </c>
      <c r="AR19" s="46">
        <v>3665</v>
      </c>
      <c r="AS19" s="45">
        <v>5333</v>
      </c>
      <c r="AT19" s="47">
        <v>58129</v>
      </c>
      <c r="AU19" s="44">
        <v>53</v>
      </c>
      <c r="AV19" s="48">
        <v>690</v>
      </c>
      <c r="AW19" s="48">
        <v>199</v>
      </c>
      <c r="AX19" s="48">
        <v>890</v>
      </c>
      <c r="AY19" s="51">
        <v>22667</v>
      </c>
      <c r="AZ19" s="44">
        <v>60</v>
      </c>
      <c r="BA19" s="48">
        <v>841</v>
      </c>
      <c r="BB19" s="48">
        <v>570</v>
      </c>
      <c r="BC19" s="45">
        <v>1414</v>
      </c>
      <c r="BD19" s="51">
        <v>12253</v>
      </c>
      <c r="BE19" s="44">
        <v>54</v>
      </c>
      <c r="BF19" s="45">
        <v>1181</v>
      </c>
      <c r="BG19" s="45">
        <v>1435</v>
      </c>
      <c r="BH19" s="45">
        <v>2624</v>
      </c>
      <c r="BI19" s="47">
        <v>46297</v>
      </c>
      <c r="BJ19" s="44">
        <v>55</v>
      </c>
      <c r="BK19" s="45">
        <v>1375</v>
      </c>
      <c r="BL19" s="49">
        <v>947</v>
      </c>
      <c r="BM19" s="45">
        <v>2330</v>
      </c>
      <c r="BN19" s="47">
        <v>39555</v>
      </c>
      <c r="BO19" s="44">
        <v>65</v>
      </c>
      <c r="BP19" s="48">
        <v>61</v>
      </c>
      <c r="BQ19" s="48">
        <v>4</v>
      </c>
      <c r="BR19" s="48">
        <v>65</v>
      </c>
      <c r="BS19" s="50">
        <v>538</v>
      </c>
      <c r="BT19" s="44">
        <v>63</v>
      </c>
      <c r="BU19" s="48">
        <v>35</v>
      </c>
      <c r="BV19" s="48">
        <v>21</v>
      </c>
      <c r="BW19" s="48">
        <v>56</v>
      </c>
      <c r="BX19" s="50">
        <v>704</v>
      </c>
      <c r="BY19" s="44">
        <v>61</v>
      </c>
      <c r="BZ19" s="48">
        <v>31</v>
      </c>
      <c r="CA19" s="48">
        <v>32</v>
      </c>
      <c r="CB19" s="48">
        <v>63</v>
      </c>
      <c r="CC19" s="51">
        <v>1463</v>
      </c>
      <c r="CD19" s="44">
        <v>68</v>
      </c>
      <c r="CE19" s="48">
        <v>45</v>
      </c>
      <c r="CF19" s="48">
        <v>11</v>
      </c>
      <c r="CG19" s="48">
        <v>56</v>
      </c>
      <c r="CH19" s="50">
        <v>482</v>
      </c>
      <c r="CI19" s="80">
        <v>61</v>
      </c>
      <c r="CJ19" s="81">
        <v>107</v>
      </c>
      <c r="CK19" s="83">
        <v>116</v>
      </c>
      <c r="CL19" s="81">
        <v>223</v>
      </c>
      <c r="CM19" s="85">
        <v>1062</v>
      </c>
      <c r="CN19" s="80">
        <v>65</v>
      </c>
      <c r="CO19" s="81">
        <v>8</v>
      </c>
      <c r="CP19" s="81">
        <v>2</v>
      </c>
      <c r="CQ19" s="83">
        <v>10</v>
      </c>
      <c r="CR19" s="82">
        <v>75</v>
      </c>
      <c r="CS19" s="80">
        <v>56</v>
      </c>
      <c r="CT19" s="84">
        <v>28</v>
      </c>
      <c r="CU19" s="81">
        <v>8</v>
      </c>
      <c r="CV19" s="81">
        <v>36</v>
      </c>
      <c r="CW19" s="82">
        <v>365</v>
      </c>
      <c r="CX19" s="80">
        <v>73</v>
      </c>
      <c r="CY19" s="81">
        <v>8</v>
      </c>
      <c r="CZ19" s="81">
        <v>6</v>
      </c>
      <c r="DA19" s="81">
        <v>14</v>
      </c>
      <c r="DB19" s="82">
        <v>104</v>
      </c>
      <c r="DC19" s="80">
        <v>48</v>
      </c>
      <c r="DD19" s="84">
        <v>8</v>
      </c>
      <c r="DE19" s="81">
        <v>5</v>
      </c>
      <c r="DF19" s="81">
        <v>13</v>
      </c>
      <c r="DG19" s="82">
        <v>48</v>
      </c>
      <c r="DH19" s="80">
        <v>76</v>
      </c>
      <c r="DI19" s="81">
        <v>2</v>
      </c>
      <c r="DJ19" s="81">
        <v>3</v>
      </c>
      <c r="DK19" s="81">
        <v>5</v>
      </c>
      <c r="DL19" s="82">
        <v>47</v>
      </c>
    </row>
    <row r="20" spans="2:116" ht="17.5" thickBot="1" x14ac:dyDescent="0.5">
      <c r="B20" s="44">
        <v>50</v>
      </c>
      <c r="C20" s="48">
        <v>950</v>
      </c>
      <c r="D20" s="46">
        <v>2023</v>
      </c>
      <c r="E20" s="45">
        <v>2984</v>
      </c>
      <c r="F20" s="47">
        <v>69300</v>
      </c>
      <c r="G20" s="44">
        <v>58</v>
      </c>
      <c r="H20" s="48">
        <v>120</v>
      </c>
      <c r="I20" s="49">
        <v>312</v>
      </c>
      <c r="J20" s="49">
        <v>432</v>
      </c>
      <c r="K20" s="51">
        <v>7377</v>
      </c>
      <c r="L20" s="44">
        <v>54</v>
      </c>
      <c r="M20" s="48">
        <v>380</v>
      </c>
      <c r="N20" s="49">
        <v>444</v>
      </c>
      <c r="O20" s="49">
        <v>826</v>
      </c>
      <c r="P20" s="51">
        <v>11062</v>
      </c>
      <c r="Q20" s="44">
        <v>52</v>
      </c>
      <c r="R20" s="48">
        <v>599</v>
      </c>
      <c r="S20" s="48">
        <v>620</v>
      </c>
      <c r="T20" s="45">
        <v>1222</v>
      </c>
      <c r="U20" s="51">
        <v>10909</v>
      </c>
      <c r="V20" s="44">
        <v>53</v>
      </c>
      <c r="W20" s="49">
        <v>177</v>
      </c>
      <c r="X20" s="49">
        <v>211</v>
      </c>
      <c r="Y20" s="49">
        <v>388</v>
      </c>
      <c r="Z20" s="51">
        <v>7114</v>
      </c>
      <c r="AA20" s="44">
        <v>57</v>
      </c>
      <c r="AB20" s="49">
        <v>226</v>
      </c>
      <c r="AC20" s="49">
        <v>170</v>
      </c>
      <c r="AD20" s="49">
        <v>398</v>
      </c>
      <c r="AE20" s="51">
        <v>3831</v>
      </c>
      <c r="AF20" s="44">
        <v>58</v>
      </c>
      <c r="AG20" s="63">
        <v>47</v>
      </c>
      <c r="AH20" s="63">
        <v>26</v>
      </c>
      <c r="AI20" s="63">
        <v>73</v>
      </c>
      <c r="AJ20" s="51">
        <v>1304</v>
      </c>
      <c r="AK20" s="44">
        <v>55</v>
      </c>
      <c r="AL20" s="48">
        <v>162</v>
      </c>
      <c r="AM20" s="48">
        <v>372</v>
      </c>
      <c r="AN20" s="48">
        <v>536</v>
      </c>
      <c r="AO20" s="51">
        <v>8265</v>
      </c>
      <c r="AP20" s="44">
        <v>51</v>
      </c>
      <c r="AQ20" s="48">
        <v>731</v>
      </c>
      <c r="AR20" s="46">
        <v>1582</v>
      </c>
      <c r="AS20" s="45">
        <v>2319</v>
      </c>
      <c r="AT20" s="47">
        <v>60448</v>
      </c>
      <c r="AU20" s="44">
        <v>52</v>
      </c>
      <c r="AV20" s="45">
        <v>1627</v>
      </c>
      <c r="AW20" s="48">
        <v>527</v>
      </c>
      <c r="AX20" s="45">
        <v>2161</v>
      </c>
      <c r="AY20" s="51">
        <v>24828</v>
      </c>
      <c r="AZ20" s="44">
        <v>59</v>
      </c>
      <c r="BA20" s="48">
        <v>672</v>
      </c>
      <c r="BB20" s="48">
        <v>478</v>
      </c>
      <c r="BC20" s="45">
        <v>1150</v>
      </c>
      <c r="BD20" s="51">
        <v>13403</v>
      </c>
      <c r="BE20" s="44">
        <v>53</v>
      </c>
      <c r="BF20" s="45">
        <v>2777</v>
      </c>
      <c r="BG20" s="45">
        <v>3310</v>
      </c>
      <c r="BH20" s="45">
        <v>6103</v>
      </c>
      <c r="BI20" s="47">
        <v>52400</v>
      </c>
      <c r="BJ20" s="44">
        <v>54</v>
      </c>
      <c r="BK20" s="45">
        <v>2534</v>
      </c>
      <c r="BL20" s="46">
        <v>1701</v>
      </c>
      <c r="BM20" s="45">
        <v>4240</v>
      </c>
      <c r="BN20" s="47">
        <v>43795</v>
      </c>
      <c r="BO20" s="44">
        <v>64</v>
      </c>
      <c r="BP20" s="48">
        <v>42</v>
      </c>
      <c r="BQ20" s="48">
        <v>5</v>
      </c>
      <c r="BR20" s="48">
        <v>47</v>
      </c>
      <c r="BS20" s="50">
        <v>585</v>
      </c>
      <c r="BT20" s="44">
        <v>62</v>
      </c>
      <c r="BU20" s="48">
        <v>58</v>
      </c>
      <c r="BV20" s="48">
        <v>22</v>
      </c>
      <c r="BW20" s="48">
        <v>80</v>
      </c>
      <c r="BX20" s="50">
        <v>784</v>
      </c>
      <c r="BY20" s="44">
        <v>60</v>
      </c>
      <c r="BZ20" s="48">
        <v>52</v>
      </c>
      <c r="CA20" s="48">
        <v>50</v>
      </c>
      <c r="CB20" s="48">
        <v>102</v>
      </c>
      <c r="CC20" s="51">
        <v>1565</v>
      </c>
      <c r="CD20" s="44">
        <v>67</v>
      </c>
      <c r="CE20" s="48">
        <v>19</v>
      </c>
      <c r="CF20" s="48">
        <v>8</v>
      </c>
      <c r="CG20" s="48">
        <v>27</v>
      </c>
      <c r="CH20" s="50">
        <v>509</v>
      </c>
      <c r="CI20" s="80">
        <v>59</v>
      </c>
      <c r="CJ20" s="81">
        <v>53</v>
      </c>
      <c r="CK20" s="81">
        <v>60</v>
      </c>
      <c r="CL20" s="81">
        <v>114</v>
      </c>
      <c r="CM20" s="85">
        <v>1176</v>
      </c>
      <c r="CN20" s="80">
        <v>64</v>
      </c>
      <c r="CO20" s="81">
        <v>2</v>
      </c>
      <c r="CP20" s="81">
        <v>6</v>
      </c>
      <c r="CQ20" s="83">
        <v>8</v>
      </c>
      <c r="CR20" s="82">
        <v>83</v>
      </c>
      <c r="CS20" s="80">
        <v>55</v>
      </c>
      <c r="CT20" s="84">
        <v>17</v>
      </c>
      <c r="CU20" s="81">
        <v>4</v>
      </c>
      <c r="CV20" s="81">
        <v>21</v>
      </c>
      <c r="CW20" s="82">
        <v>386</v>
      </c>
      <c r="CX20" s="80">
        <v>72</v>
      </c>
      <c r="CY20" s="81">
        <v>5</v>
      </c>
      <c r="CZ20" s="81">
        <v>9</v>
      </c>
      <c r="DA20" s="81">
        <v>14</v>
      </c>
      <c r="DB20" s="82">
        <v>118</v>
      </c>
      <c r="DC20" s="80">
        <v>47</v>
      </c>
      <c r="DD20" s="84">
        <v>7</v>
      </c>
      <c r="DE20" s="81">
        <v>4</v>
      </c>
      <c r="DF20" s="81">
        <v>11</v>
      </c>
      <c r="DG20" s="82">
        <v>59</v>
      </c>
      <c r="DH20" s="80">
        <v>74</v>
      </c>
      <c r="DI20" s="81">
        <v>2</v>
      </c>
      <c r="DJ20" s="81">
        <v>2</v>
      </c>
      <c r="DK20" s="81">
        <v>4</v>
      </c>
      <c r="DL20" s="82">
        <v>51</v>
      </c>
    </row>
    <row r="21" spans="2:116" ht="17.5" thickBot="1" x14ac:dyDescent="0.5">
      <c r="B21" s="44">
        <v>49</v>
      </c>
      <c r="C21" s="45">
        <v>1231</v>
      </c>
      <c r="D21" s="46">
        <v>2778</v>
      </c>
      <c r="E21" s="45">
        <v>4019</v>
      </c>
      <c r="F21" s="47">
        <v>73319</v>
      </c>
      <c r="G21" s="44">
        <v>57</v>
      </c>
      <c r="H21" s="48">
        <v>150</v>
      </c>
      <c r="I21" s="49">
        <v>351</v>
      </c>
      <c r="J21" s="49">
        <v>502</v>
      </c>
      <c r="K21" s="51">
        <v>7879</v>
      </c>
      <c r="L21" s="44">
        <v>53</v>
      </c>
      <c r="M21" s="48">
        <v>311</v>
      </c>
      <c r="N21" s="49">
        <v>369</v>
      </c>
      <c r="O21" s="49">
        <v>682</v>
      </c>
      <c r="P21" s="51">
        <v>11744</v>
      </c>
      <c r="Q21" s="44">
        <v>51</v>
      </c>
      <c r="R21" s="48">
        <v>253</v>
      </c>
      <c r="S21" s="48">
        <v>279</v>
      </c>
      <c r="T21" s="48">
        <v>535</v>
      </c>
      <c r="U21" s="51">
        <v>11444</v>
      </c>
      <c r="V21" s="44">
        <v>52</v>
      </c>
      <c r="W21" s="49">
        <v>350</v>
      </c>
      <c r="X21" s="49">
        <v>343</v>
      </c>
      <c r="Y21" s="49">
        <v>695</v>
      </c>
      <c r="Z21" s="51">
        <v>7809</v>
      </c>
      <c r="AA21" s="44">
        <v>56</v>
      </c>
      <c r="AB21" s="49">
        <v>156</v>
      </c>
      <c r="AC21" s="63">
        <v>64</v>
      </c>
      <c r="AD21" s="49">
        <v>220</v>
      </c>
      <c r="AE21" s="51">
        <v>4051</v>
      </c>
      <c r="AF21" s="44">
        <v>57</v>
      </c>
      <c r="AG21" s="63">
        <v>53</v>
      </c>
      <c r="AH21" s="63">
        <v>30</v>
      </c>
      <c r="AI21" s="63">
        <v>83</v>
      </c>
      <c r="AJ21" s="51">
        <v>1387</v>
      </c>
      <c r="AK21" s="44">
        <v>54</v>
      </c>
      <c r="AL21" s="48">
        <v>392</v>
      </c>
      <c r="AM21" s="48">
        <v>668</v>
      </c>
      <c r="AN21" s="45">
        <v>1061</v>
      </c>
      <c r="AO21" s="51">
        <v>9326</v>
      </c>
      <c r="AP21" s="44">
        <v>50</v>
      </c>
      <c r="AQ21" s="48">
        <v>801</v>
      </c>
      <c r="AR21" s="46">
        <v>1673</v>
      </c>
      <c r="AS21" s="45">
        <v>2478</v>
      </c>
      <c r="AT21" s="47">
        <v>62926</v>
      </c>
      <c r="AU21" s="44">
        <v>51</v>
      </c>
      <c r="AV21" s="48">
        <v>716</v>
      </c>
      <c r="AW21" s="48">
        <v>207</v>
      </c>
      <c r="AX21" s="48">
        <v>927</v>
      </c>
      <c r="AY21" s="51">
        <v>25755</v>
      </c>
      <c r="AZ21" s="44">
        <v>58</v>
      </c>
      <c r="BA21" s="48">
        <v>657</v>
      </c>
      <c r="BB21" s="48">
        <v>478</v>
      </c>
      <c r="BC21" s="45">
        <v>1137</v>
      </c>
      <c r="BD21" s="51">
        <v>14540</v>
      </c>
      <c r="BE21" s="44">
        <v>52</v>
      </c>
      <c r="BF21" s="45">
        <v>1319</v>
      </c>
      <c r="BG21" s="45">
        <v>1461</v>
      </c>
      <c r="BH21" s="45">
        <v>2785</v>
      </c>
      <c r="BI21" s="47">
        <v>55185</v>
      </c>
      <c r="BJ21" s="44">
        <v>53</v>
      </c>
      <c r="BK21" s="45">
        <v>1325</v>
      </c>
      <c r="BL21" s="49">
        <v>851</v>
      </c>
      <c r="BM21" s="45">
        <v>2183</v>
      </c>
      <c r="BN21" s="47">
        <v>45978</v>
      </c>
      <c r="BO21" s="44">
        <v>63</v>
      </c>
      <c r="BP21" s="48">
        <v>23</v>
      </c>
      <c r="BQ21" s="48">
        <v>3</v>
      </c>
      <c r="BR21" s="48">
        <v>27</v>
      </c>
      <c r="BS21" s="50">
        <v>612</v>
      </c>
      <c r="BT21" s="44">
        <v>61</v>
      </c>
      <c r="BU21" s="48">
        <v>27</v>
      </c>
      <c r="BV21" s="48">
        <v>16</v>
      </c>
      <c r="BW21" s="48">
        <v>43</v>
      </c>
      <c r="BX21" s="50">
        <v>827</v>
      </c>
      <c r="BY21" s="44">
        <v>59</v>
      </c>
      <c r="BZ21" s="48">
        <v>28</v>
      </c>
      <c r="CA21" s="48">
        <v>20</v>
      </c>
      <c r="CB21" s="48">
        <v>48</v>
      </c>
      <c r="CC21" s="51">
        <v>1613</v>
      </c>
      <c r="CD21" s="44">
        <v>66</v>
      </c>
      <c r="CE21" s="48">
        <v>49</v>
      </c>
      <c r="CF21" s="48">
        <v>6</v>
      </c>
      <c r="CG21" s="48">
        <v>55</v>
      </c>
      <c r="CH21" s="50">
        <v>564</v>
      </c>
      <c r="CI21" s="80">
        <v>58</v>
      </c>
      <c r="CJ21" s="81">
        <v>124</v>
      </c>
      <c r="CK21" s="83">
        <v>174</v>
      </c>
      <c r="CL21" s="81">
        <v>299</v>
      </c>
      <c r="CM21" s="85">
        <v>1475</v>
      </c>
      <c r="CN21" s="80">
        <v>63</v>
      </c>
      <c r="CO21" s="81">
        <v>9</v>
      </c>
      <c r="CP21" s="81">
        <v>8</v>
      </c>
      <c r="CQ21" s="83">
        <v>17</v>
      </c>
      <c r="CR21" s="82">
        <v>100</v>
      </c>
      <c r="CS21" s="80">
        <v>54</v>
      </c>
      <c r="CT21" s="84">
        <v>15</v>
      </c>
      <c r="CU21" s="81">
        <v>3</v>
      </c>
      <c r="CV21" s="81">
        <v>18</v>
      </c>
      <c r="CW21" s="82">
        <v>404</v>
      </c>
      <c r="CX21" s="80">
        <v>71</v>
      </c>
      <c r="CY21" s="81">
        <v>2</v>
      </c>
      <c r="CZ21" s="81">
        <v>8</v>
      </c>
      <c r="DA21" s="81">
        <v>10</v>
      </c>
      <c r="DB21" s="82">
        <v>128</v>
      </c>
      <c r="DC21" s="80">
        <v>45</v>
      </c>
      <c r="DD21" s="84">
        <v>3</v>
      </c>
      <c r="DE21" s="81">
        <v>2</v>
      </c>
      <c r="DF21" s="81">
        <v>5</v>
      </c>
      <c r="DG21" s="82">
        <v>64</v>
      </c>
      <c r="DH21" s="80">
        <v>73</v>
      </c>
      <c r="DI21" s="81">
        <v>2</v>
      </c>
      <c r="DJ21" s="81">
        <v>4</v>
      </c>
      <c r="DK21" s="81">
        <v>6</v>
      </c>
      <c r="DL21" s="82">
        <v>57</v>
      </c>
    </row>
    <row r="22" spans="2:116" ht="17.5" thickBot="1" x14ac:dyDescent="0.5">
      <c r="B22" s="44">
        <v>48</v>
      </c>
      <c r="C22" s="45">
        <v>1141</v>
      </c>
      <c r="D22" s="46">
        <v>2629</v>
      </c>
      <c r="E22" s="45">
        <v>3776</v>
      </c>
      <c r="F22" s="47">
        <v>77095</v>
      </c>
      <c r="G22" s="44">
        <v>56</v>
      </c>
      <c r="H22" s="48">
        <v>131</v>
      </c>
      <c r="I22" s="49">
        <v>368</v>
      </c>
      <c r="J22" s="49">
        <v>500</v>
      </c>
      <c r="K22" s="51">
        <v>8379</v>
      </c>
      <c r="L22" s="44">
        <v>52</v>
      </c>
      <c r="M22" s="48">
        <v>793</v>
      </c>
      <c r="N22" s="49">
        <v>997</v>
      </c>
      <c r="O22" s="46">
        <v>1794</v>
      </c>
      <c r="P22" s="51">
        <v>13538</v>
      </c>
      <c r="Q22" s="44">
        <v>50</v>
      </c>
      <c r="R22" s="48">
        <v>327</v>
      </c>
      <c r="S22" s="48">
        <v>373</v>
      </c>
      <c r="T22" s="48">
        <v>702</v>
      </c>
      <c r="U22" s="51">
        <v>12146</v>
      </c>
      <c r="V22" s="44">
        <v>51</v>
      </c>
      <c r="W22" s="49">
        <v>160</v>
      </c>
      <c r="X22" s="49">
        <v>174</v>
      </c>
      <c r="Y22" s="49">
        <v>337</v>
      </c>
      <c r="Z22" s="51">
        <v>8146</v>
      </c>
      <c r="AA22" s="44">
        <v>55</v>
      </c>
      <c r="AB22" s="49">
        <v>147</v>
      </c>
      <c r="AC22" s="63">
        <v>96</v>
      </c>
      <c r="AD22" s="49">
        <v>244</v>
      </c>
      <c r="AE22" s="51">
        <v>4295</v>
      </c>
      <c r="AF22" s="44">
        <v>56</v>
      </c>
      <c r="AG22" s="49">
        <v>133</v>
      </c>
      <c r="AH22" s="63">
        <v>54</v>
      </c>
      <c r="AI22" s="49">
        <v>188</v>
      </c>
      <c r="AJ22" s="51">
        <v>1575</v>
      </c>
      <c r="AK22" s="44">
        <v>53</v>
      </c>
      <c r="AL22" s="48">
        <v>197</v>
      </c>
      <c r="AM22" s="48">
        <v>318</v>
      </c>
      <c r="AN22" s="48">
        <v>515</v>
      </c>
      <c r="AO22" s="51">
        <v>9841</v>
      </c>
      <c r="AP22" s="44">
        <v>49</v>
      </c>
      <c r="AQ22" s="48">
        <v>843</v>
      </c>
      <c r="AR22" s="46">
        <v>1598</v>
      </c>
      <c r="AS22" s="45">
        <v>2445</v>
      </c>
      <c r="AT22" s="47">
        <v>65371</v>
      </c>
      <c r="AU22" s="44">
        <v>50</v>
      </c>
      <c r="AV22" s="48">
        <v>828</v>
      </c>
      <c r="AW22" s="48">
        <v>233</v>
      </c>
      <c r="AX22" s="45">
        <v>1061</v>
      </c>
      <c r="AY22" s="51">
        <v>26816</v>
      </c>
      <c r="AZ22" s="44">
        <v>57</v>
      </c>
      <c r="BA22" s="48">
        <v>944</v>
      </c>
      <c r="BB22" s="48">
        <v>670</v>
      </c>
      <c r="BC22" s="45">
        <v>1616</v>
      </c>
      <c r="BD22" s="51">
        <v>16156</v>
      </c>
      <c r="BE22" s="44">
        <v>51</v>
      </c>
      <c r="BF22" s="45">
        <v>1373</v>
      </c>
      <c r="BG22" s="45">
        <v>1671</v>
      </c>
      <c r="BH22" s="45">
        <v>3051</v>
      </c>
      <c r="BI22" s="47">
        <v>58236</v>
      </c>
      <c r="BJ22" s="44">
        <v>52</v>
      </c>
      <c r="BK22" s="45">
        <v>1254</v>
      </c>
      <c r="BL22" s="49">
        <v>899</v>
      </c>
      <c r="BM22" s="45">
        <v>2159</v>
      </c>
      <c r="BN22" s="47">
        <v>48137</v>
      </c>
      <c r="BO22" s="44">
        <v>62</v>
      </c>
      <c r="BP22" s="48">
        <v>36</v>
      </c>
      <c r="BQ22" s="48">
        <v>2</v>
      </c>
      <c r="BR22" s="48">
        <v>38</v>
      </c>
      <c r="BS22" s="50">
        <v>650</v>
      </c>
      <c r="BT22" s="44">
        <v>60</v>
      </c>
      <c r="BU22" s="48">
        <v>46</v>
      </c>
      <c r="BV22" s="48">
        <v>19</v>
      </c>
      <c r="BW22" s="48">
        <v>65</v>
      </c>
      <c r="BX22" s="50">
        <v>892</v>
      </c>
      <c r="BY22" s="44">
        <v>58</v>
      </c>
      <c r="BZ22" s="48">
        <v>29</v>
      </c>
      <c r="CA22" s="48">
        <v>26</v>
      </c>
      <c r="CB22" s="48">
        <v>55</v>
      </c>
      <c r="CC22" s="51">
        <v>1668</v>
      </c>
      <c r="CD22" s="44">
        <v>65</v>
      </c>
      <c r="CE22" s="48">
        <v>55</v>
      </c>
      <c r="CF22" s="48">
        <v>10</v>
      </c>
      <c r="CG22" s="48">
        <v>65</v>
      </c>
      <c r="CH22" s="50">
        <v>629</v>
      </c>
      <c r="CI22" s="80">
        <v>57</v>
      </c>
      <c r="CJ22" s="81">
        <v>89</v>
      </c>
      <c r="CK22" s="83">
        <v>130</v>
      </c>
      <c r="CL22" s="81">
        <v>219</v>
      </c>
      <c r="CM22" s="85">
        <v>1694</v>
      </c>
      <c r="CN22" s="80">
        <v>61</v>
      </c>
      <c r="CO22" s="81">
        <v>5</v>
      </c>
      <c r="CP22" s="81">
        <v>8</v>
      </c>
      <c r="CQ22" s="83">
        <v>13</v>
      </c>
      <c r="CR22" s="82">
        <v>113</v>
      </c>
      <c r="CS22" s="80">
        <v>53</v>
      </c>
      <c r="CT22" s="84">
        <v>39</v>
      </c>
      <c r="CU22" s="81">
        <v>12</v>
      </c>
      <c r="CV22" s="81">
        <v>51</v>
      </c>
      <c r="CW22" s="82">
        <v>455</v>
      </c>
      <c r="CX22" s="80">
        <v>70</v>
      </c>
      <c r="CY22" s="81">
        <v>4</v>
      </c>
      <c r="CZ22" s="81">
        <v>6</v>
      </c>
      <c r="DA22" s="81">
        <v>10</v>
      </c>
      <c r="DB22" s="82">
        <v>138</v>
      </c>
      <c r="DC22" s="80">
        <v>43</v>
      </c>
      <c r="DD22" s="84">
        <v>6</v>
      </c>
      <c r="DE22" s="81">
        <v>5</v>
      </c>
      <c r="DF22" s="81">
        <v>11</v>
      </c>
      <c r="DG22" s="82">
        <v>75</v>
      </c>
      <c r="DH22" s="80">
        <v>71</v>
      </c>
      <c r="DI22" s="81">
        <v>0</v>
      </c>
      <c r="DJ22" s="81">
        <v>7</v>
      </c>
      <c r="DK22" s="81">
        <v>7</v>
      </c>
      <c r="DL22" s="82">
        <v>64</v>
      </c>
    </row>
    <row r="23" spans="2:116" ht="17.5" thickBot="1" x14ac:dyDescent="0.5">
      <c r="B23" s="44">
        <v>47</v>
      </c>
      <c r="C23" s="48">
        <v>953</v>
      </c>
      <c r="D23" s="46">
        <v>1819</v>
      </c>
      <c r="E23" s="45">
        <v>2778</v>
      </c>
      <c r="F23" s="47">
        <v>79873</v>
      </c>
      <c r="G23" s="44">
        <v>55</v>
      </c>
      <c r="H23" s="48">
        <v>289</v>
      </c>
      <c r="I23" s="49">
        <v>821</v>
      </c>
      <c r="J23" s="46">
        <v>1110</v>
      </c>
      <c r="K23" s="51">
        <v>9489</v>
      </c>
      <c r="L23" s="44">
        <v>51</v>
      </c>
      <c r="M23" s="48">
        <v>379</v>
      </c>
      <c r="N23" s="49">
        <v>495</v>
      </c>
      <c r="O23" s="49">
        <v>874</v>
      </c>
      <c r="P23" s="51">
        <v>14412</v>
      </c>
      <c r="Q23" s="44">
        <v>49</v>
      </c>
      <c r="R23" s="48">
        <v>597</v>
      </c>
      <c r="S23" s="48">
        <v>640</v>
      </c>
      <c r="T23" s="45">
        <v>1240</v>
      </c>
      <c r="U23" s="51">
        <v>13386</v>
      </c>
      <c r="V23" s="44">
        <v>50</v>
      </c>
      <c r="W23" s="49">
        <v>196</v>
      </c>
      <c r="X23" s="49">
        <v>217</v>
      </c>
      <c r="Y23" s="49">
        <v>415</v>
      </c>
      <c r="Z23" s="51">
        <v>8561</v>
      </c>
      <c r="AA23" s="44">
        <v>54</v>
      </c>
      <c r="AB23" s="49">
        <v>257</v>
      </c>
      <c r="AC23" s="49">
        <v>183</v>
      </c>
      <c r="AD23" s="49">
        <v>440</v>
      </c>
      <c r="AE23" s="51">
        <v>4735</v>
      </c>
      <c r="AF23" s="44">
        <v>55</v>
      </c>
      <c r="AG23" s="63">
        <v>69</v>
      </c>
      <c r="AH23" s="63">
        <v>24</v>
      </c>
      <c r="AI23" s="63">
        <v>93</v>
      </c>
      <c r="AJ23" s="51">
        <v>1668</v>
      </c>
      <c r="AK23" s="44">
        <v>52</v>
      </c>
      <c r="AL23" s="48">
        <v>180</v>
      </c>
      <c r="AM23" s="48">
        <v>308</v>
      </c>
      <c r="AN23" s="48">
        <v>490</v>
      </c>
      <c r="AO23" s="51">
        <v>10331</v>
      </c>
      <c r="AP23" s="44">
        <v>48</v>
      </c>
      <c r="AQ23" s="45">
        <v>1571</v>
      </c>
      <c r="AR23" s="46">
        <v>3016</v>
      </c>
      <c r="AS23" s="45">
        <v>4604</v>
      </c>
      <c r="AT23" s="47">
        <v>69975</v>
      </c>
      <c r="AU23" s="44">
        <v>49</v>
      </c>
      <c r="AV23" s="45">
        <v>1440</v>
      </c>
      <c r="AW23" s="48">
        <v>440</v>
      </c>
      <c r="AX23" s="45">
        <v>1886</v>
      </c>
      <c r="AY23" s="51">
        <v>28702</v>
      </c>
      <c r="AZ23" s="44">
        <v>56</v>
      </c>
      <c r="BA23" s="45">
        <v>1597</v>
      </c>
      <c r="BB23" s="45">
        <v>1197</v>
      </c>
      <c r="BC23" s="45">
        <v>2800</v>
      </c>
      <c r="BD23" s="51">
        <v>18956</v>
      </c>
      <c r="BE23" s="44">
        <v>50</v>
      </c>
      <c r="BF23" s="45">
        <v>1161</v>
      </c>
      <c r="BG23" s="45">
        <v>1483</v>
      </c>
      <c r="BH23" s="45">
        <v>2654</v>
      </c>
      <c r="BI23" s="47">
        <v>60890</v>
      </c>
      <c r="BJ23" s="44">
        <v>51</v>
      </c>
      <c r="BK23" s="45">
        <v>1479</v>
      </c>
      <c r="BL23" s="49">
        <v>995</v>
      </c>
      <c r="BM23" s="45">
        <v>2477</v>
      </c>
      <c r="BN23" s="47">
        <v>50614</v>
      </c>
      <c r="BO23" s="44">
        <v>61</v>
      </c>
      <c r="BP23" s="48">
        <v>32</v>
      </c>
      <c r="BQ23" s="48">
        <v>2</v>
      </c>
      <c r="BR23" s="48">
        <v>34</v>
      </c>
      <c r="BS23" s="50">
        <v>684</v>
      </c>
      <c r="BT23" s="44">
        <v>59</v>
      </c>
      <c r="BU23" s="48">
        <v>74</v>
      </c>
      <c r="BV23" s="48">
        <v>29</v>
      </c>
      <c r="BW23" s="48">
        <v>103</v>
      </c>
      <c r="BX23" s="50">
        <v>995</v>
      </c>
      <c r="BY23" s="44">
        <v>57</v>
      </c>
      <c r="BZ23" s="48">
        <v>32</v>
      </c>
      <c r="CA23" s="48">
        <v>26</v>
      </c>
      <c r="CB23" s="48">
        <v>58</v>
      </c>
      <c r="CC23" s="51">
        <v>1726</v>
      </c>
      <c r="CD23" s="44">
        <v>63</v>
      </c>
      <c r="CE23" s="48">
        <v>23</v>
      </c>
      <c r="CF23" s="48">
        <v>10</v>
      </c>
      <c r="CG23" s="48">
        <v>33</v>
      </c>
      <c r="CH23" s="50">
        <v>662</v>
      </c>
      <c r="CI23" s="80">
        <v>56</v>
      </c>
      <c r="CJ23" s="81">
        <v>78</v>
      </c>
      <c r="CK23" s="83">
        <v>117</v>
      </c>
      <c r="CL23" s="81">
        <v>195</v>
      </c>
      <c r="CM23" s="85">
        <v>1889</v>
      </c>
      <c r="CN23" s="80">
        <v>60</v>
      </c>
      <c r="CO23" s="81">
        <v>4</v>
      </c>
      <c r="CP23" s="81">
        <v>4</v>
      </c>
      <c r="CQ23" s="83">
        <v>9</v>
      </c>
      <c r="CR23" s="82">
        <v>122</v>
      </c>
      <c r="CS23" s="80">
        <v>52</v>
      </c>
      <c r="CT23" s="84">
        <v>16</v>
      </c>
      <c r="CU23" s="81">
        <v>4</v>
      </c>
      <c r="CV23" s="81">
        <v>20</v>
      </c>
      <c r="CW23" s="82">
        <v>475</v>
      </c>
      <c r="CX23" s="80">
        <v>69</v>
      </c>
      <c r="CY23" s="81">
        <v>4</v>
      </c>
      <c r="CZ23" s="81">
        <v>13</v>
      </c>
      <c r="DA23" s="81">
        <v>17</v>
      </c>
      <c r="DB23" s="82">
        <v>155</v>
      </c>
      <c r="DC23" s="80">
        <v>42</v>
      </c>
      <c r="DD23" s="84">
        <v>10</v>
      </c>
      <c r="DE23" s="81">
        <v>9</v>
      </c>
      <c r="DF23" s="81">
        <v>19</v>
      </c>
      <c r="DG23" s="82">
        <v>94</v>
      </c>
      <c r="DH23" s="80">
        <v>70</v>
      </c>
      <c r="DI23" s="81">
        <v>4</v>
      </c>
      <c r="DJ23" s="81">
        <v>6</v>
      </c>
      <c r="DK23" s="81">
        <v>10</v>
      </c>
      <c r="DL23" s="82">
        <v>74</v>
      </c>
    </row>
    <row r="24" spans="2:116" ht="17.5" thickBot="1" x14ac:dyDescent="0.5">
      <c r="B24" s="44">
        <v>46</v>
      </c>
      <c r="C24" s="45">
        <v>2145</v>
      </c>
      <c r="D24" s="46">
        <v>4450</v>
      </c>
      <c r="E24" s="45">
        <v>6617</v>
      </c>
      <c r="F24" s="47">
        <v>86490</v>
      </c>
      <c r="G24" s="44">
        <v>54</v>
      </c>
      <c r="H24" s="48">
        <v>148</v>
      </c>
      <c r="I24" s="49">
        <v>411</v>
      </c>
      <c r="J24" s="49">
        <v>560</v>
      </c>
      <c r="K24" s="51">
        <v>10049</v>
      </c>
      <c r="L24" s="44">
        <v>50</v>
      </c>
      <c r="M24" s="48">
        <v>430</v>
      </c>
      <c r="N24" s="49">
        <v>606</v>
      </c>
      <c r="O24" s="46">
        <v>1038</v>
      </c>
      <c r="P24" s="51">
        <v>15450</v>
      </c>
      <c r="Q24" s="44">
        <v>48</v>
      </c>
      <c r="R24" s="48">
        <v>333</v>
      </c>
      <c r="S24" s="48">
        <v>340</v>
      </c>
      <c r="T24" s="48">
        <v>677</v>
      </c>
      <c r="U24" s="51">
        <v>14063</v>
      </c>
      <c r="V24" s="44">
        <v>49</v>
      </c>
      <c r="W24" s="49">
        <v>364</v>
      </c>
      <c r="X24" s="49">
        <v>402</v>
      </c>
      <c r="Y24" s="49">
        <v>767</v>
      </c>
      <c r="Z24" s="51">
        <v>9328</v>
      </c>
      <c r="AA24" s="44">
        <v>53</v>
      </c>
      <c r="AB24" s="49">
        <v>157</v>
      </c>
      <c r="AC24" s="49">
        <v>109</v>
      </c>
      <c r="AD24" s="49">
        <v>266</v>
      </c>
      <c r="AE24" s="51">
        <v>5001</v>
      </c>
      <c r="AF24" s="44">
        <v>54</v>
      </c>
      <c r="AG24" s="63">
        <v>57</v>
      </c>
      <c r="AH24" s="63">
        <v>28</v>
      </c>
      <c r="AI24" s="63">
        <v>85</v>
      </c>
      <c r="AJ24" s="51">
        <v>1753</v>
      </c>
      <c r="AK24" s="44">
        <v>51</v>
      </c>
      <c r="AL24" s="48">
        <v>407</v>
      </c>
      <c r="AM24" s="48">
        <v>758</v>
      </c>
      <c r="AN24" s="45">
        <v>1168</v>
      </c>
      <c r="AO24" s="51">
        <v>11499</v>
      </c>
      <c r="AP24" s="44">
        <v>47</v>
      </c>
      <c r="AQ24" s="48">
        <v>695</v>
      </c>
      <c r="AR24" s="46">
        <v>1318</v>
      </c>
      <c r="AS24" s="45">
        <v>2018</v>
      </c>
      <c r="AT24" s="47">
        <v>71993</v>
      </c>
      <c r="AU24" s="44">
        <v>48</v>
      </c>
      <c r="AV24" s="48">
        <v>801</v>
      </c>
      <c r="AW24" s="48">
        <v>244</v>
      </c>
      <c r="AX24" s="45">
        <v>1047</v>
      </c>
      <c r="AY24" s="51">
        <v>29749</v>
      </c>
      <c r="AZ24" s="44">
        <v>55</v>
      </c>
      <c r="BA24" s="48">
        <v>866</v>
      </c>
      <c r="BB24" s="48">
        <v>696</v>
      </c>
      <c r="BC24" s="45">
        <v>1563</v>
      </c>
      <c r="BD24" s="51">
        <v>20519</v>
      </c>
      <c r="BE24" s="44">
        <v>49</v>
      </c>
      <c r="BF24" s="45">
        <v>1348</v>
      </c>
      <c r="BG24" s="45">
        <v>1669</v>
      </c>
      <c r="BH24" s="45">
        <v>3023</v>
      </c>
      <c r="BI24" s="47">
        <v>63913</v>
      </c>
      <c r="BJ24" s="44">
        <v>50</v>
      </c>
      <c r="BK24" s="45">
        <v>2834</v>
      </c>
      <c r="BL24" s="46">
        <v>2029</v>
      </c>
      <c r="BM24" s="45">
        <v>4871</v>
      </c>
      <c r="BN24" s="47">
        <v>55485</v>
      </c>
      <c r="BO24" s="44">
        <v>60</v>
      </c>
      <c r="BP24" s="48">
        <v>27</v>
      </c>
      <c r="BQ24" s="48">
        <v>3</v>
      </c>
      <c r="BR24" s="48">
        <v>30</v>
      </c>
      <c r="BS24" s="50">
        <v>714</v>
      </c>
      <c r="BT24" s="44">
        <v>58</v>
      </c>
      <c r="BU24" s="48">
        <v>55</v>
      </c>
      <c r="BV24" s="48">
        <v>19</v>
      </c>
      <c r="BW24" s="48">
        <v>75</v>
      </c>
      <c r="BX24" s="51">
        <v>1070</v>
      </c>
      <c r="BY24" s="44">
        <v>56</v>
      </c>
      <c r="BZ24" s="48">
        <v>64</v>
      </c>
      <c r="CA24" s="48">
        <v>63</v>
      </c>
      <c r="CB24" s="48">
        <v>127</v>
      </c>
      <c r="CC24" s="51">
        <v>1853</v>
      </c>
      <c r="CD24" s="44">
        <v>62</v>
      </c>
      <c r="CE24" s="48">
        <v>37</v>
      </c>
      <c r="CF24" s="48">
        <v>13</v>
      </c>
      <c r="CG24" s="48">
        <v>50</v>
      </c>
      <c r="CH24" s="50">
        <v>712</v>
      </c>
      <c r="CI24" s="80">
        <v>55</v>
      </c>
      <c r="CJ24" s="81">
        <v>104</v>
      </c>
      <c r="CK24" s="83">
        <v>168</v>
      </c>
      <c r="CL24" s="81">
        <v>272</v>
      </c>
      <c r="CM24" s="85">
        <v>2161</v>
      </c>
      <c r="CN24" s="80">
        <v>59</v>
      </c>
      <c r="CO24" s="81">
        <v>2</v>
      </c>
      <c r="CP24" s="81">
        <v>5</v>
      </c>
      <c r="CQ24" s="83">
        <v>7</v>
      </c>
      <c r="CR24" s="82">
        <v>129</v>
      </c>
      <c r="CS24" s="80">
        <v>51</v>
      </c>
      <c r="CT24" s="84">
        <v>29</v>
      </c>
      <c r="CU24" s="81">
        <v>4</v>
      </c>
      <c r="CV24" s="81">
        <v>33</v>
      </c>
      <c r="CW24" s="82">
        <v>508</v>
      </c>
      <c r="CX24" s="80">
        <v>67</v>
      </c>
      <c r="CY24" s="81">
        <v>12</v>
      </c>
      <c r="CZ24" s="81">
        <v>12</v>
      </c>
      <c r="DA24" s="81">
        <v>24</v>
      </c>
      <c r="DB24" s="82">
        <v>179</v>
      </c>
      <c r="DC24" s="80">
        <v>39</v>
      </c>
      <c r="DD24" s="84">
        <v>0</v>
      </c>
      <c r="DE24" s="81">
        <v>1</v>
      </c>
      <c r="DF24" s="81">
        <v>1</v>
      </c>
      <c r="DG24" s="82">
        <v>95</v>
      </c>
      <c r="DH24" s="80">
        <v>69</v>
      </c>
      <c r="DI24" s="81">
        <v>0</v>
      </c>
      <c r="DJ24" s="81">
        <v>12</v>
      </c>
      <c r="DK24" s="81">
        <v>12</v>
      </c>
      <c r="DL24" s="82">
        <v>86</v>
      </c>
    </row>
    <row r="25" spans="2:116" ht="17.5" thickBot="1" x14ac:dyDescent="0.5">
      <c r="B25" s="44">
        <v>45</v>
      </c>
      <c r="C25" s="48">
        <v>988</v>
      </c>
      <c r="D25" s="46">
        <v>1756</v>
      </c>
      <c r="E25" s="45">
        <v>2752</v>
      </c>
      <c r="F25" s="47">
        <v>89242</v>
      </c>
      <c r="G25" s="44">
        <v>53</v>
      </c>
      <c r="H25" s="48">
        <v>173</v>
      </c>
      <c r="I25" s="49">
        <v>478</v>
      </c>
      <c r="J25" s="49">
        <v>653</v>
      </c>
      <c r="K25" s="51">
        <v>10702</v>
      </c>
      <c r="L25" s="44">
        <v>49</v>
      </c>
      <c r="M25" s="48">
        <v>385</v>
      </c>
      <c r="N25" s="49">
        <v>505</v>
      </c>
      <c r="O25" s="49">
        <v>892</v>
      </c>
      <c r="P25" s="51">
        <v>16342</v>
      </c>
      <c r="Q25" s="44">
        <v>47</v>
      </c>
      <c r="R25" s="48">
        <v>274</v>
      </c>
      <c r="S25" s="48">
        <v>295</v>
      </c>
      <c r="T25" s="48">
        <v>570</v>
      </c>
      <c r="U25" s="51">
        <v>14633</v>
      </c>
      <c r="V25" s="44">
        <v>48</v>
      </c>
      <c r="W25" s="49">
        <v>201</v>
      </c>
      <c r="X25" s="49">
        <v>249</v>
      </c>
      <c r="Y25" s="49">
        <v>451</v>
      </c>
      <c r="Z25" s="51">
        <v>9779</v>
      </c>
      <c r="AA25" s="44">
        <v>52</v>
      </c>
      <c r="AB25" s="49">
        <v>144</v>
      </c>
      <c r="AC25" s="63">
        <v>95</v>
      </c>
      <c r="AD25" s="49">
        <v>240</v>
      </c>
      <c r="AE25" s="51">
        <v>5241</v>
      </c>
      <c r="AF25" s="44">
        <v>53</v>
      </c>
      <c r="AG25" s="63">
        <v>74</v>
      </c>
      <c r="AH25" s="63">
        <v>26</v>
      </c>
      <c r="AI25" s="49">
        <v>100</v>
      </c>
      <c r="AJ25" s="51">
        <v>1853</v>
      </c>
      <c r="AK25" s="44">
        <v>50</v>
      </c>
      <c r="AL25" s="48">
        <v>229</v>
      </c>
      <c r="AM25" s="48">
        <v>360</v>
      </c>
      <c r="AN25" s="48">
        <v>590</v>
      </c>
      <c r="AO25" s="51">
        <v>12089</v>
      </c>
      <c r="AP25" s="44">
        <v>46</v>
      </c>
      <c r="AQ25" s="48">
        <v>731</v>
      </c>
      <c r="AR25" s="46">
        <v>1486</v>
      </c>
      <c r="AS25" s="45">
        <v>2222</v>
      </c>
      <c r="AT25" s="47">
        <v>74215</v>
      </c>
      <c r="AU25" s="44">
        <v>47</v>
      </c>
      <c r="AV25" s="48">
        <v>659</v>
      </c>
      <c r="AW25" s="48">
        <v>229</v>
      </c>
      <c r="AX25" s="48">
        <v>890</v>
      </c>
      <c r="AY25" s="51">
        <v>30639</v>
      </c>
      <c r="AZ25" s="44">
        <v>54</v>
      </c>
      <c r="BA25" s="48">
        <v>784</v>
      </c>
      <c r="BB25" s="48">
        <v>716</v>
      </c>
      <c r="BC25" s="45">
        <v>1503</v>
      </c>
      <c r="BD25" s="51">
        <v>22022</v>
      </c>
      <c r="BE25" s="44">
        <v>48</v>
      </c>
      <c r="BF25" s="45">
        <v>2605</v>
      </c>
      <c r="BG25" s="45">
        <v>3101</v>
      </c>
      <c r="BH25" s="45">
        <v>5717</v>
      </c>
      <c r="BI25" s="47">
        <v>69630</v>
      </c>
      <c r="BJ25" s="44">
        <v>49</v>
      </c>
      <c r="BK25" s="45">
        <v>1528</v>
      </c>
      <c r="BL25" s="46">
        <v>1112</v>
      </c>
      <c r="BM25" s="45">
        <v>2645</v>
      </c>
      <c r="BN25" s="47">
        <v>58130</v>
      </c>
      <c r="BO25" s="44">
        <v>59</v>
      </c>
      <c r="BP25" s="48">
        <v>30</v>
      </c>
      <c r="BQ25" s="48">
        <v>4</v>
      </c>
      <c r="BR25" s="48">
        <v>34</v>
      </c>
      <c r="BS25" s="50">
        <v>748</v>
      </c>
      <c r="BT25" s="44">
        <v>57</v>
      </c>
      <c r="BU25" s="48">
        <v>28</v>
      </c>
      <c r="BV25" s="48">
        <v>20</v>
      </c>
      <c r="BW25" s="48">
        <v>48</v>
      </c>
      <c r="BX25" s="51">
        <v>1118</v>
      </c>
      <c r="BY25" s="44">
        <v>55</v>
      </c>
      <c r="BZ25" s="48">
        <v>39</v>
      </c>
      <c r="CA25" s="48">
        <v>31</v>
      </c>
      <c r="CB25" s="48">
        <v>71</v>
      </c>
      <c r="CC25" s="51">
        <v>1924</v>
      </c>
      <c r="CD25" s="44">
        <v>61</v>
      </c>
      <c r="CE25" s="48">
        <v>46</v>
      </c>
      <c r="CF25" s="48">
        <v>11</v>
      </c>
      <c r="CG25" s="48">
        <v>57</v>
      </c>
      <c r="CH25" s="50">
        <v>769</v>
      </c>
      <c r="CI25" s="80">
        <v>54</v>
      </c>
      <c r="CJ25" s="81">
        <v>73</v>
      </c>
      <c r="CK25" s="83">
        <v>141</v>
      </c>
      <c r="CL25" s="81">
        <v>215</v>
      </c>
      <c r="CM25" s="85">
        <v>2376</v>
      </c>
      <c r="CN25" s="80">
        <v>57</v>
      </c>
      <c r="CO25" s="81">
        <v>8</v>
      </c>
      <c r="CP25" s="81">
        <v>6</v>
      </c>
      <c r="CQ25" s="83">
        <v>14</v>
      </c>
      <c r="CR25" s="82">
        <v>143</v>
      </c>
      <c r="CS25" s="80">
        <v>50</v>
      </c>
      <c r="CT25" s="84">
        <v>51</v>
      </c>
      <c r="CU25" s="81">
        <v>14</v>
      </c>
      <c r="CV25" s="81">
        <v>65</v>
      </c>
      <c r="CW25" s="82">
        <v>573</v>
      </c>
      <c r="CX25" s="80">
        <v>66</v>
      </c>
      <c r="CY25" s="81">
        <v>8</v>
      </c>
      <c r="CZ25" s="81">
        <v>15</v>
      </c>
      <c r="DA25" s="81">
        <v>23</v>
      </c>
      <c r="DB25" s="82">
        <v>202</v>
      </c>
      <c r="DC25" s="80">
        <v>37</v>
      </c>
      <c r="DD25" s="84">
        <v>1</v>
      </c>
      <c r="DE25" s="81">
        <v>0</v>
      </c>
      <c r="DF25" s="81">
        <v>1</v>
      </c>
      <c r="DG25" s="82">
        <v>96</v>
      </c>
      <c r="DH25" s="80">
        <v>67</v>
      </c>
      <c r="DI25" s="81">
        <v>1</v>
      </c>
      <c r="DJ25" s="81">
        <v>19</v>
      </c>
      <c r="DK25" s="81">
        <v>20</v>
      </c>
      <c r="DL25" s="82">
        <v>106</v>
      </c>
    </row>
    <row r="26" spans="2:116" ht="17.5" thickBot="1" x14ac:dyDescent="0.5">
      <c r="B26" s="44">
        <v>44</v>
      </c>
      <c r="C26" s="48">
        <v>959</v>
      </c>
      <c r="D26" s="46">
        <v>1857</v>
      </c>
      <c r="E26" s="45">
        <v>2824</v>
      </c>
      <c r="F26" s="47">
        <v>92066</v>
      </c>
      <c r="G26" s="44">
        <v>52</v>
      </c>
      <c r="H26" s="48">
        <v>170</v>
      </c>
      <c r="I26" s="49">
        <v>407</v>
      </c>
      <c r="J26" s="49">
        <v>584</v>
      </c>
      <c r="K26" s="51">
        <v>11286</v>
      </c>
      <c r="L26" s="44">
        <v>48</v>
      </c>
      <c r="M26" s="48">
        <v>483</v>
      </c>
      <c r="N26" s="49">
        <v>578</v>
      </c>
      <c r="O26" s="46">
        <v>1061</v>
      </c>
      <c r="P26" s="51">
        <v>17403</v>
      </c>
      <c r="Q26" s="44">
        <v>46</v>
      </c>
      <c r="R26" s="48">
        <v>332</v>
      </c>
      <c r="S26" s="48">
        <v>340</v>
      </c>
      <c r="T26" s="48">
        <v>673</v>
      </c>
      <c r="U26" s="51">
        <v>15306</v>
      </c>
      <c r="V26" s="44">
        <v>47</v>
      </c>
      <c r="W26" s="49">
        <v>194</v>
      </c>
      <c r="X26" s="49">
        <v>212</v>
      </c>
      <c r="Y26" s="49">
        <v>406</v>
      </c>
      <c r="Z26" s="51">
        <v>10185</v>
      </c>
      <c r="AA26" s="44">
        <v>51</v>
      </c>
      <c r="AB26" s="49">
        <v>174</v>
      </c>
      <c r="AC26" s="49">
        <v>109</v>
      </c>
      <c r="AD26" s="49">
        <v>283</v>
      </c>
      <c r="AE26" s="51">
        <v>5524</v>
      </c>
      <c r="AF26" s="44">
        <v>52</v>
      </c>
      <c r="AG26" s="49">
        <v>148</v>
      </c>
      <c r="AH26" s="63">
        <v>93</v>
      </c>
      <c r="AI26" s="49">
        <v>242</v>
      </c>
      <c r="AJ26" s="51">
        <v>2095</v>
      </c>
      <c r="AK26" s="44">
        <v>49</v>
      </c>
      <c r="AL26" s="48">
        <v>238</v>
      </c>
      <c r="AM26" s="48">
        <v>370</v>
      </c>
      <c r="AN26" s="48">
        <v>608</v>
      </c>
      <c r="AO26" s="51">
        <v>12697</v>
      </c>
      <c r="AP26" s="44">
        <v>45</v>
      </c>
      <c r="AQ26" s="45">
        <v>1456</v>
      </c>
      <c r="AR26" s="46">
        <v>2681</v>
      </c>
      <c r="AS26" s="45">
        <v>4150</v>
      </c>
      <c r="AT26" s="47">
        <v>78365</v>
      </c>
      <c r="AU26" s="44">
        <v>46</v>
      </c>
      <c r="AV26" s="45">
        <v>1573</v>
      </c>
      <c r="AW26" s="48">
        <v>506</v>
      </c>
      <c r="AX26" s="45">
        <v>2082</v>
      </c>
      <c r="AY26" s="51">
        <v>32721</v>
      </c>
      <c r="AZ26" s="44">
        <v>53</v>
      </c>
      <c r="BA26" s="45">
        <v>1000</v>
      </c>
      <c r="BB26" s="48">
        <v>862</v>
      </c>
      <c r="BC26" s="45">
        <v>1866</v>
      </c>
      <c r="BD26" s="51">
        <v>23888</v>
      </c>
      <c r="BE26" s="44">
        <v>47</v>
      </c>
      <c r="BF26" s="45">
        <v>1275</v>
      </c>
      <c r="BG26" s="45">
        <v>1581</v>
      </c>
      <c r="BH26" s="45">
        <v>2858</v>
      </c>
      <c r="BI26" s="47">
        <v>72488</v>
      </c>
      <c r="BJ26" s="44">
        <v>48</v>
      </c>
      <c r="BK26" s="45">
        <v>1499</v>
      </c>
      <c r="BL26" s="46">
        <v>1151</v>
      </c>
      <c r="BM26" s="45">
        <v>2655</v>
      </c>
      <c r="BN26" s="47">
        <v>60785</v>
      </c>
      <c r="BO26" s="44">
        <v>58</v>
      </c>
      <c r="BP26" s="48">
        <v>30</v>
      </c>
      <c r="BQ26" s="48">
        <v>3</v>
      </c>
      <c r="BR26" s="48">
        <v>33</v>
      </c>
      <c r="BS26" s="50">
        <v>781</v>
      </c>
      <c r="BT26" s="44">
        <v>56</v>
      </c>
      <c r="BU26" s="48">
        <v>54</v>
      </c>
      <c r="BV26" s="48">
        <v>21</v>
      </c>
      <c r="BW26" s="48">
        <v>75</v>
      </c>
      <c r="BX26" s="51">
        <v>1193</v>
      </c>
      <c r="BY26" s="44">
        <v>54</v>
      </c>
      <c r="BZ26" s="48">
        <v>46</v>
      </c>
      <c r="CA26" s="48">
        <v>37</v>
      </c>
      <c r="CB26" s="48">
        <v>84</v>
      </c>
      <c r="CC26" s="51">
        <v>2008</v>
      </c>
      <c r="CD26" s="44">
        <v>60</v>
      </c>
      <c r="CE26" s="48">
        <v>40</v>
      </c>
      <c r="CF26" s="48">
        <v>11</v>
      </c>
      <c r="CG26" s="48">
        <v>51</v>
      </c>
      <c r="CH26" s="50">
        <v>820</v>
      </c>
      <c r="CI26" s="80">
        <v>53</v>
      </c>
      <c r="CJ26" s="81">
        <v>95</v>
      </c>
      <c r="CK26" s="83">
        <v>171</v>
      </c>
      <c r="CL26" s="81">
        <v>267</v>
      </c>
      <c r="CM26" s="85">
        <v>2643</v>
      </c>
      <c r="CN26" s="80">
        <v>56</v>
      </c>
      <c r="CO26" s="81">
        <v>9</v>
      </c>
      <c r="CP26" s="81">
        <v>7</v>
      </c>
      <c r="CQ26" s="83">
        <v>16</v>
      </c>
      <c r="CR26" s="82">
        <v>159</v>
      </c>
      <c r="CS26" s="80">
        <v>49</v>
      </c>
      <c r="CT26" s="84">
        <v>29</v>
      </c>
      <c r="CU26" s="81">
        <v>5</v>
      </c>
      <c r="CV26" s="81">
        <v>34</v>
      </c>
      <c r="CW26" s="82">
        <v>607</v>
      </c>
      <c r="CX26" s="80">
        <v>65</v>
      </c>
      <c r="CY26" s="81">
        <v>4</v>
      </c>
      <c r="CZ26" s="81">
        <v>12</v>
      </c>
      <c r="DA26" s="81">
        <v>16</v>
      </c>
      <c r="DB26" s="82">
        <v>218</v>
      </c>
      <c r="DC26" s="80">
        <v>34</v>
      </c>
      <c r="DD26" s="84">
        <v>1</v>
      </c>
      <c r="DE26" s="81">
        <v>0</v>
      </c>
      <c r="DF26" s="81">
        <v>1</v>
      </c>
      <c r="DG26" s="82">
        <v>97</v>
      </c>
      <c r="DH26" s="80">
        <v>66</v>
      </c>
      <c r="DI26" s="81">
        <v>4</v>
      </c>
      <c r="DJ26" s="81">
        <v>12</v>
      </c>
      <c r="DK26" s="81">
        <v>16</v>
      </c>
      <c r="DL26" s="82">
        <v>122</v>
      </c>
    </row>
    <row r="27" spans="2:116" ht="17.5" thickBot="1" x14ac:dyDescent="0.5">
      <c r="B27" s="44">
        <v>43</v>
      </c>
      <c r="C27" s="48">
        <v>785</v>
      </c>
      <c r="D27" s="46">
        <v>1396</v>
      </c>
      <c r="E27" s="45">
        <v>2188</v>
      </c>
      <c r="F27" s="47">
        <v>94254</v>
      </c>
      <c r="G27" s="44">
        <v>51</v>
      </c>
      <c r="H27" s="48">
        <v>211</v>
      </c>
      <c r="I27" s="49">
        <v>463</v>
      </c>
      <c r="J27" s="49">
        <v>677</v>
      </c>
      <c r="K27" s="51">
        <v>11963</v>
      </c>
      <c r="L27" s="44">
        <v>47</v>
      </c>
      <c r="M27" s="48">
        <v>897</v>
      </c>
      <c r="N27" s="46">
        <v>1059</v>
      </c>
      <c r="O27" s="46">
        <v>1959</v>
      </c>
      <c r="P27" s="51">
        <v>19362</v>
      </c>
      <c r="Q27" s="44">
        <v>45</v>
      </c>
      <c r="R27" s="48">
        <v>641</v>
      </c>
      <c r="S27" s="48">
        <v>589</v>
      </c>
      <c r="T27" s="45">
        <v>1236</v>
      </c>
      <c r="U27" s="51">
        <v>16542</v>
      </c>
      <c r="V27" s="44">
        <v>46</v>
      </c>
      <c r="W27" s="49">
        <v>424</v>
      </c>
      <c r="X27" s="49">
        <v>491</v>
      </c>
      <c r="Y27" s="49">
        <v>919</v>
      </c>
      <c r="Z27" s="51">
        <v>11104</v>
      </c>
      <c r="AA27" s="44">
        <v>50</v>
      </c>
      <c r="AB27" s="49">
        <v>359</v>
      </c>
      <c r="AC27" s="49">
        <v>271</v>
      </c>
      <c r="AD27" s="49">
        <v>632</v>
      </c>
      <c r="AE27" s="51">
        <v>6156</v>
      </c>
      <c r="AF27" s="44">
        <v>51</v>
      </c>
      <c r="AG27" s="63">
        <v>92</v>
      </c>
      <c r="AH27" s="63">
        <v>41</v>
      </c>
      <c r="AI27" s="49">
        <v>134</v>
      </c>
      <c r="AJ27" s="51">
        <v>2229</v>
      </c>
      <c r="AK27" s="44">
        <v>48</v>
      </c>
      <c r="AL27" s="48">
        <v>241</v>
      </c>
      <c r="AM27" s="48">
        <v>377</v>
      </c>
      <c r="AN27" s="48">
        <v>621</v>
      </c>
      <c r="AO27" s="51">
        <v>13318</v>
      </c>
      <c r="AP27" s="44">
        <v>44</v>
      </c>
      <c r="AQ27" s="48">
        <v>845</v>
      </c>
      <c r="AR27" s="46">
        <v>1428</v>
      </c>
      <c r="AS27" s="45">
        <v>2278</v>
      </c>
      <c r="AT27" s="47">
        <v>80643</v>
      </c>
      <c r="AU27" s="44">
        <v>45</v>
      </c>
      <c r="AV27" s="48">
        <v>746</v>
      </c>
      <c r="AW27" s="48">
        <v>266</v>
      </c>
      <c r="AX27" s="45">
        <v>1014</v>
      </c>
      <c r="AY27" s="51">
        <v>33735</v>
      </c>
      <c r="AZ27" s="44">
        <v>52</v>
      </c>
      <c r="BA27" s="48">
        <v>817</v>
      </c>
      <c r="BB27" s="48">
        <v>705</v>
      </c>
      <c r="BC27" s="45">
        <v>1526</v>
      </c>
      <c r="BD27" s="51">
        <v>25414</v>
      </c>
      <c r="BE27" s="44">
        <v>46</v>
      </c>
      <c r="BF27" s="45">
        <v>1301</v>
      </c>
      <c r="BG27" s="45">
        <v>1573</v>
      </c>
      <c r="BH27" s="45">
        <v>2881</v>
      </c>
      <c r="BI27" s="47">
        <v>75369</v>
      </c>
      <c r="BJ27" s="44">
        <v>47</v>
      </c>
      <c r="BK27" s="45">
        <v>1829</v>
      </c>
      <c r="BL27" s="46">
        <v>1317</v>
      </c>
      <c r="BM27" s="45">
        <v>3155</v>
      </c>
      <c r="BN27" s="47">
        <v>63940</v>
      </c>
      <c r="BO27" s="44">
        <v>57</v>
      </c>
      <c r="BP27" s="48">
        <v>42</v>
      </c>
      <c r="BQ27" s="48">
        <v>6</v>
      </c>
      <c r="BR27" s="48">
        <v>48</v>
      </c>
      <c r="BS27" s="50">
        <v>829</v>
      </c>
      <c r="BT27" s="44">
        <v>55</v>
      </c>
      <c r="BU27" s="48">
        <v>36</v>
      </c>
      <c r="BV27" s="48">
        <v>20</v>
      </c>
      <c r="BW27" s="48">
        <v>56</v>
      </c>
      <c r="BX27" s="51">
        <v>1249</v>
      </c>
      <c r="BY27" s="44">
        <v>53</v>
      </c>
      <c r="BZ27" s="49">
        <v>118</v>
      </c>
      <c r="CA27" s="48">
        <v>97</v>
      </c>
      <c r="CB27" s="48">
        <v>216</v>
      </c>
      <c r="CC27" s="51">
        <v>2224</v>
      </c>
      <c r="CD27" s="44">
        <v>59</v>
      </c>
      <c r="CE27" s="48">
        <v>36</v>
      </c>
      <c r="CF27" s="48">
        <v>11</v>
      </c>
      <c r="CG27" s="48">
        <v>47</v>
      </c>
      <c r="CH27" s="50">
        <v>867</v>
      </c>
      <c r="CI27" s="80">
        <v>52</v>
      </c>
      <c r="CJ27" s="81">
        <v>59</v>
      </c>
      <c r="CK27" s="83">
        <v>154</v>
      </c>
      <c r="CL27" s="81">
        <v>214</v>
      </c>
      <c r="CM27" s="85">
        <v>2857</v>
      </c>
      <c r="CN27" s="80">
        <v>55</v>
      </c>
      <c r="CO27" s="81">
        <v>6</v>
      </c>
      <c r="CP27" s="81">
        <v>10</v>
      </c>
      <c r="CQ27" s="83">
        <v>16</v>
      </c>
      <c r="CR27" s="82">
        <v>175</v>
      </c>
      <c r="CS27" s="80">
        <v>48</v>
      </c>
      <c r="CT27" s="84">
        <v>17</v>
      </c>
      <c r="CU27" s="81">
        <v>4</v>
      </c>
      <c r="CV27" s="81">
        <v>21</v>
      </c>
      <c r="CW27" s="82">
        <v>628</v>
      </c>
      <c r="CX27" s="80">
        <v>64</v>
      </c>
      <c r="CY27" s="81">
        <v>9</v>
      </c>
      <c r="CZ27" s="81">
        <v>22</v>
      </c>
      <c r="DA27" s="81">
        <v>31</v>
      </c>
      <c r="DB27" s="82">
        <v>249</v>
      </c>
      <c r="DC27" s="52"/>
      <c r="DD27" s="53"/>
      <c r="DE27" s="53"/>
      <c r="DF27" s="53"/>
      <c r="DG27" s="54"/>
      <c r="DH27" s="80">
        <v>64</v>
      </c>
      <c r="DI27" s="81">
        <v>5</v>
      </c>
      <c r="DJ27" s="81">
        <v>22</v>
      </c>
      <c r="DK27" s="81">
        <v>27</v>
      </c>
      <c r="DL27" s="82">
        <v>149</v>
      </c>
    </row>
    <row r="28" spans="2:116" ht="17.5" thickBot="1" x14ac:dyDescent="0.5">
      <c r="B28" s="44">
        <v>42</v>
      </c>
      <c r="C28" s="48">
        <v>937</v>
      </c>
      <c r="D28" s="46">
        <v>1588</v>
      </c>
      <c r="E28" s="45">
        <v>2531</v>
      </c>
      <c r="F28" s="47">
        <v>96785</v>
      </c>
      <c r="G28" s="44">
        <v>50</v>
      </c>
      <c r="H28" s="48">
        <v>429</v>
      </c>
      <c r="I28" s="49">
        <v>960</v>
      </c>
      <c r="J28" s="46">
        <v>1392</v>
      </c>
      <c r="K28" s="51">
        <v>13355</v>
      </c>
      <c r="L28" s="44">
        <v>46</v>
      </c>
      <c r="M28" s="48">
        <v>476</v>
      </c>
      <c r="N28" s="49">
        <v>575</v>
      </c>
      <c r="O28" s="46">
        <v>1055</v>
      </c>
      <c r="P28" s="51">
        <v>20417</v>
      </c>
      <c r="Q28" s="44">
        <v>44</v>
      </c>
      <c r="R28" s="48">
        <v>355</v>
      </c>
      <c r="S28" s="48">
        <v>340</v>
      </c>
      <c r="T28" s="48">
        <v>699</v>
      </c>
      <c r="U28" s="51">
        <v>17241</v>
      </c>
      <c r="V28" s="44">
        <v>45</v>
      </c>
      <c r="W28" s="49">
        <v>166</v>
      </c>
      <c r="X28" s="49">
        <v>215</v>
      </c>
      <c r="Y28" s="49">
        <v>381</v>
      </c>
      <c r="Z28" s="51">
        <v>11485</v>
      </c>
      <c r="AA28" s="44">
        <v>49</v>
      </c>
      <c r="AB28" s="49">
        <v>195</v>
      </c>
      <c r="AC28" s="49">
        <v>168</v>
      </c>
      <c r="AD28" s="49">
        <v>363</v>
      </c>
      <c r="AE28" s="51">
        <v>6519</v>
      </c>
      <c r="AF28" s="44">
        <v>50</v>
      </c>
      <c r="AG28" s="49">
        <v>101</v>
      </c>
      <c r="AH28" s="63">
        <v>43</v>
      </c>
      <c r="AI28" s="49">
        <v>145</v>
      </c>
      <c r="AJ28" s="51">
        <v>2374</v>
      </c>
      <c r="AK28" s="44">
        <v>47</v>
      </c>
      <c r="AL28" s="48">
        <v>496</v>
      </c>
      <c r="AM28" s="48">
        <v>773</v>
      </c>
      <c r="AN28" s="45">
        <v>1271</v>
      </c>
      <c r="AO28" s="51">
        <v>14589</v>
      </c>
      <c r="AP28" s="44">
        <v>43</v>
      </c>
      <c r="AQ28" s="48">
        <v>766</v>
      </c>
      <c r="AR28" s="46">
        <v>1204</v>
      </c>
      <c r="AS28" s="45">
        <v>1978</v>
      </c>
      <c r="AT28" s="47">
        <v>82621</v>
      </c>
      <c r="AU28" s="44">
        <v>44</v>
      </c>
      <c r="AV28" s="48">
        <v>902</v>
      </c>
      <c r="AW28" s="48">
        <v>265</v>
      </c>
      <c r="AX28" s="45">
        <v>1171</v>
      </c>
      <c r="AY28" s="51">
        <v>34906</v>
      </c>
      <c r="AZ28" s="44">
        <v>51</v>
      </c>
      <c r="BA28" s="48">
        <v>985</v>
      </c>
      <c r="BB28" s="48">
        <v>844</v>
      </c>
      <c r="BC28" s="45">
        <v>1831</v>
      </c>
      <c r="BD28" s="51">
        <v>27245</v>
      </c>
      <c r="BE28" s="44">
        <v>45</v>
      </c>
      <c r="BF28" s="45">
        <v>1405</v>
      </c>
      <c r="BG28" s="45">
        <v>1708</v>
      </c>
      <c r="BH28" s="45">
        <v>3120</v>
      </c>
      <c r="BI28" s="47">
        <v>78489</v>
      </c>
      <c r="BJ28" s="44">
        <v>46</v>
      </c>
      <c r="BK28" s="45">
        <v>3718</v>
      </c>
      <c r="BL28" s="46">
        <v>2738</v>
      </c>
      <c r="BM28" s="45">
        <v>6470</v>
      </c>
      <c r="BN28" s="47">
        <v>70410</v>
      </c>
      <c r="BO28" s="44">
        <v>56</v>
      </c>
      <c r="BP28" s="48">
        <v>91</v>
      </c>
      <c r="BQ28" s="48">
        <v>13</v>
      </c>
      <c r="BR28" s="67">
        <v>104</v>
      </c>
      <c r="BS28" s="50">
        <v>933</v>
      </c>
      <c r="BT28" s="44">
        <v>54</v>
      </c>
      <c r="BU28" s="48">
        <v>49</v>
      </c>
      <c r="BV28" s="48">
        <v>21</v>
      </c>
      <c r="BW28" s="48">
        <v>71</v>
      </c>
      <c r="BX28" s="51">
        <v>1320</v>
      </c>
      <c r="BY28" s="44">
        <v>52</v>
      </c>
      <c r="BZ28" s="48">
        <v>61</v>
      </c>
      <c r="CA28" s="48">
        <v>53</v>
      </c>
      <c r="CB28" s="48">
        <v>114</v>
      </c>
      <c r="CC28" s="51">
        <v>2338</v>
      </c>
      <c r="CD28" s="44">
        <v>58</v>
      </c>
      <c r="CE28" s="48">
        <v>46</v>
      </c>
      <c r="CF28" s="48">
        <v>23</v>
      </c>
      <c r="CG28" s="48">
        <v>69</v>
      </c>
      <c r="CH28" s="50">
        <v>936</v>
      </c>
      <c r="CI28" s="80">
        <v>51</v>
      </c>
      <c r="CJ28" s="81">
        <v>51</v>
      </c>
      <c r="CK28" s="83">
        <v>118</v>
      </c>
      <c r="CL28" s="81">
        <v>169</v>
      </c>
      <c r="CM28" s="85">
        <v>3026</v>
      </c>
      <c r="CN28" s="80">
        <v>54</v>
      </c>
      <c r="CO28" s="81">
        <v>8</v>
      </c>
      <c r="CP28" s="81">
        <v>10</v>
      </c>
      <c r="CQ28" s="83">
        <v>18</v>
      </c>
      <c r="CR28" s="82">
        <v>193</v>
      </c>
      <c r="CS28" s="80">
        <v>47</v>
      </c>
      <c r="CT28" s="84">
        <v>14</v>
      </c>
      <c r="CU28" s="81">
        <v>10</v>
      </c>
      <c r="CV28" s="81">
        <v>24</v>
      </c>
      <c r="CW28" s="82">
        <v>652</v>
      </c>
      <c r="CX28" s="80">
        <v>63</v>
      </c>
      <c r="CY28" s="81">
        <v>8</v>
      </c>
      <c r="CZ28" s="81">
        <v>24</v>
      </c>
      <c r="DA28" s="81">
        <v>33</v>
      </c>
      <c r="DB28" s="82">
        <v>282</v>
      </c>
      <c r="DC28" s="52"/>
      <c r="DD28" s="53"/>
      <c r="DE28" s="53"/>
      <c r="DF28" s="53"/>
      <c r="DG28" s="54"/>
      <c r="DH28" s="80">
        <v>63</v>
      </c>
      <c r="DI28" s="81">
        <v>5</v>
      </c>
      <c r="DJ28" s="81">
        <v>28</v>
      </c>
      <c r="DK28" s="81">
        <v>33</v>
      </c>
      <c r="DL28" s="82">
        <v>182</v>
      </c>
    </row>
    <row r="29" spans="2:116" ht="17.5" thickBot="1" x14ac:dyDescent="0.5">
      <c r="B29" s="44">
        <v>41</v>
      </c>
      <c r="C29" s="48">
        <v>764</v>
      </c>
      <c r="D29" s="46">
        <v>1268</v>
      </c>
      <c r="E29" s="45">
        <v>2041</v>
      </c>
      <c r="F29" s="47">
        <v>98826</v>
      </c>
      <c r="G29" s="44">
        <v>49</v>
      </c>
      <c r="H29" s="48">
        <v>258</v>
      </c>
      <c r="I29" s="49">
        <v>593</v>
      </c>
      <c r="J29" s="49">
        <v>853</v>
      </c>
      <c r="K29" s="51">
        <v>14208</v>
      </c>
      <c r="L29" s="44">
        <v>45</v>
      </c>
      <c r="M29" s="48">
        <v>427</v>
      </c>
      <c r="N29" s="49">
        <v>483</v>
      </c>
      <c r="O29" s="49">
        <v>911</v>
      </c>
      <c r="P29" s="51">
        <v>21328</v>
      </c>
      <c r="Q29" s="44">
        <v>43</v>
      </c>
      <c r="R29" s="48">
        <v>298</v>
      </c>
      <c r="S29" s="48">
        <v>280</v>
      </c>
      <c r="T29" s="48">
        <v>580</v>
      </c>
      <c r="U29" s="51">
        <v>17821</v>
      </c>
      <c r="V29" s="44">
        <v>44</v>
      </c>
      <c r="W29" s="49">
        <v>511</v>
      </c>
      <c r="X29" s="49">
        <v>494</v>
      </c>
      <c r="Y29" s="46">
        <v>1010</v>
      </c>
      <c r="Z29" s="51">
        <v>12495</v>
      </c>
      <c r="AA29" s="44">
        <v>48</v>
      </c>
      <c r="AB29" s="49">
        <v>208</v>
      </c>
      <c r="AC29" s="49">
        <v>158</v>
      </c>
      <c r="AD29" s="49">
        <v>367</v>
      </c>
      <c r="AE29" s="51">
        <v>6886</v>
      </c>
      <c r="AF29" s="44">
        <v>49</v>
      </c>
      <c r="AG29" s="49">
        <v>104</v>
      </c>
      <c r="AH29" s="63">
        <v>60</v>
      </c>
      <c r="AI29" s="49">
        <v>164</v>
      </c>
      <c r="AJ29" s="51">
        <v>2538</v>
      </c>
      <c r="AK29" s="44">
        <v>46</v>
      </c>
      <c r="AL29" s="48">
        <v>257</v>
      </c>
      <c r="AM29" s="48">
        <v>381</v>
      </c>
      <c r="AN29" s="48">
        <v>643</v>
      </c>
      <c r="AO29" s="51">
        <v>15232</v>
      </c>
      <c r="AP29" s="44">
        <v>42</v>
      </c>
      <c r="AQ29" s="45">
        <v>1678</v>
      </c>
      <c r="AR29" s="46">
        <v>2540</v>
      </c>
      <c r="AS29" s="45">
        <v>4233</v>
      </c>
      <c r="AT29" s="47">
        <v>86854</v>
      </c>
      <c r="AU29" s="44">
        <v>43</v>
      </c>
      <c r="AV29" s="45">
        <v>1794</v>
      </c>
      <c r="AW29" s="48">
        <v>567</v>
      </c>
      <c r="AX29" s="45">
        <v>2368</v>
      </c>
      <c r="AY29" s="51">
        <v>37274</v>
      </c>
      <c r="AZ29" s="44">
        <v>50</v>
      </c>
      <c r="BA29" s="48">
        <v>989</v>
      </c>
      <c r="BB29" s="48">
        <v>869</v>
      </c>
      <c r="BC29" s="45">
        <v>1864</v>
      </c>
      <c r="BD29" s="51">
        <v>29109</v>
      </c>
      <c r="BE29" s="44">
        <v>44</v>
      </c>
      <c r="BF29" s="45">
        <v>1353</v>
      </c>
      <c r="BG29" s="45">
        <v>1549</v>
      </c>
      <c r="BH29" s="45">
        <v>2906</v>
      </c>
      <c r="BI29" s="47">
        <v>81395</v>
      </c>
      <c r="BJ29" s="44">
        <v>45</v>
      </c>
      <c r="BK29" s="45">
        <v>1985</v>
      </c>
      <c r="BL29" s="46">
        <v>1583</v>
      </c>
      <c r="BM29" s="45">
        <v>3573</v>
      </c>
      <c r="BN29" s="47">
        <v>73983</v>
      </c>
      <c r="BO29" s="44">
        <v>55</v>
      </c>
      <c r="BP29" s="48">
        <v>49</v>
      </c>
      <c r="BQ29" s="48">
        <v>4</v>
      </c>
      <c r="BR29" s="48">
        <v>53</v>
      </c>
      <c r="BS29" s="50">
        <v>986</v>
      </c>
      <c r="BT29" s="44">
        <v>53</v>
      </c>
      <c r="BU29" s="48">
        <v>49</v>
      </c>
      <c r="BV29" s="48">
        <v>25</v>
      </c>
      <c r="BW29" s="48">
        <v>74</v>
      </c>
      <c r="BX29" s="51">
        <v>1394</v>
      </c>
      <c r="BY29" s="44">
        <v>51</v>
      </c>
      <c r="BZ29" s="48">
        <v>71</v>
      </c>
      <c r="CA29" s="48">
        <v>76</v>
      </c>
      <c r="CB29" s="48">
        <v>148</v>
      </c>
      <c r="CC29" s="51">
        <v>2486</v>
      </c>
      <c r="CD29" s="44">
        <v>57</v>
      </c>
      <c r="CE29" s="48">
        <v>53</v>
      </c>
      <c r="CF29" s="48">
        <v>19</v>
      </c>
      <c r="CG29" s="48">
        <v>72</v>
      </c>
      <c r="CH29" s="51">
        <v>1008</v>
      </c>
      <c r="CI29" s="80">
        <v>50</v>
      </c>
      <c r="CJ29" s="81">
        <v>64</v>
      </c>
      <c r="CK29" s="83">
        <v>131</v>
      </c>
      <c r="CL29" s="81">
        <v>195</v>
      </c>
      <c r="CM29" s="85">
        <v>3221</v>
      </c>
      <c r="CN29" s="80">
        <v>52</v>
      </c>
      <c r="CO29" s="81">
        <v>21</v>
      </c>
      <c r="CP29" s="81">
        <v>15</v>
      </c>
      <c r="CQ29" s="83">
        <v>36</v>
      </c>
      <c r="CR29" s="82">
        <v>229</v>
      </c>
      <c r="CS29" s="80">
        <v>46</v>
      </c>
      <c r="CT29" s="84">
        <v>39</v>
      </c>
      <c r="CU29" s="81">
        <v>12</v>
      </c>
      <c r="CV29" s="81">
        <v>51</v>
      </c>
      <c r="CW29" s="82">
        <v>703</v>
      </c>
      <c r="CX29" s="80">
        <v>62</v>
      </c>
      <c r="CY29" s="81">
        <v>6</v>
      </c>
      <c r="CZ29" s="81">
        <v>22</v>
      </c>
      <c r="DA29" s="81">
        <v>29</v>
      </c>
      <c r="DB29" s="82">
        <v>311</v>
      </c>
      <c r="DC29" s="52"/>
      <c r="DD29" s="53"/>
      <c r="DE29" s="53"/>
      <c r="DF29" s="53"/>
      <c r="DG29" s="54"/>
      <c r="DH29" s="80">
        <v>62</v>
      </c>
      <c r="DI29" s="81">
        <v>9</v>
      </c>
      <c r="DJ29" s="81">
        <v>29</v>
      </c>
      <c r="DK29" s="81">
        <v>38</v>
      </c>
      <c r="DL29" s="82">
        <v>220</v>
      </c>
    </row>
    <row r="30" spans="2:116" ht="17.5" thickBot="1" x14ac:dyDescent="0.5">
      <c r="B30" s="44">
        <v>40</v>
      </c>
      <c r="C30" s="45">
        <v>1589</v>
      </c>
      <c r="D30" s="46">
        <v>2383</v>
      </c>
      <c r="E30" s="45">
        <v>3982</v>
      </c>
      <c r="F30" s="47">
        <v>102808</v>
      </c>
      <c r="G30" s="44">
        <v>48</v>
      </c>
      <c r="H30" s="48">
        <v>271</v>
      </c>
      <c r="I30" s="49">
        <v>532</v>
      </c>
      <c r="J30" s="49">
        <v>806</v>
      </c>
      <c r="K30" s="51">
        <v>15014</v>
      </c>
      <c r="L30" s="44">
        <v>44</v>
      </c>
      <c r="M30" s="48">
        <v>433</v>
      </c>
      <c r="N30" s="49">
        <v>511</v>
      </c>
      <c r="O30" s="49">
        <v>945</v>
      </c>
      <c r="P30" s="51">
        <v>22273</v>
      </c>
      <c r="Q30" s="44">
        <v>42</v>
      </c>
      <c r="R30" s="48">
        <v>633</v>
      </c>
      <c r="S30" s="48">
        <v>617</v>
      </c>
      <c r="T30" s="45">
        <v>1259</v>
      </c>
      <c r="U30" s="51">
        <v>19080</v>
      </c>
      <c r="V30" s="44">
        <v>43</v>
      </c>
      <c r="W30" s="49">
        <v>261</v>
      </c>
      <c r="X30" s="49">
        <v>288</v>
      </c>
      <c r="Y30" s="49">
        <v>550</v>
      </c>
      <c r="Z30" s="51">
        <v>13045</v>
      </c>
      <c r="AA30" s="44">
        <v>47</v>
      </c>
      <c r="AB30" s="49">
        <v>489</v>
      </c>
      <c r="AC30" s="49">
        <v>377</v>
      </c>
      <c r="AD30" s="49">
        <v>870</v>
      </c>
      <c r="AE30" s="51">
        <v>7756</v>
      </c>
      <c r="AF30" s="44">
        <v>48</v>
      </c>
      <c r="AG30" s="49">
        <v>201</v>
      </c>
      <c r="AH30" s="49">
        <v>105</v>
      </c>
      <c r="AI30" s="49">
        <v>306</v>
      </c>
      <c r="AJ30" s="51">
        <v>2844</v>
      </c>
      <c r="AK30" s="44">
        <v>45</v>
      </c>
      <c r="AL30" s="48">
        <v>238</v>
      </c>
      <c r="AM30" s="48">
        <v>393</v>
      </c>
      <c r="AN30" s="48">
        <v>633</v>
      </c>
      <c r="AO30" s="51">
        <v>15865</v>
      </c>
      <c r="AP30" s="44">
        <v>41</v>
      </c>
      <c r="AQ30" s="48">
        <v>825</v>
      </c>
      <c r="AR30" s="46">
        <v>1281</v>
      </c>
      <c r="AS30" s="45">
        <v>2111</v>
      </c>
      <c r="AT30" s="47">
        <v>88965</v>
      </c>
      <c r="AU30" s="44">
        <v>42</v>
      </c>
      <c r="AV30" s="48">
        <v>931</v>
      </c>
      <c r="AW30" s="48">
        <v>267</v>
      </c>
      <c r="AX30" s="45">
        <v>1201</v>
      </c>
      <c r="AY30" s="51">
        <v>38475</v>
      </c>
      <c r="AZ30" s="44">
        <v>49</v>
      </c>
      <c r="BA30" s="48">
        <v>953</v>
      </c>
      <c r="BB30" s="48">
        <v>811</v>
      </c>
      <c r="BC30" s="45">
        <v>1766</v>
      </c>
      <c r="BD30" s="51">
        <v>30875</v>
      </c>
      <c r="BE30" s="44">
        <v>43</v>
      </c>
      <c r="BF30" s="45">
        <v>2830</v>
      </c>
      <c r="BG30" s="45">
        <v>3209</v>
      </c>
      <c r="BH30" s="45">
        <v>6058</v>
      </c>
      <c r="BI30" s="47">
        <v>87453</v>
      </c>
      <c r="BJ30" s="44">
        <v>44</v>
      </c>
      <c r="BK30" s="45">
        <v>1860</v>
      </c>
      <c r="BL30" s="46">
        <v>1502</v>
      </c>
      <c r="BM30" s="45">
        <v>3375</v>
      </c>
      <c r="BN30" s="47">
        <v>77358</v>
      </c>
      <c r="BO30" s="44">
        <v>54</v>
      </c>
      <c r="BP30" s="48">
        <v>46</v>
      </c>
      <c r="BQ30" s="48">
        <v>5</v>
      </c>
      <c r="BR30" s="48">
        <v>51</v>
      </c>
      <c r="BS30" s="51">
        <v>1037</v>
      </c>
      <c r="BT30" s="44">
        <v>52</v>
      </c>
      <c r="BU30" s="49">
        <v>107</v>
      </c>
      <c r="BV30" s="48">
        <v>47</v>
      </c>
      <c r="BW30" s="48">
        <v>154</v>
      </c>
      <c r="BX30" s="51">
        <v>1548</v>
      </c>
      <c r="BY30" s="44">
        <v>50</v>
      </c>
      <c r="BZ30" s="48">
        <v>97</v>
      </c>
      <c r="CA30" s="48">
        <v>82</v>
      </c>
      <c r="CB30" s="48">
        <v>179</v>
      </c>
      <c r="CC30" s="51">
        <v>2665</v>
      </c>
      <c r="CD30" s="44">
        <v>56</v>
      </c>
      <c r="CE30" s="48">
        <v>65</v>
      </c>
      <c r="CF30" s="48">
        <v>23</v>
      </c>
      <c r="CG30" s="48">
        <v>88</v>
      </c>
      <c r="CH30" s="51">
        <v>1096</v>
      </c>
      <c r="CI30" s="80">
        <v>49</v>
      </c>
      <c r="CJ30" s="81">
        <v>46</v>
      </c>
      <c r="CK30" s="83">
        <v>100</v>
      </c>
      <c r="CL30" s="81">
        <v>147</v>
      </c>
      <c r="CM30" s="85">
        <v>3368</v>
      </c>
      <c r="CN30" s="80">
        <v>51</v>
      </c>
      <c r="CO30" s="81">
        <v>10</v>
      </c>
      <c r="CP30" s="81">
        <v>11</v>
      </c>
      <c r="CQ30" s="83">
        <v>21</v>
      </c>
      <c r="CR30" s="82">
        <v>250</v>
      </c>
      <c r="CS30" s="80">
        <v>45</v>
      </c>
      <c r="CT30" s="84">
        <v>24</v>
      </c>
      <c r="CU30" s="81">
        <v>12</v>
      </c>
      <c r="CV30" s="81">
        <v>36</v>
      </c>
      <c r="CW30" s="82">
        <v>739</v>
      </c>
      <c r="CX30" s="80">
        <v>60</v>
      </c>
      <c r="CY30" s="81">
        <v>8</v>
      </c>
      <c r="CZ30" s="81">
        <v>22</v>
      </c>
      <c r="DA30" s="81">
        <v>30</v>
      </c>
      <c r="DB30" s="82">
        <v>341</v>
      </c>
      <c r="DC30" s="52"/>
      <c r="DD30" s="53"/>
      <c r="DE30" s="53"/>
      <c r="DF30" s="53"/>
      <c r="DG30" s="54"/>
      <c r="DH30" s="80">
        <v>60</v>
      </c>
      <c r="DI30" s="81">
        <v>6</v>
      </c>
      <c r="DJ30" s="81">
        <v>26</v>
      </c>
      <c r="DK30" s="81">
        <v>32</v>
      </c>
      <c r="DL30" s="82">
        <v>252</v>
      </c>
    </row>
    <row r="31" spans="2:116" ht="17.5" thickBot="1" x14ac:dyDescent="0.5">
      <c r="B31" s="44">
        <v>39</v>
      </c>
      <c r="C31" s="48">
        <v>684</v>
      </c>
      <c r="D31" s="49">
        <v>950</v>
      </c>
      <c r="E31" s="45">
        <v>1642</v>
      </c>
      <c r="F31" s="47">
        <v>104450</v>
      </c>
      <c r="G31" s="44">
        <v>47</v>
      </c>
      <c r="H31" s="48">
        <v>307</v>
      </c>
      <c r="I31" s="49">
        <v>559</v>
      </c>
      <c r="J31" s="49">
        <v>871</v>
      </c>
      <c r="K31" s="51">
        <v>15885</v>
      </c>
      <c r="L31" s="44">
        <v>43</v>
      </c>
      <c r="M31" s="48">
        <v>466</v>
      </c>
      <c r="N31" s="49">
        <v>495</v>
      </c>
      <c r="O31" s="49">
        <v>963</v>
      </c>
      <c r="P31" s="51">
        <v>23236</v>
      </c>
      <c r="Q31" s="44">
        <v>41</v>
      </c>
      <c r="R31" s="48">
        <v>294</v>
      </c>
      <c r="S31" s="48">
        <v>292</v>
      </c>
      <c r="T31" s="48">
        <v>591</v>
      </c>
      <c r="U31" s="51">
        <v>19671</v>
      </c>
      <c r="V31" s="44">
        <v>42</v>
      </c>
      <c r="W31" s="49">
        <v>790</v>
      </c>
      <c r="X31" s="49">
        <v>463</v>
      </c>
      <c r="Y31" s="46">
        <v>1261</v>
      </c>
      <c r="Z31" s="51">
        <v>14306</v>
      </c>
      <c r="AA31" s="44">
        <v>46</v>
      </c>
      <c r="AB31" s="49">
        <v>251</v>
      </c>
      <c r="AC31" s="49">
        <v>222</v>
      </c>
      <c r="AD31" s="49">
        <v>476</v>
      </c>
      <c r="AE31" s="51">
        <v>8232</v>
      </c>
      <c r="AF31" s="44">
        <v>47</v>
      </c>
      <c r="AG31" s="49">
        <v>123</v>
      </c>
      <c r="AH31" s="63">
        <v>52</v>
      </c>
      <c r="AI31" s="49">
        <v>177</v>
      </c>
      <c r="AJ31" s="51">
        <v>3021</v>
      </c>
      <c r="AK31" s="44">
        <v>44</v>
      </c>
      <c r="AL31" s="48">
        <v>496</v>
      </c>
      <c r="AM31" s="48">
        <v>828</v>
      </c>
      <c r="AN31" s="45">
        <v>1332</v>
      </c>
      <c r="AO31" s="51">
        <v>17197</v>
      </c>
      <c r="AP31" s="44">
        <v>40</v>
      </c>
      <c r="AQ31" s="48">
        <v>973</v>
      </c>
      <c r="AR31" s="46">
        <v>1396</v>
      </c>
      <c r="AS31" s="45">
        <v>2376</v>
      </c>
      <c r="AT31" s="47">
        <v>91341</v>
      </c>
      <c r="AU31" s="44">
        <v>41</v>
      </c>
      <c r="AV31" s="48">
        <v>984</v>
      </c>
      <c r="AW31" s="48">
        <v>284</v>
      </c>
      <c r="AX31" s="45">
        <v>1273</v>
      </c>
      <c r="AY31" s="51">
        <v>39748</v>
      </c>
      <c r="AZ31" s="44">
        <v>48</v>
      </c>
      <c r="BA31" s="45">
        <v>1105</v>
      </c>
      <c r="BB31" s="45">
        <v>1049</v>
      </c>
      <c r="BC31" s="45">
        <v>2156</v>
      </c>
      <c r="BD31" s="51">
        <v>33031</v>
      </c>
      <c r="BE31" s="44">
        <v>42</v>
      </c>
      <c r="BF31" s="45">
        <v>1366</v>
      </c>
      <c r="BG31" s="45">
        <v>1572</v>
      </c>
      <c r="BH31" s="45">
        <v>2950</v>
      </c>
      <c r="BI31" s="47">
        <v>90403</v>
      </c>
      <c r="BJ31" s="44">
        <v>43</v>
      </c>
      <c r="BK31" s="45">
        <v>2392</v>
      </c>
      <c r="BL31" s="46">
        <v>1713</v>
      </c>
      <c r="BM31" s="45">
        <v>4115</v>
      </c>
      <c r="BN31" s="47">
        <v>81473</v>
      </c>
      <c r="BO31" s="44">
        <v>53</v>
      </c>
      <c r="BP31" s="48">
        <v>49</v>
      </c>
      <c r="BQ31" s="48">
        <v>12</v>
      </c>
      <c r="BR31" s="48">
        <v>61</v>
      </c>
      <c r="BS31" s="51">
        <v>1098</v>
      </c>
      <c r="BT31" s="44">
        <v>51</v>
      </c>
      <c r="BU31" s="48">
        <v>63</v>
      </c>
      <c r="BV31" s="48">
        <v>25</v>
      </c>
      <c r="BW31" s="48">
        <v>88</v>
      </c>
      <c r="BX31" s="51">
        <v>1636</v>
      </c>
      <c r="BY31" s="44">
        <v>49</v>
      </c>
      <c r="BZ31" s="49">
        <v>227</v>
      </c>
      <c r="CA31" s="67">
        <v>199</v>
      </c>
      <c r="CB31" s="48">
        <v>428</v>
      </c>
      <c r="CC31" s="51">
        <v>3093</v>
      </c>
      <c r="CD31" s="44">
        <v>55</v>
      </c>
      <c r="CE31" s="48">
        <v>74</v>
      </c>
      <c r="CF31" s="48">
        <v>29</v>
      </c>
      <c r="CG31" s="49">
        <v>103</v>
      </c>
      <c r="CH31" s="51">
        <v>1199</v>
      </c>
      <c r="CI31" s="80">
        <v>48</v>
      </c>
      <c r="CJ31" s="81">
        <v>75</v>
      </c>
      <c r="CK31" s="83">
        <v>102</v>
      </c>
      <c r="CL31" s="81">
        <v>177</v>
      </c>
      <c r="CM31" s="85">
        <v>3545</v>
      </c>
      <c r="CN31" s="80">
        <v>50</v>
      </c>
      <c r="CO31" s="81">
        <v>17</v>
      </c>
      <c r="CP31" s="81">
        <v>10</v>
      </c>
      <c r="CQ31" s="83">
        <v>27</v>
      </c>
      <c r="CR31" s="82">
        <v>277</v>
      </c>
      <c r="CS31" s="80">
        <v>44</v>
      </c>
      <c r="CT31" s="84">
        <v>27</v>
      </c>
      <c r="CU31" s="81">
        <v>7</v>
      </c>
      <c r="CV31" s="81">
        <v>34</v>
      </c>
      <c r="CW31" s="82">
        <v>773</v>
      </c>
      <c r="CX31" s="80">
        <v>59</v>
      </c>
      <c r="CY31" s="81">
        <v>13</v>
      </c>
      <c r="CZ31" s="81">
        <v>32</v>
      </c>
      <c r="DA31" s="81">
        <v>45</v>
      </c>
      <c r="DB31" s="82">
        <v>386</v>
      </c>
      <c r="DC31" s="52"/>
      <c r="DD31" s="53"/>
      <c r="DE31" s="53"/>
      <c r="DF31" s="53"/>
      <c r="DG31" s="54"/>
      <c r="DH31" s="80">
        <v>59</v>
      </c>
      <c r="DI31" s="81">
        <v>11</v>
      </c>
      <c r="DJ31" s="81">
        <v>38</v>
      </c>
      <c r="DK31" s="81">
        <v>49</v>
      </c>
      <c r="DL31" s="82">
        <v>301</v>
      </c>
    </row>
    <row r="32" spans="2:116" ht="17.5" thickBot="1" x14ac:dyDescent="0.5">
      <c r="B32" s="44">
        <v>38</v>
      </c>
      <c r="C32" s="48">
        <v>871</v>
      </c>
      <c r="D32" s="46">
        <v>1009</v>
      </c>
      <c r="E32" s="45">
        <v>1888</v>
      </c>
      <c r="F32" s="47">
        <v>106338</v>
      </c>
      <c r="G32" s="44">
        <v>46</v>
      </c>
      <c r="H32" s="48">
        <v>366</v>
      </c>
      <c r="I32" s="49">
        <v>642</v>
      </c>
      <c r="J32" s="46">
        <v>1010</v>
      </c>
      <c r="K32" s="51">
        <v>16895</v>
      </c>
      <c r="L32" s="44">
        <v>42</v>
      </c>
      <c r="M32" s="48">
        <v>873</v>
      </c>
      <c r="N32" s="49">
        <v>881</v>
      </c>
      <c r="O32" s="46">
        <v>1758</v>
      </c>
      <c r="P32" s="51">
        <v>24994</v>
      </c>
      <c r="Q32" s="44">
        <v>40</v>
      </c>
      <c r="R32" s="48">
        <v>384</v>
      </c>
      <c r="S32" s="48">
        <v>322</v>
      </c>
      <c r="T32" s="48">
        <v>707</v>
      </c>
      <c r="U32" s="51">
        <v>20378</v>
      </c>
      <c r="V32" s="44">
        <v>41</v>
      </c>
      <c r="W32" s="49">
        <v>565</v>
      </c>
      <c r="X32" s="49">
        <v>626</v>
      </c>
      <c r="Y32" s="46">
        <v>1197</v>
      </c>
      <c r="Z32" s="51">
        <v>15503</v>
      </c>
      <c r="AA32" s="44">
        <v>45</v>
      </c>
      <c r="AB32" s="49">
        <v>262</v>
      </c>
      <c r="AC32" s="49">
        <v>216</v>
      </c>
      <c r="AD32" s="49">
        <v>479</v>
      </c>
      <c r="AE32" s="51">
        <v>8711</v>
      </c>
      <c r="AF32" s="44">
        <v>46</v>
      </c>
      <c r="AG32" s="49">
        <v>126</v>
      </c>
      <c r="AH32" s="63">
        <v>59</v>
      </c>
      <c r="AI32" s="49">
        <v>186</v>
      </c>
      <c r="AJ32" s="51">
        <v>3207</v>
      </c>
      <c r="AK32" s="44">
        <v>43</v>
      </c>
      <c r="AL32" s="48">
        <v>362</v>
      </c>
      <c r="AM32" s="48">
        <v>399</v>
      </c>
      <c r="AN32" s="48">
        <v>762</v>
      </c>
      <c r="AO32" s="51">
        <v>17959</v>
      </c>
      <c r="AP32" s="44">
        <v>39</v>
      </c>
      <c r="AQ32" s="48">
        <v>840</v>
      </c>
      <c r="AR32" s="46">
        <v>1126</v>
      </c>
      <c r="AS32" s="45">
        <v>1974</v>
      </c>
      <c r="AT32" s="47">
        <v>93315</v>
      </c>
      <c r="AU32" s="44">
        <v>40</v>
      </c>
      <c r="AV32" s="45">
        <v>2147</v>
      </c>
      <c r="AW32" s="48">
        <v>582</v>
      </c>
      <c r="AX32" s="45">
        <v>2739</v>
      </c>
      <c r="AY32" s="51">
        <v>42487</v>
      </c>
      <c r="AZ32" s="44">
        <v>47</v>
      </c>
      <c r="BA32" s="45">
        <v>1016</v>
      </c>
      <c r="BB32" s="48">
        <v>886</v>
      </c>
      <c r="BC32" s="45">
        <v>1907</v>
      </c>
      <c r="BD32" s="51">
        <v>34938</v>
      </c>
      <c r="BE32" s="44">
        <v>41</v>
      </c>
      <c r="BF32" s="45">
        <v>1393</v>
      </c>
      <c r="BG32" s="45">
        <v>1606</v>
      </c>
      <c r="BH32" s="45">
        <v>3003</v>
      </c>
      <c r="BI32" s="47">
        <v>93406</v>
      </c>
      <c r="BJ32" s="44">
        <v>42</v>
      </c>
      <c r="BK32" s="45">
        <v>5691</v>
      </c>
      <c r="BL32" s="46">
        <v>3548</v>
      </c>
      <c r="BM32" s="45">
        <v>9273</v>
      </c>
      <c r="BN32" s="47">
        <v>90746</v>
      </c>
      <c r="BO32" s="44">
        <v>52</v>
      </c>
      <c r="BP32" s="48">
        <v>53</v>
      </c>
      <c r="BQ32" s="48">
        <v>11</v>
      </c>
      <c r="BR32" s="48">
        <v>64</v>
      </c>
      <c r="BS32" s="51">
        <v>1162</v>
      </c>
      <c r="BT32" s="44">
        <v>50</v>
      </c>
      <c r="BU32" s="48">
        <v>80</v>
      </c>
      <c r="BV32" s="48">
        <v>35</v>
      </c>
      <c r="BW32" s="48">
        <v>115</v>
      </c>
      <c r="BX32" s="51">
        <v>1751</v>
      </c>
      <c r="BY32" s="44">
        <v>48</v>
      </c>
      <c r="BZ32" s="49">
        <v>149</v>
      </c>
      <c r="CA32" s="67">
        <v>104</v>
      </c>
      <c r="CB32" s="48">
        <v>254</v>
      </c>
      <c r="CC32" s="51">
        <v>3347</v>
      </c>
      <c r="CD32" s="44">
        <v>54</v>
      </c>
      <c r="CE32" s="48">
        <v>90</v>
      </c>
      <c r="CF32" s="48">
        <v>36</v>
      </c>
      <c r="CG32" s="49">
        <v>126</v>
      </c>
      <c r="CH32" s="51">
        <v>1325</v>
      </c>
      <c r="CI32" s="80">
        <v>47</v>
      </c>
      <c r="CJ32" s="81">
        <v>49</v>
      </c>
      <c r="CK32" s="81">
        <v>82</v>
      </c>
      <c r="CL32" s="81">
        <v>131</v>
      </c>
      <c r="CM32" s="85">
        <v>3676</v>
      </c>
      <c r="CN32" s="80">
        <v>48</v>
      </c>
      <c r="CO32" s="81">
        <v>39</v>
      </c>
      <c r="CP32" s="81">
        <v>21</v>
      </c>
      <c r="CQ32" s="83">
        <v>60</v>
      </c>
      <c r="CR32" s="82">
        <v>337</v>
      </c>
      <c r="CS32" s="80">
        <v>43</v>
      </c>
      <c r="CT32" s="84">
        <v>51</v>
      </c>
      <c r="CU32" s="81">
        <v>13</v>
      </c>
      <c r="CV32" s="81">
        <v>64</v>
      </c>
      <c r="CW32" s="82">
        <v>837</v>
      </c>
      <c r="CX32" s="80">
        <v>58</v>
      </c>
      <c r="CY32" s="81">
        <v>20</v>
      </c>
      <c r="CZ32" s="81">
        <v>37</v>
      </c>
      <c r="DA32" s="81">
        <v>57</v>
      </c>
      <c r="DB32" s="82">
        <v>443</v>
      </c>
      <c r="DC32" s="52"/>
      <c r="DD32" s="53"/>
      <c r="DE32" s="53"/>
      <c r="DF32" s="53"/>
      <c r="DG32" s="54"/>
      <c r="DH32" s="80">
        <v>57</v>
      </c>
      <c r="DI32" s="81">
        <v>20</v>
      </c>
      <c r="DJ32" s="81">
        <v>42</v>
      </c>
      <c r="DK32" s="81">
        <v>62</v>
      </c>
      <c r="DL32" s="82">
        <v>363</v>
      </c>
    </row>
    <row r="33" spans="2:116" ht="17.5" thickBot="1" x14ac:dyDescent="0.5">
      <c r="B33" s="44">
        <v>37</v>
      </c>
      <c r="C33" s="48">
        <v>710</v>
      </c>
      <c r="D33" s="49">
        <v>847</v>
      </c>
      <c r="E33" s="45">
        <v>1559</v>
      </c>
      <c r="F33" s="47">
        <v>107897</v>
      </c>
      <c r="G33" s="44">
        <v>45</v>
      </c>
      <c r="H33" s="48">
        <v>382</v>
      </c>
      <c r="I33" s="49">
        <v>609</v>
      </c>
      <c r="J33" s="49">
        <v>993</v>
      </c>
      <c r="K33" s="51">
        <v>17888</v>
      </c>
      <c r="L33" s="44">
        <v>41</v>
      </c>
      <c r="M33" s="48">
        <v>371</v>
      </c>
      <c r="N33" s="49">
        <v>379</v>
      </c>
      <c r="O33" s="49">
        <v>750</v>
      </c>
      <c r="P33" s="51">
        <v>25744</v>
      </c>
      <c r="Q33" s="44">
        <v>39</v>
      </c>
      <c r="R33" s="48">
        <v>629</v>
      </c>
      <c r="S33" s="48">
        <v>496</v>
      </c>
      <c r="T33" s="45">
        <v>1129</v>
      </c>
      <c r="U33" s="51">
        <v>21507</v>
      </c>
      <c r="V33" s="44">
        <v>40</v>
      </c>
      <c r="W33" s="49">
        <v>301</v>
      </c>
      <c r="X33" s="49">
        <v>258</v>
      </c>
      <c r="Y33" s="49">
        <v>562</v>
      </c>
      <c r="Z33" s="51">
        <v>16065</v>
      </c>
      <c r="AA33" s="44">
        <v>44</v>
      </c>
      <c r="AB33" s="49">
        <v>753</v>
      </c>
      <c r="AC33" s="49">
        <v>399</v>
      </c>
      <c r="AD33" s="46">
        <v>1155</v>
      </c>
      <c r="AE33" s="51">
        <v>9866</v>
      </c>
      <c r="AF33" s="44">
        <v>45</v>
      </c>
      <c r="AG33" s="49">
        <v>126</v>
      </c>
      <c r="AH33" s="63">
        <v>61</v>
      </c>
      <c r="AI33" s="49">
        <v>188</v>
      </c>
      <c r="AJ33" s="51">
        <v>3395</v>
      </c>
      <c r="AK33" s="44">
        <v>42</v>
      </c>
      <c r="AL33" s="48">
        <v>311</v>
      </c>
      <c r="AM33" s="48">
        <v>377</v>
      </c>
      <c r="AN33" s="48">
        <v>689</v>
      </c>
      <c r="AO33" s="51">
        <v>18648</v>
      </c>
      <c r="AP33" s="44">
        <v>38</v>
      </c>
      <c r="AQ33" s="45">
        <v>2647</v>
      </c>
      <c r="AR33" s="46">
        <v>2984</v>
      </c>
      <c r="AS33" s="45">
        <v>5652</v>
      </c>
      <c r="AT33" s="47">
        <v>98967</v>
      </c>
      <c r="AU33" s="44">
        <v>39</v>
      </c>
      <c r="AV33" s="45">
        <v>1497</v>
      </c>
      <c r="AW33" s="48">
        <v>362</v>
      </c>
      <c r="AX33" s="45">
        <v>1863</v>
      </c>
      <c r="AY33" s="51">
        <v>44350</v>
      </c>
      <c r="AZ33" s="44">
        <v>46</v>
      </c>
      <c r="BA33" s="45">
        <v>1099</v>
      </c>
      <c r="BB33" s="45">
        <v>1105</v>
      </c>
      <c r="BC33" s="45">
        <v>2206</v>
      </c>
      <c r="BD33" s="51">
        <v>37144</v>
      </c>
      <c r="BE33" s="44">
        <v>40</v>
      </c>
      <c r="BF33" s="45">
        <v>1337</v>
      </c>
      <c r="BG33" s="45">
        <v>1376</v>
      </c>
      <c r="BH33" s="45">
        <v>2726</v>
      </c>
      <c r="BI33" s="47">
        <v>96132</v>
      </c>
      <c r="BJ33" s="44">
        <v>41</v>
      </c>
      <c r="BK33" s="45">
        <v>2078</v>
      </c>
      <c r="BL33" s="46">
        <v>1631</v>
      </c>
      <c r="BM33" s="45">
        <v>3720</v>
      </c>
      <c r="BN33" s="47">
        <v>94466</v>
      </c>
      <c r="BO33" s="44">
        <v>51</v>
      </c>
      <c r="BP33" s="48">
        <v>85</v>
      </c>
      <c r="BQ33" s="48">
        <v>13</v>
      </c>
      <c r="BR33" s="48">
        <v>98</v>
      </c>
      <c r="BS33" s="51">
        <v>1260</v>
      </c>
      <c r="BT33" s="44">
        <v>49</v>
      </c>
      <c r="BU33" s="48">
        <v>72</v>
      </c>
      <c r="BV33" s="48">
        <v>32</v>
      </c>
      <c r="BW33" s="48">
        <v>104</v>
      </c>
      <c r="BX33" s="51">
        <v>1855</v>
      </c>
      <c r="BY33" s="44">
        <v>47</v>
      </c>
      <c r="BZ33" s="49">
        <v>176</v>
      </c>
      <c r="CA33" s="67">
        <v>147</v>
      </c>
      <c r="CB33" s="48">
        <v>323</v>
      </c>
      <c r="CC33" s="51">
        <v>3670</v>
      </c>
      <c r="CD33" s="44">
        <v>53</v>
      </c>
      <c r="CE33" s="49">
        <v>110</v>
      </c>
      <c r="CF33" s="48">
        <v>41</v>
      </c>
      <c r="CG33" s="49">
        <v>151</v>
      </c>
      <c r="CH33" s="51">
        <v>1476</v>
      </c>
      <c r="CI33" s="80">
        <v>46</v>
      </c>
      <c r="CJ33" s="81">
        <v>70</v>
      </c>
      <c r="CK33" s="81">
        <v>84</v>
      </c>
      <c r="CL33" s="81">
        <v>154</v>
      </c>
      <c r="CM33" s="85">
        <v>3830</v>
      </c>
      <c r="CN33" s="80">
        <v>47</v>
      </c>
      <c r="CO33" s="81">
        <v>10</v>
      </c>
      <c r="CP33" s="81">
        <v>14</v>
      </c>
      <c r="CQ33" s="83">
        <v>25</v>
      </c>
      <c r="CR33" s="82">
        <v>362</v>
      </c>
      <c r="CS33" s="80">
        <v>42</v>
      </c>
      <c r="CT33" s="84">
        <v>33</v>
      </c>
      <c r="CU33" s="81">
        <v>7</v>
      </c>
      <c r="CV33" s="81">
        <v>40</v>
      </c>
      <c r="CW33" s="82">
        <v>877</v>
      </c>
      <c r="CX33" s="80">
        <v>57</v>
      </c>
      <c r="CY33" s="81">
        <v>14</v>
      </c>
      <c r="CZ33" s="81">
        <v>38</v>
      </c>
      <c r="DA33" s="81">
        <v>52</v>
      </c>
      <c r="DB33" s="82">
        <v>495</v>
      </c>
      <c r="DC33" s="52"/>
      <c r="DD33" s="53"/>
      <c r="DE33" s="53"/>
      <c r="DF33" s="53"/>
      <c r="DG33" s="54"/>
      <c r="DH33" s="80">
        <v>56</v>
      </c>
      <c r="DI33" s="81">
        <v>22</v>
      </c>
      <c r="DJ33" s="81">
        <v>51</v>
      </c>
      <c r="DK33" s="81">
        <v>73</v>
      </c>
      <c r="DL33" s="82">
        <v>436</v>
      </c>
    </row>
    <row r="34" spans="2:116" ht="17.5" thickBot="1" x14ac:dyDescent="0.5">
      <c r="B34" s="44">
        <v>36</v>
      </c>
      <c r="C34" s="45">
        <v>3179</v>
      </c>
      <c r="D34" s="46">
        <v>2065</v>
      </c>
      <c r="E34" s="45">
        <v>5282</v>
      </c>
      <c r="F34" s="47">
        <v>113179</v>
      </c>
      <c r="G34" s="44">
        <v>44</v>
      </c>
      <c r="H34" s="45">
        <v>2025</v>
      </c>
      <c r="I34" s="46">
        <v>1917</v>
      </c>
      <c r="J34" s="46">
        <v>3965</v>
      </c>
      <c r="K34" s="51">
        <v>21853</v>
      </c>
      <c r="L34" s="44">
        <v>40</v>
      </c>
      <c r="M34" s="45">
        <v>1122</v>
      </c>
      <c r="N34" s="49">
        <v>589</v>
      </c>
      <c r="O34" s="46">
        <v>1720</v>
      </c>
      <c r="P34" s="51">
        <v>27464</v>
      </c>
      <c r="Q34" s="44">
        <v>38</v>
      </c>
      <c r="R34" s="48">
        <v>630</v>
      </c>
      <c r="S34" s="48">
        <v>391</v>
      </c>
      <c r="T34" s="45">
        <v>1027</v>
      </c>
      <c r="U34" s="51">
        <v>22534</v>
      </c>
      <c r="V34" s="44">
        <v>39</v>
      </c>
      <c r="W34" s="49">
        <v>245</v>
      </c>
      <c r="X34" s="49">
        <v>261</v>
      </c>
      <c r="Y34" s="49">
        <v>509</v>
      </c>
      <c r="Z34" s="51">
        <v>16574</v>
      </c>
      <c r="AA34" s="44">
        <v>43</v>
      </c>
      <c r="AB34" s="49">
        <v>654</v>
      </c>
      <c r="AC34" s="49">
        <v>524</v>
      </c>
      <c r="AD34" s="46">
        <v>1180</v>
      </c>
      <c r="AE34" s="51">
        <v>11046</v>
      </c>
      <c r="AF34" s="44">
        <v>44</v>
      </c>
      <c r="AG34" s="49">
        <v>338</v>
      </c>
      <c r="AH34" s="49">
        <v>160</v>
      </c>
      <c r="AI34" s="49">
        <v>502</v>
      </c>
      <c r="AJ34" s="51">
        <v>3897</v>
      </c>
      <c r="AK34" s="44">
        <v>41</v>
      </c>
      <c r="AL34" s="48">
        <v>412</v>
      </c>
      <c r="AM34" s="48">
        <v>431</v>
      </c>
      <c r="AN34" s="48">
        <v>848</v>
      </c>
      <c r="AO34" s="51">
        <v>19496</v>
      </c>
      <c r="AP34" s="44">
        <v>37</v>
      </c>
      <c r="AQ34" s="48">
        <v>902</v>
      </c>
      <c r="AR34" s="46">
        <v>1090</v>
      </c>
      <c r="AS34" s="45">
        <v>2002</v>
      </c>
      <c r="AT34" s="47">
        <v>100969</v>
      </c>
      <c r="AU34" s="44">
        <v>38</v>
      </c>
      <c r="AV34" s="45">
        <v>1114</v>
      </c>
      <c r="AW34" s="48">
        <v>298</v>
      </c>
      <c r="AX34" s="45">
        <v>1418</v>
      </c>
      <c r="AY34" s="51">
        <v>45768</v>
      </c>
      <c r="AZ34" s="44">
        <v>45</v>
      </c>
      <c r="BA34" s="45">
        <v>1106</v>
      </c>
      <c r="BB34" s="48">
        <v>994</v>
      </c>
      <c r="BC34" s="45">
        <v>2104</v>
      </c>
      <c r="BD34" s="51">
        <v>39248</v>
      </c>
      <c r="BE34" s="44">
        <v>39</v>
      </c>
      <c r="BF34" s="45">
        <v>1471</v>
      </c>
      <c r="BG34" s="45">
        <v>1342</v>
      </c>
      <c r="BH34" s="45">
        <v>2820</v>
      </c>
      <c r="BI34" s="47">
        <v>98952</v>
      </c>
      <c r="BJ34" s="44">
        <v>40</v>
      </c>
      <c r="BK34" s="45">
        <v>1821</v>
      </c>
      <c r="BL34" s="46">
        <v>1348</v>
      </c>
      <c r="BM34" s="45">
        <v>3176</v>
      </c>
      <c r="BN34" s="47">
        <v>97642</v>
      </c>
      <c r="BO34" s="44">
        <v>50</v>
      </c>
      <c r="BP34" s="48">
        <v>87</v>
      </c>
      <c r="BQ34" s="48">
        <v>17</v>
      </c>
      <c r="BR34" s="67">
        <v>104</v>
      </c>
      <c r="BS34" s="51">
        <v>1364</v>
      </c>
      <c r="BT34" s="44">
        <v>48</v>
      </c>
      <c r="BU34" s="48">
        <v>99</v>
      </c>
      <c r="BV34" s="48">
        <v>47</v>
      </c>
      <c r="BW34" s="48">
        <v>147</v>
      </c>
      <c r="BX34" s="51">
        <v>2002</v>
      </c>
      <c r="BY34" s="44">
        <v>46</v>
      </c>
      <c r="BZ34" s="49">
        <v>428</v>
      </c>
      <c r="CA34" s="67">
        <v>294</v>
      </c>
      <c r="CB34" s="48">
        <v>723</v>
      </c>
      <c r="CC34" s="51">
        <v>4393</v>
      </c>
      <c r="CD34" s="44">
        <v>51</v>
      </c>
      <c r="CE34" s="49">
        <v>125</v>
      </c>
      <c r="CF34" s="48">
        <v>50</v>
      </c>
      <c r="CG34" s="49">
        <v>176</v>
      </c>
      <c r="CH34" s="51">
        <v>1652</v>
      </c>
      <c r="CI34" s="80">
        <v>45</v>
      </c>
      <c r="CJ34" s="81">
        <v>55</v>
      </c>
      <c r="CK34" s="81">
        <v>85</v>
      </c>
      <c r="CL34" s="81">
        <v>140</v>
      </c>
      <c r="CM34" s="85">
        <v>3970</v>
      </c>
      <c r="CN34" s="80">
        <v>46</v>
      </c>
      <c r="CO34" s="81">
        <v>26</v>
      </c>
      <c r="CP34" s="81">
        <v>31</v>
      </c>
      <c r="CQ34" s="83">
        <v>57</v>
      </c>
      <c r="CR34" s="82">
        <v>419</v>
      </c>
      <c r="CS34" s="80">
        <v>41</v>
      </c>
      <c r="CT34" s="84">
        <v>20</v>
      </c>
      <c r="CU34" s="81">
        <v>6</v>
      </c>
      <c r="CV34" s="81">
        <v>26</v>
      </c>
      <c r="CW34" s="82">
        <v>903</v>
      </c>
      <c r="CX34" s="80">
        <v>56</v>
      </c>
      <c r="CY34" s="81">
        <v>18</v>
      </c>
      <c r="CZ34" s="81">
        <v>47</v>
      </c>
      <c r="DA34" s="81">
        <v>65</v>
      </c>
      <c r="DB34" s="82">
        <v>560</v>
      </c>
      <c r="DC34" s="52"/>
      <c r="DD34" s="53"/>
      <c r="DE34" s="53"/>
      <c r="DF34" s="53"/>
      <c r="DG34" s="54"/>
      <c r="DH34" s="80">
        <v>55</v>
      </c>
      <c r="DI34" s="81">
        <v>22</v>
      </c>
      <c r="DJ34" s="81">
        <v>63</v>
      </c>
      <c r="DK34" s="81">
        <v>85</v>
      </c>
      <c r="DL34" s="82">
        <v>521</v>
      </c>
    </row>
    <row r="35" spans="2:116" ht="17.5" thickBot="1" x14ac:dyDescent="0.5">
      <c r="B35" s="44">
        <v>35</v>
      </c>
      <c r="C35" s="48">
        <v>623</v>
      </c>
      <c r="D35" s="49">
        <v>678</v>
      </c>
      <c r="E35" s="45">
        <v>1305</v>
      </c>
      <c r="F35" s="47">
        <v>114484</v>
      </c>
      <c r="G35" s="44">
        <v>43</v>
      </c>
      <c r="H35" s="48">
        <v>405</v>
      </c>
      <c r="I35" s="49">
        <v>620</v>
      </c>
      <c r="J35" s="46">
        <v>1027</v>
      </c>
      <c r="K35" s="51">
        <v>22880</v>
      </c>
      <c r="L35" s="44">
        <v>39</v>
      </c>
      <c r="M35" s="48">
        <v>339</v>
      </c>
      <c r="N35" s="49">
        <v>276</v>
      </c>
      <c r="O35" s="49">
        <v>618</v>
      </c>
      <c r="P35" s="51">
        <v>28082</v>
      </c>
      <c r="Q35" s="44">
        <v>37</v>
      </c>
      <c r="R35" s="48">
        <v>881</v>
      </c>
      <c r="S35" s="48">
        <v>357</v>
      </c>
      <c r="T35" s="45">
        <v>1241</v>
      </c>
      <c r="U35" s="51">
        <v>23775</v>
      </c>
      <c r="V35" s="44">
        <v>38</v>
      </c>
      <c r="W35" s="49">
        <v>401</v>
      </c>
      <c r="X35" s="49">
        <v>372</v>
      </c>
      <c r="Y35" s="49">
        <v>776</v>
      </c>
      <c r="Z35" s="51">
        <v>17350</v>
      </c>
      <c r="AA35" s="44">
        <v>42</v>
      </c>
      <c r="AB35" s="49">
        <v>277</v>
      </c>
      <c r="AC35" s="49">
        <v>240</v>
      </c>
      <c r="AD35" s="49">
        <v>519</v>
      </c>
      <c r="AE35" s="51">
        <v>11565</v>
      </c>
      <c r="AF35" s="44">
        <v>43</v>
      </c>
      <c r="AG35" s="49">
        <v>455</v>
      </c>
      <c r="AH35" s="49">
        <v>177</v>
      </c>
      <c r="AI35" s="49">
        <v>637</v>
      </c>
      <c r="AJ35" s="51">
        <v>4534</v>
      </c>
      <c r="AK35" s="44">
        <v>40</v>
      </c>
      <c r="AL35" s="48">
        <v>614</v>
      </c>
      <c r="AM35" s="48">
        <v>727</v>
      </c>
      <c r="AN35" s="45">
        <v>1349</v>
      </c>
      <c r="AO35" s="51">
        <v>20845</v>
      </c>
      <c r="AP35" s="44">
        <v>36</v>
      </c>
      <c r="AQ35" s="45">
        <v>2227</v>
      </c>
      <c r="AR35" s="46">
        <v>2202</v>
      </c>
      <c r="AS35" s="45">
        <v>4443</v>
      </c>
      <c r="AT35" s="47">
        <v>105412</v>
      </c>
      <c r="AU35" s="44">
        <v>37</v>
      </c>
      <c r="AV35" s="45">
        <v>2918</v>
      </c>
      <c r="AW35" s="48">
        <v>683</v>
      </c>
      <c r="AX35" s="45">
        <v>3621</v>
      </c>
      <c r="AY35" s="51">
        <v>49389</v>
      </c>
      <c r="AZ35" s="44">
        <v>44</v>
      </c>
      <c r="BA35" s="45">
        <v>2449</v>
      </c>
      <c r="BB35" s="45">
        <v>2245</v>
      </c>
      <c r="BC35" s="45">
        <v>4701</v>
      </c>
      <c r="BD35" s="51">
        <v>43949</v>
      </c>
      <c r="BE35" s="44">
        <v>38</v>
      </c>
      <c r="BF35" s="45">
        <v>2688</v>
      </c>
      <c r="BG35" s="45">
        <v>2338</v>
      </c>
      <c r="BH35" s="45">
        <v>5038</v>
      </c>
      <c r="BI35" s="47">
        <v>103990</v>
      </c>
      <c r="BJ35" s="44">
        <v>39</v>
      </c>
      <c r="BK35" s="45">
        <v>2040</v>
      </c>
      <c r="BL35" s="46">
        <v>1488</v>
      </c>
      <c r="BM35" s="45">
        <v>3540</v>
      </c>
      <c r="BN35" s="47">
        <v>101182</v>
      </c>
      <c r="BO35" s="44">
        <v>49</v>
      </c>
      <c r="BP35" s="48">
        <v>94</v>
      </c>
      <c r="BQ35" s="48">
        <v>15</v>
      </c>
      <c r="BR35" s="67">
        <v>111</v>
      </c>
      <c r="BS35" s="51">
        <v>1475</v>
      </c>
      <c r="BT35" s="44">
        <v>47</v>
      </c>
      <c r="BU35" s="48">
        <v>83</v>
      </c>
      <c r="BV35" s="48">
        <v>59</v>
      </c>
      <c r="BW35" s="48">
        <v>142</v>
      </c>
      <c r="BX35" s="51">
        <v>2144</v>
      </c>
      <c r="BY35" s="44">
        <v>45</v>
      </c>
      <c r="BZ35" s="49">
        <v>305</v>
      </c>
      <c r="CA35" s="67">
        <v>229</v>
      </c>
      <c r="CB35" s="48">
        <v>539</v>
      </c>
      <c r="CC35" s="51">
        <v>4932</v>
      </c>
      <c r="CD35" s="44">
        <v>50</v>
      </c>
      <c r="CE35" s="49">
        <v>141</v>
      </c>
      <c r="CF35" s="48">
        <v>57</v>
      </c>
      <c r="CG35" s="49">
        <v>199</v>
      </c>
      <c r="CH35" s="51">
        <v>1851</v>
      </c>
      <c r="CI35" s="80">
        <v>44</v>
      </c>
      <c r="CJ35" s="81">
        <v>59</v>
      </c>
      <c r="CK35" s="81">
        <v>80</v>
      </c>
      <c r="CL35" s="81">
        <v>141</v>
      </c>
      <c r="CM35" s="85">
        <v>4111</v>
      </c>
      <c r="CN35" s="80">
        <v>44</v>
      </c>
      <c r="CO35" s="81">
        <v>18</v>
      </c>
      <c r="CP35" s="81">
        <v>6</v>
      </c>
      <c r="CQ35" s="83">
        <v>24</v>
      </c>
      <c r="CR35" s="82">
        <v>443</v>
      </c>
      <c r="CS35" s="80">
        <v>40</v>
      </c>
      <c r="CT35" s="86">
        <v>148</v>
      </c>
      <c r="CU35" s="81">
        <v>42</v>
      </c>
      <c r="CV35" s="81">
        <v>192</v>
      </c>
      <c r="CW35" s="85">
        <v>1095</v>
      </c>
      <c r="CX35" s="80">
        <v>55</v>
      </c>
      <c r="CY35" s="81">
        <v>19</v>
      </c>
      <c r="CZ35" s="81">
        <v>44</v>
      </c>
      <c r="DA35" s="81">
        <v>63</v>
      </c>
      <c r="DB35" s="82">
        <v>623</v>
      </c>
      <c r="DC35" s="52"/>
      <c r="DD35" s="53"/>
      <c r="DE35" s="53"/>
      <c r="DF35" s="53"/>
      <c r="DG35" s="54"/>
      <c r="DH35" s="80">
        <v>53</v>
      </c>
      <c r="DI35" s="81">
        <v>21</v>
      </c>
      <c r="DJ35" s="81">
        <v>67</v>
      </c>
      <c r="DK35" s="81">
        <v>88</v>
      </c>
      <c r="DL35" s="82">
        <v>609</v>
      </c>
    </row>
    <row r="36" spans="2:116" ht="17.5" thickBot="1" x14ac:dyDescent="0.5">
      <c r="B36" s="44">
        <v>34</v>
      </c>
      <c r="C36" s="45">
        <v>2344</v>
      </c>
      <c r="D36" s="46">
        <v>2135</v>
      </c>
      <c r="E36" s="45">
        <v>4506</v>
      </c>
      <c r="F36" s="47">
        <v>118990</v>
      </c>
      <c r="G36" s="44">
        <v>42</v>
      </c>
      <c r="H36" s="48">
        <v>439</v>
      </c>
      <c r="I36" s="49">
        <v>640</v>
      </c>
      <c r="J36" s="46">
        <v>1086</v>
      </c>
      <c r="K36" s="51">
        <v>23966</v>
      </c>
      <c r="L36" s="44">
        <v>38</v>
      </c>
      <c r="M36" s="48">
        <v>263</v>
      </c>
      <c r="N36" s="49">
        <v>219</v>
      </c>
      <c r="O36" s="49">
        <v>484</v>
      </c>
      <c r="P36" s="51">
        <v>28566</v>
      </c>
      <c r="Q36" s="44">
        <v>36</v>
      </c>
      <c r="R36" s="48">
        <v>204</v>
      </c>
      <c r="S36" s="48">
        <v>170</v>
      </c>
      <c r="T36" s="48">
        <v>374</v>
      </c>
      <c r="U36" s="51">
        <v>24149</v>
      </c>
      <c r="V36" s="44">
        <v>37</v>
      </c>
      <c r="W36" s="49">
        <v>410</v>
      </c>
      <c r="X36" s="49">
        <v>258</v>
      </c>
      <c r="Y36" s="49">
        <v>669</v>
      </c>
      <c r="Z36" s="51">
        <v>18019</v>
      </c>
      <c r="AA36" s="44">
        <v>41</v>
      </c>
      <c r="AB36" s="49">
        <v>307</v>
      </c>
      <c r="AC36" s="49">
        <v>239</v>
      </c>
      <c r="AD36" s="49">
        <v>546</v>
      </c>
      <c r="AE36" s="51">
        <v>12111</v>
      </c>
      <c r="AF36" s="44">
        <v>42</v>
      </c>
      <c r="AG36" s="49">
        <v>373</v>
      </c>
      <c r="AH36" s="49">
        <v>156</v>
      </c>
      <c r="AI36" s="49">
        <v>532</v>
      </c>
      <c r="AJ36" s="51">
        <v>5066</v>
      </c>
      <c r="AK36" s="44">
        <v>39</v>
      </c>
      <c r="AL36" s="48">
        <v>981</v>
      </c>
      <c r="AM36" s="48">
        <v>647</v>
      </c>
      <c r="AN36" s="45">
        <v>1638</v>
      </c>
      <c r="AO36" s="51">
        <v>22483</v>
      </c>
      <c r="AP36" s="44">
        <v>35</v>
      </c>
      <c r="AQ36" s="45">
        <v>3702</v>
      </c>
      <c r="AR36" s="46">
        <v>2740</v>
      </c>
      <c r="AS36" s="45">
        <v>6470</v>
      </c>
      <c r="AT36" s="47">
        <v>111882</v>
      </c>
      <c r="AU36" s="44">
        <v>36</v>
      </c>
      <c r="AV36" s="48">
        <v>736</v>
      </c>
      <c r="AW36" s="48">
        <v>183</v>
      </c>
      <c r="AX36" s="48">
        <v>923</v>
      </c>
      <c r="AY36" s="51">
        <v>50312</v>
      </c>
      <c r="AZ36" s="44">
        <v>43</v>
      </c>
      <c r="BA36" s="45">
        <v>1334</v>
      </c>
      <c r="BB36" s="45">
        <v>1110</v>
      </c>
      <c r="BC36" s="45">
        <v>2449</v>
      </c>
      <c r="BD36" s="51">
        <v>46398</v>
      </c>
      <c r="BE36" s="44">
        <v>37</v>
      </c>
      <c r="BF36" s="45">
        <v>2613</v>
      </c>
      <c r="BG36" s="45">
        <v>1569</v>
      </c>
      <c r="BH36" s="45">
        <v>4195</v>
      </c>
      <c r="BI36" s="47">
        <v>108185</v>
      </c>
      <c r="BJ36" s="44">
        <v>38</v>
      </c>
      <c r="BK36" s="45">
        <v>3386</v>
      </c>
      <c r="BL36" s="46">
        <v>2258</v>
      </c>
      <c r="BM36" s="45">
        <v>5670</v>
      </c>
      <c r="BN36" s="47">
        <v>106852</v>
      </c>
      <c r="BO36" s="44">
        <v>48</v>
      </c>
      <c r="BP36" s="49">
        <v>254</v>
      </c>
      <c r="BQ36" s="48">
        <v>55</v>
      </c>
      <c r="BR36" s="67">
        <v>309</v>
      </c>
      <c r="BS36" s="51">
        <v>1784</v>
      </c>
      <c r="BT36" s="44">
        <v>46</v>
      </c>
      <c r="BU36" s="48">
        <v>99</v>
      </c>
      <c r="BV36" s="48">
        <v>47</v>
      </c>
      <c r="BW36" s="48">
        <v>146</v>
      </c>
      <c r="BX36" s="51">
        <v>2290</v>
      </c>
      <c r="BY36" s="44">
        <v>44</v>
      </c>
      <c r="BZ36" s="49">
        <v>223</v>
      </c>
      <c r="CA36" s="67">
        <v>156</v>
      </c>
      <c r="CB36" s="48">
        <v>381</v>
      </c>
      <c r="CC36" s="51">
        <v>5313</v>
      </c>
      <c r="CD36" s="44">
        <v>49</v>
      </c>
      <c r="CE36" s="49">
        <v>144</v>
      </c>
      <c r="CF36" s="48">
        <v>59</v>
      </c>
      <c r="CG36" s="49">
        <v>204</v>
      </c>
      <c r="CH36" s="51">
        <v>2055</v>
      </c>
      <c r="CI36" s="80">
        <v>43</v>
      </c>
      <c r="CJ36" s="81">
        <v>87</v>
      </c>
      <c r="CK36" s="81">
        <v>85</v>
      </c>
      <c r="CL36" s="81">
        <v>174</v>
      </c>
      <c r="CM36" s="85">
        <v>4285</v>
      </c>
      <c r="CN36" s="80">
        <v>43</v>
      </c>
      <c r="CO36" s="81">
        <v>101</v>
      </c>
      <c r="CP36" s="81">
        <v>38</v>
      </c>
      <c r="CQ36" s="83">
        <v>139</v>
      </c>
      <c r="CR36" s="82">
        <v>582</v>
      </c>
      <c r="CS36" s="80">
        <v>39</v>
      </c>
      <c r="CT36" s="84">
        <v>19</v>
      </c>
      <c r="CU36" s="81">
        <v>4</v>
      </c>
      <c r="CV36" s="81">
        <v>23</v>
      </c>
      <c r="CW36" s="85">
        <v>1118</v>
      </c>
      <c r="CX36" s="80">
        <v>53</v>
      </c>
      <c r="CY36" s="81">
        <v>20</v>
      </c>
      <c r="CZ36" s="81">
        <v>51</v>
      </c>
      <c r="DA36" s="81">
        <v>71</v>
      </c>
      <c r="DB36" s="82">
        <v>694</v>
      </c>
      <c r="DC36" s="52"/>
      <c r="DD36" s="53"/>
      <c r="DE36" s="53"/>
      <c r="DF36" s="53"/>
      <c r="DG36" s="54"/>
      <c r="DH36" s="80">
        <v>52</v>
      </c>
      <c r="DI36" s="81">
        <v>22</v>
      </c>
      <c r="DJ36" s="81">
        <v>63</v>
      </c>
      <c r="DK36" s="81">
        <v>85</v>
      </c>
      <c r="DL36" s="82">
        <v>694</v>
      </c>
    </row>
    <row r="37" spans="2:116" ht="17.5" thickBot="1" x14ac:dyDescent="0.5">
      <c r="B37" s="44">
        <v>33</v>
      </c>
      <c r="C37" s="48">
        <v>492</v>
      </c>
      <c r="D37" s="49">
        <v>439</v>
      </c>
      <c r="E37" s="48">
        <v>937</v>
      </c>
      <c r="F37" s="47">
        <v>119927</v>
      </c>
      <c r="G37" s="44">
        <v>41</v>
      </c>
      <c r="H37" s="48">
        <v>869</v>
      </c>
      <c r="I37" s="49">
        <v>923</v>
      </c>
      <c r="J37" s="46">
        <v>1807</v>
      </c>
      <c r="K37" s="51">
        <v>25773</v>
      </c>
      <c r="L37" s="44">
        <v>37</v>
      </c>
      <c r="M37" s="48">
        <v>663</v>
      </c>
      <c r="N37" s="49">
        <v>466</v>
      </c>
      <c r="O37" s="46">
        <v>1134</v>
      </c>
      <c r="P37" s="51">
        <v>29700</v>
      </c>
      <c r="Q37" s="44">
        <v>35</v>
      </c>
      <c r="R37" s="48">
        <v>389</v>
      </c>
      <c r="S37" s="48">
        <v>279</v>
      </c>
      <c r="T37" s="48">
        <v>672</v>
      </c>
      <c r="U37" s="51">
        <v>24821</v>
      </c>
      <c r="V37" s="44">
        <v>36</v>
      </c>
      <c r="W37" s="49">
        <v>134</v>
      </c>
      <c r="X37" s="49">
        <v>103</v>
      </c>
      <c r="Y37" s="49">
        <v>237</v>
      </c>
      <c r="Z37" s="51">
        <v>18256</v>
      </c>
      <c r="AA37" s="44">
        <v>40</v>
      </c>
      <c r="AB37" s="49">
        <v>779</v>
      </c>
      <c r="AC37" s="49">
        <v>527</v>
      </c>
      <c r="AD37" s="46">
        <v>1311</v>
      </c>
      <c r="AE37" s="51">
        <v>13422</v>
      </c>
      <c r="AF37" s="44">
        <v>41</v>
      </c>
      <c r="AG37" s="49">
        <v>109</v>
      </c>
      <c r="AH37" s="63">
        <v>62</v>
      </c>
      <c r="AI37" s="49">
        <v>171</v>
      </c>
      <c r="AJ37" s="51">
        <v>5237</v>
      </c>
      <c r="AK37" s="44">
        <v>38</v>
      </c>
      <c r="AL37" s="48">
        <v>240</v>
      </c>
      <c r="AM37" s="48">
        <v>265</v>
      </c>
      <c r="AN37" s="48">
        <v>506</v>
      </c>
      <c r="AO37" s="51">
        <v>22989</v>
      </c>
      <c r="AP37" s="44">
        <v>34</v>
      </c>
      <c r="AQ37" s="48">
        <v>559</v>
      </c>
      <c r="AR37" s="49">
        <v>602</v>
      </c>
      <c r="AS37" s="45">
        <v>1170</v>
      </c>
      <c r="AT37" s="47">
        <v>113052</v>
      </c>
      <c r="AU37" s="44">
        <v>35</v>
      </c>
      <c r="AV37" s="48">
        <v>702</v>
      </c>
      <c r="AW37" s="48">
        <v>180</v>
      </c>
      <c r="AX37" s="48">
        <v>887</v>
      </c>
      <c r="AY37" s="51">
        <v>51199</v>
      </c>
      <c r="AZ37" s="44">
        <v>42</v>
      </c>
      <c r="BA37" s="45">
        <v>1260</v>
      </c>
      <c r="BB37" s="45">
        <v>1160</v>
      </c>
      <c r="BC37" s="45">
        <v>2429</v>
      </c>
      <c r="BD37" s="51">
        <v>48827</v>
      </c>
      <c r="BE37" s="44">
        <v>36</v>
      </c>
      <c r="BF37" s="45">
        <v>1231</v>
      </c>
      <c r="BG37" s="48">
        <v>975</v>
      </c>
      <c r="BH37" s="45">
        <v>2220</v>
      </c>
      <c r="BI37" s="47">
        <v>110405</v>
      </c>
      <c r="BJ37" s="44">
        <v>37</v>
      </c>
      <c r="BK37" s="45">
        <v>1372</v>
      </c>
      <c r="BL37" s="49">
        <v>951</v>
      </c>
      <c r="BM37" s="45">
        <v>2332</v>
      </c>
      <c r="BN37" s="47">
        <v>109184</v>
      </c>
      <c r="BO37" s="44">
        <v>47</v>
      </c>
      <c r="BP37" s="49">
        <v>173</v>
      </c>
      <c r="BQ37" s="48">
        <v>33</v>
      </c>
      <c r="BR37" s="67">
        <v>207</v>
      </c>
      <c r="BS37" s="51">
        <v>1991</v>
      </c>
      <c r="BT37" s="44">
        <v>45</v>
      </c>
      <c r="BU37" s="49">
        <v>356</v>
      </c>
      <c r="BV37" s="48">
        <v>148</v>
      </c>
      <c r="BW37" s="48">
        <v>510</v>
      </c>
      <c r="BX37" s="51">
        <v>2800</v>
      </c>
      <c r="BY37" s="44">
        <v>43</v>
      </c>
      <c r="BZ37" s="49">
        <v>656</v>
      </c>
      <c r="CA37" s="67">
        <v>279</v>
      </c>
      <c r="CB37" s="48">
        <v>939</v>
      </c>
      <c r="CC37" s="51">
        <v>6252</v>
      </c>
      <c r="CD37" s="44">
        <v>48</v>
      </c>
      <c r="CE37" s="49">
        <v>170</v>
      </c>
      <c r="CF37" s="48">
        <v>72</v>
      </c>
      <c r="CG37" s="49">
        <v>242</v>
      </c>
      <c r="CH37" s="51">
        <v>2297</v>
      </c>
      <c r="CI37" s="80">
        <v>42</v>
      </c>
      <c r="CJ37" s="81">
        <v>305</v>
      </c>
      <c r="CK37" s="83">
        <v>213</v>
      </c>
      <c r="CL37" s="81">
        <v>521</v>
      </c>
      <c r="CM37" s="85">
        <v>4806</v>
      </c>
      <c r="CN37" s="80">
        <v>42</v>
      </c>
      <c r="CO37" s="81">
        <v>19</v>
      </c>
      <c r="CP37" s="81">
        <v>13</v>
      </c>
      <c r="CQ37" s="83">
        <v>32</v>
      </c>
      <c r="CR37" s="82">
        <v>614</v>
      </c>
      <c r="CS37" s="80">
        <v>38</v>
      </c>
      <c r="CT37" s="84">
        <v>26</v>
      </c>
      <c r="CU37" s="81">
        <v>4</v>
      </c>
      <c r="CV37" s="81">
        <v>30</v>
      </c>
      <c r="CW37" s="85">
        <v>1148</v>
      </c>
      <c r="CX37" s="80">
        <v>52</v>
      </c>
      <c r="CY37" s="81">
        <v>28</v>
      </c>
      <c r="CZ37" s="81">
        <v>66</v>
      </c>
      <c r="DA37" s="81">
        <v>94</v>
      </c>
      <c r="DB37" s="82">
        <v>788</v>
      </c>
      <c r="DC37" s="52"/>
      <c r="DD37" s="53"/>
      <c r="DE37" s="53"/>
      <c r="DF37" s="53"/>
      <c r="DG37" s="54"/>
      <c r="DH37" s="80">
        <v>51</v>
      </c>
      <c r="DI37" s="81">
        <v>26</v>
      </c>
      <c r="DJ37" s="81">
        <v>81</v>
      </c>
      <c r="DK37" s="81">
        <v>107</v>
      </c>
      <c r="DL37" s="82">
        <v>801</v>
      </c>
    </row>
    <row r="38" spans="2:116" ht="17.5" thickBot="1" x14ac:dyDescent="0.5">
      <c r="B38" s="44">
        <v>32</v>
      </c>
      <c r="C38" s="48">
        <v>907</v>
      </c>
      <c r="D38" s="49">
        <v>740</v>
      </c>
      <c r="E38" s="45">
        <v>1655</v>
      </c>
      <c r="F38" s="47">
        <v>121582</v>
      </c>
      <c r="G38" s="44">
        <v>40</v>
      </c>
      <c r="H38" s="48">
        <v>514</v>
      </c>
      <c r="I38" s="49">
        <v>577</v>
      </c>
      <c r="J38" s="46">
        <v>1096</v>
      </c>
      <c r="K38" s="51">
        <v>26869</v>
      </c>
      <c r="L38" s="44">
        <v>36</v>
      </c>
      <c r="M38" s="48">
        <v>224</v>
      </c>
      <c r="N38" s="49">
        <v>173</v>
      </c>
      <c r="O38" s="49">
        <v>398</v>
      </c>
      <c r="P38" s="51">
        <v>30098</v>
      </c>
      <c r="Q38" s="44">
        <v>34</v>
      </c>
      <c r="R38" s="48">
        <v>86</v>
      </c>
      <c r="S38" s="48">
        <v>50</v>
      </c>
      <c r="T38" s="48">
        <v>136</v>
      </c>
      <c r="U38" s="51">
        <v>24957</v>
      </c>
      <c r="V38" s="44">
        <v>35</v>
      </c>
      <c r="W38" s="49">
        <v>202</v>
      </c>
      <c r="X38" s="49">
        <v>189</v>
      </c>
      <c r="Y38" s="49">
        <v>392</v>
      </c>
      <c r="Z38" s="51">
        <v>18648</v>
      </c>
      <c r="AA38" s="44">
        <v>39</v>
      </c>
      <c r="AB38" s="49">
        <v>155</v>
      </c>
      <c r="AC38" s="49">
        <v>147</v>
      </c>
      <c r="AD38" s="49">
        <v>302</v>
      </c>
      <c r="AE38" s="51">
        <v>13724</v>
      </c>
      <c r="AF38" s="44">
        <v>40</v>
      </c>
      <c r="AG38" s="49">
        <v>256</v>
      </c>
      <c r="AH38" s="49">
        <v>105</v>
      </c>
      <c r="AI38" s="49">
        <v>363</v>
      </c>
      <c r="AJ38" s="51">
        <v>5600</v>
      </c>
      <c r="AK38" s="44">
        <v>37</v>
      </c>
      <c r="AL38" s="48">
        <v>433</v>
      </c>
      <c r="AM38" s="48">
        <v>398</v>
      </c>
      <c r="AN38" s="48">
        <v>833</v>
      </c>
      <c r="AO38" s="51">
        <v>23822</v>
      </c>
      <c r="AP38" s="44">
        <v>33</v>
      </c>
      <c r="AQ38" s="48">
        <v>596</v>
      </c>
      <c r="AR38" s="49">
        <v>538</v>
      </c>
      <c r="AS38" s="45">
        <v>1140</v>
      </c>
      <c r="AT38" s="47">
        <v>114192</v>
      </c>
      <c r="AU38" s="44">
        <v>34</v>
      </c>
      <c r="AV38" s="48">
        <v>721</v>
      </c>
      <c r="AW38" s="48">
        <v>219</v>
      </c>
      <c r="AX38" s="48">
        <v>946</v>
      </c>
      <c r="AY38" s="51">
        <v>52145</v>
      </c>
      <c r="AZ38" s="44">
        <v>41</v>
      </c>
      <c r="BA38" s="45">
        <v>1762</v>
      </c>
      <c r="BB38" s="45">
        <v>1141</v>
      </c>
      <c r="BC38" s="45">
        <v>2921</v>
      </c>
      <c r="BD38" s="51">
        <v>51748</v>
      </c>
      <c r="BE38" s="44">
        <v>35</v>
      </c>
      <c r="BF38" s="45">
        <v>1058</v>
      </c>
      <c r="BG38" s="48">
        <v>852</v>
      </c>
      <c r="BH38" s="45">
        <v>1916</v>
      </c>
      <c r="BI38" s="47">
        <v>112321</v>
      </c>
      <c r="BJ38" s="44">
        <v>36</v>
      </c>
      <c r="BK38" s="48">
        <v>827</v>
      </c>
      <c r="BL38" s="49">
        <v>570</v>
      </c>
      <c r="BM38" s="45">
        <v>1399</v>
      </c>
      <c r="BN38" s="47">
        <v>110583</v>
      </c>
      <c r="BO38" s="44">
        <v>46</v>
      </c>
      <c r="BP38" s="49">
        <v>255</v>
      </c>
      <c r="BQ38" s="48">
        <v>36</v>
      </c>
      <c r="BR38" s="67">
        <v>291</v>
      </c>
      <c r="BS38" s="51">
        <v>2282</v>
      </c>
      <c r="BT38" s="44">
        <v>44</v>
      </c>
      <c r="BU38" s="49">
        <v>119</v>
      </c>
      <c r="BV38" s="48">
        <v>69</v>
      </c>
      <c r="BW38" s="48">
        <v>188</v>
      </c>
      <c r="BX38" s="51">
        <v>2988</v>
      </c>
      <c r="BY38" s="44">
        <v>42</v>
      </c>
      <c r="BZ38" s="49">
        <v>406</v>
      </c>
      <c r="CA38" s="67">
        <v>270</v>
      </c>
      <c r="CB38" s="48">
        <v>677</v>
      </c>
      <c r="CC38" s="51">
        <v>6929</v>
      </c>
      <c r="CD38" s="44">
        <v>47</v>
      </c>
      <c r="CE38" s="49">
        <v>319</v>
      </c>
      <c r="CF38" s="67">
        <v>114</v>
      </c>
      <c r="CG38" s="49">
        <v>434</v>
      </c>
      <c r="CH38" s="51">
        <v>2731</v>
      </c>
      <c r="CI38" s="80">
        <v>41</v>
      </c>
      <c r="CJ38" s="81">
        <v>80</v>
      </c>
      <c r="CK38" s="81">
        <v>95</v>
      </c>
      <c r="CL38" s="81">
        <v>175</v>
      </c>
      <c r="CM38" s="85">
        <v>4981</v>
      </c>
      <c r="CN38" s="80">
        <v>40</v>
      </c>
      <c r="CO38" s="81">
        <v>4</v>
      </c>
      <c r="CP38" s="81">
        <v>4</v>
      </c>
      <c r="CQ38" s="83">
        <v>8</v>
      </c>
      <c r="CR38" s="82">
        <v>622</v>
      </c>
      <c r="CS38" s="80">
        <v>37</v>
      </c>
      <c r="CT38" s="84">
        <v>22</v>
      </c>
      <c r="CU38" s="81">
        <v>8</v>
      </c>
      <c r="CV38" s="81">
        <v>31</v>
      </c>
      <c r="CW38" s="85">
        <v>1179</v>
      </c>
      <c r="CX38" s="80">
        <v>51</v>
      </c>
      <c r="CY38" s="81">
        <v>23</v>
      </c>
      <c r="CZ38" s="81">
        <v>52</v>
      </c>
      <c r="DA38" s="81">
        <v>75</v>
      </c>
      <c r="DB38" s="82">
        <v>863</v>
      </c>
      <c r="DC38" s="52"/>
      <c r="DD38" s="53"/>
      <c r="DE38" s="53"/>
      <c r="DF38" s="53"/>
      <c r="DG38" s="54"/>
      <c r="DH38" s="80">
        <v>49</v>
      </c>
      <c r="DI38" s="81">
        <v>25</v>
      </c>
      <c r="DJ38" s="81">
        <v>74</v>
      </c>
      <c r="DK38" s="81">
        <v>99</v>
      </c>
      <c r="DL38" s="82">
        <v>900</v>
      </c>
    </row>
    <row r="39" spans="2:116" ht="17.5" thickBot="1" x14ac:dyDescent="0.5">
      <c r="B39" s="44">
        <v>31</v>
      </c>
      <c r="C39" s="48">
        <v>389</v>
      </c>
      <c r="D39" s="49">
        <v>327</v>
      </c>
      <c r="E39" s="48">
        <v>719</v>
      </c>
      <c r="F39" s="47">
        <v>122301</v>
      </c>
      <c r="G39" s="44">
        <v>39</v>
      </c>
      <c r="H39" s="48">
        <v>804</v>
      </c>
      <c r="I39" s="49">
        <v>949</v>
      </c>
      <c r="J39" s="46">
        <v>1762</v>
      </c>
      <c r="K39" s="51">
        <v>28631</v>
      </c>
      <c r="L39" s="44">
        <v>35</v>
      </c>
      <c r="M39" s="48">
        <v>283</v>
      </c>
      <c r="N39" s="49">
        <v>177</v>
      </c>
      <c r="O39" s="49">
        <v>461</v>
      </c>
      <c r="P39" s="51">
        <v>30559</v>
      </c>
      <c r="Q39" s="44">
        <v>33</v>
      </c>
      <c r="R39" s="48">
        <v>73</v>
      </c>
      <c r="S39" s="48">
        <v>46</v>
      </c>
      <c r="T39" s="48">
        <v>119</v>
      </c>
      <c r="U39" s="51">
        <v>25076</v>
      </c>
      <c r="V39" s="44">
        <v>34</v>
      </c>
      <c r="W39" s="63">
        <v>52</v>
      </c>
      <c r="X39" s="63">
        <v>40</v>
      </c>
      <c r="Y39" s="48">
        <v>93</v>
      </c>
      <c r="Z39" s="51">
        <v>18741</v>
      </c>
      <c r="AA39" s="44">
        <v>38</v>
      </c>
      <c r="AB39" s="49">
        <v>196</v>
      </c>
      <c r="AC39" s="49">
        <v>150</v>
      </c>
      <c r="AD39" s="49">
        <v>348</v>
      </c>
      <c r="AE39" s="51">
        <v>14072</v>
      </c>
      <c r="AF39" s="44">
        <v>39</v>
      </c>
      <c r="AG39" s="63">
        <v>79</v>
      </c>
      <c r="AH39" s="63">
        <v>42</v>
      </c>
      <c r="AI39" s="49">
        <v>121</v>
      </c>
      <c r="AJ39" s="51">
        <v>5721</v>
      </c>
      <c r="AK39" s="44">
        <v>36</v>
      </c>
      <c r="AL39" s="48">
        <v>504</v>
      </c>
      <c r="AM39" s="48">
        <v>445</v>
      </c>
      <c r="AN39" s="48">
        <v>958</v>
      </c>
      <c r="AO39" s="51">
        <v>24780</v>
      </c>
      <c r="AP39" s="44">
        <v>32</v>
      </c>
      <c r="AQ39" s="48">
        <v>458</v>
      </c>
      <c r="AR39" s="49">
        <v>465</v>
      </c>
      <c r="AS39" s="48">
        <v>927</v>
      </c>
      <c r="AT39" s="47">
        <v>115119</v>
      </c>
      <c r="AU39" s="44">
        <v>33</v>
      </c>
      <c r="AV39" s="48">
        <v>272</v>
      </c>
      <c r="AW39" s="48">
        <v>85</v>
      </c>
      <c r="AX39" s="48">
        <v>358</v>
      </c>
      <c r="AY39" s="51">
        <v>52503</v>
      </c>
      <c r="AZ39" s="44">
        <v>40</v>
      </c>
      <c r="BA39" s="45">
        <v>1145</v>
      </c>
      <c r="BB39" s="48">
        <v>979</v>
      </c>
      <c r="BC39" s="45">
        <v>2130</v>
      </c>
      <c r="BD39" s="51">
        <v>53878</v>
      </c>
      <c r="BE39" s="44">
        <v>34</v>
      </c>
      <c r="BF39" s="48">
        <v>784</v>
      </c>
      <c r="BG39" s="48">
        <v>543</v>
      </c>
      <c r="BH39" s="45">
        <v>1332</v>
      </c>
      <c r="BI39" s="47">
        <v>113653</v>
      </c>
      <c r="BJ39" s="44">
        <v>35</v>
      </c>
      <c r="BK39" s="45">
        <v>1960</v>
      </c>
      <c r="BL39" s="46">
        <v>1035</v>
      </c>
      <c r="BM39" s="45">
        <v>3006</v>
      </c>
      <c r="BN39" s="47">
        <v>113589</v>
      </c>
      <c r="BO39" s="44">
        <v>45</v>
      </c>
      <c r="BP39" s="49">
        <v>140</v>
      </c>
      <c r="BQ39" s="48">
        <v>37</v>
      </c>
      <c r="BR39" s="67">
        <v>177</v>
      </c>
      <c r="BS39" s="51">
        <v>2459</v>
      </c>
      <c r="BT39" s="44">
        <v>43</v>
      </c>
      <c r="BU39" s="49">
        <v>467</v>
      </c>
      <c r="BV39" s="48">
        <v>128</v>
      </c>
      <c r="BW39" s="48">
        <v>596</v>
      </c>
      <c r="BX39" s="51">
        <v>3584</v>
      </c>
      <c r="BY39" s="44">
        <v>41</v>
      </c>
      <c r="BZ39" s="49">
        <v>325</v>
      </c>
      <c r="CA39" s="67">
        <v>171</v>
      </c>
      <c r="CB39" s="48">
        <v>502</v>
      </c>
      <c r="CC39" s="51">
        <v>7431</v>
      </c>
      <c r="CD39" s="44">
        <v>46</v>
      </c>
      <c r="CE39" s="49">
        <v>188</v>
      </c>
      <c r="CF39" s="48">
        <v>81</v>
      </c>
      <c r="CG39" s="49">
        <v>269</v>
      </c>
      <c r="CH39" s="51">
        <v>3000</v>
      </c>
      <c r="CI39" s="80">
        <v>40</v>
      </c>
      <c r="CJ39" s="81">
        <v>46</v>
      </c>
      <c r="CK39" s="81">
        <v>63</v>
      </c>
      <c r="CL39" s="81">
        <v>109</v>
      </c>
      <c r="CM39" s="85">
        <v>5090</v>
      </c>
      <c r="CN39" s="80">
        <v>39</v>
      </c>
      <c r="CO39" s="81">
        <v>21</v>
      </c>
      <c r="CP39" s="81">
        <v>17</v>
      </c>
      <c r="CQ39" s="83">
        <v>38</v>
      </c>
      <c r="CR39" s="82">
        <v>660</v>
      </c>
      <c r="CS39" s="80">
        <v>36</v>
      </c>
      <c r="CT39" s="84">
        <v>11</v>
      </c>
      <c r="CU39" s="81">
        <v>10</v>
      </c>
      <c r="CV39" s="81">
        <v>21</v>
      </c>
      <c r="CW39" s="85">
        <v>1200</v>
      </c>
      <c r="CX39" s="80">
        <v>50</v>
      </c>
      <c r="CY39" s="81">
        <v>32</v>
      </c>
      <c r="CZ39" s="81">
        <v>73</v>
      </c>
      <c r="DA39" s="81">
        <v>105</v>
      </c>
      <c r="DB39" s="82">
        <v>968</v>
      </c>
      <c r="DC39" s="52"/>
      <c r="DD39" s="53"/>
      <c r="DE39" s="53"/>
      <c r="DF39" s="53"/>
      <c r="DG39" s="54"/>
      <c r="DH39" s="80">
        <v>48</v>
      </c>
      <c r="DI39" s="81">
        <v>25</v>
      </c>
      <c r="DJ39" s="81">
        <v>70</v>
      </c>
      <c r="DK39" s="81">
        <v>95</v>
      </c>
      <c r="DL39" s="82">
        <v>995</v>
      </c>
    </row>
    <row r="40" spans="2:116" ht="17.5" thickBot="1" x14ac:dyDescent="0.5">
      <c r="B40" s="44">
        <v>30</v>
      </c>
      <c r="C40" s="48">
        <v>654</v>
      </c>
      <c r="D40" s="49">
        <v>532</v>
      </c>
      <c r="E40" s="45">
        <v>1194</v>
      </c>
      <c r="F40" s="47">
        <v>123495</v>
      </c>
      <c r="G40" s="44">
        <v>38</v>
      </c>
      <c r="H40" s="48">
        <v>440</v>
      </c>
      <c r="I40" s="49">
        <v>492</v>
      </c>
      <c r="J40" s="49">
        <v>936</v>
      </c>
      <c r="K40" s="51">
        <v>29567</v>
      </c>
      <c r="L40" s="44">
        <v>34</v>
      </c>
      <c r="M40" s="48">
        <v>581</v>
      </c>
      <c r="N40" s="49">
        <v>328</v>
      </c>
      <c r="O40" s="49">
        <v>915</v>
      </c>
      <c r="P40" s="51">
        <v>31474</v>
      </c>
      <c r="Q40" s="44">
        <v>32</v>
      </c>
      <c r="R40" s="48">
        <v>71</v>
      </c>
      <c r="S40" s="48">
        <v>48</v>
      </c>
      <c r="T40" s="48">
        <v>119</v>
      </c>
      <c r="U40" s="51">
        <v>25195</v>
      </c>
      <c r="V40" s="44">
        <v>33</v>
      </c>
      <c r="W40" s="63">
        <v>27</v>
      </c>
      <c r="X40" s="63">
        <v>47</v>
      </c>
      <c r="Y40" s="48">
        <v>75</v>
      </c>
      <c r="Z40" s="51">
        <v>18816</v>
      </c>
      <c r="AA40" s="44">
        <v>37</v>
      </c>
      <c r="AB40" s="49">
        <v>142</v>
      </c>
      <c r="AC40" s="49">
        <v>147</v>
      </c>
      <c r="AD40" s="49">
        <v>290</v>
      </c>
      <c r="AE40" s="51">
        <v>14362</v>
      </c>
      <c r="AF40" s="44">
        <v>38</v>
      </c>
      <c r="AG40" s="63">
        <v>63</v>
      </c>
      <c r="AH40" s="63">
        <v>29</v>
      </c>
      <c r="AI40" s="63">
        <v>94</v>
      </c>
      <c r="AJ40" s="51">
        <v>5815</v>
      </c>
      <c r="AK40" s="44">
        <v>35</v>
      </c>
      <c r="AL40" s="48">
        <v>72</v>
      </c>
      <c r="AM40" s="48">
        <v>67</v>
      </c>
      <c r="AN40" s="48">
        <v>139</v>
      </c>
      <c r="AO40" s="51">
        <v>24919</v>
      </c>
      <c r="AP40" s="44">
        <v>31</v>
      </c>
      <c r="AQ40" s="48">
        <v>385</v>
      </c>
      <c r="AR40" s="49">
        <v>381</v>
      </c>
      <c r="AS40" s="48">
        <v>772</v>
      </c>
      <c r="AT40" s="47">
        <v>115891</v>
      </c>
      <c r="AU40" s="44">
        <v>32</v>
      </c>
      <c r="AV40" s="48">
        <v>145</v>
      </c>
      <c r="AW40" s="48">
        <v>23</v>
      </c>
      <c r="AX40" s="48">
        <v>169</v>
      </c>
      <c r="AY40" s="51">
        <v>52672</v>
      </c>
      <c r="AZ40" s="44">
        <v>39</v>
      </c>
      <c r="BA40" s="48">
        <v>974</v>
      </c>
      <c r="BB40" s="48">
        <v>720</v>
      </c>
      <c r="BC40" s="45">
        <v>1699</v>
      </c>
      <c r="BD40" s="51">
        <v>55577</v>
      </c>
      <c r="BE40" s="44">
        <v>33</v>
      </c>
      <c r="BF40" s="45">
        <v>1942</v>
      </c>
      <c r="BG40" s="45">
        <v>1240</v>
      </c>
      <c r="BH40" s="45">
        <v>3189</v>
      </c>
      <c r="BI40" s="47">
        <v>116842</v>
      </c>
      <c r="BJ40" s="44">
        <v>34</v>
      </c>
      <c r="BK40" s="45">
        <v>1016</v>
      </c>
      <c r="BL40" s="49">
        <v>564</v>
      </c>
      <c r="BM40" s="45">
        <v>1583</v>
      </c>
      <c r="BN40" s="47">
        <v>115172</v>
      </c>
      <c r="BO40" s="44">
        <v>44</v>
      </c>
      <c r="BP40" s="49">
        <v>190</v>
      </c>
      <c r="BQ40" s="48">
        <v>32</v>
      </c>
      <c r="BR40" s="67">
        <v>222</v>
      </c>
      <c r="BS40" s="51">
        <v>2681</v>
      </c>
      <c r="BT40" s="44">
        <v>42</v>
      </c>
      <c r="BU40" s="49">
        <v>122</v>
      </c>
      <c r="BV40" s="48">
        <v>54</v>
      </c>
      <c r="BW40" s="48">
        <v>177</v>
      </c>
      <c r="BX40" s="51">
        <v>3761</v>
      </c>
      <c r="BY40" s="44">
        <v>40</v>
      </c>
      <c r="BZ40" s="49">
        <v>120</v>
      </c>
      <c r="CA40" s="48">
        <v>88</v>
      </c>
      <c r="CB40" s="48">
        <v>210</v>
      </c>
      <c r="CC40" s="51">
        <v>7641</v>
      </c>
      <c r="CD40" s="44">
        <v>45</v>
      </c>
      <c r="CE40" s="49">
        <v>180</v>
      </c>
      <c r="CF40" s="48">
        <v>79</v>
      </c>
      <c r="CG40" s="49">
        <v>260</v>
      </c>
      <c r="CH40" s="51">
        <v>3260</v>
      </c>
      <c r="CI40" s="80">
        <v>39</v>
      </c>
      <c r="CJ40" s="81">
        <v>78</v>
      </c>
      <c r="CK40" s="81">
        <v>53</v>
      </c>
      <c r="CL40" s="81">
        <v>132</v>
      </c>
      <c r="CM40" s="85">
        <v>5222</v>
      </c>
      <c r="CN40" s="80">
        <v>38</v>
      </c>
      <c r="CO40" s="81">
        <v>6</v>
      </c>
      <c r="CP40" s="81">
        <v>5</v>
      </c>
      <c r="CQ40" s="83">
        <v>11</v>
      </c>
      <c r="CR40" s="82">
        <v>671</v>
      </c>
      <c r="CS40" s="80">
        <v>35</v>
      </c>
      <c r="CT40" s="84">
        <v>6</v>
      </c>
      <c r="CU40" s="81">
        <v>1</v>
      </c>
      <c r="CV40" s="81">
        <v>7</v>
      </c>
      <c r="CW40" s="85">
        <v>1207</v>
      </c>
      <c r="CX40" s="80">
        <v>49</v>
      </c>
      <c r="CY40" s="81">
        <v>36</v>
      </c>
      <c r="CZ40" s="81">
        <v>74</v>
      </c>
      <c r="DA40" s="81">
        <v>111</v>
      </c>
      <c r="DB40" s="85">
        <v>1079</v>
      </c>
      <c r="DC40" s="52"/>
      <c r="DD40" s="53"/>
      <c r="DE40" s="53"/>
      <c r="DF40" s="53"/>
      <c r="DG40" s="54"/>
      <c r="DH40" s="80">
        <v>46</v>
      </c>
      <c r="DI40" s="81">
        <v>110</v>
      </c>
      <c r="DJ40" s="81">
        <v>121</v>
      </c>
      <c r="DK40" s="81">
        <v>232</v>
      </c>
      <c r="DL40" s="85">
        <v>1227</v>
      </c>
    </row>
    <row r="41" spans="2:116" ht="17.5" thickBot="1" x14ac:dyDescent="0.5">
      <c r="B41" s="44">
        <v>29</v>
      </c>
      <c r="C41" s="48">
        <v>258</v>
      </c>
      <c r="D41" s="49">
        <v>277</v>
      </c>
      <c r="E41" s="48">
        <v>538</v>
      </c>
      <c r="F41" s="47">
        <v>124033</v>
      </c>
      <c r="G41" s="44">
        <v>37</v>
      </c>
      <c r="H41" s="48">
        <v>139</v>
      </c>
      <c r="I41" s="49">
        <v>174</v>
      </c>
      <c r="J41" s="49">
        <v>315</v>
      </c>
      <c r="K41" s="51">
        <v>29882</v>
      </c>
      <c r="L41" s="44">
        <v>33</v>
      </c>
      <c r="M41" s="48">
        <v>108</v>
      </c>
      <c r="N41" s="48">
        <v>40</v>
      </c>
      <c r="O41" s="49">
        <v>148</v>
      </c>
      <c r="P41" s="51">
        <v>31622</v>
      </c>
      <c r="Q41" s="44">
        <v>31</v>
      </c>
      <c r="R41" s="48">
        <v>43</v>
      </c>
      <c r="S41" s="48">
        <v>22</v>
      </c>
      <c r="T41" s="48">
        <v>66</v>
      </c>
      <c r="U41" s="51">
        <v>25261</v>
      </c>
      <c r="V41" s="44">
        <v>32</v>
      </c>
      <c r="W41" s="63">
        <v>19</v>
      </c>
      <c r="X41" s="63">
        <v>12</v>
      </c>
      <c r="Y41" s="48">
        <v>31</v>
      </c>
      <c r="Z41" s="51">
        <v>18847</v>
      </c>
      <c r="AA41" s="44">
        <v>36</v>
      </c>
      <c r="AB41" s="49">
        <v>115</v>
      </c>
      <c r="AC41" s="63">
        <v>89</v>
      </c>
      <c r="AD41" s="49">
        <v>205</v>
      </c>
      <c r="AE41" s="51">
        <v>14567</v>
      </c>
      <c r="AF41" s="44">
        <v>37</v>
      </c>
      <c r="AG41" s="63">
        <v>32</v>
      </c>
      <c r="AH41" s="63">
        <v>25</v>
      </c>
      <c r="AI41" s="63">
        <v>58</v>
      </c>
      <c r="AJ41" s="51">
        <v>5873</v>
      </c>
      <c r="AK41" s="44">
        <v>34</v>
      </c>
      <c r="AL41" s="48">
        <v>67</v>
      </c>
      <c r="AM41" s="48">
        <v>70</v>
      </c>
      <c r="AN41" s="48">
        <v>137</v>
      </c>
      <c r="AO41" s="51">
        <v>25056</v>
      </c>
      <c r="AP41" s="44">
        <v>30</v>
      </c>
      <c r="AQ41" s="48">
        <v>151</v>
      </c>
      <c r="AR41" s="49">
        <v>163</v>
      </c>
      <c r="AS41" s="48">
        <v>314</v>
      </c>
      <c r="AT41" s="47">
        <v>116205</v>
      </c>
      <c r="AU41" s="44">
        <v>31</v>
      </c>
      <c r="AV41" s="48">
        <v>144</v>
      </c>
      <c r="AW41" s="48">
        <v>39</v>
      </c>
      <c r="AX41" s="48">
        <v>183</v>
      </c>
      <c r="AY41" s="51">
        <v>52855</v>
      </c>
      <c r="AZ41" s="44">
        <v>38</v>
      </c>
      <c r="BA41" s="45">
        <v>1097</v>
      </c>
      <c r="BB41" s="48">
        <v>787</v>
      </c>
      <c r="BC41" s="45">
        <v>1889</v>
      </c>
      <c r="BD41" s="51">
        <v>57466</v>
      </c>
      <c r="BE41" s="44">
        <v>32</v>
      </c>
      <c r="BF41" s="48">
        <v>317</v>
      </c>
      <c r="BG41" s="48">
        <v>210</v>
      </c>
      <c r="BH41" s="48">
        <v>530</v>
      </c>
      <c r="BI41" s="47">
        <v>117372</v>
      </c>
      <c r="BJ41" s="44">
        <v>33</v>
      </c>
      <c r="BK41" s="48">
        <v>324</v>
      </c>
      <c r="BL41" s="49">
        <v>168</v>
      </c>
      <c r="BM41" s="48">
        <v>494</v>
      </c>
      <c r="BN41" s="47">
        <v>115666</v>
      </c>
      <c r="BO41" s="44">
        <v>43</v>
      </c>
      <c r="BP41" s="49">
        <v>522</v>
      </c>
      <c r="BQ41" s="48">
        <v>86</v>
      </c>
      <c r="BR41" s="67">
        <v>611</v>
      </c>
      <c r="BS41" s="51">
        <v>3292</v>
      </c>
      <c r="BT41" s="44">
        <v>41</v>
      </c>
      <c r="BU41" s="49">
        <v>151</v>
      </c>
      <c r="BV41" s="48">
        <v>66</v>
      </c>
      <c r="BW41" s="48">
        <v>220</v>
      </c>
      <c r="BX41" s="51">
        <v>3981</v>
      </c>
      <c r="BY41" s="44">
        <v>39</v>
      </c>
      <c r="BZ41" s="49">
        <v>119</v>
      </c>
      <c r="CA41" s="48">
        <v>87</v>
      </c>
      <c r="CB41" s="48">
        <v>206</v>
      </c>
      <c r="CC41" s="51">
        <v>7847</v>
      </c>
      <c r="CD41" s="44">
        <v>44</v>
      </c>
      <c r="CE41" s="49">
        <v>534</v>
      </c>
      <c r="CF41" s="67">
        <v>139</v>
      </c>
      <c r="CG41" s="49">
        <v>676</v>
      </c>
      <c r="CH41" s="51">
        <v>3936</v>
      </c>
      <c r="CI41" s="80">
        <v>38</v>
      </c>
      <c r="CJ41" s="81">
        <v>55</v>
      </c>
      <c r="CK41" s="81">
        <v>58</v>
      </c>
      <c r="CL41" s="81">
        <v>113</v>
      </c>
      <c r="CM41" s="85">
        <v>5335</v>
      </c>
      <c r="CN41" s="80">
        <v>37</v>
      </c>
      <c r="CO41" s="81">
        <v>6</v>
      </c>
      <c r="CP41" s="81">
        <v>1</v>
      </c>
      <c r="CQ41" s="83">
        <v>7</v>
      </c>
      <c r="CR41" s="82">
        <v>678</v>
      </c>
      <c r="CS41" s="80">
        <v>34</v>
      </c>
      <c r="CT41" s="84">
        <v>4</v>
      </c>
      <c r="CU41" s="81">
        <v>1</v>
      </c>
      <c r="CV41" s="81">
        <v>5</v>
      </c>
      <c r="CW41" s="85">
        <v>1212</v>
      </c>
      <c r="CX41" s="80">
        <v>48</v>
      </c>
      <c r="CY41" s="81">
        <v>74</v>
      </c>
      <c r="CZ41" s="86">
        <v>120</v>
      </c>
      <c r="DA41" s="81">
        <v>194</v>
      </c>
      <c r="DB41" s="85">
        <v>1273</v>
      </c>
      <c r="DC41" s="52"/>
      <c r="DD41" s="53"/>
      <c r="DE41" s="53"/>
      <c r="DF41" s="53"/>
      <c r="DG41" s="54"/>
      <c r="DH41" s="80">
        <v>45</v>
      </c>
      <c r="DI41" s="81">
        <v>23</v>
      </c>
      <c r="DJ41" s="81">
        <v>56</v>
      </c>
      <c r="DK41" s="81">
        <v>81</v>
      </c>
      <c r="DL41" s="85">
        <v>1308</v>
      </c>
    </row>
    <row r="42" spans="2:116" ht="17.5" thickBot="1" x14ac:dyDescent="0.5">
      <c r="B42" s="44">
        <v>28</v>
      </c>
      <c r="C42" s="48">
        <v>585</v>
      </c>
      <c r="D42" s="49">
        <v>416</v>
      </c>
      <c r="E42" s="45">
        <v>1007</v>
      </c>
      <c r="F42" s="47">
        <v>125040</v>
      </c>
      <c r="G42" s="44">
        <v>36</v>
      </c>
      <c r="H42" s="48">
        <v>169</v>
      </c>
      <c r="I42" s="49">
        <v>176</v>
      </c>
      <c r="J42" s="49">
        <v>347</v>
      </c>
      <c r="K42" s="51">
        <v>30229</v>
      </c>
      <c r="L42" s="44">
        <v>32</v>
      </c>
      <c r="M42" s="48">
        <v>185</v>
      </c>
      <c r="N42" s="49">
        <v>109</v>
      </c>
      <c r="O42" s="49">
        <v>295</v>
      </c>
      <c r="P42" s="51">
        <v>31917</v>
      </c>
      <c r="Q42" s="44">
        <v>29</v>
      </c>
      <c r="R42" s="48">
        <v>8</v>
      </c>
      <c r="S42" s="48">
        <v>2</v>
      </c>
      <c r="T42" s="48">
        <v>10</v>
      </c>
      <c r="U42" s="51">
        <v>25271</v>
      </c>
      <c r="V42" s="52"/>
      <c r="W42" s="53"/>
      <c r="X42" s="53"/>
      <c r="Y42" s="53"/>
      <c r="Z42" s="54"/>
      <c r="AA42" s="44">
        <v>35</v>
      </c>
      <c r="AB42" s="63">
        <v>53</v>
      </c>
      <c r="AC42" s="63">
        <v>42</v>
      </c>
      <c r="AD42" s="48">
        <v>95</v>
      </c>
      <c r="AE42" s="51">
        <v>14662</v>
      </c>
      <c r="AF42" s="44">
        <v>36</v>
      </c>
      <c r="AG42" s="63">
        <v>52</v>
      </c>
      <c r="AH42" s="63">
        <v>31</v>
      </c>
      <c r="AI42" s="63">
        <v>84</v>
      </c>
      <c r="AJ42" s="51">
        <v>5957</v>
      </c>
      <c r="AK42" s="44">
        <v>33</v>
      </c>
      <c r="AL42" s="48">
        <v>82</v>
      </c>
      <c r="AM42" s="48">
        <v>80</v>
      </c>
      <c r="AN42" s="48">
        <v>162</v>
      </c>
      <c r="AO42" s="51">
        <v>25218</v>
      </c>
      <c r="AP42" s="44">
        <v>28</v>
      </c>
      <c r="AQ42" s="48">
        <v>72</v>
      </c>
      <c r="AR42" s="48">
        <v>56</v>
      </c>
      <c r="AS42" s="48">
        <v>128</v>
      </c>
      <c r="AT42" s="47">
        <v>116333</v>
      </c>
      <c r="AU42" s="44">
        <v>30</v>
      </c>
      <c r="AV42" s="48">
        <v>67</v>
      </c>
      <c r="AW42" s="48">
        <v>9</v>
      </c>
      <c r="AX42" s="48">
        <v>76</v>
      </c>
      <c r="AY42" s="51">
        <v>52931</v>
      </c>
      <c r="AZ42" s="44">
        <v>37</v>
      </c>
      <c r="BA42" s="48">
        <v>879</v>
      </c>
      <c r="BB42" s="48">
        <v>683</v>
      </c>
      <c r="BC42" s="45">
        <v>1565</v>
      </c>
      <c r="BD42" s="51">
        <v>59031</v>
      </c>
      <c r="BE42" s="44">
        <v>31</v>
      </c>
      <c r="BF42" s="48">
        <v>448</v>
      </c>
      <c r="BG42" s="48">
        <v>239</v>
      </c>
      <c r="BH42" s="48">
        <v>690</v>
      </c>
      <c r="BI42" s="47">
        <v>118062</v>
      </c>
      <c r="BJ42" s="44">
        <v>32</v>
      </c>
      <c r="BK42" s="48">
        <v>126</v>
      </c>
      <c r="BL42" s="48">
        <v>60</v>
      </c>
      <c r="BM42" s="48">
        <v>187</v>
      </c>
      <c r="BN42" s="47">
        <v>115853</v>
      </c>
      <c r="BO42" s="44">
        <v>42</v>
      </c>
      <c r="BP42" s="49">
        <v>159</v>
      </c>
      <c r="BQ42" s="48">
        <v>39</v>
      </c>
      <c r="BR42" s="67">
        <v>201</v>
      </c>
      <c r="BS42" s="51">
        <v>3493</v>
      </c>
      <c r="BT42" s="44">
        <v>40</v>
      </c>
      <c r="BU42" s="49">
        <v>121</v>
      </c>
      <c r="BV42" s="48">
        <v>64</v>
      </c>
      <c r="BW42" s="48">
        <v>185</v>
      </c>
      <c r="BX42" s="51">
        <v>4166</v>
      </c>
      <c r="BY42" s="44">
        <v>38</v>
      </c>
      <c r="BZ42" s="48">
        <v>33</v>
      </c>
      <c r="CA42" s="48">
        <v>43</v>
      </c>
      <c r="CB42" s="48">
        <v>76</v>
      </c>
      <c r="CC42" s="51">
        <v>7923</v>
      </c>
      <c r="CD42" s="44">
        <v>43</v>
      </c>
      <c r="CE42" s="49">
        <v>128</v>
      </c>
      <c r="CF42" s="48">
        <v>55</v>
      </c>
      <c r="CG42" s="49">
        <v>184</v>
      </c>
      <c r="CH42" s="51">
        <v>4120</v>
      </c>
      <c r="CI42" s="80">
        <v>37</v>
      </c>
      <c r="CJ42" s="81">
        <v>38</v>
      </c>
      <c r="CK42" s="81">
        <v>41</v>
      </c>
      <c r="CL42" s="81">
        <v>79</v>
      </c>
      <c r="CM42" s="85">
        <v>5414</v>
      </c>
      <c r="CN42" s="80">
        <v>35</v>
      </c>
      <c r="CO42" s="81">
        <v>5</v>
      </c>
      <c r="CP42" s="81">
        <v>1</v>
      </c>
      <c r="CQ42" s="83">
        <v>6</v>
      </c>
      <c r="CR42" s="82">
        <v>684</v>
      </c>
      <c r="CS42" s="80">
        <v>33</v>
      </c>
      <c r="CT42" s="84">
        <v>2</v>
      </c>
      <c r="CU42" s="81">
        <v>0</v>
      </c>
      <c r="CV42" s="81">
        <v>2</v>
      </c>
      <c r="CW42" s="85">
        <v>1214</v>
      </c>
      <c r="CX42" s="80">
        <v>46</v>
      </c>
      <c r="CY42" s="81">
        <v>56</v>
      </c>
      <c r="CZ42" s="86">
        <v>127</v>
      </c>
      <c r="DA42" s="81">
        <v>183</v>
      </c>
      <c r="DB42" s="85">
        <v>1456</v>
      </c>
      <c r="DC42" s="52"/>
      <c r="DD42" s="53"/>
      <c r="DE42" s="53"/>
      <c r="DF42" s="53"/>
      <c r="DG42" s="54"/>
      <c r="DH42" s="80">
        <v>44</v>
      </c>
      <c r="DI42" s="81">
        <v>46</v>
      </c>
      <c r="DJ42" s="81">
        <v>45</v>
      </c>
      <c r="DK42" s="81">
        <v>91</v>
      </c>
      <c r="DL42" s="85">
        <v>1399</v>
      </c>
    </row>
    <row r="43" spans="2:116" ht="17.5" thickBot="1" x14ac:dyDescent="0.5">
      <c r="B43" s="44">
        <v>27</v>
      </c>
      <c r="C43" s="48">
        <v>89</v>
      </c>
      <c r="D43" s="48">
        <v>65</v>
      </c>
      <c r="E43" s="48">
        <v>155</v>
      </c>
      <c r="F43" s="47">
        <v>125195</v>
      </c>
      <c r="G43" s="44">
        <v>35</v>
      </c>
      <c r="H43" s="48">
        <v>84</v>
      </c>
      <c r="I43" s="49">
        <v>103</v>
      </c>
      <c r="J43" s="49">
        <v>188</v>
      </c>
      <c r="K43" s="51">
        <v>30417</v>
      </c>
      <c r="L43" s="44">
        <v>31</v>
      </c>
      <c r="M43" s="48">
        <v>33</v>
      </c>
      <c r="N43" s="48">
        <v>9</v>
      </c>
      <c r="O43" s="48">
        <v>42</v>
      </c>
      <c r="P43" s="51">
        <v>31959</v>
      </c>
      <c r="Q43" s="52"/>
      <c r="R43" s="53"/>
      <c r="S43" s="53"/>
      <c r="T43" s="53"/>
      <c r="U43" s="54"/>
      <c r="V43" s="52"/>
      <c r="W43" s="53"/>
      <c r="X43" s="53"/>
      <c r="Y43" s="53"/>
      <c r="Z43" s="54"/>
      <c r="AA43" s="44">
        <v>33</v>
      </c>
      <c r="AB43" s="63">
        <v>23</v>
      </c>
      <c r="AC43" s="63">
        <v>12</v>
      </c>
      <c r="AD43" s="48">
        <v>35</v>
      </c>
      <c r="AE43" s="51">
        <v>14697</v>
      </c>
      <c r="AF43" s="44">
        <v>34</v>
      </c>
      <c r="AG43" s="63">
        <v>14</v>
      </c>
      <c r="AH43" s="63">
        <v>3</v>
      </c>
      <c r="AI43" s="63">
        <v>17</v>
      </c>
      <c r="AJ43" s="51">
        <v>5974</v>
      </c>
      <c r="AK43" s="44">
        <v>32</v>
      </c>
      <c r="AL43" s="48">
        <v>30</v>
      </c>
      <c r="AM43" s="48">
        <v>25</v>
      </c>
      <c r="AN43" s="48">
        <v>55</v>
      </c>
      <c r="AO43" s="51">
        <v>25273</v>
      </c>
      <c r="AP43" s="52"/>
      <c r="AQ43" s="53"/>
      <c r="AR43" s="53"/>
      <c r="AS43" s="53"/>
      <c r="AT43" s="54"/>
      <c r="AU43" s="52"/>
      <c r="AV43" s="53"/>
      <c r="AW43" s="53"/>
      <c r="AX43" s="53"/>
      <c r="AY43" s="54"/>
      <c r="AZ43" s="44">
        <v>36</v>
      </c>
      <c r="BA43" s="48">
        <v>913</v>
      </c>
      <c r="BB43" s="48">
        <v>537</v>
      </c>
      <c r="BC43" s="45">
        <v>1456</v>
      </c>
      <c r="BD43" s="51">
        <v>60487</v>
      </c>
      <c r="BE43" s="44">
        <v>30</v>
      </c>
      <c r="BF43" s="48">
        <v>205</v>
      </c>
      <c r="BG43" s="48">
        <v>127</v>
      </c>
      <c r="BH43" s="48">
        <v>333</v>
      </c>
      <c r="BI43" s="47">
        <v>118395</v>
      </c>
      <c r="BJ43" s="44">
        <v>31</v>
      </c>
      <c r="BK43" s="48">
        <v>190</v>
      </c>
      <c r="BL43" s="48">
        <v>85</v>
      </c>
      <c r="BM43" s="48">
        <v>275</v>
      </c>
      <c r="BN43" s="47">
        <v>116128</v>
      </c>
      <c r="BO43" s="44">
        <v>41</v>
      </c>
      <c r="BP43" s="49">
        <v>141</v>
      </c>
      <c r="BQ43" s="48">
        <v>28</v>
      </c>
      <c r="BR43" s="67">
        <v>170</v>
      </c>
      <c r="BS43" s="51">
        <v>3663</v>
      </c>
      <c r="BT43" s="44">
        <v>39</v>
      </c>
      <c r="BU43" s="49">
        <v>129</v>
      </c>
      <c r="BV43" s="48">
        <v>58</v>
      </c>
      <c r="BW43" s="48">
        <v>187</v>
      </c>
      <c r="BX43" s="51">
        <v>4353</v>
      </c>
      <c r="BY43" s="44">
        <v>36</v>
      </c>
      <c r="BZ43" s="48">
        <v>15</v>
      </c>
      <c r="CA43" s="48">
        <v>5</v>
      </c>
      <c r="CB43" s="48">
        <v>20</v>
      </c>
      <c r="CC43" s="51">
        <v>7943</v>
      </c>
      <c r="CD43" s="44">
        <v>42</v>
      </c>
      <c r="CE43" s="49">
        <v>178</v>
      </c>
      <c r="CF43" s="48">
        <v>65</v>
      </c>
      <c r="CG43" s="49">
        <v>244</v>
      </c>
      <c r="CH43" s="51">
        <v>4364</v>
      </c>
      <c r="CI43" s="80">
        <v>36</v>
      </c>
      <c r="CJ43" s="81">
        <v>82</v>
      </c>
      <c r="CK43" s="81">
        <v>72</v>
      </c>
      <c r="CL43" s="81">
        <v>154</v>
      </c>
      <c r="CM43" s="85">
        <v>5568</v>
      </c>
      <c r="CN43" s="80">
        <v>33</v>
      </c>
      <c r="CO43" s="81">
        <v>4</v>
      </c>
      <c r="CP43" s="81">
        <v>2</v>
      </c>
      <c r="CQ43" s="83">
        <v>6</v>
      </c>
      <c r="CR43" s="82">
        <v>690</v>
      </c>
      <c r="CS43" s="80">
        <v>32</v>
      </c>
      <c r="CT43" s="84">
        <v>2</v>
      </c>
      <c r="CU43" s="81">
        <v>0</v>
      </c>
      <c r="CV43" s="81">
        <v>2</v>
      </c>
      <c r="CW43" s="85">
        <v>1216</v>
      </c>
      <c r="CX43" s="80">
        <v>45</v>
      </c>
      <c r="CY43" s="81">
        <v>50</v>
      </c>
      <c r="CZ43" s="81">
        <v>81</v>
      </c>
      <c r="DA43" s="81">
        <v>132</v>
      </c>
      <c r="DB43" s="85">
        <v>1588</v>
      </c>
      <c r="DC43" s="52"/>
      <c r="DD43" s="53"/>
      <c r="DE43" s="53"/>
      <c r="DF43" s="53"/>
      <c r="DG43" s="54"/>
      <c r="DH43" s="80">
        <v>42</v>
      </c>
      <c r="DI43" s="81">
        <v>39</v>
      </c>
      <c r="DJ43" s="81">
        <v>70</v>
      </c>
      <c r="DK43" s="81">
        <v>110</v>
      </c>
      <c r="DL43" s="85">
        <v>1509</v>
      </c>
    </row>
    <row r="44" spans="2:116" ht="17.5" thickBot="1" x14ac:dyDescent="0.5">
      <c r="B44" s="44">
        <v>26</v>
      </c>
      <c r="C44" s="48">
        <v>75</v>
      </c>
      <c r="D44" s="48">
        <v>61</v>
      </c>
      <c r="E44" s="48">
        <v>138</v>
      </c>
      <c r="F44" s="47">
        <v>125333</v>
      </c>
      <c r="G44" s="44">
        <v>34</v>
      </c>
      <c r="H44" s="48">
        <v>120</v>
      </c>
      <c r="I44" s="49">
        <v>111</v>
      </c>
      <c r="J44" s="49">
        <v>231</v>
      </c>
      <c r="K44" s="51">
        <v>30648</v>
      </c>
      <c r="L44" s="44">
        <v>30</v>
      </c>
      <c r="M44" s="48">
        <v>62</v>
      </c>
      <c r="N44" s="48">
        <v>36</v>
      </c>
      <c r="O44" s="48">
        <v>98</v>
      </c>
      <c r="P44" s="51">
        <v>32057</v>
      </c>
      <c r="Q44" s="52"/>
      <c r="R44" s="53"/>
      <c r="S44" s="53"/>
      <c r="T44" s="53"/>
      <c r="U44" s="54"/>
      <c r="V44" s="52"/>
      <c r="W44" s="53"/>
      <c r="X44" s="53"/>
      <c r="Y44" s="53"/>
      <c r="Z44" s="54"/>
      <c r="AA44" s="52"/>
      <c r="AB44" s="53"/>
      <c r="AC44" s="53"/>
      <c r="AD44" s="53"/>
      <c r="AE44" s="54"/>
      <c r="AF44" s="52"/>
      <c r="AG44" s="53"/>
      <c r="AH44" s="53"/>
      <c r="AI44" s="53"/>
      <c r="AJ44" s="54"/>
      <c r="AK44" s="52"/>
      <c r="AL44" s="53"/>
      <c r="AM44" s="53"/>
      <c r="AN44" s="53"/>
      <c r="AO44" s="54"/>
      <c r="AP44" s="52"/>
      <c r="AQ44" s="53"/>
      <c r="AR44" s="53"/>
      <c r="AS44" s="53"/>
      <c r="AT44" s="54"/>
      <c r="AU44" s="52"/>
      <c r="AV44" s="53"/>
      <c r="AW44" s="53"/>
      <c r="AX44" s="53"/>
      <c r="AY44" s="54"/>
      <c r="AZ44" s="44">
        <v>35</v>
      </c>
      <c r="BA44" s="48">
        <v>521</v>
      </c>
      <c r="BB44" s="48">
        <v>400</v>
      </c>
      <c r="BC44" s="48">
        <v>923</v>
      </c>
      <c r="BD44" s="51">
        <v>61410</v>
      </c>
      <c r="BE44" s="44">
        <v>29</v>
      </c>
      <c r="BF44" s="48">
        <v>114</v>
      </c>
      <c r="BG44" s="48">
        <v>61</v>
      </c>
      <c r="BH44" s="48">
        <v>176</v>
      </c>
      <c r="BI44" s="47">
        <v>118571</v>
      </c>
      <c r="BJ44" s="44">
        <v>30</v>
      </c>
      <c r="BK44" s="48">
        <v>72</v>
      </c>
      <c r="BL44" s="48">
        <v>28</v>
      </c>
      <c r="BM44" s="48">
        <v>100</v>
      </c>
      <c r="BN44" s="47">
        <v>116228</v>
      </c>
      <c r="BO44" s="44">
        <v>40</v>
      </c>
      <c r="BP44" s="48">
        <v>73</v>
      </c>
      <c r="BQ44" s="48">
        <v>16</v>
      </c>
      <c r="BR44" s="48">
        <v>89</v>
      </c>
      <c r="BS44" s="51">
        <v>3752</v>
      </c>
      <c r="BT44" s="44">
        <v>38</v>
      </c>
      <c r="BU44" s="48">
        <v>37</v>
      </c>
      <c r="BV44" s="48">
        <v>21</v>
      </c>
      <c r="BW44" s="48">
        <v>58</v>
      </c>
      <c r="BX44" s="51">
        <v>4411</v>
      </c>
      <c r="BY44" s="52"/>
      <c r="BZ44" s="53"/>
      <c r="CA44" s="53"/>
      <c r="CB44" s="53"/>
      <c r="CC44" s="54"/>
      <c r="CD44" s="44">
        <v>41</v>
      </c>
      <c r="CE44" s="49">
        <v>158</v>
      </c>
      <c r="CF44" s="48">
        <v>60</v>
      </c>
      <c r="CG44" s="49">
        <v>219</v>
      </c>
      <c r="CH44" s="51">
        <v>4583</v>
      </c>
      <c r="CI44" s="80">
        <v>35</v>
      </c>
      <c r="CJ44" s="81">
        <v>33</v>
      </c>
      <c r="CK44" s="81">
        <v>47</v>
      </c>
      <c r="CL44" s="81">
        <v>81</v>
      </c>
      <c r="CM44" s="85">
        <v>5649</v>
      </c>
      <c r="CN44" s="52"/>
      <c r="CO44" s="53"/>
      <c r="CP44" s="53"/>
      <c r="CQ44" s="53"/>
      <c r="CR44" s="54"/>
      <c r="CS44" s="52"/>
      <c r="CT44" s="53"/>
      <c r="CU44" s="53"/>
      <c r="CV44" s="53"/>
      <c r="CW44" s="54"/>
      <c r="CX44" s="80">
        <v>44</v>
      </c>
      <c r="CY44" s="81">
        <v>39</v>
      </c>
      <c r="CZ44" s="81">
        <v>79</v>
      </c>
      <c r="DA44" s="81">
        <v>118</v>
      </c>
      <c r="DB44" s="85">
        <v>1706</v>
      </c>
      <c r="DC44" s="52"/>
      <c r="DD44" s="53"/>
      <c r="DE44" s="53"/>
      <c r="DF44" s="53"/>
      <c r="DG44" s="54"/>
      <c r="DH44" s="80">
        <v>41</v>
      </c>
      <c r="DI44" s="81">
        <v>42</v>
      </c>
      <c r="DJ44" s="81">
        <v>58</v>
      </c>
      <c r="DK44" s="81">
        <v>100</v>
      </c>
      <c r="DL44" s="85">
        <v>1609</v>
      </c>
    </row>
    <row r="45" spans="2:116" ht="17.5" thickBot="1" x14ac:dyDescent="0.5">
      <c r="B45" s="44">
        <v>25</v>
      </c>
      <c r="C45" s="48">
        <v>82</v>
      </c>
      <c r="D45" s="48">
        <v>58</v>
      </c>
      <c r="E45" s="48">
        <v>141</v>
      </c>
      <c r="F45" s="47">
        <v>125474</v>
      </c>
      <c r="G45" s="44">
        <v>32</v>
      </c>
      <c r="H45" s="48">
        <v>35</v>
      </c>
      <c r="I45" s="48">
        <v>25</v>
      </c>
      <c r="J45" s="48">
        <v>60</v>
      </c>
      <c r="K45" s="51">
        <v>30708</v>
      </c>
      <c r="L45" s="44">
        <v>28</v>
      </c>
      <c r="M45" s="48">
        <v>13</v>
      </c>
      <c r="N45" s="48">
        <v>6</v>
      </c>
      <c r="O45" s="48">
        <v>19</v>
      </c>
      <c r="P45" s="51">
        <v>32076</v>
      </c>
      <c r="Q45" s="52"/>
      <c r="R45" s="53"/>
      <c r="S45" s="53"/>
      <c r="T45" s="53"/>
      <c r="U45" s="54"/>
      <c r="V45" s="52"/>
      <c r="W45" s="53"/>
      <c r="X45" s="53"/>
      <c r="Y45" s="53"/>
      <c r="Z45" s="54"/>
      <c r="AA45" s="52"/>
      <c r="AB45" s="53"/>
      <c r="AC45" s="53"/>
      <c r="AD45" s="53"/>
      <c r="AE45" s="54"/>
      <c r="AF45" s="52"/>
      <c r="AG45" s="53"/>
      <c r="AH45" s="53"/>
      <c r="AI45" s="53"/>
      <c r="AJ45" s="54"/>
      <c r="AK45" s="52"/>
      <c r="AL45" s="53"/>
      <c r="AM45" s="53"/>
      <c r="AN45" s="53"/>
      <c r="AO45" s="54"/>
      <c r="AP45" s="52"/>
      <c r="AQ45" s="53"/>
      <c r="AR45" s="53"/>
      <c r="AS45" s="53"/>
      <c r="AT45" s="54"/>
      <c r="AU45" s="52"/>
      <c r="AV45" s="53"/>
      <c r="AW45" s="53"/>
      <c r="AX45" s="53"/>
      <c r="AY45" s="54"/>
      <c r="AZ45" s="44">
        <v>34</v>
      </c>
      <c r="BA45" s="48">
        <v>288</v>
      </c>
      <c r="BB45" s="48">
        <v>176</v>
      </c>
      <c r="BC45" s="48">
        <v>465</v>
      </c>
      <c r="BD45" s="51">
        <v>61875</v>
      </c>
      <c r="BE45" s="44">
        <v>28</v>
      </c>
      <c r="BF45" s="48">
        <v>130</v>
      </c>
      <c r="BG45" s="48">
        <v>66</v>
      </c>
      <c r="BH45" s="48">
        <v>196</v>
      </c>
      <c r="BI45" s="47">
        <v>118767</v>
      </c>
      <c r="BJ45" s="52"/>
      <c r="BK45" s="53"/>
      <c r="BL45" s="53"/>
      <c r="BM45" s="53"/>
      <c r="BN45" s="54"/>
      <c r="BO45" s="44">
        <v>39</v>
      </c>
      <c r="BP45" s="49">
        <v>132</v>
      </c>
      <c r="BQ45" s="48">
        <v>26</v>
      </c>
      <c r="BR45" s="67">
        <v>158</v>
      </c>
      <c r="BS45" s="51">
        <v>3910</v>
      </c>
      <c r="BT45" s="44">
        <v>37</v>
      </c>
      <c r="BU45" s="48">
        <v>21</v>
      </c>
      <c r="BV45" s="48">
        <v>14</v>
      </c>
      <c r="BW45" s="48">
        <v>35</v>
      </c>
      <c r="BX45" s="51">
        <v>4446</v>
      </c>
      <c r="BY45" s="52"/>
      <c r="BZ45" s="53"/>
      <c r="CA45" s="53"/>
      <c r="CB45" s="53"/>
      <c r="CC45" s="54"/>
      <c r="CD45" s="44">
        <v>39</v>
      </c>
      <c r="CE45" s="48">
        <v>92</v>
      </c>
      <c r="CF45" s="48">
        <v>29</v>
      </c>
      <c r="CG45" s="49">
        <v>121</v>
      </c>
      <c r="CH45" s="51">
        <v>4704</v>
      </c>
      <c r="CI45" s="80">
        <v>34</v>
      </c>
      <c r="CJ45" s="81">
        <v>23</v>
      </c>
      <c r="CK45" s="81">
        <v>23</v>
      </c>
      <c r="CL45" s="81">
        <v>46</v>
      </c>
      <c r="CM45" s="85">
        <v>5695</v>
      </c>
      <c r="CN45" s="52"/>
      <c r="CO45" s="53"/>
      <c r="CP45" s="53"/>
      <c r="CQ45" s="53"/>
      <c r="CR45" s="54"/>
      <c r="CS45" s="52"/>
      <c r="CT45" s="53"/>
      <c r="CU45" s="53"/>
      <c r="CV45" s="53"/>
      <c r="CW45" s="54"/>
      <c r="CX45" s="80">
        <v>43</v>
      </c>
      <c r="CY45" s="81">
        <v>126</v>
      </c>
      <c r="CZ45" s="86">
        <v>147</v>
      </c>
      <c r="DA45" s="81">
        <v>275</v>
      </c>
      <c r="DB45" s="85">
        <v>1981</v>
      </c>
      <c r="DC45" s="52"/>
      <c r="DD45" s="53"/>
      <c r="DE45" s="53"/>
      <c r="DF45" s="53"/>
      <c r="DG45" s="54"/>
      <c r="DH45" s="80">
        <v>39</v>
      </c>
      <c r="DI45" s="81">
        <v>19</v>
      </c>
      <c r="DJ45" s="81">
        <v>40</v>
      </c>
      <c r="DK45" s="81">
        <v>59</v>
      </c>
      <c r="DL45" s="85">
        <v>1668</v>
      </c>
    </row>
    <row r="46" spans="2:116" ht="17.5" thickBot="1" x14ac:dyDescent="0.5">
      <c r="B46" s="44">
        <v>23</v>
      </c>
      <c r="C46" s="48">
        <v>47</v>
      </c>
      <c r="D46" s="48">
        <v>31</v>
      </c>
      <c r="E46" s="48">
        <v>78</v>
      </c>
      <c r="F46" s="47">
        <v>125552</v>
      </c>
      <c r="G46" s="52"/>
      <c r="H46" s="53"/>
      <c r="I46" s="53"/>
      <c r="J46" s="53"/>
      <c r="K46" s="54"/>
      <c r="L46" s="52"/>
      <c r="M46" s="53"/>
      <c r="N46" s="53"/>
      <c r="O46" s="53"/>
      <c r="P46" s="54"/>
      <c r="Q46" s="52"/>
      <c r="R46" s="53"/>
      <c r="S46" s="53"/>
      <c r="T46" s="53"/>
      <c r="U46" s="54"/>
      <c r="V46" s="52"/>
      <c r="W46" s="53"/>
      <c r="X46" s="53"/>
      <c r="Y46" s="53"/>
      <c r="Z46" s="54"/>
      <c r="AA46" s="52"/>
      <c r="AB46" s="53"/>
      <c r="AC46" s="53"/>
      <c r="AD46" s="53"/>
      <c r="AE46" s="54"/>
      <c r="AF46" s="52"/>
      <c r="AG46" s="53"/>
      <c r="AH46" s="53"/>
      <c r="AI46" s="53"/>
      <c r="AJ46" s="54"/>
      <c r="AK46" s="52"/>
      <c r="AL46" s="53"/>
      <c r="AM46" s="53"/>
      <c r="AN46" s="53"/>
      <c r="AO46" s="54"/>
      <c r="AP46" s="52"/>
      <c r="AQ46" s="53"/>
      <c r="AR46" s="53"/>
      <c r="AS46" s="53"/>
      <c r="AT46" s="54"/>
      <c r="AU46" s="52"/>
      <c r="AV46" s="53"/>
      <c r="AW46" s="53"/>
      <c r="AX46" s="53"/>
      <c r="AY46" s="54"/>
      <c r="AZ46" s="44">
        <v>33</v>
      </c>
      <c r="BA46" s="48">
        <v>401</v>
      </c>
      <c r="BB46" s="48">
        <v>253</v>
      </c>
      <c r="BC46" s="48">
        <v>655</v>
      </c>
      <c r="BD46" s="51">
        <v>62530</v>
      </c>
      <c r="BE46" s="44">
        <v>27</v>
      </c>
      <c r="BF46" s="48">
        <v>64</v>
      </c>
      <c r="BG46" s="48">
        <v>27</v>
      </c>
      <c r="BH46" s="48">
        <v>93</v>
      </c>
      <c r="BI46" s="47">
        <v>118860</v>
      </c>
      <c r="BJ46" s="52"/>
      <c r="BK46" s="53"/>
      <c r="BL46" s="53"/>
      <c r="BM46" s="53"/>
      <c r="BN46" s="54"/>
      <c r="BO46" s="44">
        <v>38</v>
      </c>
      <c r="BP46" s="48">
        <v>29</v>
      </c>
      <c r="BQ46" s="48">
        <v>6</v>
      </c>
      <c r="BR46" s="48">
        <v>35</v>
      </c>
      <c r="BS46" s="51">
        <v>3945</v>
      </c>
      <c r="BT46" s="44">
        <v>36</v>
      </c>
      <c r="BU46" s="48">
        <v>35</v>
      </c>
      <c r="BV46" s="48">
        <v>12</v>
      </c>
      <c r="BW46" s="48">
        <v>47</v>
      </c>
      <c r="BX46" s="51">
        <v>4493</v>
      </c>
      <c r="BY46" s="52"/>
      <c r="BZ46" s="53"/>
      <c r="CA46" s="53"/>
      <c r="CB46" s="53"/>
      <c r="CC46" s="54"/>
      <c r="CD46" s="44">
        <v>38</v>
      </c>
      <c r="CE46" s="49">
        <v>105</v>
      </c>
      <c r="CF46" s="48">
        <v>33</v>
      </c>
      <c r="CG46" s="49">
        <v>139</v>
      </c>
      <c r="CH46" s="51">
        <v>4843</v>
      </c>
      <c r="CI46" s="80">
        <v>33</v>
      </c>
      <c r="CJ46" s="81">
        <v>32</v>
      </c>
      <c r="CK46" s="81">
        <v>29</v>
      </c>
      <c r="CL46" s="81">
        <v>62</v>
      </c>
      <c r="CM46" s="85">
        <v>5757</v>
      </c>
      <c r="CN46" s="52"/>
      <c r="CO46" s="53"/>
      <c r="CP46" s="53"/>
      <c r="CQ46" s="53"/>
      <c r="CR46" s="54"/>
      <c r="CS46" s="52"/>
      <c r="CT46" s="53"/>
      <c r="CU46" s="53"/>
      <c r="CV46" s="53"/>
      <c r="CW46" s="54"/>
      <c r="CX46" s="80">
        <v>42</v>
      </c>
      <c r="CY46" s="81">
        <v>72</v>
      </c>
      <c r="CZ46" s="81">
        <v>96</v>
      </c>
      <c r="DA46" s="81">
        <v>170</v>
      </c>
      <c r="DB46" s="85">
        <v>2151</v>
      </c>
      <c r="DC46" s="52"/>
      <c r="DD46" s="53"/>
      <c r="DE46" s="53"/>
      <c r="DF46" s="53"/>
      <c r="DG46" s="54"/>
      <c r="DH46" s="80">
        <v>38</v>
      </c>
      <c r="DI46" s="81">
        <v>23</v>
      </c>
      <c r="DJ46" s="81">
        <v>44</v>
      </c>
      <c r="DK46" s="81">
        <v>67</v>
      </c>
      <c r="DL46" s="85">
        <v>1735</v>
      </c>
    </row>
    <row r="47" spans="2:116" ht="17.5" thickBot="1" x14ac:dyDescent="0.5">
      <c r="B47" s="52"/>
      <c r="C47" s="53"/>
      <c r="D47" s="53"/>
      <c r="E47" s="53"/>
      <c r="F47" s="54"/>
      <c r="G47" s="52"/>
      <c r="H47" s="53"/>
      <c r="I47" s="53"/>
      <c r="J47" s="53"/>
      <c r="K47" s="54"/>
      <c r="L47" s="52"/>
      <c r="M47" s="53"/>
      <c r="N47" s="53"/>
      <c r="O47" s="53"/>
      <c r="P47" s="54"/>
      <c r="Q47" s="52"/>
      <c r="R47" s="53"/>
      <c r="S47" s="53"/>
      <c r="T47" s="53"/>
      <c r="U47" s="54"/>
      <c r="V47" s="52"/>
      <c r="W47" s="53"/>
      <c r="X47" s="53"/>
      <c r="Y47" s="53"/>
      <c r="Z47" s="54"/>
      <c r="AA47" s="52"/>
      <c r="AB47" s="53"/>
      <c r="AC47" s="53"/>
      <c r="AD47" s="53"/>
      <c r="AE47" s="54"/>
      <c r="AF47" s="52"/>
      <c r="AG47" s="53"/>
      <c r="AH47" s="53"/>
      <c r="AI47" s="53"/>
      <c r="AJ47" s="54"/>
      <c r="AK47" s="52"/>
      <c r="AL47" s="53"/>
      <c r="AM47" s="53"/>
      <c r="AN47" s="53"/>
      <c r="AO47" s="54"/>
      <c r="AP47" s="52"/>
      <c r="AQ47" s="53"/>
      <c r="AR47" s="53"/>
      <c r="AS47" s="53"/>
      <c r="AT47" s="54"/>
      <c r="AU47" s="52"/>
      <c r="AV47" s="53"/>
      <c r="AW47" s="53"/>
      <c r="AX47" s="53"/>
      <c r="AY47" s="54"/>
      <c r="AZ47" s="44">
        <v>32</v>
      </c>
      <c r="BA47" s="48">
        <v>55</v>
      </c>
      <c r="BB47" s="48">
        <v>26</v>
      </c>
      <c r="BC47" s="48">
        <v>82</v>
      </c>
      <c r="BD47" s="51">
        <v>62612</v>
      </c>
      <c r="BE47" s="52"/>
      <c r="BF47" s="53"/>
      <c r="BG47" s="53"/>
      <c r="BH47" s="53"/>
      <c r="BI47" s="54"/>
      <c r="BJ47" s="52"/>
      <c r="BK47" s="53"/>
      <c r="BL47" s="53"/>
      <c r="BM47" s="53"/>
      <c r="BN47" s="54"/>
      <c r="BO47" s="44">
        <v>37</v>
      </c>
      <c r="BP47" s="48">
        <v>22</v>
      </c>
      <c r="BQ47" s="48">
        <v>0</v>
      </c>
      <c r="BR47" s="48">
        <v>23</v>
      </c>
      <c r="BS47" s="51">
        <v>3968</v>
      </c>
      <c r="BT47" s="44">
        <v>34</v>
      </c>
      <c r="BU47" s="48">
        <v>13</v>
      </c>
      <c r="BV47" s="48">
        <v>4</v>
      </c>
      <c r="BW47" s="48">
        <v>17</v>
      </c>
      <c r="BX47" s="51">
        <v>4510</v>
      </c>
      <c r="BY47" s="52"/>
      <c r="BZ47" s="53"/>
      <c r="CA47" s="53"/>
      <c r="CB47" s="53"/>
      <c r="CC47" s="54"/>
      <c r="CD47" s="44">
        <v>37</v>
      </c>
      <c r="CE47" s="48">
        <v>37</v>
      </c>
      <c r="CF47" s="48">
        <v>8</v>
      </c>
      <c r="CG47" s="48">
        <v>45</v>
      </c>
      <c r="CH47" s="51">
        <v>4888</v>
      </c>
      <c r="CI47" s="80">
        <v>32</v>
      </c>
      <c r="CJ47" s="81">
        <v>123</v>
      </c>
      <c r="CK47" s="81">
        <v>84</v>
      </c>
      <c r="CL47" s="81">
        <v>209</v>
      </c>
      <c r="CM47" s="85">
        <v>5966</v>
      </c>
      <c r="CN47" s="52"/>
      <c r="CO47" s="53"/>
      <c r="CP47" s="53"/>
      <c r="CQ47" s="53"/>
      <c r="CR47" s="54"/>
      <c r="CS47" s="52"/>
      <c r="CT47" s="53"/>
      <c r="CU47" s="53"/>
      <c r="CV47" s="53"/>
      <c r="CW47" s="54"/>
      <c r="CX47" s="80">
        <v>41</v>
      </c>
      <c r="CY47" s="81">
        <v>32</v>
      </c>
      <c r="CZ47" s="81">
        <v>64</v>
      </c>
      <c r="DA47" s="81">
        <v>96</v>
      </c>
      <c r="DB47" s="85">
        <v>2247</v>
      </c>
      <c r="DC47" s="52"/>
      <c r="DD47" s="53"/>
      <c r="DE47" s="53"/>
      <c r="DF47" s="53"/>
      <c r="DG47" s="54"/>
      <c r="DH47" s="80">
        <v>37</v>
      </c>
      <c r="DI47" s="81">
        <v>17</v>
      </c>
      <c r="DJ47" s="81">
        <v>23</v>
      </c>
      <c r="DK47" s="81">
        <v>41</v>
      </c>
      <c r="DL47" s="85">
        <v>1776</v>
      </c>
    </row>
    <row r="48" spans="2:116" ht="17.5" thickBot="1" x14ac:dyDescent="0.5">
      <c r="B48" s="52"/>
      <c r="C48" s="53"/>
      <c r="D48" s="53"/>
      <c r="E48" s="53"/>
      <c r="F48" s="54"/>
      <c r="G48" s="52"/>
      <c r="H48" s="53"/>
      <c r="I48" s="53"/>
      <c r="J48" s="53"/>
      <c r="K48" s="54"/>
      <c r="L48" s="52"/>
      <c r="M48" s="53"/>
      <c r="N48" s="53"/>
      <c r="O48" s="53"/>
      <c r="P48" s="54"/>
      <c r="Q48" s="52"/>
      <c r="R48" s="53"/>
      <c r="S48" s="53"/>
      <c r="T48" s="53"/>
      <c r="U48" s="54"/>
      <c r="V48" s="52"/>
      <c r="W48" s="53"/>
      <c r="X48" s="53"/>
      <c r="Y48" s="53"/>
      <c r="Z48" s="54"/>
      <c r="AA48" s="52"/>
      <c r="AB48" s="53"/>
      <c r="AC48" s="53"/>
      <c r="AD48" s="53"/>
      <c r="AE48" s="54"/>
      <c r="AF48" s="52"/>
      <c r="AG48" s="53"/>
      <c r="AH48" s="53"/>
      <c r="AI48" s="53"/>
      <c r="AJ48" s="54"/>
      <c r="AK48" s="52"/>
      <c r="AL48" s="53"/>
      <c r="AM48" s="53"/>
      <c r="AN48" s="53"/>
      <c r="AO48" s="54"/>
      <c r="AP48" s="52"/>
      <c r="AQ48" s="53"/>
      <c r="AR48" s="53"/>
      <c r="AS48" s="53"/>
      <c r="AT48" s="54"/>
      <c r="AU48" s="52"/>
      <c r="AV48" s="53"/>
      <c r="AW48" s="53"/>
      <c r="AX48" s="53"/>
      <c r="AY48" s="54"/>
      <c r="AZ48" s="44">
        <v>31</v>
      </c>
      <c r="BA48" s="48">
        <v>99</v>
      </c>
      <c r="BB48" s="48">
        <v>50</v>
      </c>
      <c r="BC48" s="48">
        <v>149</v>
      </c>
      <c r="BD48" s="51">
        <v>62761</v>
      </c>
      <c r="BE48" s="52"/>
      <c r="BF48" s="53"/>
      <c r="BG48" s="53"/>
      <c r="BH48" s="53"/>
      <c r="BI48" s="54"/>
      <c r="BJ48" s="52"/>
      <c r="BK48" s="53"/>
      <c r="BL48" s="53"/>
      <c r="BM48" s="53"/>
      <c r="BN48" s="54"/>
      <c r="BO48" s="44">
        <v>35</v>
      </c>
      <c r="BP48" s="48">
        <v>14</v>
      </c>
      <c r="BQ48" s="48">
        <v>0</v>
      </c>
      <c r="BR48" s="48">
        <v>14</v>
      </c>
      <c r="BS48" s="51">
        <v>3982</v>
      </c>
      <c r="BT48" s="52"/>
      <c r="BU48" s="53"/>
      <c r="BV48" s="53"/>
      <c r="BW48" s="53"/>
      <c r="BX48" s="54"/>
      <c r="BY48" s="52"/>
      <c r="BZ48" s="53"/>
      <c r="CA48" s="53"/>
      <c r="CB48" s="53"/>
      <c r="CC48" s="54"/>
      <c r="CD48" s="44">
        <v>36</v>
      </c>
      <c r="CE48" s="48">
        <v>50</v>
      </c>
      <c r="CF48" s="48">
        <v>13</v>
      </c>
      <c r="CG48" s="48">
        <v>63</v>
      </c>
      <c r="CH48" s="51">
        <v>4951</v>
      </c>
      <c r="CI48" s="80">
        <v>30</v>
      </c>
      <c r="CJ48" s="81">
        <v>14</v>
      </c>
      <c r="CK48" s="81">
        <v>14</v>
      </c>
      <c r="CL48" s="81">
        <v>28</v>
      </c>
      <c r="CM48" s="85">
        <v>5994</v>
      </c>
      <c r="CN48" s="52"/>
      <c r="CO48" s="53"/>
      <c r="CP48" s="53"/>
      <c r="CQ48" s="53"/>
      <c r="CR48" s="54"/>
      <c r="CS48" s="52"/>
      <c r="CT48" s="53"/>
      <c r="CU48" s="53"/>
      <c r="CV48" s="53"/>
      <c r="CW48" s="54"/>
      <c r="CX48" s="80">
        <v>39</v>
      </c>
      <c r="CY48" s="81">
        <v>21</v>
      </c>
      <c r="CZ48" s="81">
        <v>22</v>
      </c>
      <c r="DA48" s="81">
        <v>43</v>
      </c>
      <c r="DB48" s="85">
        <v>2290</v>
      </c>
      <c r="DC48" s="52"/>
      <c r="DD48" s="53"/>
      <c r="DE48" s="53"/>
      <c r="DF48" s="53"/>
      <c r="DG48" s="54"/>
      <c r="DH48" s="80">
        <v>35</v>
      </c>
      <c r="DI48" s="81">
        <v>7</v>
      </c>
      <c r="DJ48" s="81">
        <v>10</v>
      </c>
      <c r="DK48" s="81">
        <v>19</v>
      </c>
      <c r="DL48" s="85">
        <v>1795</v>
      </c>
    </row>
    <row r="49" spans="2:116" ht="17.5" thickBot="1" x14ac:dyDescent="0.5">
      <c r="B49" s="52"/>
      <c r="C49" s="53"/>
      <c r="D49" s="53"/>
      <c r="E49" s="53"/>
      <c r="F49" s="54"/>
      <c r="G49" s="52"/>
      <c r="H49" s="53"/>
      <c r="I49" s="53"/>
      <c r="J49" s="53"/>
      <c r="K49" s="54"/>
      <c r="L49" s="52"/>
      <c r="M49" s="53"/>
      <c r="N49" s="53"/>
      <c r="O49" s="53"/>
      <c r="P49" s="54"/>
      <c r="Q49" s="52"/>
      <c r="R49" s="53"/>
      <c r="S49" s="53"/>
      <c r="T49" s="53"/>
      <c r="U49" s="54"/>
      <c r="V49" s="52"/>
      <c r="W49" s="53"/>
      <c r="X49" s="53"/>
      <c r="Y49" s="53"/>
      <c r="Z49" s="54"/>
      <c r="AA49" s="52"/>
      <c r="AB49" s="53"/>
      <c r="AC49" s="53"/>
      <c r="AD49" s="53"/>
      <c r="AE49" s="54"/>
      <c r="AF49" s="52"/>
      <c r="AG49" s="53"/>
      <c r="AH49" s="53"/>
      <c r="AI49" s="53"/>
      <c r="AJ49" s="54"/>
      <c r="AK49" s="52"/>
      <c r="AL49" s="53"/>
      <c r="AM49" s="53"/>
      <c r="AN49" s="53"/>
      <c r="AO49" s="54"/>
      <c r="AP49" s="52"/>
      <c r="AQ49" s="53"/>
      <c r="AR49" s="53"/>
      <c r="AS49" s="53"/>
      <c r="AT49" s="54"/>
      <c r="AU49" s="52"/>
      <c r="AV49" s="53"/>
      <c r="AW49" s="53"/>
      <c r="AX49" s="53"/>
      <c r="AY49" s="54"/>
      <c r="AZ49" s="44">
        <v>29</v>
      </c>
      <c r="BA49" s="48">
        <v>27</v>
      </c>
      <c r="BB49" s="48">
        <v>9</v>
      </c>
      <c r="BC49" s="48">
        <v>36</v>
      </c>
      <c r="BD49" s="51">
        <v>62797</v>
      </c>
      <c r="BE49" s="52"/>
      <c r="BF49" s="53"/>
      <c r="BG49" s="53"/>
      <c r="BH49" s="53"/>
      <c r="BI49" s="54"/>
      <c r="BJ49" s="52"/>
      <c r="BK49" s="53"/>
      <c r="BL49" s="53"/>
      <c r="BM49" s="53"/>
      <c r="BN49" s="54"/>
      <c r="BO49" s="52"/>
      <c r="BP49" s="53"/>
      <c r="BQ49" s="53"/>
      <c r="BR49" s="53"/>
      <c r="BS49" s="54"/>
      <c r="BT49" s="52"/>
      <c r="BU49" s="53"/>
      <c r="BV49" s="53"/>
      <c r="BW49" s="53"/>
      <c r="BX49" s="54"/>
      <c r="BY49" s="52"/>
      <c r="BZ49" s="53"/>
      <c r="CA49" s="53"/>
      <c r="CB49" s="53"/>
      <c r="CC49" s="54"/>
      <c r="CD49" s="44">
        <v>35</v>
      </c>
      <c r="CE49" s="48">
        <v>31</v>
      </c>
      <c r="CF49" s="48">
        <v>13</v>
      </c>
      <c r="CG49" s="48">
        <v>44</v>
      </c>
      <c r="CH49" s="51">
        <v>4995</v>
      </c>
      <c r="CI49" s="80">
        <v>29</v>
      </c>
      <c r="CJ49" s="81">
        <v>16</v>
      </c>
      <c r="CK49" s="81">
        <v>6</v>
      </c>
      <c r="CL49" s="81">
        <v>23</v>
      </c>
      <c r="CM49" s="85">
        <v>6017</v>
      </c>
      <c r="CN49" s="52"/>
      <c r="CO49" s="53"/>
      <c r="CP49" s="53"/>
      <c r="CQ49" s="53"/>
      <c r="CR49" s="54"/>
      <c r="CS49" s="52"/>
      <c r="CT49" s="53"/>
      <c r="CU49" s="53"/>
      <c r="CV49" s="53"/>
      <c r="CW49" s="54"/>
      <c r="CX49" s="80">
        <v>38</v>
      </c>
      <c r="CY49" s="81">
        <v>19</v>
      </c>
      <c r="CZ49" s="81">
        <v>37</v>
      </c>
      <c r="DA49" s="81">
        <v>56</v>
      </c>
      <c r="DB49" s="85">
        <v>2346</v>
      </c>
      <c r="DC49" s="52"/>
      <c r="DD49" s="53"/>
      <c r="DE49" s="53"/>
      <c r="DF49" s="53"/>
      <c r="DG49" s="54"/>
      <c r="DH49" s="80">
        <v>34</v>
      </c>
      <c r="DI49" s="81">
        <v>10</v>
      </c>
      <c r="DJ49" s="81">
        <v>11</v>
      </c>
      <c r="DK49" s="81">
        <v>21</v>
      </c>
      <c r="DL49" s="85">
        <v>1816</v>
      </c>
    </row>
    <row r="50" spans="2:116" ht="17.5" thickBot="1" x14ac:dyDescent="0.5">
      <c r="B50" s="52"/>
      <c r="C50" s="53"/>
      <c r="D50" s="53"/>
      <c r="E50" s="53"/>
      <c r="F50" s="54"/>
      <c r="G50" s="52"/>
      <c r="H50" s="53"/>
      <c r="I50" s="53"/>
      <c r="J50" s="53"/>
      <c r="K50" s="54"/>
      <c r="L50" s="52"/>
      <c r="M50" s="53"/>
      <c r="N50" s="53"/>
      <c r="O50" s="53"/>
      <c r="P50" s="54"/>
      <c r="Q50" s="52"/>
      <c r="R50" s="53"/>
      <c r="S50" s="53"/>
      <c r="T50" s="53"/>
      <c r="U50" s="54"/>
      <c r="V50" s="52"/>
      <c r="W50" s="53"/>
      <c r="X50" s="53"/>
      <c r="Y50" s="53"/>
      <c r="Z50" s="54"/>
      <c r="AA50" s="52"/>
      <c r="AB50" s="53"/>
      <c r="AC50" s="53"/>
      <c r="AD50" s="53"/>
      <c r="AE50" s="54"/>
      <c r="AF50" s="52"/>
      <c r="AG50" s="53"/>
      <c r="AH50" s="53"/>
      <c r="AI50" s="53"/>
      <c r="AJ50" s="54"/>
      <c r="AK50" s="52"/>
      <c r="AL50" s="53"/>
      <c r="AM50" s="53"/>
      <c r="AN50" s="53"/>
      <c r="AO50" s="54"/>
      <c r="AP50" s="52"/>
      <c r="AQ50" s="53"/>
      <c r="AR50" s="53"/>
      <c r="AS50" s="53"/>
      <c r="AT50" s="54"/>
      <c r="AU50" s="52"/>
      <c r="AV50" s="53"/>
      <c r="AW50" s="53"/>
      <c r="AX50" s="53"/>
      <c r="AY50" s="54"/>
      <c r="AZ50" s="52"/>
      <c r="BA50" s="53"/>
      <c r="BB50" s="53"/>
      <c r="BC50" s="53"/>
      <c r="BD50" s="54"/>
      <c r="BE50" s="52"/>
      <c r="BF50" s="53"/>
      <c r="BG50" s="53"/>
      <c r="BH50" s="53"/>
      <c r="BI50" s="54"/>
      <c r="BJ50" s="52"/>
      <c r="BK50" s="53"/>
      <c r="BL50" s="53"/>
      <c r="BM50" s="53"/>
      <c r="BN50" s="54"/>
      <c r="BO50" s="52"/>
      <c r="BP50" s="53"/>
      <c r="BQ50" s="53"/>
      <c r="BR50" s="53"/>
      <c r="BS50" s="54"/>
      <c r="BT50" s="52"/>
      <c r="BU50" s="53"/>
      <c r="BV50" s="53"/>
      <c r="BW50" s="53"/>
      <c r="BX50" s="54"/>
      <c r="BY50" s="52"/>
      <c r="BZ50" s="53"/>
      <c r="CA50" s="53"/>
      <c r="CB50" s="53"/>
      <c r="CC50" s="54"/>
      <c r="CD50" s="44">
        <v>33</v>
      </c>
      <c r="CE50" s="48">
        <v>17</v>
      </c>
      <c r="CF50" s="48">
        <v>6</v>
      </c>
      <c r="CG50" s="48">
        <v>23</v>
      </c>
      <c r="CH50" s="51">
        <v>5018</v>
      </c>
      <c r="CI50" s="80">
        <v>27</v>
      </c>
      <c r="CJ50" s="81">
        <v>4</v>
      </c>
      <c r="CK50" s="81">
        <v>4</v>
      </c>
      <c r="CL50" s="81">
        <v>8</v>
      </c>
      <c r="CM50" s="85">
        <v>6025</v>
      </c>
      <c r="CN50" s="52"/>
      <c r="CO50" s="53"/>
      <c r="CP50" s="53"/>
      <c r="CQ50" s="53"/>
      <c r="CR50" s="54"/>
      <c r="CS50" s="52"/>
      <c r="CT50" s="53"/>
      <c r="CU50" s="53"/>
      <c r="CV50" s="53"/>
      <c r="CW50" s="54"/>
      <c r="CX50" s="80">
        <v>37</v>
      </c>
      <c r="CY50" s="81">
        <v>11</v>
      </c>
      <c r="CZ50" s="81">
        <v>23</v>
      </c>
      <c r="DA50" s="81">
        <v>35</v>
      </c>
      <c r="DB50" s="85">
        <v>2381</v>
      </c>
      <c r="DC50" s="52"/>
      <c r="DD50" s="53"/>
      <c r="DE50" s="53"/>
      <c r="DF50" s="53"/>
      <c r="DG50" s="54"/>
      <c r="DH50" s="80">
        <v>32</v>
      </c>
      <c r="DI50" s="81">
        <v>4</v>
      </c>
      <c r="DJ50" s="81">
        <v>9</v>
      </c>
      <c r="DK50" s="81">
        <v>13</v>
      </c>
      <c r="DL50" s="85">
        <v>1829</v>
      </c>
    </row>
    <row r="51" spans="2:116" ht="17.5" thickBot="1" x14ac:dyDescent="0.5">
      <c r="B51" s="52"/>
      <c r="C51" s="53"/>
      <c r="D51" s="53"/>
      <c r="E51" s="53"/>
      <c r="F51" s="54"/>
      <c r="G51" s="52"/>
      <c r="H51" s="53"/>
      <c r="I51" s="53"/>
      <c r="J51" s="53"/>
      <c r="K51" s="54"/>
      <c r="L51" s="52"/>
      <c r="M51" s="53"/>
      <c r="N51" s="53"/>
      <c r="O51" s="53"/>
      <c r="P51" s="54"/>
      <c r="Q51" s="52"/>
      <c r="R51" s="53"/>
      <c r="S51" s="53"/>
      <c r="T51" s="53"/>
      <c r="U51" s="54"/>
      <c r="V51" s="52"/>
      <c r="W51" s="53"/>
      <c r="X51" s="53"/>
      <c r="Y51" s="53"/>
      <c r="Z51" s="54"/>
      <c r="AA51" s="52"/>
      <c r="AB51" s="53"/>
      <c r="AC51" s="53"/>
      <c r="AD51" s="53"/>
      <c r="AE51" s="54"/>
      <c r="AF51" s="52"/>
      <c r="AG51" s="53"/>
      <c r="AH51" s="53"/>
      <c r="AI51" s="53"/>
      <c r="AJ51" s="54"/>
      <c r="AK51" s="52"/>
      <c r="AL51" s="53"/>
      <c r="AM51" s="53"/>
      <c r="AN51" s="53"/>
      <c r="AO51" s="54"/>
      <c r="AP51" s="52"/>
      <c r="AQ51" s="53"/>
      <c r="AR51" s="53"/>
      <c r="AS51" s="53"/>
      <c r="AT51" s="54"/>
      <c r="AU51" s="52"/>
      <c r="AV51" s="53"/>
      <c r="AW51" s="53"/>
      <c r="AX51" s="53"/>
      <c r="AY51" s="54"/>
      <c r="AZ51" s="52"/>
      <c r="BA51" s="53"/>
      <c r="BB51" s="53"/>
      <c r="BC51" s="53"/>
      <c r="BD51" s="54"/>
      <c r="BE51" s="52"/>
      <c r="BF51" s="53"/>
      <c r="BG51" s="53"/>
      <c r="BH51" s="53"/>
      <c r="BI51" s="54"/>
      <c r="BJ51" s="52"/>
      <c r="BK51" s="53"/>
      <c r="BL51" s="53"/>
      <c r="BM51" s="53"/>
      <c r="BN51" s="54"/>
      <c r="BO51" s="52"/>
      <c r="BP51" s="53"/>
      <c r="BQ51" s="53"/>
      <c r="BR51" s="53"/>
      <c r="BS51" s="54"/>
      <c r="BT51" s="52"/>
      <c r="BU51" s="53"/>
      <c r="BV51" s="53"/>
      <c r="BW51" s="53"/>
      <c r="BX51" s="54"/>
      <c r="BY51" s="52"/>
      <c r="BZ51" s="53"/>
      <c r="CA51" s="53"/>
      <c r="CB51" s="53"/>
      <c r="CC51" s="54"/>
      <c r="CD51" s="52"/>
      <c r="CE51" s="53"/>
      <c r="CF51" s="53"/>
      <c r="CG51" s="53"/>
      <c r="CH51" s="54"/>
      <c r="CI51" s="52"/>
      <c r="CJ51" s="53"/>
      <c r="CK51" s="53"/>
      <c r="CL51" s="53"/>
      <c r="CM51" s="54"/>
      <c r="CN51" s="52"/>
      <c r="CO51" s="53"/>
      <c r="CP51" s="53"/>
      <c r="CQ51" s="53"/>
      <c r="CR51" s="54"/>
      <c r="CS51" s="52"/>
      <c r="CT51" s="53"/>
      <c r="CU51" s="53"/>
      <c r="CV51" s="53"/>
      <c r="CW51" s="54"/>
      <c r="CX51" s="80">
        <v>36</v>
      </c>
      <c r="CY51" s="81">
        <v>6</v>
      </c>
      <c r="CZ51" s="81">
        <v>15</v>
      </c>
      <c r="DA51" s="81">
        <v>21</v>
      </c>
      <c r="DB51" s="85">
        <v>2402</v>
      </c>
      <c r="DC51" s="52"/>
      <c r="DD51" s="53"/>
      <c r="DE51" s="53"/>
      <c r="DF51" s="53"/>
      <c r="DG51" s="54"/>
      <c r="DH51" s="80">
        <v>30</v>
      </c>
      <c r="DI51" s="81">
        <v>1</v>
      </c>
      <c r="DJ51" s="81">
        <v>4</v>
      </c>
      <c r="DK51" s="81">
        <v>5</v>
      </c>
      <c r="DL51" s="85">
        <v>1834</v>
      </c>
    </row>
    <row r="52" spans="2:116" ht="17.5" thickBot="1" x14ac:dyDescent="0.5">
      <c r="B52" s="52"/>
      <c r="C52" s="53"/>
      <c r="D52" s="53"/>
      <c r="E52" s="53"/>
      <c r="F52" s="54"/>
      <c r="G52" s="52"/>
      <c r="H52" s="53"/>
      <c r="I52" s="53"/>
      <c r="J52" s="53"/>
      <c r="K52" s="54"/>
      <c r="L52" s="52"/>
      <c r="M52" s="53"/>
      <c r="N52" s="53"/>
      <c r="O52" s="53"/>
      <c r="P52" s="54"/>
      <c r="Q52" s="52"/>
      <c r="R52" s="53"/>
      <c r="S52" s="53"/>
      <c r="T52" s="53"/>
      <c r="U52" s="54"/>
      <c r="V52" s="52"/>
      <c r="W52" s="53"/>
      <c r="X52" s="53"/>
      <c r="Y52" s="53"/>
      <c r="Z52" s="54"/>
      <c r="AA52" s="52"/>
      <c r="AB52" s="53"/>
      <c r="AC52" s="53"/>
      <c r="AD52" s="53"/>
      <c r="AE52" s="54"/>
      <c r="AF52" s="52"/>
      <c r="AG52" s="53"/>
      <c r="AH52" s="53"/>
      <c r="AI52" s="53"/>
      <c r="AJ52" s="54"/>
      <c r="AK52" s="52"/>
      <c r="AL52" s="53"/>
      <c r="AM52" s="53"/>
      <c r="AN52" s="53"/>
      <c r="AO52" s="54"/>
      <c r="AP52" s="55"/>
      <c r="AQ52" s="56"/>
      <c r="AR52" s="56"/>
      <c r="AS52" s="56"/>
      <c r="AT52" s="57"/>
      <c r="AU52" s="52"/>
      <c r="AV52" s="53"/>
      <c r="AW52" s="53"/>
      <c r="AX52" s="53"/>
      <c r="AY52" s="54"/>
      <c r="AZ52" s="52"/>
      <c r="BA52" s="53"/>
      <c r="BB52" s="53"/>
      <c r="BC52" s="53"/>
      <c r="BD52" s="54"/>
      <c r="BE52" s="52"/>
      <c r="BF52" s="53"/>
      <c r="BG52" s="53"/>
      <c r="BH52" s="53"/>
      <c r="BI52" s="54"/>
      <c r="BJ52" s="52"/>
      <c r="BK52" s="53"/>
      <c r="BL52" s="53"/>
      <c r="BM52" s="53"/>
      <c r="BN52" s="54"/>
      <c r="BO52" s="52"/>
      <c r="BP52" s="53"/>
      <c r="BQ52" s="53"/>
      <c r="BR52" s="53"/>
      <c r="BS52" s="54"/>
      <c r="BT52" s="52"/>
      <c r="BU52" s="53"/>
      <c r="BV52" s="53"/>
      <c r="BW52" s="53"/>
      <c r="BX52" s="54"/>
      <c r="BY52" s="52"/>
      <c r="BZ52" s="53"/>
      <c r="CA52" s="53"/>
      <c r="CB52" s="53"/>
      <c r="CC52" s="54"/>
      <c r="CD52" s="52"/>
      <c r="CE52" s="53"/>
      <c r="CF52" s="53"/>
      <c r="CG52" s="53"/>
      <c r="CH52" s="54"/>
      <c r="CI52" s="52"/>
      <c r="CJ52" s="53"/>
      <c r="CK52" s="53"/>
      <c r="CL52" s="53"/>
      <c r="CM52" s="54"/>
      <c r="CN52" s="52"/>
      <c r="CO52" s="53"/>
      <c r="CP52" s="53"/>
      <c r="CQ52" s="53"/>
      <c r="CR52" s="54"/>
      <c r="CS52" s="52"/>
      <c r="CT52" s="53"/>
      <c r="CU52" s="53"/>
      <c r="CV52" s="53"/>
      <c r="CW52" s="54"/>
      <c r="CX52" s="80">
        <v>35</v>
      </c>
      <c r="CY52" s="81">
        <v>9</v>
      </c>
      <c r="CZ52" s="81">
        <v>11</v>
      </c>
      <c r="DA52" s="81">
        <v>20</v>
      </c>
      <c r="DB52" s="85">
        <v>2422</v>
      </c>
      <c r="DC52" s="52"/>
      <c r="DD52" s="53"/>
      <c r="DE52" s="53"/>
      <c r="DF52" s="53"/>
      <c r="DG52" s="54"/>
      <c r="DH52" s="52"/>
      <c r="DI52" s="53"/>
      <c r="DJ52" s="53"/>
      <c r="DK52" s="53"/>
      <c r="DL52" s="54"/>
    </row>
    <row r="53" spans="2:116" ht="17.5" thickBot="1" x14ac:dyDescent="0.5">
      <c r="B53" s="55"/>
      <c r="C53" s="56"/>
      <c r="D53" s="56"/>
      <c r="E53" s="56"/>
      <c r="F53" s="57"/>
      <c r="G53" s="55"/>
      <c r="H53" s="56"/>
      <c r="I53" s="56"/>
      <c r="J53" s="56"/>
      <c r="K53" s="57"/>
      <c r="L53" s="55"/>
      <c r="M53" s="56"/>
      <c r="N53" s="56"/>
      <c r="O53" s="56"/>
      <c r="P53" s="57"/>
      <c r="Q53" s="55"/>
      <c r="R53" s="56"/>
      <c r="S53" s="56"/>
      <c r="T53" s="56"/>
      <c r="U53" s="57"/>
      <c r="V53" s="55"/>
      <c r="W53" s="56"/>
      <c r="X53" s="56"/>
      <c r="Y53" s="56"/>
      <c r="Z53" s="57"/>
      <c r="AA53" s="55"/>
      <c r="AB53" s="56"/>
      <c r="AC53" s="56"/>
      <c r="AD53" s="56"/>
      <c r="AE53" s="57"/>
      <c r="AF53" s="55"/>
      <c r="AG53" s="56"/>
      <c r="AH53" s="56"/>
      <c r="AI53" s="56"/>
      <c r="AJ53" s="57"/>
      <c r="AK53" s="55"/>
      <c r="AL53" s="56"/>
      <c r="AM53" s="56"/>
      <c r="AN53" s="56"/>
      <c r="AO53" s="57"/>
      <c r="AP53" s="58" t="s">
        <v>39</v>
      </c>
      <c r="AQ53" s="59">
        <v>43935</v>
      </c>
      <c r="AR53" s="60">
        <v>72084</v>
      </c>
      <c r="AS53" s="59">
        <v>116333</v>
      </c>
      <c r="AT53" s="65"/>
      <c r="AU53" s="52"/>
      <c r="AV53" s="53"/>
      <c r="AW53" s="53"/>
      <c r="AX53" s="53"/>
      <c r="AY53" s="54"/>
      <c r="AZ53" s="52"/>
      <c r="BA53" s="53"/>
      <c r="BB53" s="53"/>
      <c r="BC53" s="53"/>
      <c r="BD53" s="54"/>
      <c r="BE53" s="52"/>
      <c r="BF53" s="53"/>
      <c r="BG53" s="53"/>
      <c r="BH53" s="53"/>
      <c r="BI53" s="54"/>
      <c r="BJ53" s="52"/>
      <c r="BK53" s="53"/>
      <c r="BL53" s="53"/>
      <c r="BM53" s="53"/>
      <c r="BN53" s="54"/>
      <c r="BO53" s="55"/>
      <c r="BP53" s="56"/>
      <c r="BQ53" s="56"/>
      <c r="BR53" s="56"/>
      <c r="BS53" s="57"/>
      <c r="BT53" s="55"/>
      <c r="BU53" s="56"/>
      <c r="BV53" s="56"/>
      <c r="BW53" s="56"/>
      <c r="BX53" s="57"/>
      <c r="BY53" s="55"/>
      <c r="BZ53" s="56"/>
      <c r="CA53" s="56"/>
      <c r="CB53" s="56"/>
      <c r="CC53" s="57"/>
      <c r="CD53" s="55"/>
      <c r="CE53" s="56"/>
      <c r="CF53" s="56"/>
      <c r="CG53" s="56"/>
      <c r="CH53" s="57"/>
      <c r="CI53" s="52"/>
      <c r="CJ53" s="53"/>
      <c r="CK53" s="53"/>
      <c r="CL53" s="53"/>
      <c r="CM53" s="54"/>
      <c r="CN53" s="52"/>
      <c r="CO53" s="53"/>
      <c r="CP53" s="53"/>
      <c r="CQ53" s="53"/>
      <c r="CR53" s="54"/>
      <c r="CS53" s="52"/>
      <c r="CT53" s="53"/>
      <c r="CU53" s="53"/>
      <c r="CV53" s="53"/>
      <c r="CW53" s="54"/>
      <c r="CX53" s="80">
        <v>32</v>
      </c>
      <c r="CY53" s="81">
        <v>3</v>
      </c>
      <c r="CZ53" s="81">
        <v>7</v>
      </c>
      <c r="DA53" s="81">
        <v>10</v>
      </c>
      <c r="DB53" s="85">
        <v>2432</v>
      </c>
      <c r="DC53" s="52"/>
      <c r="DD53" s="53"/>
      <c r="DE53" s="53"/>
      <c r="DF53" s="53"/>
      <c r="DG53" s="54"/>
      <c r="DH53" s="52"/>
      <c r="DI53" s="53"/>
      <c r="DJ53" s="53"/>
      <c r="DK53" s="53"/>
      <c r="DL53" s="54"/>
    </row>
    <row r="54" spans="2:116" ht="17.5" thickBot="1" x14ac:dyDescent="0.5">
      <c r="B54" s="58" t="s">
        <v>39</v>
      </c>
      <c r="C54" s="59">
        <v>44804</v>
      </c>
      <c r="D54" s="60">
        <v>80382</v>
      </c>
      <c r="E54" s="59">
        <v>125552</v>
      </c>
      <c r="F54" s="61"/>
      <c r="G54" s="58" t="s">
        <v>39</v>
      </c>
      <c r="H54" s="59">
        <v>11388</v>
      </c>
      <c r="I54" s="60">
        <v>19207</v>
      </c>
      <c r="J54" s="60">
        <v>30708</v>
      </c>
      <c r="K54" s="61"/>
      <c r="L54" s="58" t="s">
        <v>39</v>
      </c>
      <c r="M54" s="59">
        <v>16077</v>
      </c>
      <c r="N54" s="60">
        <v>15916</v>
      </c>
      <c r="O54" s="60">
        <v>32076</v>
      </c>
      <c r="P54" s="61"/>
      <c r="Q54" s="58" t="s">
        <v>39</v>
      </c>
      <c r="R54" s="59">
        <v>13170</v>
      </c>
      <c r="S54" s="59">
        <v>12016</v>
      </c>
      <c r="T54" s="59">
        <v>25271</v>
      </c>
      <c r="U54" s="61"/>
      <c r="V54" s="58" t="s">
        <v>39</v>
      </c>
      <c r="W54" s="64">
        <v>9941</v>
      </c>
      <c r="X54" s="64">
        <v>8850</v>
      </c>
      <c r="Y54" s="60">
        <v>18847</v>
      </c>
      <c r="Z54" s="65"/>
      <c r="AA54" s="58" t="s">
        <v>39</v>
      </c>
      <c r="AB54" s="64">
        <v>8710</v>
      </c>
      <c r="AC54" s="64">
        <v>5952</v>
      </c>
      <c r="AD54" s="60">
        <v>14697</v>
      </c>
      <c r="AE54" s="65"/>
      <c r="AF54" s="58" t="s">
        <v>39</v>
      </c>
      <c r="AG54" s="64">
        <v>4125</v>
      </c>
      <c r="AH54" s="64">
        <v>1821</v>
      </c>
      <c r="AI54" s="64">
        <v>5974</v>
      </c>
      <c r="AJ54" s="65"/>
      <c r="AK54" s="58" t="s">
        <v>39</v>
      </c>
      <c r="AL54" s="59">
        <v>10752</v>
      </c>
      <c r="AM54" s="59">
        <v>14446</v>
      </c>
      <c r="AN54" s="59">
        <v>25273</v>
      </c>
      <c r="AO54" s="65"/>
      <c r="AU54" s="55"/>
      <c r="AV54" s="56"/>
      <c r="AW54" s="56"/>
      <c r="AX54" s="56"/>
      <c r="AY54" s="57"/>
      <c r="AZ54" s="55"/>
      <c r="BA54" s="56"/>
      <c r="BB54" s="56"/>
      <c r="BC54" s="56"/>
      <c r="BD54" s="57"/>
      <c r="BE54" s="55"/>
      <c r="BF54" s="56"/>
      <c r="BG54" s="56"/>
      <c r="BH54" s="56"/>
      <c r="BI54" s="57"/>
      <c r="BJ54" s="55"/>
      <c r="BK54" s="56"/>
      <c r="BL54" s="56"/>
      <c r="BM54" s="56"/>
      <c r="BN54" s="57"/>
      <c r="BO54" s="58" t="s">
        <v>39</v>
      </c>
      <c r="BP54" s="68">
        <v>3423</v>
      </c>
      <c r="BQ54" s="69">
        <v>546</v>
      </c>
      <c r="BR54" s="68">
        <v>3982</v>
      </c>
      <c r="BS54" s="65"/>
      <c r="BT54" s="58" t="s">
        <v>39</v>
      </c>
      <c r="BU54" s="68">
        <v>3212</v>
      </c>
      <c r="BV54" s="59">
        <v>1284</v>
      </c>
      <c r="BW54" s="59">
        <v>4510</v>
      </c>
      <c r="BX54" s="65"/>
      <c r="BY54" s="58" t="s">
        <v>39</v>
      </c>
      <c r="BZ54" s="68">
        <v>4693</v>
      </c>
      <c r="CA54" s="68">
        <v>3221</v>
      </c>
      <c r="CB54" s="59">
        <v>7943</v>
      </c>
      <c r="CC54" s="65"/>
      <c r="CD54" s="58" t="s">
        <v>39</v>
      </c>
      <c r="CE54" s="68">
        <v>3732</v>
      </c>
      <c r="CF54" s="68">
        <v>1274</v>
      </c>
      <c r="CG54" s="60">
        <v>5018</v>
      </c>
      <c r="CH54" s="65"/>
      <c r="CI54" s="55"/>
      <c r="CJ54" s="56"/>
      <c r="CK54" s="56"/>
      <c r="CL54" s="56"/>
      <c r="CM54" s="57"/>
      <c r="CN54" s="55"/>
      <c r="CO54" s="56"/>
      <c r="CP54" s="56"/>
      <c r="CQ54" s="56"/>
      <c r="CR54" s="57"/>
      <c r="CS54" s="55"/>
      <c r="CT54" s="56"/>
      <c r="CU54" s="56"/>
      <c r="CV54" s="56"/>
      <c r="CW54" s="57"/>
      <c r="CX54" s="55"/>
      <c r="CY54" s="56"/>
      <c r="CZ54" s="56"/>
      <c r="DA54" s="56"/>
      <c r="DB54" s="57"/>
      <c r="DC54" s="55"/>
      <c r="DD54" s="56"/>
      <c r="DE54" s="56"/>
      <c r="DF54" s="56"/>
      <c r="DG54" s="57"/>
      <c r="DH54" s="55"/>
      <c r="DI54" s="56"/>
      <c r="DJ54" s="56"/>
      <c r="DK54" s="56"/>
      <c r="DL54" s="57"/>
    </row>
    <row r="55" spans="2:116" ht="17.5" thickBot="1" x14ac:dyDescent="0.5">
      <c r="AU55" s="58" t="s">
        <v>39</v>
      </c>
      <c r="AV55" s="59">
        <v>42029</v>
      </c>
      <c r="AW55" s="59">
        <v>10761</v>
      </c>
      <c r="AX55" s="59">
        <v>52931</v>
      </c>
      <c r="AY55" s="65"/>
      <c r="AZ55" s="58" t="s">
        <v>39</v>
      </c>
      <c r="BA55" s="59">
        <v>35664</v>
      </c>
      <c r="BB55" s="59">
        <v>26996</v>
      </c>
      <c r="BC55" s="59">
        <v>62797</v>
      </c>
      <c r="BD55" s="65"/>
      <c r="BE55" s="58" t="s">
        <v>39</v>
      </c>
      <c r="BF55" s="59">
        <v>59408</v>
      </c>
      <c r="BG55" s="59">
        <v>59157</v>
      </c>
      <c r="BH55" s="59">
        <v>118860</v>
      </c>
      <c r="BI55" s="65"/>
      <c r="BJ55" s="58" t="s">
        <v>39</v>
      </c>
      <c r="BK55" s="59">
        <v>70892</v>
      </c>
      <c r="BL55" s="60">
        <v>45039</v>
      </c>
      <c r="BM55" s="59">
        <v>116228</v>
      </c>
      <c r="BN55" s="65"/>
      <c r="CI55" s="87" t="s">
        <v>39</v>
      </c>
      <c r="CJ55" s="88">
        <v>2699</v>
      </c>
      <c r="CK55" s="89">
        <v>3305</v>
      </c>
      <c r="CL55" s="88">
        <v>6025</v>
      </c>
      <c r="CM55" s="61"/>
      <c r="CN55" s="87" t="s">
        <v>39</v>
      </c>
      <c r="CO55" s="90">
        <v>392</v>
      </c>
      <c r="CP55" s="90">
        <v>296</v>
      </c>
      <c r="CQ55" s="91">
        <v>690</v>
      </c>
      <c r="CR55" s="61"/>
      <c r="CS55" s="87" t="s">
        <v>39</v>
      </c>
      <c r="CT55" s="92">
        <v>945</v>
      </c>
      <c r="CU55" s="92">
        <v>268</v>
      </c>
      <c r="CV55" s="88">
        <v>1216</v>
      </c>
      <c r="CW55" s="61"/>
      <c r="CX55" s="87" t="s">
        <v>39</v>
      </c>
      <c r="CY55" s="90">
        <v>854</v>
      </c>
      <c r="CZ55" s="89">
        <v>1569</v>
      </c>
      <c r="DA55" s="88">
        <v>2432</v>
      </c>
      <c r="DB55" s="61"/>
      <c r="DC55" s="87" t="s">
        <v>39</v>
      </c>
      <c r="DD55" s="93">
        <v>58</v>
      </c>
      <c r="DE55" s="90">
        <v>39</v>
      </c>
      <c r="DF55" s="90">
        <v>97</v>
      </c>
      <c r="DG55" s="65"/>
      <c r="DH55" s="87" t="s">
        <v>39</v>
      </c>
      <c r="DI55" s="90">
        <v>587</v>
      </c>
      <c r="DJ55" s="88">
        <v>1240</v>
      </c>
      <c r="DK55" s="88">
        <v>1834</v>
      </c>
      <c r="DL55" s="65"/>
    </row>
  </sheetData>
  <mergeCells count="23">
    <mergeCell ref="CN3:CR3"/>
    <mergeCell ref="CS3:CW3"/>
    <mergeCell ref="CX3:DB3"/>
    <mergeCell ref="DC3:DG3"/>
    <mergeCell ref="DH3:DL3"/>
    <mergeCell ref="CI3:CM3"/>
    <mergeCell ref="AF3:AJ3"/>
    <mergeCell ref="AK3:AO3"/>
    <mergeCell ref="AP3:AT3"/>
    <mergeCell ref="AU3:AY3"/>
    <mergeCell ref="AZ3:BD3"/>
    <mergeCell ref="BE3:BI3"/>
    <mergeCell ref="BJ3:BN3"/>
    <mergeCell ref="BO3:BS3"/>
    <mergeCell ref="BT3:BX3"/>
    <mergeCell ref="BY3:CC3"/>
    <mergeCell ref="CD3:CH3"/>
    <mergeCell ref="AA3:AE3"/>
    <mergeCell ref="B3:F3"/>
    <mergeCell ref="G3:K3"/>
    <mergeCell ref="L3:P3"/>
    <mergeCell ref="Q3:U3"/>
    <mergeCell ref="V3:Z3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4"/>
  <dimension ref="A1:M89"/>
  <sheetViews>
    <sheetView topLeftCell="A61" workbookViewId="0">
      <selection activeCell="A65" sqref="A65:M88"/>
    </sheetView>
  </sheetViews>
  <sheetFormatPr defaultRowHeight="17" x14ac:dyDescent="0.45"/>
  <cols>
    <col min="2" max="29" width="12.58203125" customWidth="1"/>
    <col min="30" max="30" width="18.58203125" customWidth="1"/>
    <col min="31" max="31" width="12.58203125" customWidth="1"/>
    <col min="32" max="32" width="24.58203125" customWidth="1"/>
    <col min="33" max="41" width="12.58203125" customWidth="1"/>
  </cols>
  <sheetData>
    <row r="1" spans="1:13" ht="18" thickTop="1" thickBot="1" x14ac:dyDescent="0.5">
      <c r="A1" s="94"/>
      <c r="B1" s="278" t="s">
        <v>62</v>
      </c>
      <c r="C1" s="279"/>
      <c r="D1" s="280"/>
      <c r="E1" s="272" t="s">
        <v>63</v>
      </c>
      <c r="F1" s="270"/>
      <c r="G1" s="271"/>
      <c r="H1" s="272" t="s">
        <v>34</v>
      </c>
      <c r="I1" s="270"/>
      <c r="J1" s="271"/>
      <c r="K1" s="272" t="s">
        <v>35</v>
      </c>
      <c r="L1" s="270"/>
      <c r="M1" s="273"/>
    </row>
    <row r="2" spans="1:13" x14ac:dyDescent="0.45">
      <c r="A2" s="95" t="s">
        <v>61</v>
      </c>
      <c r="B2" s="97" t="s">
        <v>61</v>
      </c>
      <c r="C2" s="274" t="s">
        <v>64</v>
      </c>
      <c r="D2" s="276" t="s">
        <v>65</v>
      </c>
      <c r="E2" s="98" t="s">
        <v>61</v>
      </c>
      <c r="F2" s="274" t="s">
        <v>64</v>
      </c>
      <c r="G2" s="276" t="s">
        <v>65</v>
      </c>
      <c r="H2" s="98" t="s">
        <v>61</v>
      </c>
      <c r="I2" s="274" t="s">
        <v>64</v>
      </c>
      <c r="J2" s="276" t="s">
        <v>65</v>
      </c>
      <c r="K2" s="98" t="s">
        <v>61</v>
      </c>
      <c r="L2" s="274" t="s">
        <v>64</v>
      </c>
      <c r="M2" s="281" t="s">
        <v>65</v>
      </c>
    </row>
    <row r="3" spans="1:13" ht="18" customHeight="1" thickBot="1" x14ac:dyDescent="0.5">
      <c r="A3" s="96"/>
      <c r="B3" s="99" t="s">
        <v>66</v>
      </c>
      <c r="C3" s="275"/>
      <c r="D3" s="277"/>
      <c r="E3" s="100" t="s">
        <v>66</v>
      </c>
      <c r="F3" s="275"/>
      <c r="G3" s="277"/>
      <c r="H3" s="100" t="s">
        <v>66</v>
      </c>
      <c r="I3" s="275"/>
      <c r="J3" s="277"/>
      <c r="K3" s="100" t="s">
        <v>66</v>
      </c>
      <c r="L3" s="275"/>
      <c r="M3" s="282"/>
    </row>
    <row r="4" spans="1:13" ht="18" thickTop="1" thickBot="1" x14ac:dyDescent="0.5">
      <c r="A4" s="101">
        <v>1</v>
      </c>
      <c r="B4" s="102">
        <v>64</v>
      </c>
      <c r="C4" s="103">
        <v>12400</v>
      </c>
      <c r="D4" s="104">
        <v>9.8800000000000008</v>
      </c>
      <c r="E4" s="105">
        <v>70</v>
      </c>
      <c r="F4" s="106">
        <v>1539</v>
      </c>
      <c r="G4" s="107">
        <v>5.01</v>
      </c>
      <c r="H4" s="105">
        <v>68</v>
      </c>
      <c r="I4" s="103">
        <v>1351</v>
      </c>
      <c r="J4" s="108">
        <v>4.21</v>
      </c>
      <c r="K4" s="105">
        <v>68</v>
      </c>
      <c r="L4" s="103">
        <v>1147</v>
      </c>
      <c r="M4" s="109">
        <v>4.54</v>
      </c>
    </row>
    <row r="5" spans="1:13" ht="17.5" thickBot="1" x14ac:dyDescent="0.5">
      <c r="A5" s="110">
        <v>2</v>
      </c>
      <c r="B5" s="111">
        <v>63</v>
      </c>
      <c r="C5" s="112">
        <v>1741</v>
      </c>
      <c r="D5" s="113">
        <v>1.39</v>
      </c>
      <c r="E5" s="114">
        <v>66</v>
      </c>
      <c r="F5" s="115">
        <v>1970</v>
      </c>
      <c r="G5" s="116">
        <v>6.42</v>
      </c>
      <c r="H5" s="114">
        <v>65</v>
      </c>
      <c r="I5" s="112">
        <v>2442</v>
      </c>
      <c r="J5" s="117">
        <v>7.61</v>
      </c>
      <c r="K5" s="114">
        <v>64</v>
      </c>
      <c r="L5" s="112">
        <v>2208</v>
      </c>
      <c r="M5" s="118">
        <v>8.74</v>
      </c>
    </row>
    <row r="6" spans="1:13" ht="17.5" thickBot="1" x14ac:dyDescent="0.5">
      <c r="A6" s="110">
        <v>3</v>
      </c>
      <c r="B6" s="111">
        <v>58</v>
      </c>
      <c r="C6" s="112">
        <v>21237</v>
      </c>
      <c r="D6" s="113">
        <v>16.91</v>
      </c>
      <c r="E6" s="114">
        <v>58</v>
      </c>
      <c r="F6" s="115">
        <v>3868</v>
      </c>
      <c r="G6" s="116">
        <v>12.6</v>
      </c>
      <c r="H6" s="114">
        <v>58</v>
      </c>
      <c r="I6" s="112">
        <v>3870</v>
      </c>
      <c r="J6" s="117">
        <v>12.07</v>
      </c>
      <c r="K6" s="114">
        <v>59</v>
      </c>
      <c r="L6" s="112">
        <v>2919</v>
      </c>
      <c r="M6" s="118">
        <v>11.55</v>
      </c>
    </row>
    <row r="7" spans="1:13" ht="17.5" thickBot="1" x14ac:dyDescent="0.5">
      <c r="A7" s="110">
        <v>4</v>
      </c>
      <c r="B7" s="111">
        <v>53</v>
      </c>
      <c r="C7" s="112">
        <v>19031</v>
      </c>
      <c r="D7" s="113">
        <v>15.16</v>
      </c>
      <c r="E7" s="114">
        <v>50</v>
      </c>
      <c r="F7" s="115">
        <v>5978</v>
      </c>
      <c r="G7" s="116">
        <v>19.47</v>
      </c>
      <c r="H7" s="114">
        <v>52</v>
      </c>
      <c r="I7" s="112">
        <v>5875</v>
      </c>
      <c r="J7" s="117">
        <v>18.32</v>
      </c>
      <c r="K7" s="114">
        <v>52</v>
      </c>
      <c r="L7" s="112">
        <v>4635</v>
      </c>
      <c r="M7" s="118">
        <v>18.34</v>
      </c>
    </row>
    <row r="8" spans="1:13" ht="17.5" thickBot="1" x14ac:dyDescent="0.5">
      <c r="A8" s="110">
        <v>5</v>
      </c>
      <c r="B8" s="111">
        <v>48</v>
      </c>
      <c r="C8" s="112">
        <v>22686</v>
      </c>
      <c r="D8" s="113">
        <v>18.07</v>
      </c>
      <c r="E8" s="114">
        <v>44</v>
      </c>
      <c r="F8" s="115">
        <v>8498</v>
      </c>
      <c r="G8" s="116">
        <v>27.67</v>
      </c>
      <c r="H8" s="114">
        <v>47</v>
      </c>
      <c r="I8" s="112">
        <v>5824</v>
      </c>
      <c r="J8" s="117">
        <v>18.16</v>
      </c>
      <c r="K8" s="114">
        <v>46</v>
      </c>
      <c r="L8" s="112">
        <v>4397</v>
      </c>
      <c r="M8" s="118">
        <v>17.399999999999999</v>
      </c>
    </row>
    <row r="9" spans="1:13" ht="17.5" thickBot="1" x14ac:dyDescent="0.5">
      <c r="A9" s="110">
        <v>6</v>
      </c>
      <c r="B9" s="111">
        <v>42</v>
      </c>
      <c r="C9" s="112">
        <v>19690</v>
      </c>
      <c r="D9" s="113">
        <v>15.68</v>
      </c>
      <c r="E9" s="114">
        <v>42</v>
      </c>
      <c r="F9" s="115">
        <v>2113</v>
      </c>
      <c r="G9" s="116">
        <v>6.88</v>
      </c>
      <c r="H9" s="114">
        <v>42</v>
      </c>
      <c r="I9" s="112">
        <v>5632</v>
      </c>
      <c r="J9" s="117">
        <v>17.559999999999999</v>
      </c>
      <c r="K9" s="114">
        <v>41</v>
      </c>
      <c r="L9" s="112">
        <v>4365</v>
      </c>
      <c r="M9" s="118">
        <v>17.27</v>
      </c>
    </row>
    <row r="10" spans="1:13" ht="17.5" thickBot="1" x14ac:dyDescent="0.5">
      <c r="A10" s="110">
        <v>7</v>
      </c>
      <c r="B10" s="111">
        <v>36</v>
      </c>
      <c r="C10" s="112">
        <v>16394</v>
      </c>
      <c r="D10" s="113">
        <v>13.06</v>
      </c>
      <c r="E10" s="114">
        <v>39</v>
      </c>
      <c r="F10" s="115">
        <v>4665</v>
      </c>
      <c r="G10" s="116">
        <v>15.19</v>
      </c>
      <c r="H10" s="114">
        <v>38</v>
      </c>
      <c r="I10" s="112">
        <v>3572</v>
      </c>
      <c r="J10" s="117">
        <v>11.14</v>
      </c>
      <c r="K10" s="114">
        <v>38</v>
      </c>
      <c r="L10" s="112">
        <v>2863</v>
      </c>
      <c r="M10" s="118">
        <v>11.33</v>
      </c>
    </row>
    <row r="11" spans="1:13" ht="17.5" thickBot="1" x14ac:dyDescent="0.5">
      <c r="A11" s="110">
        <v>8</v>
      </c>
      <c r="B11" s="111">
        <v>32</v>
      </c>
      <c r="C11" s="112">
        <v>8403</v>
      </c>
      <c r="D11" s="113">
        <v>6.69</v>
      </c>
      <c r="E11" s="114">
        <v>38</v>
      </c>
      <c r="F11" s="119">
        <v>936</v>
      </c>
      <c r="G11" s="116">
        <v>3.05</v>
      </c>
      <c r="H11" s="114">
        <v>34</v>
      </c>
      <c r="I11" s="112">
        <v>2908</v>
      </c>
      <c r="J11" s="117">
        <v>9.07</v>
      </c>
      <c r="K11" s="114">
        <v>35</v>
      </c>
      <c r="L11" s="112">
        <v>2287</v>
      </c>
      <c r="M11" s="118">
        <v>9.0500000000000007</v>
      </c>
    </row>
    <row r="12" spans="1:13" ht="17.5" thickBot="1" x14ac:dyDescent="0.5">
      <c r="A12" s="120">
        <v>9</v>
      </c>
      <c r="B12" s="121" t="s">
        <v>67</v>
      </c>
      <c r="C12" s="122">
        <v>3970</v>
      </c>
      <c r="D12" s="123">
        <v>3.16</v>
      </c>
      <c r="E12" s="124" t="s">
        <v>68</v>
      </c>
      <c r="F12" s="125">
        <v>1141</v>
      </c>
      <c r="G12" s="126">
        <v>3.72</v>
      </c>
      <c r="H12" s="124" t="s">
        <v>69</v>
      </c>
      <c r="I12" s="121">
        <v>602</v>
      </c>
      <c r="J12" s="127">
        <v>1.88</v>
      </c>
      <c r="K12" s="124" t="s">
        <v>70</v>
      </c>
      <c r="L12" s="121">
        <v>450</v>
      </c>
      <c r="M12" s="128">
        <v>1.78</v>
      </c>
    </row>
    <row r="13" spans="1:13" ht="18" thickTop="1" thickBot="1" x14ac:dyDescent="0.5">
      <c r="A13" s="94"/>
      <c r="B13" s="269" t="s">
        <v>41</v>
      </c>
      <c r="C13" s="270"/>
      <c r="D13" s="271"/>
      <c r="E13" s="272" t="s">
        <v>42</v>
      </c>
      <c r="F13" s="270"/>
      <c r="G13" s="271"/>
      <c r="H13" s="272" t="s">
        <v>43</v>
      </c>
      <c r="I13" s="270"/>
      <c r="J13" s="271"/>
      <c r="K13" s="272" t="s">
        <v>71</v>
      </c>
      <c r="L13" s="270"/>
      <c r="M13" s="273"/>
    </row>
    <row r="14" spans="1:13" x14ac:dyDescent="0.45">
      <c r="A14" s="95" t="s">
        <v>61</v>
      </c>
      <c r="B14" s="97" t="s">
        <v>61</v>
      </c>
      <c r="C14" s="274" t="s">
        <v>64</v>
      </c>
      <c r="D14" s="276" t="s">
        <v>65</v>
      </c>
      <c r="E14" s="98" t="s">
        <v>61</v>
      </c>
      <c r="F14" s="274" t="s">
        <v>64</v>
      </c>
      <c r="G14" s="276" t="s">
        <v>65</v>
      </c>
      <c r="H14" s="98" t="s">
        <v>61</v>
      </c>
      <c r="I14" s="274" t="s">
        <v>64</v>
      </c>
      <c r="J14" s="276" t="s">
        <v>65</v>
      </c>
      <c r="K14" s="98" t="s">
        <v>61</v>
      </c>
      <c r="L14" s="274" t="s">
        <v>64</v>
      </c>
      <c r="M14" s="281" t="s">
        <v>65</v>
      </c>
    </row>
    <row r="15" spans="1:13" ht="17.5" thickBot="1" x14ac:dyDescent="0.5">
      <c r="A15" s="96"/>
      <c r="B15" s="99" t="s">
        <v>66</v>
      </c>
      <c r="C15" s="275"/>
      <c r="D15" s="277"/>
      <c r="E15" s="100" t="s">
        <v>66</v>
      </c>
      <c r="F15" s="275"/>
      <c r="G15" s="277"/>
      <c r="H15" s="100" t="s">
        <v>66</v>
      </c>
      <c r="I15" s="275"/>
      <c r="J15" s="277"/>
      <c r="K15" s="100" t="s">
        <v>66</v>
      </c>
      <c r="L15" s="275"/>
      <c r="M15" s="282"/>
    </row>
    <row r="16" spans="1:13" ht="18" thickTop="1" thickBot="1" x14ac:dyDescent="0.5">
      <c r="A16" s="101">
        <v>1</v>
      </c>
      <c r="B16" s="102">
        <v>69</v>
      </c>
      <c r="C16" s="102">
        <v>945</v>
      </c>
      <c r="D16" s="104">
        <v>5.01</v>
      </c>
      <c r="E16" s="105">
        <v>71</v>
      </c>
      <c r="F16" s="129">
        <v>632</v>
      </c>
      <c r="G16" s="107">
        <v>4.3</v>
      </c>
      <c r="H16" s="105">
        <v>72</v>
      </c>
      <c r="I16" s="102">
        <v>341</v>
      </c>
      <c r="J16" s="108">
        <v>5.71</v>
      </c>
      <c r="K16" s="105">
        <v>68</v>
      </c>
      <c r="L16" s="103">
        <v>1336</v>
      </c>
      <c r="M16" s="109">
        <v>5.29</v>
      </c>
    </row>
    <row r="17" spans="1:13" ht="17.5" thickBot="1" x14ac:dyDescent="0.5">
      <c r="A17" s="110">
        <v>2</v>
      </c>
      <c r="B17" s="111">
        <v>65</v>
      </c>
      <c r="C17" s="112">
        <v>1234</v>
      </c>
      <c r="D17" s="113">
        <v>6.55</v>
      </c>
      <c r="E17" s="114">
        <v>66</v>
      </c>
      <c r="F17" s="115">
        <v>1065</v>
      </c>
      <c r="G17" s="116">
        <v>7.25</v>
      </c>
      <c r="H17" s="114">
        <v>66</v>
      </c>
      <c r="I17" s="111">
        <v>324</v>
      </c>
      <c r="J17" s="117">
        <v>5.42</v>
      </c>
      <c r="K17" s="114">
        <v>65</v>
      </c>
      <c r="L17" s="112">
        <v>1677</v>
      </c>
      <c r="M17" s="118">
        <v>6.64</v>
      </c>
    </row>
    <row r="18" spans="1:13" ht="17.5" thickBot="1" x14ac:dyDescent="0.5">
      <c r="A18" s="110">
        <v>3</v>
      </c>
      <c r="B18" s="111">
        <v>59</v>
      </c>
      <c r="C18" s="112">
        <v>2255</v>
      </c>
      <c r="D18" s="113">
        <v>11.96</v>
      </c>
      <c r="E18" s="114">
        <v>58</v>
      </c>
      <c r="F18" s="115">
        <v>1736</v>
      </c>
      <c r="G18" s="116">
        <v>11.81</v>
      </c>
      <c r="H18" s="114">
        <v>57</v>
      </c>
      <c r="I18" s="111">
        <v>722</v>
      </c>
      <c r="J18" s="117">
        <v>12.09</v>
      </c>
      <c r="K18" s="114">
        <v>59</v>
      </c>
      <c r="L18" s="112">
        <v>2818</v>
      </c>
      <c r="M18" s="118">
        <v>11.15</v>
      </c>
    </row>
    <row r="19" spans="1:13" ht="17.5" thickBot="1" x14ac:dyDescent="0.5">
      <c r="A19" s="110">
        <v>4</v>
      </c>
      <c r="B19" s="111">
        <v>52</v>
      </c>
      <c r="C19" s="112">
        <v>3375</v>
      </c>
      <c r="D19" s="113">
        <v>17.91</v>
      </c>
      <c r="E19" s="114">
        <v>50</v>
      </c>
      <c r="F19" s="115">
        <v>2723</v>
      </c>
      <c r="G19" s="116">
        <v>18.53</v>
      </c>
      <c r="H19" s="114">
        <v>49</v>
      </c>
      <c r="I19" s="112">
        <v>1151</v>
      </c>
      <c r="J19" s="117">
        <v>19.27</v>
      </c>
      <c r="K19" s="114">
        <v>52</v>
      </c>
      <c r="L19" s="112">
        <v>4500</v>
      </c>
      <c r="M19" s="118">
        <v>17.809999999999999</v>
      </c>
    </row>
    <row r="20" spans="1:13" ht="17.5" thickBot="1" x14ac:dyDescent="0.5">
      <c r="A20" s="110">
        <v>5</v>
      </c>
      <c r="B20" s="111">
        <v>45</v>
      </c>
      <c r="C20" s="112">
        <v>3676</v>
      </c>
      <c r="D20" s="113">
        <v>19.5</v>
      </c>
      <c r="E20" s="114">
        <v>44</v>
      </c>
      <c r="F20" s="115">
        <v>3710</v>
      </c>
      <c r="G20" s="116">
        <v>25.24</v>
      </c>
      <c r="H20" s="114">
        <v>44</v>
      </c>
      <c r="I20" s="112">
        <v>1359</v>
      </c>
      <c r="J20" s="117">
        <v>22.75</v>
      </c>
      <c r="K20" s="114">
        <v>46</v>
      </c>
      <c r="L20" s="112">
        <v>4901</v>
      </c>
      <c r="M20" s="118">
        <v>19.39</v>
      </c>
    </row>
    <row r="21" spans="1:13" ht="17.5" thickBot="1" x14ac:dyDescent="0.5">
      <c r="A21" s="110">
        <v>6</v>
      </c>
      <c r="B21" s="111">
        <v>41</v>
      </c>
      <c r="C21" s="112">
        <v>4018</v>
      </c>
      <c r="D21" s="113">
        <v>21.32</v>
      </c>
      <c r="E21" s="114">
        <v>42</v>
      </c>
      <c r="F21" s="115">
        <v>1699</v>
      </c>
      <c r="G21" s="116">
        <v>11.56</v>
      </c>
      <c r="H21" s="114">
        <v>42</v>
      </c>
      <c r="I21" s="112">
        <v>1169</v>
      </c>
      <c r="J21" s="117">
        <v>19.57</v>
      </c>
      <c r="K21" s="114">
        <v>41</v>
      </c>
      <c r="L21" s="112">
        <v>4264</v>
      </c>
      <c r="M21" s="118">
        <v>16.87</v>
      </c>
    </row>
    <row r="22" spans="1:13" ht="17.5" thickBot="1" x14ac:dyDescent="0.5">
      <c r="A22" s="110">
        <v>7</v>
      </c>
      <c r="B22" s="111">
        <v>38</v>
      </c>
      <c r="C22" s="112">
        <v>1847</v>
      </c>
      <c r="D22" s="113">
        <v>9.8000000000000007</v>
      </c>
      <c r="E22" s="114">
        <v>40</v>
      </c>
      <c r="F22" s="115">
        <v>1857</v>
      </c>
      <c r="G22" s="116">
        <v>12.64</v>
      </c>
      <c r="H22" s="114">
        <v>40</v>
      </c>
      <c r="I22" s="111">
        <v>534</v>
      </c>
      <c r="J22" s="117">
        <v>8.94</v>
      </c>
      <c r="K22" s="114">
        <v>38</v>
      </c>
      <c r="L22" s="112">
        <v>3493</v>
      </c>
      <c r="M22" s="118">
        <v>13.82</v>
      </c>
    </row>
    <row r="23" spans="1:13" ht="17.5" thickBot="1" x14ac:dyDescent="0.5">
      <c r="A23" s="110">
        <v>8</v>
      </c>
      <c r="B23" s="111">
        <v>36</v>
      </c>
      <c r="C23" s="111">
        <v>906</v>
      </c>
      <c r="D23" s="113">
        <v>4.8099999999999996</v>
      </c>
      <c r="E23" s="114">
        <v>37</v>
      </c>
      <c r="F23" s="119">
        <v>940</v>
      </c>
      <c r="G23" s="116">
        <v>6.4</v>
      </c>
      <c r="H23" s="114">
        <v>38</v>
      </c>
      <c r="I23" s="111">
        <v>215</v>
      </c>
      <c r="J23" s="117">
        <v>3.6</v>
      </c>
      <c r="K23" s="114">
        <v>36</v>
      </c>
      <c r="L23" s="112">
        <v>1791</v>
      </c>
      <c r="M23" s="118">
        <v>7.09</v>
      </c>
    </row>
    <row r="24" spans="1:13" ht="17.5" thickBot="1" x14ac:dyDescent="0.5">
      <c r="A24" s="120">
        <v>9</v>
      </c>
      <c r="B24" s="121" t="s">
        <v>72</v>
      </c>
      <c r="C24" s="121">
        <v>591</v>
      </c>
      <c r="D24" s="123">
        <v>3.14</v>
      </c>
      <c r="E24" s="124" t="s">
        <v>73</v>
      </c>
      <c r="F24" s="130">
        <v>335</v>
      </c>
      <c r="G24" s="126">
        <v>2.2799999999999998</v>
      </c>
      <c r="H24" s="124" t="s">
        <v>68</v>
      </c>
      <c r="I24" s="121">
        <v>159</v>
      </c>
      <c r="J24" s="127">
        <v>2.66</v>
      </c>
      <c r="K24" s="124" t="s">
        <v>72</v>
      </c>
      <c r="L24" s="121">
        <v>493</v>
      </c>
      <c r="M24" s="128">
        <v>1.95</v>
      </c>
    </row>
    <row r="25" spans="1:13" ht="18" thickTop="1" thickBot="1" x14ac:dyDescent="0.5">
      <c r="A25" s="94"/>
      <c r="B25" s="269" t="s">
        <v>74</v>
      </c>
      <c r="C25" s="270"/>
      <c r="D25" s="271"/>
      <c r="E25" s="283"/>
      <c r="F25" s="284"/>
      <c r="G25" s="284"/>
      <c r="H25" s="284"/>
      <c r="I25" s="284"/>
      <c r="J25" s="284"/>
      <c r="K25" s="284"/>
      <c r="L25" s="284"/>
      <c r="M25" s="285"/>
    </row>
    <row r="26" spans="1:13" x14ac:dyDescent="0.45">
      <c r="A26" s="95" t="s">
        <v>61</v>
      </c>
      <c r="B26" s="97" t="s">
        <v>61</v>
      </c>
      <c r="C26" s="274" t="s">
        <v>64</v>
      </c>
      <c r="D26" s="276" t="s">
        <v>65</v>
      </c>
      <c r="E26" s="286"/>
      <c r="F26" s="287"/>
      <c r="G26" s="287"/>
      <c r="H26" s="287"/>
      <c r="I26" s="287"/>
      <c r="J26" s="287"/>
      <c r="K26" s="287"/>
      <c r="L26" s="287"/>
      <c r="M26" s="288"/>
    </row>
    <row r="27" spans="1:13" ht="17.5" thickBot="1" x14ac:dyDescent="0.5">
      <c r="A27" s="96"/>
      <c r="B27" s="99" t="s">
        <v>66</v>
      </c>
      <c r="C27" s="275"/>
      <c r="D27" s="277"/>
      <c r="E27" s="286"/>
      <c r="F27" s="287"/>
      <c r="G27" s="287"/>
      <c r="H27" s="287"/>
      <c r="I27" s="287"/>
      <c r="J27" s="287"/>
      <c r="K27" s="287"/>
      <c r="L27" s="287"/>
      <c r="M27" s="288"/>
    </row>
    <row r="28" spans="1:13" ht="18" thickTop="1" thickBot="1" x14ac:dyDescent="0.5">
      <c r="A28" s="101">
        <v>1</v>
      </c>
      <c r="B28" s="102">
        <v>65</v>
      </c>
      <c r="C28" s="103">
        <v>7508</v>
      </c>
      <c r="D28" s="104">
        <v>6.45</v>
      </c>
      <c r="E28" s="286"/>
      <c r="F28" s="287"/>
      <c r="G28" s="287"/>
      <c r="H28" s="287"/>
      <c r="I28" s="287"/>
      <c r="J28" s="287"/>
      <c r="K28" s="287"/>
      <c r="L28" s="287"/>
      <c r="M28" s="288"/>
    </row>
    <row r="29" spans="1:13" ht="17.5" thickBot="1" x14ac:dyDescent="0.5">
      <c r="A29" s="110">
        <v>2</v>
      </c>
      <c r="B29" s="111">
        <v>62</v>
      </c>
      <c r="C29" s="112">
        <v>9435</v>
      </c>
      <c r="D29" s="113">
        <v>8.11</v>
      </c>
      <c r="E29" s="286"/>
      <c r="F29" s="287"/>
      <c r="G29" s="287"/>
      <c r="H29" s="287"/>
      <c r="I29" s="287"/>
      <c r="J29" s="287"/>
      <c r="K29" s="287"/>
      <c r="L29" s="287"/>
      <c r="M29" s="288"/>
    </row>
    <row r="30" spans="1:13" ht="17.5" thickBot="1" x14ac:dyDescent="0.5">
      <c r="A30" s="110">
        <v>3</v>
      </c>
      <c r="B30" s="111">
        <v>59</v>
      </c>
      <c r="C30" s="112">
        <v>13635</v>
      </c>
      <c r="D30" s="113">
        <v>11.72</v>
      </c>
      <c r="E30" s="286"/>
      <c r="F30" s="287"/>
      <c r="G30" s="287"/>
      <c r="H30" s="287"/>
      <c r="I30" s="287"/>
      <c r="J30" s="287"/>
      <c r="K30" s="287"/>
      <c r="L30" s="287"/>
      <c r="M30" s="288"/>
    </row>
    <row r="31" spans="1:13" ht="17.5" thickBot="1" x14ac:dyDescent="0.5">
      <c r="A31" s="110">
        <v>4</v>
      </c>
      <c r="B31" s="111">
        <v>55</v>
      </c>
      <c r="C31" s="112">
        <v>16088</v>
      </c>
      <c r="D31" s="113">
        <v>13.83</v>
      </c>
      <c r="E31" s="286"/>
      <c r="F31" s="287"/>
      <c r="G31" s="287"/>
      <c r="H31" s="287"/>
      <c r="I31" s="287"/>
      <c r="J31" s="287"/>
      <c r="K31" s="287"/>
      <c r="L31" s="287"/>
      <c r="M31" s="288"/>
    </row>
    <row r="32" spans="1:13" ht="17.5" thickBot="1" x14ac:dyDescent="0.5">
      <c r="A32" s="110">
        <v>5</v>
      </c>
      <c r="B32" s="111">
        <v>48</v>
      </c>
      <c r="C32" s="112">
        <v>23309</v>
      </c>
      <c r="D32" s="113">
        <v>20.04</v>
      </c>
      <c r="E32" s="286"/>
      <c r="F32" s="287"/>
      <c r="G32" s="287"/>
      <c r="H32" s="287"/>
      <c r="I32" s="287"/>
      <c r="J32" s="287"/>
      <c r="K32" s="287"/>
      <c r="L32" s="287"/>
      <c r="M32" s="288"/>
    </row>
    <row r="33" spans="1:13" ht="17.5" thickBot="1" x14ac:dyDescent="0.5">
      <c r="A33" s="110">
        <v>6</v>
      </c>
      <c r="B33" s="111">
        <v>40</v>
      </c>
      <c r="C33" s="112">
        <v>21366</v>
      </c>
      <c r="D33" s="113">
        <v>18.37</v>
      </c>
      <c r="E33" s="286"/>
      <c r="F33" s="287"/>
      <c r="G33" s="287"/>
      <c r="H33" s="287"/>
      <c r="I33" s="287"/>
      <c r="J33" s="287"/>
      <c r="K33" s="287"/>
      <c r="L33" s="287"/>
      <c r="M33" s="288"/>
    </row>
    <row r="34" spans="1:13" ht="17.5" thickBot="1" x14ac:dyDescent="0.5">
      <c r="A34" s="110">
        <v>7</v>
      </c>
      <c r="B34" s="111">
        <v>36</v>
      </c>
      <c r="C34" s="112">
        <v>14071</v>
      </c>
      <c r="D34" s="113">
        <v>12.1</v>
      </c>
      <c r="E34" s="286"/>
      <c r="F34" s="287"/>
      <c r="G34" s="287"/>
      <c r="H34" s="287"/>
      <c r="I34" s="287"/>
      <c r="J34" s="287"/>
      <c r="K34" s="287"/>
      <c r="L34" s="287"/>
      <c r="M34" s="288"/>
    </row>
    <row r="35" spans="1:13" ht="17.5" thickBot="1" x14ac:dyDescent="0.5">
      <c r="A35" s="110">
        <v>8</v>
      </c>
      <c r="B35" s="111">
        <v>35</v>
      </c>
      <c r="C35" s="112">
        <v>6470</v>
      </c>
      <c r="D35" s="113">
        <v>5.56</v>
      </c>
      <c r="E35" s="286"/>
      <c r="F35" s="287"/>
      <c r="G35" s="287"/>
      <c r="H35" s="287"/>
      <c r="I35" s="287"/>
      <c r="J35" s="287"/>
      <c r="K35" s="287"/>
      <c r="L35" s="287"/>
      <c r="M35" s="288"/>
    </row>
    <row r="36" spans="1:13" ht="17.5" thickBot="1" x14ac:dyDescent="0.5">
      <c r="A36" s="120">
        <v>9</v>
      </c>
      <c r="B36" s="121" t="s">
        <v>70</v>
      </c>
      <c r="C36" s="122">
        <v>4451</v>
      </c>
      <c r="D36" s="123">
        <v>3.83</v>
      </c>
      <c r="E36" s="289"/>
      <c r="F36" s="290"/>
      <c r="G36" s="290"/>
      <c r="H36" s="290"/>
      <c r="I36" s="290"/>
      <c r="J36" s="290"/>
      <c r="K36" s="290"/>
      <c r="L36" s="290"/>
      <c r="M36" s="291"/>
    </row>
    <row r="37" spans="1:13" ht="17.5" thickTop="1" x14ac:dyDescent="0.45"/>
    <row r="38" spans="1:13" ht="17.5" thickBot="1" x14ac:dyDescent="0.5"/>
    <row r="39" spans="1:13" ht="18" thickTop="1" thickBot="1" x14ac:dyDescent="0.5">
      <c r="A39" s="131"/>
      <c r="B39" s="269" t="s">
        <v>75</v>
      </c>
      <c r="C39" s="270"/>
      <c r="D39" s="271"/>
      <c r="E39" s="272" t="s">
        <v>76</v>
      </c>
      <c r="F39" s="270"/>
      <c r="G39" s="271"/>
      <c r="H39" s="272" t="s">
        <v>77</v>
      </c>
      <c r="I39" s="270"/>
      <c r="J39" s="271"/>
      <c r="K39" s="272" t="s">
        <v>78</v>
      </c>
      <c r="L39" s="270"/>
      <c r="M39" s="273"/>
    </row>
    <row r="40" spans="1:13" x14ac:dyDescent="0.45">
      <c r="A40" s="95" t="s">
        <v>61</v>
      </c>
      <c r="B40" s="97" t="s">
        <v>61</v>
      </c>
      <c r="C40" s="274" t="s">
        <v>64</v>
      </c>
      <c r="D40" s="276" t="s">
        <v>65</v>
      </c>
      <c r="E40" s="98" t="s">
        <v>61</v>
      </c>
      <c r="F40" s="274" t="s">
        <v>64</v>
      </c>
      <c r="G40" s="276" t="s">
        <v>65</v>
      </c>
      <c r="H40" s="98" t="s">
        <v>61</v>
      </c>
      <c r="I40" s="274" t="s">
        <v>64</v>
      </c>
      <c r="J40" s="276" t="s">
        <v>65</v>
      </c>
      <c r="K40" s="98" t="s">
        <v>61</v>
      </c>
      <c r="L40" s="274" t="s">
        <v>64</v>
      </c>
      <c r="M40" s="281" t="s">
        <v>65</v>
      </c>
    </row>
    <row r="41" spans="1:13" ht="17.5" thickBot="1" x14ac:dyDescent="0.5">
      <c r="A41" s="96"/>
      <c r="B41" s="99" t="s">
        <v>66</v>
      </c>
      <c r="C41" s="275"/>
      <c r="D41" s="277"/>
      <c r="E41" s="100" t="s">
        <v>66</v>
      </c>
      <c r="F41" s="275"/>
      <c r="G41" s="277"/>
      <c r="H41" s="100" t="s">
        <v>66</v>
      </c>
      <c r="I41" s="275"/>
      <c r="J41" s="277"/>
      <c r="K41" s="100" t="s">
        <v>66</v>
      </c>
      <c r="L41" s="275"/>
      <c r="M41" s="282"/>
    </row>
    <row r="42" spans="1:13" ht="18" thickTop="1" thickBot="1" x14ac:dyDescent="0.5">
      <c r="A42" s="101">
        <v>1</v>
      </c>
      <c r="B42" s="102">
        <v>66</v>
      </c>
      <c r="C42" s="103">
        <v>3191</v>
      </c>
      <c r="D42" s="104">
        <v>6.03</v>
      </c>
      <c r="E42" s="105">
        <v>69</v>
      </c>
      <c r="F42" s="132">
        <v>3128</v>
      </c>
      <c r="G42" s="108">
        <v>4.9800000000000004</v>
      </c>
      <c r="H42" s="105">
        <v>66</v>
      </c>
      <c r="I42" s="103">
        <v>7005</v>
      </c>
      <c r="J42" s="108">
        <v>5.89</v>
      </c>
      <c r="K42" s="105">
        <v>67</v>
      </c>
      <c r="L42" s="103">
        <v>6823</v>
      </c>
      <c r="M42" s="133">
        <v>5.87</v>
      </c>
    </row>
    <row r="43" spans="1:13" ht="17.5" thickBot="1" x14ac:dyDescent="0.5">
      <c r="A43" s="110">
        <v>2</v>
      </c>
      <c r="B43" s="111">
        <v>63</v>
      </c>
      <c r="C43" s="112">
        <v>3940</v>
      </c>
      <c r="D43" s="113">
        <v>7.44</v>
      </c>
      <c r="E43" s="114">
        <v>64</v>
      </c>
      <c r="F43" s="134">
        <v>4511</v>
      </c>
      <c r="G43" s="117">
        <v>7.18</v>
      </c>
      <c r="H43" s="114">
        <v>63</v>
      </c>
      <c r="I43" s="112">
        <v>7842</v>
      </c>
      <c r="J43" s="117">
        <v>6.6</v>
      </c>
      <c r="K43" s="114">
        <v>64</v>
      </c>
      <c r="L43" s="112">
        <v>7766</v>
      </c>
      <c r="M43" s="135">
        <v>6.68</v>
      </c>
    </row>
    <row r="44" spans="1:13" ht="17.5" thickBot="1" x14ac:dyDescent="0.5">
      <c r="A44" s="110">
        <v>3</v>
      </c>
      <c r="B44" s="111">
        <v>60</v>
      </c>
      <c r="C44" s="112">
        <v>5470</v>
      </c>
      <c r="D44" s="113">
        <v>10.33</v>
      </c>
      <c r="E44" s="114">
        <v>58</v>
      </c>
      <c r="F44" s="134">
        <v>6901</v>
      </c>
      <c r="G44" s="116">
        <v>10.99</v>
      </c>
      <c r="H44" s="114">
        <v>59</v>
      </c>
      <c r="I44" s="112">
        <v>13415</v>
      </c>
      <c r="J44" s="117">
        <v>11.29</v>
      </c>
      <c r="K44" s="114">
        <v>59</v>
      </c>
      <c r="L44" s="112">
        <v>14102</v>
      </c>
      <c r="M44" s="135">
        <v>12.13</v>
      </c>
    </row>
    <row r="45" spans="1:13" ht="17.5" thickBot="1" x14ac:dyDescent="0.5">
      <c r="A45" s="110">
        <v>4</v>
      </c>
      <c r="B45" s="111">
        <v>54</v>
      </c>
      <c r="C45" s="112">
        <v>9176</v>
      </c>
      <c r="D45" s="113">
        <v>17.34</v>
      </c>
      <c r="E45" s="114">
        <v>52</v>
      </c>
      <c r="F45" s="134">
        <v>10874</v>
      </c>
      <c r="G45" s="116">
        <v>17.32</v>
      </c>
      <c r="H45" s="114">
        <v>53</v>
      </c>
      <c r="I45" s="112">
        <v>24138</v>
      </c>
      <c r="J45" s="117">
        <v>20.309999999999999</v>
      </c>
      <c r="K45" s="114">
        <v>52</v>
      </c>
      <c r="L45" s="112">
        <v>19446</v>
      </c>
      <c r="M45" s="135">
        <v>16.73</v>
      </c>
    </row>
    <row r="46" spans="1:13" ht="17.5" thickBot="1" x14ac:dyDescent="0.5">
      <c r="A46" s="110">
        <v>5</v>
      </c>
      <c r="B46" s="111">
        <v>46</v>
      </c>
      <c r="C46" s="112">
        <v>10944</v>
      </c>
      <c r="D46" s="113">
        <v>20.68</v>
      </c>
      <c r="E46" s="114">
        <v>45</v>
      </c>
      <c r="F46" s="134">
        <v>13834</v>
      </c>
      <c r="G46" s="116">
        <v>22.03</v>
      </c>
      <c r="H46" s="114">
        <v>47</v>
      </c>
      <c r="I46" s="112">
        <v>20088</v>
      </c>
      <c r="J46" s="117">
        <v>16.899999999999999</v>
      </c>
      <c r="K46" s="114">
        <v>46</v>
      </c>
      <c r="L46" s="112">
        <v>22273</v>
      </c>
      <c r="M46" s="135">
        <v>19.16</v>
      </c>
    </row>
    <row r="47" spans="1:13" ht="17.5" thickBot="1" x14ac:dyDescent="0.5">
      <c r="A47" s="110">
        <v>6</v>
      </c>
      <c r="B47" s="111">
        <v>40</v>
      </c>
      <c r="C47" s="112">
        <v>9766</v>
      </c>
      <c r="D47" s="113">
        <v>18.45</v>
      </c>
      <c r="E47" s="114">
        <v>42</v>
      </c>
      <c r="F47" s="134">
        <v>9579</v>
      </c>
      <c r="G47" s="116">
        <v>15.25</v>
      </c>
      <c r="H47" s="114">
        <v>41</v>
      </c>
      <c r="I47" s="112">
        <v>20918</v>
      </c>
      <c r="J47" s="117">
        <v>17.600000000000001</v>
      </c>
      <c r="K47" s="114">
        <v>42</v>
      </c>
      <c r="L47" s="112">
        <v>20336</v>
      </c>
      <c r="M47" s="135">
        <v>17.5</v>
      </c>
    </row>
    <row r="48" spans="1:13" ht="17.5" thickBot="1" x14ac:dyDescent="0.5">
      <c r="A48" s="110">
        <v>7</v>
      </c>
      <c r="B48" s="111">
        <v>37</v>
      </c>
      <c r="C48" s="112">
        <v>6902</v>
      </c>
      <c r="D48" s="113">
        <v>13.04</v>
      </c>
      <c r="E48" s="114">
        <v>38</v>
      </c>
      <c r="F48" s="134">
        <v>8639</v>
      </c>
      <c r="G48" s="116">
        <v>13.76</v>
      </c>
      <c r="H48" s="114">
        <v>37</v>
      </c>
      <c r="I48" s="112">
        <v>14779</v>
      </c>
      <c r="J48" s="117">
        <v>12.43</v>
      </c>
      <c r="K48" s="114">
        <v>38</v>
      </c>
      <c r="L48" s="112">
        <v>16106</v>
      </c>
      <c r="M48" s="135">
        <v>13.86</v>
      </c>
    </row>
    <row r="49" spans="1:13" ht="17.5" thickBot="1" x14ac:dyDescent="0.5">
      <c r="A49" s="110">
        <v>8</v>
      </c>
      <c r="B49" s="111">
        <v>35</v>
      </c>
      <c r="C49" s="112">
        <v>1810</v>
      </c>
      <c r="D49" s="113">
        <v>3.42</v>
      </c>
      <c r="E49" s="114">
        <v>36</v>
      </c>
      <c r="F49" s="134">
        <v>3021</v>
      </c>
      <c r="G49" s="117">
        <v>4.8099999999999996</v>
      </c>
      <c r="H49" s="114">
        <v>33</v>
      </c>
      <c r="I49" s="112">
        <v>8657</v>
      </c>
      <c r="J49" s="117">
        <v>7.28</v>
      </c>
      <c r="K49" s="114">
        <v>35</v>
      </c>
      <c r="L49" s="112">
        <v>6737</v>
      </c>
      <c r="M49" s="135">
        <v>5.8</v>
      </c>
    </row>
    <row r="50" spans="1:13" ht="17.5" thickBot="1" x14ac:dyDescent="0.5">
      <c r="A50" s="120">
        <v>9</v>
      </c>
      <c r="B50" s="121" t="s">
        <v>70</v>
      </c>
      <c r="C50" s="122">
        <v>1732</v>
      </c>
      <c r="D50" s="123">
        <v>3.27</v>
      </c>
      <c r="E50" s="124" t="s">
        <v>72</v>
      </c>
      <c r="F50" s="136">
        <v>2310</v>
      </c>
      <c r="G50" s="127">
        <v>3.68</v>
      </c>
      <c r="H50" s="124" t="s">
        <v>79</v>
      </c>
      <c r="I50" s="122">
        <v>2018</v>
      </c>
      <c r="J50" s="127">
        <v>1.7</v>
      </c>
      <c r="K50" s="124" t="s">
        <v>70</v>
      </c>
      <c r="L50" s="122">
        <v>2639</v>
      </c>
      <c r="M50" s="137">
        <v>2.27</v>
      </c>
    </row>
    <row r="51" spans="1:13" ht="18" thickTop="1" thickBot="1" x14ac:dyDescent="0.5">
      <c r="A51" s="131"/>
      <c r="B51" s="269" t="s">
        <v>80</v>
      </c>
      <c r="C51" s="270"/>
      <c r="D51" s="271"/>
      <c r="E51" s="272" t="s">
        <v>81</v>
      </c>
      <c r="F51" s="270"/>
      <c r="G51" s="271"/>
      <c r="H51" s="272" t="s">
        <v>82</v>
      </c>
      <c r="I51" s="270"/>
      <c r="J51" s="271"/>
      <c r="K51" s="272" t="s">
        <v>83</v>
      </c>
      <c r="L51" s="270"/>
      <c r="M51" s="273"/>
    </row>
    <row r="52" spans="1:13" x14ac:dyDescent="0.45">
      <c r="A52" s="95" t="s">
        <v>61</v>
      </c>
      <c r="B52" s="97" t="s">
        <v>61</v>
      </c>
      <c r="C52" s="274" t="s">
        <v>64</v>
      </c>
      <c r="D52" s="276" t="s">
        <v>65</v>
      </c>
      <c r="E52" s="98" t="s">
        <v>61</v>
      </c>
      <c r="F52" s="274" t="s">
        <v>64</v>
      </c>
      <c r="G52" s="276" t="s">
        <v>65</v>
      </c>
      <c r="H52" s="98" t="s">
        <v>61</v>
      </c>
      <c r="I52" s="274" t="s">
        <v>64</v>
      </c>
      <c r="J52" s="276" t="s">
        <v>65</v>
      </c>
      <c r="K52" s="98" t="s">
        <v>61</v>
      </c>
      <c r="L52" s="274" t="s">
        <v>64</v>
      </c>
      <c r="M52" s="281" t="s">
        <v>65</v>
      </c>
    </row>
    <row r="53" spans="1:13" ht="17.5" thickBot="1" x14ac:dyDescent="0.5">
      <c r="A53" s="96"/>
      <c r="B53" s="99" t="s">
        <v>66</v>
      </c>
      <c r="C53" s="275"/>
      <c r="D53" s="277"/>
      <c r="E53" s="100" t="s">
        <v>66</v>
      </c>
      <c r="F53" s="275"/>
      <c r="G53" s="277"/>
      <c r="H53" s="100" t="s">
        <v>66</v>
      </c>
      <c r="I53" s="275"/>
      <c r="J53" s="277"/>
      <c r="K53" s="100" t="s">
        <v>66</v>
      </c>
      <c r="L53" s="275"/>
      <c r="M53" s="282"/>
    </row>
    <row r="54" spans="1:13" ht="18" thickTop="1" thickBot="1" x14ac:dyDescent="0.5">
      <c r="A54" s="101">
        <v>1</v>
      </c>
      <c r="B54" s="102">
        <v>73</v>
      </c>
      <c r="C54" s="102">
        <v>212</v>
      </c>
      <c r="D54" s="104">
        <v>5.32</v>
      </c>
      <c r="E54" s="105">
        <v>72</v>
      </c>
      <c r="F54" s="102">
        <v>181</v>
      </c>
      <c r="G54" s="107">
        <v>4.01</v>
      </c>
      <c r="H54" s="105">
        <v>73</v>
      </c>
      <c r="I54" s="102">
        <v>327</v>
      </c>
      <c r="J54" s="108">
        <v>4.12</v>
      </c>
      <c r="K54" s="105">
        <v>73</v>
      </c>
      <c r="L54" s="102">
        <v>243</v>
      </c>
      <c r="M54" s="133">
        <v>4.84</v>
      </c>
    </row>
    <row r="55" spans="1:13" ht="17.5" thickBot="1" x14ac:dyDescent="0.5">
      <c r="A55" s="110">
        <v>2</v>
      </c>
      <c r="B55" s="111">
        <v>66</v>
      </c>
      <c r="C55" s="111">
        <v>261</v>
      </c>
      <c r="D55" s="113">
        <v>6.55</v>
      </c>
      <c r="E55" s="114">
        <v>65</v>
      </c>
      <c r="F55" s="111">
        <v>408</v>
      </c>
      <c r="G55" s="116">
        <v>9.0500000000000007</v>
      </c>
      <c r="H55" s="114">
        <v>67</v>
      </c>
      <c r="I55" s="111">
        <v>704</v>
      </c>
      <c r="J55" s="117">
        <v>8.86</v>
      </c>
      <c r="K55" s="114">
        <v>66</v>
      </c>
      <c r="L55" s="111">
        <v>321</v>
      </c>
      <c r="M55" s="135">
        <v>6.4</v>
      </c>
    </row>
    <row r="56" spans="1:13" ht="17.5" thickBot="1" x14ac:dyDescent="0.5">
      <c r="A56" s="110">
        <v>3</v>
      </c>
      <c r="B56" s="111">
        <v>56</v>
      </c>
      <c r="C56" s="111">
        <v>460</v>
      </c>
      <c r="D56" s="113">
        <v>11.55</v>
      </c>
      <c r="E56" s="114">
        <v>58</v>
      </c>
      <c r="F56" s="111">
        <v>481</v>
      </c>
      <c r="G56" s="116">
        <v>10.67</v>
      </c>
      <c r="H56" s="114">
        <v>56</v>
      </c>
      <c r="I56" s="111">
        <v>822</v>
      </c>
      <c r="J56" s="117">
        <v>10.35</v>
      </c>
      <c r="K56" s="114">
        <v>55</v>
      </c>
      <c r="L56" s="111">
        <v>635</v>
      </c>
      <c r="M56" s="135">
        <v>12.65</v>
      </c>
    </row>
    <row r="57" spans="1:13" ht="17.5" thickBot="1" x14ac:dyDescent="0.5">
      <c r="A57" s="110">
        <v>4</v>
      </c>
      <c r="B57" s="111">
        <v>48</v>
      </c>
      <c r="C57" s="111">
        <v>851</v>
      </c>
      <c r="D57" s="113">
        <v>21.37</v>
      </c>
      <c r="E57" s="114">
        <v>49</v>
      </c>
      <c r="F57" s="111">
        <v>785</v>
      </c>
      <c r="G57" s="116">
        <v>17.41</v>
      </c>
      <c r="H57" s="114">
        <v>48</v>
      </c>
      <c r="I57" s="112">
        <v>1494</v>
      </c>
      <c r="J57" s="117">
        <v>18.809999999999999</v>
      </c>
      <c r="K57" s="114">
        <v>49</v>
      </c>
      <c r="L57" s="111">
        <v>856</v>
      </c>
      <c r="M57" s="135">
        <v>17.059999999999999</v>
      </c>
    </row>
    <row r="58" spans="1:13" ht="17.5" thickBot="1" x14ac:dyDescent="0.5">
      <c r="A58" s="110">
        <v>5</v>
      </c>
      <c r="B58" s="111">
        <v>45</v>
      </c>
      <c r="C58" s="111">
        <v>675</v>
      </c>
      <c r="D58" s="113">
        <v>16.95</v>
      </c>
      <c r="E58" s="114">
        <v>45</v>
      </c>
      <c r="F58" s="111">
        <v>945</v>
      </c>
      <c r="G58" s="116">
        <v>20.95</v>
      </c>
      <c r="H58" s="114">
        <v>45</v>
      </c>
      <c r="I58" s="112">
        <v>1585</v>
      </c>
      <c r="J58" s="117">
        <v>19.95</v>
      </c>
      <c r="K58" s="114">
        <v>45</v>
      </c>
      <c r="L58" s="112">
        <v>1205</v>
      </c>
      <c r="M58" s="135">
        <v>24.01</v>
      </c>
    </row>
    <row r="59" spans="1:13" ht="17.5" thickBot="1" x14ac:dyDescent="0.5">
      <c r="A59" s="110">
        <v>6</v>
      </c>
      <c r="B59" s="111">
        <v>43</v>
      </c>
      <c r="C59" s="111">
        <v>833</v>
      </c>
      <c r="D59" s="113">
        <v>20.92</v>
      </c>
      <c r="E59" s="114">
        <v>43</v>
      </c>
      <c r="F59" s="111">
        <v>784</v>
      </c>
      <c r="G59" s="116">
        <v>17.38</v>
      </c>
      <c r="H59" s="114">
        <v>43</v>
      </c>
      <c r="I59" s="112">
        <v>1320</v>
      </c>
      <c r="J59" s="117">
        <v>16.62</v>
      </c>
      <c r="K59" s="114">
        <v>44</v>
      </c>
      <c r="L59" s="111">
        <v>676</v>
      </c>
      <c r="M59" s="135">
        <v>13.47</v>
      </c>
    </row>
    <row r="60" spans="1:13" ht="17.5" thickBot="1" x14ac:dyDescent="0.5">
      <c r="A60" s="110">
        <v>7</v>
      </c>
      <c r="B60" s="111">
        <v>41</v>
      </c>
      <c r="C60" s="111">
        <v>371</v>
      </c>
      <c r="D60" s="113">
        <v>9.32</v>
      </c>
      <c r="E60" s="114">
        <v>40</v>
      </c>
      <c r="F60" s="111">
        <v>582</v>
      </c>
      <c r="G60" s="116">
        <v>12.9</v>
      </c>
      <c r="H60" s="114">
        <v>41</v>
      </c>
      <c r="I60" s="112">
        <v>1179</v>
      </c>
      <c r="J60" s="117">
        <v>14.84</v>
      </c>
      <c r="K60" s="114">
        <v>41</v>
      </c>
      <c r="L60" s="111">
        <v>647</v>
      </c>
      <c r="M60" s="135">
        <v>12.89</v>
      </c>
    </row>
    <row r="61" spans="1:13" ht="17.5" thickBot="1" x14ac:dyDescent="0.5">
      <c r="A61" s="110">
        <v>8</v>
      </c>
      <c r="B61" s="111">
        <v>39</v>
      </c>
      <c r="C61" s="111">
        <v>247</v>
      </c>
      <c r="D61" s="113">
        <v>6.2</v>
      </c>
      <c r="E61" s="114">
        <v>39</v>
      </c>
      <c r="F61" s="111">
        <v>187</v>
      </c>
      <c r="G61" s="116">
        <v>4.1500000000000004</v>
      </c>
      <c r="H61" s="114">
        <v>40</v>
      </c>
      <c r="I61" s="111">
        <v>210</v>
      </c>
      <c r="J61" s="117">
        <v>2.64</v>
      </c>
      <c r="K61" s="114">
        <v>38</v>
      </c>
      <c r="L61" s="111">
        <v>260</v>
      </c>
      <c r="M61" s="135">
        <v>5.18</v>
      </c>
    </row>
    <row r="62" spans="1:13" ht="17.5" thickBot="1" x14ac:dyDescent="0.5">
      <c r="A62" s="120">
        <v>9</v>
      </c>
      <c r="B62" s="121" t="s">
        <v>84</v>
      </c>
      <c r="C62" s="121">
        <v>72</v>
      </c>
      <c r="D62" s="123">
        <v>1.81</v>
      </c>
      <c r="E62" s="124" t="s">
        <v>84</v>
      </c>
      <c r="F62" s="121">
        <v>157</v>
      </c>
      <c r="G62" s="126">
        <v>3.48</v>
      </c>
      <c r="H62" s="124" t="s">
        <v>85</v>
      </c>
      <c r="I62" s="121">
        <v>302</v>
      </c>
      <c r="J62" s="127">
        <v>3.8</v>
      </c>
      <c r="K62" s="124" t="s">
        <v>68</v>
      </c>
      <c r="L62" s="121">
        <v>175</v>
      </c>
      <c r="M62" s="137">
        <v>3.49</v>
      </c>
    </row>
    <row r="63" spans="1:13" ht="17.5" thickTop="1" x14ac:dyDescent="0.45"/>
    <row r="64" spans="1:13" ht="17.5" thickBot="1" x14ac:dyDescent="0.5"/>
    <row r="65" spans="1:13" ht="18" thickTop="1" thickBot="1" x14ac:dyDescent="0.5">
      <c r="A65" s="138"/>
      <c r="B65" s="292" t="s">
        <v>86</v>
      </c>
      <c r="C65" s="293"/>
      <c r="D65" s="294"/>
      <c r="E65" s="295" t="s">
        <v>87</v>
      </c>
      <c r="F65" s="296"/>
      <c r="G65" s="297"/>
      <c r="H65" s="272" t="s">
        <v>88</v>
      </c>
      <c r="I65" s="270"/>
      <c r="J65" s="271"/>
      <c r="K65" s="272" t="s">
        <v>89</v>
      </c>
      <c r="L65" s="270"/>
      <c r="M65" s="273"/>
    </row>
    <row r="66" spans="1:13" x14ac:dyDescent="0.45">
      <c r="A66" s="95" t="s">
        <v>61</v>
      </c>
      <c r="B66" s="97" t="s">
        <v>61</v>
      </c>
      <c r="C66" s="274" t="s">
        <v>64</v>
      </c>
      <c r="D66" s="276" t="s">
        <v>65</v>
      </c>
      <c r="E66" s="98" t="s">
        <v>61</v>
      </c>
      <c r="F66" s="274" t="s">
        <v>64</v>
      </c>
      <c r="G66" s="276" t="s">
        <v>65</v>
      </c>
      <c r="H66" s="98" t="s">
        <v>61</v>
      </c>
      <c r="I66" s="274" t="s">
        <v>64</v>
      </c>
      <c r="J66" s="276" t="s">
        <v>65</v>
      </c>
      <c r="K66" s="98" t="s">
        <v>61</v>
      </c>
      <c r="L66" s="274" t="s">
        <v>64</v>
      </c>
      <c r="M66" s="281" t="s">
        <v>65</v>
      </c>
    </row>
    <row r="67" spans="1:13" ht="17.5" thickBot="1" x14ac:dyDescent="0.5">
      <c r="A67" s="96"/>
      <c r="B67" s="99" t="s">
        <v>66</v>
      </c>
      <c r="C67" s="275"/>
      <c r="D67" s="277"/>
      <c r="E67" s="100" t="s">
        <v>66</v>
      </c>
      <c r="F67" s="275"/>
      <c r="G67" s="277"/>
      <c r="H67" s="100" t="s">
        <v>66</v>
      </c>
      <c r="I67" s="275"/>
      <c r="J67" s="277"/>
      <c r="K67" s="100" t="s">
        <v>66</v>
      </c>
      <c r="L67" s="275"/>
      <c r="M67" s="282"/>
    </row>
    <row r="68" spans="1:13" ht="18" thickTop="1" thickBot="1" x14ac:dyDescent="0.5">
      <c r="A68" s="101">
        <v>1</v>
      </c>
      <c r="B68" s="102">
        <v>67</v>
      </c>
      <c r="C68" s="102">
        <v>298</v>
      </c>
      <c r="D68" s="104">
        <v>4.95</v>
      </c>
      <c r="E68" s="105">
        <v>73</v>
      </c>
      <c r="F68" s="129">
        <v>28</v>
      </c>
      <c r="G68" s="107">
        <v>4.0599999999999996</v>
      </c>
      <c r="H68" s="105">
        <v>68</v>
      </c>
      <c r="I68" s="139">
        <v>79</v>
      </c>
      <c r="J68" s="108">
        <v>6.5</v>
      </c>
      <c r="K68" s="105">
        <v>73</v>
      </c>
      <c r="L68" s="139">
        <v>104</v>
      </c>
      <c r="M68" s="109">
        <v>4.28</v>
      </c>
    </row>
    <row r="69" spans="1:13" ht="17.5" thickBot="1" x14ac:dyDescent="0.5">
      <c r="A69" s="110">
        <v>2</v>
      </c>
      <c r="B69" s="111">
        <v>62</v>
      </c>
      <c r="C69" s="111">
        <v>541</v>
      </c>
      <c r="D69" s="113">
        <v>8.98</v>
      </c>
      <c r="E69" s="114">
        <v>64</v>
      </c>
      <c r="F69" s="119">
        <v>55</v>
      </c>
      <c r="G69" s="116">
        <v>7.97</v>
      </c>
      <c r="H69" s="114">
        <v>65</v>
      </c>
      <c r="I69" s="140">
        <v>67</v>
      </c>
      <c r="J69" s="117">
        <v>5.51</v>
      </c>
      <c r="K69" s="114">
        <v>63</v>
      </c>
      <c r="L69" s="140">
        <v>178</v>
      </c>
      <c r="M69" s="118">
        <v>7.32</v>
      </c>
    </row>
    <row r="70" spans="1:13" ht="17.5" thickBot="1" x14ac:dyDescent="0.5">
      <c r="A70" s="110">
        <v>3</v>
      </c>
      <c r="B70" s="111">
        <v>58</v>
      </c>
      <c r="C70" s="111">
        <v>636</v>
      </c>
      <c r="D70" s="113">
        <v>10.56</v>
      </c>
      <c r="E70" s="114">
        <v>56</v>
      </c>
      <c r="F70" s="119">
        <v>76</v>
      </c>
      <c r="G70" s="116">
        <v>11.01</v>
      </c>
      <c r="H70" s="114">
        <v>60</v>
      </c>
      <c r="I70" s="140">
        <v>137</v>
      </c>
      <c r="J70" s="117">
        <v>11.27</v>
      </c>
      <c r="K70" s="114">
        <v>56</v>
      </c>
      <c r="L70" s="140">
        <v>278</v>
      </c>
      <c r="M70" s="118">
        <v>11.43</v>
      </c>
    </row>
    <row r="71" spans="1:13" ht="17.5" thickBot="1" x14ac:dyDescent="0.5">
      <c r="A71" s="110">
        <v>4</v>
      </c>
      <c r="B71" s="111">
        <v>53</v>
      </c>
      <c r="C71" s="112">
        <v>1168</v>
      </c>
      <c r="D71" s="113">
        <v>19.39</v>
      </c>
      <c r="E71" s="114">
        <v>50</v>
      </c>
      <c r="F71" s="119">
        <v>118</v>
      </c>
      <c r="G71" s="116">
        <v>17.100000000000001</v>
      </c>
      <c r="H71" s="114">
        <v>51</v>
      </c>
      <c r="I71" s="140">
        <v>225</v>
      </c>
      <c r="J71" s="117">
        <v>18.5</v>
      </c>
      <c r="K71" s="114">
        <v>49</v>
      </c>
      <c r="L71" s="140">
        <v>519</v>
      </c>
      <c r="M71" s="118">
        <v>21.34</v>
      </c>
    </row>
    <row r="72" spans="1:13" ht="17.5" thickBot="1" x14ac:dyDescent="0.5">
      <c r="A72" s="110">
        <v>5</v>
      </c>
      <c r="B72" s="111">
        <v>47</v>
      </c>
      <c r="C72" s="112">
        <v>1033</v>
      </c>
      <c r="D72" s="113">
        <v>17.149999999999999</v>
      </c>
      <c r="E72" s="114">
        <v>46</v>
      </c>
      <c r="F72" s="119">
        <v>142</v>
      </c>
      <c r="G72" s="116">
        <v>20.58</v>
      </c>
      <c r="H72" s="114">
        <v>45</v>
      </c>
      <c r="I72" s="140">
        <v>231</v>
      </c>
      <c r="J72" s="117">
        <v>19</v>
      </c>
      <c r="K72" s="114">
        <v>45</v>
      </c>
      <c r="L72" s="140">
        <v>509</v>
      </c>
      <c r="M72" s="118">
        <v>20.93</v>
      </c>
    </row>
    <row r="73" spans="1:13" ht="17.5" thickBot="1" x14ac:dyDescent="0.5">
      <c r="A73" s="110">
        <v>6</v>
      </c>
      <c r="B73" s="111">
        <v>42</v>
      </c>
      <c r="C73" s="112">
        <v>1130</v>
      </c>
      <c r="D73" s="113">
        <v>18.760000000000002</v>
      </c>
      <c r="E73" s="114">
        <v>43</v>
      </c>
      <c r="F73" s="119">
        <v>163</v>
      </c>
      <c r="G73" s="116">
        <v>23.62</v>
      </c>
      <c r="H73" s="114">
        <v>40</v>
      </c>
      <c r="I73" s="140">
        <v>356</v>
      </c>
      <c r="J73" s="117">
        <v>29.28</v>
      </c>
      <c r="K73" s="114">
        <v>43</v>
      </c>
      <c r="L73" s="140">
        <v>393</v>
      </c>
      <c r="M73" s="118">
        <v>16.16</v>
      </c>
    </row>
    <row r="74" spans="1:13" ht="17.5" thickBot="1" x14ac:dyDescent="0.5">
      <c r="A74" s="110">
        <v>7</v>
      </c>
      <c r="B74" s="111">
        <v>37</v>
      </c>
      <c r="C74" s="111">
        <v>608</v>
      </c>
      <c r="D74" s="113">
        <v>10.09</v>
      </c>
      <c r="E74" s="114">
        <v>40</v>
      </c>
      <c r="F74" s="119">
        <v>40</v>
      </c>
      <c r="G74" s="116">
        <v>5.8</v>
      </c>
      <c r="H74" s="114" t="s">
        <v>90</v>
      </c>
      <c r="I74" s="111" t="s">
        <v>90</v>
      </c>
      <c r="J74" s="113" t="s">
        <v>90</v>
      </c>
      <c r="K74" s="114">
        <v>41</v>
      </c>
      <c r="L74" s="140">
        <v>266</v>
      </c>
      <c r="M74" s="118">
        <v>10.94</v>
      </c>
    </row>
    <row r="75" spans="1:13" ht="17.5" thickBot="1" x14ac:dyDescent="0.5">
      <c r="A75" s="110">
        <v>8</v>
      </c>
      <c r="B75" s="111">
        <v>32</v>
      </c>
      <c r="C75" s="111">
        <v>552</v>
      </c>
      <c r="D75" s="113">
        <v>9.16</v>
      </c>
      <c r="E75" s="114">
        <v>38</v>
      </c>
      <c r="F75" s="119">
        <v>49</v>
      </c>
      <c r="G75" s="116">
        <v>7.1</v>
      </c>
      <c r="H75" s="114">
        <v>37</v>
      </c>
      <c r="I75" s="140">
        <v>84</v>
      </c>
      <c r="J75" s="117">
        <v>6.91</v>
      </c>
      <c r="K75" s="114">
        <v>38</v>
      </c>
      <c r="L75" s="140">
        <v>99</v>
      </c>
      <c r="M75" s="118">
        <v>4.07</v>
      </c>
    </row>
    <row r="76" spans="1:13" ht="17.5" thickBot="1" x14ac:dyDescent="0.5">
      <c r="A76" s="120">
        <v>9</v>
      </c>
      <c r="B76" s="121" t="s">
        <v>67</v>
      </c>
      <c r="C76" s="121">
        <v>59</v>
      </c>
      <c r="D76" s="123">
        <v>0.98</v>
      </c>
      <c r="E76" s="124" t="s">
        <v>68</v>
      </c>
      <c r="F76" s="130">
        <v>19</v>
      </c>
      <c r="G76" s="126">
        <v>2.75</v>
      </c>
      <c r="H76" s="124" t="s">
        <v>73</v>
      </c>
      <c r="I76" s="141">
        <v>37</v>
      </c>
      <c r="J76" s="127">
        <v>3.04</v>
      </c>
      <c r="K76" s="124" t="s">
        <v>68</v>
      </c>
      <c r="L76" s="141">
        <v>86</v>
      </c>
      <c r="M76" s="128">
        <v>3.54</v>
      </c>
    </row>
    <row r="77" spans="1:13" ht="18" thickTop="1" thickBot="1" x14ac:dyDescent="0.5">
      <c r="A77" s="138"/>
      <c r="B77" s="292" t="s">
        <v>91</v>
      </c>
      <c r="C77" s="293"/>
      <c r="D77" s="294"/>
      <c r="E77" s="272" t="s">
        <v>92</v>
      </c>
      <c r="F77" s="270"/>
      <c r="G77" s="271"/>
      <c r="H77" s="283"/>
      <c r="I77" s="284"/>
      <c r="J77" s="284"/>
      <c r="K77" s="284"/>
      <c r="L77" s="284"/>
      <c r="M77" s="285"/>
    </row>
    <row r="78" spans="1:13" x14ac:dyDescent="0.45">
      <c r="A78" s="95" t="s">
        <v>61</v>
      </c>
      <c r="B78" s="97" t="s">
        <v>61</v>
      </c>
      <c r="C78" s="274" t="s">
        <v>64</v>
      </c>
      <c r="D78" s="276" t="s">
        <v>65</v>
      </c>
      <c r="E78" s="98" t="s">
        <v>61</v>
      </c>
      <c r="F78" s="274" t="s">
        <v>64</v>
      </c>
      <c r="G78" s="276" t="s">
        <v>65</v>
      </c>
      <c r="H78" s="286"/>
      <c r="I78" s="287"/>
      <c r="J78" s="287"/>
      <c r="K78" s="287"/>
      <c r="L78" s="287"/>
      <c r="M78" s="288"/>
    </row>
    <row r="79" spans="1:13" ht="17.5" thickBot="1" x14ac:dyDescent="0.5">
      <c r="A79" s="96"/>
      <c r="B79" s="99" t="s">
        <v>66</v>
      </c>
      <c r="C79" s="275"/>
      <c r="D79" s="277"/>
      <c r="E79" s="100" t="s">
        <v>66</v>
      </c>
      <c r="F79" s="275"/>
      <c r="G79" s="277"/>
      <c r="H79" s="286"/>
      <c r="I79" s="287"/>
      <c r="J79" s="287"/>
      <c r="K79" s="287"/>
      <c r="L79" s="287"/>
      <c r="M79" s="288"/>
    </row>
    <row r="80" spans="1:13" ht="18" thickTop="1" thickBot="1" x14ac:dyDescent="0.5">
      <c r="A80" s="101">
        <v>1</v>
      </c>
      <c r="B80" s="102">
        <v>75</v>
      </c>
      <c r="C80" s="102">
        <v>4</v>
      </c>
      <c r="D80" s="104">
        <v>4.12</v>
      </c>
      <c r="E80" s="105">
        <v>70</v>
      </c>
      <c r="F80" s="129">
        <v>74</v>
      </c>
      <c r="G80" s="107">
        <v>4.03</v>
      </c>
      <c r="H80" s="286"/>
      <c r="I80" s="287"/>
      <c r="J80" s="287"/>
      <c r="K80" s="287"/>
      <c r="L80" s="287"/>
      <c r="M80" s="288"/>
    </row>
    <row r="81" spans="1:13" ht="17.5" thickBot="1" x14ac:dyDescent="0.5">
      <c r="A81" s="110">
        <v>2</v>
      </c>
      <c r="B81" s="111">
        <v>66</v>
      </c>
      <c r="C81" s="111">
        <v>7</v>
      </c>
      <c r="D81" s="113">
        <v>7.22</v>
      </c>
      <c r="E81" s="114">
        <v>62</v>
      </c>
      <c r="F81" s="119">
        <v>146</v>
      </c>
      <c r="G81" s="116">
        <v>7.96</v>
      </c>
      <c r="H81" s="286"/>
      <c r="I81" s="287"/>
      <c r="J81" s="287"/>
      <c r="K81" s="287"/>
      <c r="L81" s="287"/>
      <c r="M81" s="288"/>
    </row>
    <row r="82" spans="1:13" ht="17.5" thickBot="1" x14ac:dyDescent="0.5">
      <c r="A82" s="110">
        <v>3</v>
      </c>
      <c r="B82" s="111">
        <v>55</v>
      </c>
      <c r="C82" s="111">
        <v>12</v>
      </c>
      <c r="D82" s="113">
        <v>12.37</v>
      </c>
      <c r="E82" s="114">
        <v>56</v>
      </c>
      <c r="F82" s="119">
        <v>216</v>
      </c>
      <c r="G82" s="116">
        <v>11.78</v>
      </c>
      <c r="H82" s="286"/>
      <c r="I82" s="287"/>
      <c r="J82" s="287"/>
      <c r="K82" s="287"/>
      <c r="L82" s="287"/>
      <c r="M82" s="288"/>
    </row>
    <row r="83" spans="1:13" ht="17.5" thickBot="1" x14ac:dyDescent="0.5">
      <c r="A83" s="110">
        <v>4</v>
      </c>
      <c r="B83" s="111">
        <v>48</v>
      </c>
      <c r="C83" s="111">
        <v>25</v>
      </c>
      <c r="D83" s="113">
        <v>25.77</v>
      </c>
      <c r="E83" s="114">
        <v>51</v>
      </c>
      <c r="F83" s="119">
        <v>365</v>
      </c>
      <c r="G83" s="116">
        <v>19.899999999999999</v>
      </c>
      <c r="H83" s="286"/>
      <c r="I83" s="287"/>
      <c r="J83" s="287"/>
      <c r="K83" s="287"/>
      <c r="L83" s="287"/>
      <c r="M83" s="288"/>
    </row>
    <row r="84" spans="1:13" ht="17.5" thickBot="1" x14ac:dyDescent="0.5">
      <c r="A84" s="110">
        <v>5</v>
      </c>
      <c r="B84" s="111">
        <v>47</v>
      </c>
      <c r="C84" s="111">
        <v>11</v>
      </c>
      <c r="D84" s="113">
        <v>11.34</v>
      </c>
      <c r="E84" s="114">
        <v>46</v>
      </c>
      <c r="F84" s="119">
        <v>426</v>
      </c>
      <c r="G84" s="116">
        <v>23.23</v>
      </c>
      <c r="H84" s="286"/>
      <c r="I84" s="287"/>
      <c r="J84" s="287"/>
      <c r="K84" s="287"/>
      <c r="L84" s="287"/>
      <c r="M84" s="288"/>
    </row>
    <row r="85" spans="1:13" ht="17.5" thickBot="1" x14ac:dyDescent="0.5">
      <c r="A85" s="110">
        <v>6</v>
      </c>
      <c r="B85" s="111">
        <v>43</v>
      </c>
      <c r="C85" s="111">
        <v>16</v>
      </c>
      <c r="D85" s="113">
        <v>16.489999999999998</v>
      </c>
      <c r="E85" s="114">
        <v>42</v>
      </c>
      <c r="F85" s="119">
        <v>282</v>
      </c>
      <c r="G85" s="116">
        <v>15.38</v>
      </c>
      <c r="H85" s="286"/>
      <c r="I85" s="287"/>
      <c r="J85" s="287"/>
      <c r="K85" s="287"/>
      <c r="L85" s="287"/>
      <c r="M85" s="288"/>
    </row>
    <row r="86" spans="1:13" ht="17.5" thickBot="1" x14ac:dyDescent="0.5">
      <c r="A86" s="110">
        <v>7</v>
      </c>
      <c r="B86" s="111">
        <v>42</v>
      </c>
      <c r="C86" s="111">
        <v>19</v>
      </c>
      <c r="D86" s="113">
        <v>19.59</v>
      </c>
      <c r="E86" s="114">
        <v>39</v>
      </c>
      <c r="F86" s="119">
        <v>159</v>
      </c>
      <c r="G86" s="116">
        <v>8.67</v>
      </c>
      <c r="H86" s="286"/>
      <c r="I86" s="287"/>
      <c r="J86" s="287"/>
      <c r="K86" s="287"/>
      <c r="L86" s="287"/>
      <c r="M86" s="288"/>
    </row>
    <row r="87" spans="1:13" ht="17.5" thickBot="1" x14ac:dyDescent="0.5">
      <c r="A87" s="110">
        <v>8</v>
      </c>
      <c r="B87" s="111" t="s">
        <v>90</v>
      </c>
      <c r="C87" s="111" t="s">
        <v>90</v>
      </c>
      <c r="D87" s="113" t="s">
        <v>90</v>
      </c>
      <c r="E87" s="114">
        <v>37</v>
      </c>
      <c r="F87" s="119">
        <v>108</v>
      </c>
      <c r="G87" s="116">
        <v>5.89</v>
      </c>
      <c r="H87" s="286"/>
      <c r="I87" s="287"/>
      <c r="J87" s="287"/>
      <c r="K87" s="287"/>
      <c r="L87" s="287"/>
      <c r="M87" s="288"/>
    </row>
    <row r="88" spans="1:13" ht="17.5" thickBot="1" x14ac:dyDescent="0.5">
      <c r="A88" s="120">
        <v>9</v>
      </c>
      <c r="B88" s="121" t="s">
        <v>93</v>
      </c>
      <c r="C88" s="121">
        <v>3</v>
      </c>
      <c r="D88" s="123">
        <v>3.09</v>
      </c>
      <c r="E88" s="124" t="s">
        <v>73</v>
      </c>
      <c r="F88" s="130">
        <v>58</v>
      </c>
      <c r="G88" s="126">
        <v>3.16</v>
      </c>
      <c r="H88" s="289"/>
      <c r="I88" s="290"/>
      <c r="J88" s="290"/>
      <c r="K88" s="290"/>
      <c r="L88" s="290"/>
      <c r="M88" s="291"/>
    </row>
    <row r="89" spans="1:13" ht="17.5" thickTop="1" x14ac:dyDescent="0.45"/>
  </sheetData>
  <mergeCells count="71">
    <mergeCell ref="B77:D77"/>
    <mergeCell ref="E77:G77"/>
    <mergeCell ref="H77:M88"/>
    <mergeCell ref="C78:C79"/>
    <mergeCell ref="D78:D79"/>
    <mergeCell ref="F78:F79"/>
    <mergeCell ref="G78:G79"/>
    <mergeCell ref="B65:D65"/>
    <mergeCell ref="E65:G65"/>
    <mergeCell ref="H65:J65"/>
    <mergeCell ref="K65:M65"/>
    <mergeCell ref="C66:C67"/>
    <mergeCell ref="D66:D67"/>
    <mergeCell ref="F66:F67"/>
    <mergeCell ref="G66:G67"/>
    <mergeCell ref="I66:I67"/>
    <mergeCell ref="J66:J67"/>
    <mergeCell ref="L66:L67"/>
    <mergeCell ref="M66:M67"/>
    <mergeCell ref="M40:M41"/>
    <mergeCell ref="K51:M51"/>
    <mergeCell ref="C52:C53"/>
    <mergeCell ref="D52:D53"/>
    <mergeCell ref="F52:F53"/>
    <mergeCell ref="G52:G53"/>
    <mergeCell ref="I52:I53"/>
    <mergeCell ref="J52:J53"/>
    <mergeCell ref="L52:L53"/>
    <mergeCell ref="M52:M53"/>
    <mergeCell ref="B51:D51"/>
    <mergeCell ref="E51:G51"/>
    <mergeCell ref="H51:J51"/>
    <mergeCell ref="C40:C41"/>
    <mergeCell ref="D40:D41"/>
    <mergeCell ref="F40:F41"/>
    <mergeCell ref="G40:G41"/>
    <mergeCell ref="I40:I41"/>
    <mergeCell ref="L14:L15"/>
    <mergeCell ref="J40:J41"/>
    <mergeCell ref="L40:L41"/>
    <mergeCell ref="B39:D39"/>
    <mergeCell ref="E39:G39"/>
    <mergeCell ref="H39:J39"/>
    <mergeCell ref="K39:M39"/>
    <mergeCell ref="B25:D25"/>
    <mergeCell ref="E25:M36"/>
    <mergeCell ref="C26:C27"/>
    <mergeCell ref="D26:D27"/>
    <mergeCell ref="B1:D1"/>
    <mergeCell ref="E1:G1"/>
    <mergeCell ref="H1:J1"/>
    <mergeCell ref="K1:M1"/>
    <mergeCell ref="C2:C3"/>
    <mergeCell ref="D2:D3"/>
    <mergeCell ref="F2:F3"/>
    <mergeCell ref="G2:G3"/>
    <mergeCell ref="I2:I3"/>
    <mergeCell ref="J2:J3"/>
    <mergeCell ref="L2:L3"/>
    <mergeCell ref="M2:M3"/>
    <mergeCell ref="B13:D13"/>
    <mergeCell ref="E13:G13"/>
    <mergeCell ref="H13:J13"/>
    <mergeCell ref="K13:M13"/>
    <mergeCell ref="C14:C15"/>
    <mergeCell ref="D14:D15"/>
    <mergeCell ref="F14:F15"/>
    <mergeCell ref="G14:G15"/>
    <mergeCell ref="I14:I15"/>
    <mergeCell ref="J14:J15"/>
    <mergeCell ref="M14:M15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8"/>
  <dimension ref="A1:P105"/>
  <sheetViews>
    <sheetView topLeftCell="A2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122</v>
      </c>
      <c r="E3" s="299"/>
      <c r="F3" s="300"/>
      <c r="G3" s="143" t="s">
        <v>97</v>
      </c>
      <c r="H3" s="144">
        <f>'통계 및 응시자 수 입력 기능'!D4</f>
        <v>31.16</v>
      </c>
      <c r="I3" s="10" t="s">
        <v>98</v>
      </c>
      <c r="J3" s="145">
        <f>'통계 및 응시자 수 입력 기능'!C4</f>
        <v>125552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123</v>
      </c>
      <c r="E4" s="302"/>
      <c r="F4" s="303"/>
      <c r="G4" s="147" t="s">
        <v>101</v>
      </c>
      <c r="H4" s="148">
        <f>'통계 및 응시자 수 입력 기능'!E4</f>
        <v>11.66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66</v>
      </c>
      <c r="E7" s="155">
        <f t="shared" ref="E7:E11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98</v>
      </c>
      <c r="G7" s="157">
        <f>_xlfn.IFNA(VLOOKUP(D7,'202306'!$B$5:$E$55,4,FALSE),0)</f>
        <v>5003</v>
      </c>
      <c r="H7" s="158">
        <f>G7/J3</f>
        <v>3.9848031094685869E-2</v>
      </c>
      <c r="I7" s="159">
        <f>G7</f>
        <v>5003</v>
      </c>
      <c r="J7" s="160">
        <f>I7/J3</f>
        <v>3.9848031094685869E-2</v>
      </c>
      <c r="K7" s="14"/>
      <c r="M7" s="1"/>
      <c r="O7" s="1">
        <v>1</v>
      </c>
      <c r="P7" s="1">
        <f>'표준점수 등급컷 입력기능'!B4</f>
        <v>64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입력기능'!B5</f>
        <v>63</v>
      </c>
    </row>
    <row r="9" spans="1:16" ht="25" customHeight="1" x14ac:dyDescent="0.45">
      <c r="A9" s="4"/>
      <c r="B9" s="13"/>
      <c r="C9" s="154">
        <v>48</v>
      </c>
      <c r="D9" s="307">
        <f>ROUND(10*(C9-$H$3)/$H$4+50,0)</f>
        <v>64</v>
      </c>
      <c r="E9" s="307">
        <f t="shared" si="0"/>
        <v>1</v>
      </c>
      <c r="F9" s="309">
        <f>IF(I8=0,ROUND(100*(1-(I7+I9)/2/$J$3),0),ROUND(100*(1-(I8+I9)/2/$J$3),0))</f>
        <v>93</v>
      </c>
      <c r="G9" s="311">
        <f>_xlfn.IFNA(VLOOKUP(D9,'202306'!$B$5:$E$55,4,FALSE),0)</f>
        <v>7397</v>
      </c>
      <c r="H9" s="313">
        <f>G9/$J$3</f>
        <v>5.8915827704855359E-2</v>
      </c>
      <c r="I9" s="315">
        <f>SUM($G$7:G9)</f>
        <v>12400</v>
      </c>
      <c r="J9" s="317">
        <f>I9/$J$3</f>
        <v>9.8763858799541221E-2</v>
      </c>
      <c r="K9" s="14"/>
      <c r="M9" s="1"/>
      <c r="O9" s="1">
        <v>3</v>
      </c>
      <c r="P9" s="1">
        <f>'표준점수 등급컷 입력기능'!B6</f>
        <v>58</v>
      </c>
    </row>
    <row r="10" spans="1:16" ht="25" customHeight="1" x14ac:dyDescent="0.45">
      <c r="A10" s="4"/>
      <c r="B10" s="13"/>
      <c r="C10" s="161">
        <v>47</v>
      </c>
      <c r="D10" s="308"/>
      <c r="E10" s="308"/>
      <c r="F10" s="310"/>
      <c r="G10" s="312"/>
      <c r="H10" s="314"/>
      <c r="I10" s="316"/>
      <c r="J10" s="318"/>
      <c r="K10" s="14"/>
      <c r="M10" s="1"/>
      <c r="O10" s="1">
        <v>4</v>
      </c>
      <c r="P10" s="1">
        <f>'표준점수 등급컷 입력기능'!B7</f>
        <v>53</v>
      </c>
    </row>
    <row r="11" spans="1:16" ht="25" customHeight="1" x14ac:dyDescent="0.45">
      <c r="A11" s="4"/>
      <c r="B11" s="13"/>
      <c r="C11" s="154">
        <v>46</v>
      </c>
      <c r="D11" s="155">
        <f t="shared" ref="D11:D55" si="1">ROUND(10*(C11-$H$3)/$H$4+50,0)</f>
        <v>63</v>
      </c>
      <c r="E11" s="155">
        <f t="shared" si="0"/>
        <v>2</v>
      </c>
      <c r="F11" s="156">
        <f t="shared" ref="F11:F55" si="2">IF(I10=0,ROUND(100*(1-(I9+I11)/2/$J$3),0),ROUND(100*(1-(I10+I11)/2/$J$3),0))</f>
        <v>89</v>
      </c>
      <c r="G11" s="157">
        <f>IF(D11=D10,"",_xlfn.IFNA(VLOOKUP(D11,'202306'!$B$5:$E$55,4,FALSE),0))</f>
        <v>1741</v>
      </c>
      <c r="H11" s="158">
        <f t="shared" ref="H11:H55" si="3">G11/$J$3</f>
        <v>1.3866764368548491E-2</v>
      </c>
      <c r="I11" s="165">
        <f>SUM($G$7:G11)</f>
        <v>14141</v>
      </c>
      <c r="J11" s="160">
        <f t="shared" ref="J11:J55" si="4">I11/$J$3</f>
        <v>0.11263062316808972</v>
      </c>
      <c r="K11" s="14"/>
      <c r="M11" s="1"/>
      <c r="O11" s="1">
        <v>5</v>
      </c>
      <c r="P11" s="1">
        <f>'표준점수 등급컷 입력기능'!B8</f>
        <v>48</v>
      </c>
    </row>
    <row r="12" spans="1:16" ht="25" customHeight="1" x14ac:dyDescent="0.45">
      <c r="A12" s="4"/>
      <c r="B12" s="13"/>
      <c r="C12" s="161">
        <v>45</v>
      </c>
      <c r="D12" s="155">
        <f t="shared" ref="D12:D51" si="5">ROUND(10*(C12-$H$3)/$H$4+50,0)</f>
        <v>62</v>
      </c>
      <c r="E12" s="155">
        <f t="shared" ref="E12:E51" si="6">IF(ROUND(D12,0)&gt;=$P$7,1,IF(ROUND(D12,0)&gt;=$P$8,2,IF(ROUND(D12,0)&gt;=$P$9,3,IF(ROUND(D12,0)&gt;=$P$10,4,IF(ROUND(D12,0)&gt;=$P$11,5,IF(ROUND(D12,0)&gt;=$P$12,6,IF(ROUND(D12,0)&gt;=$P$13,7,IF(ROUND(D12,0)&gt;=$P$14,8,9))))))))</f>
        <v>3</v>
      </c>
      <c r="F12" s="156">
        <f t="shared" ref="F12:F51" si="7">IF(I11=0,ROUND(100*(1-(I10+I12)/2/$J$3),0),ROUND(100*(1-(I11+I12)/2/$J$3),0))</f>
        <v>87</v>
      </c>
      <c r="G12" s="157">
        <f>IF(D12=D11,"",_xlfn.IFNA(VLOOKUP(D12,'202306'!$B$5:$E$55,4,FALSE),0))</f>
        <v>4561</v>
      </c>
      <c r="H12" s="158">
        <f t="shared" si="3"/>
        <v>3.6327577418121572E-2</v>
      </c>
      <c r="I12" s="165">
        <f>SUM($G$7:G12)</f>
        <v>18702</v>
      </c>
      <c r="J12" s="160">
        <f t="shared" si="4"/>
        <v>0.14895820058621129</v>
      </c>
      <c r="K12" s="14"/>
      <c r="M12" s="1"/>
      <c r="O12" s="1">
        <v>6</v>
      </c>
      <c r="P12" s="1">
        <f>'표준점수 등급컷 입력기능'!B9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5"/>
        <v>61</v>
      </c>
      <c r="E13" s="155">
        <f t="shared" si="6"/>
        <v>3</v>
      </c>
      <c r="F13" s="156">
        <f t="shared" si="7"/>
        <v>84</v>
      </c>
      <c r="G13" s="157">
        <f>IF(D13=D12,"",_xlfn.IFNA(VLOOKUP(D13,'202306'!$B$5:$E$55,4,FALSE),0))</f>
        <v>2431</v>
      </c>
      <c r="H13" s="158">
        <f t="shared" si="3"/>
        <v>1.9362495221103608E-2</v>
      </c>
      <c r="I13" s="165">
        <f>SUM($G$7:G13)</f>
        <v>21133</v>
      </c>
      <c r="J13" s="160">
        <f t="shared" si="4"/>
        <v>0.1683206958073149</v>
      </c>
      <c r="K13" s="14"/>
      <c r="M13" s="1"/>
      <c r="O13" s="1">
        <v>7</v>
      </c>
      <c r="P13" s="1">
        <f>'표준점수 등급컷 입력기능'!B10</f>
        <v>36</v>
      </c>
    </row>
    <row r="14" spans="1:16" ht="25" customHeight="1" x14ac:dyDescent="0.45">
      <c r="A14" s="4"/>
      <c r="B14" s="13"/>
      <c r="C14" s="161">
        <v>43</v>
      </c>
      <c r="D14" s="155">
        <f t="shared" si="5"/>
        <v>60</v>
      </c>
      <c r="E14" s="155">
        <f t="shared" si="6"/>
        <v>3</v>
      </c>
      <c r="F14" s="156">
        <f t="shared" si="7"/>
        <v>82</v>
      </c>
      <c r="G14" s="157">
        <f>IF(D14=D13,"",_xlfn.IFNA(VLOOKUP(D14,'202306'!$B$5:$E$55,4,FALSE),0))</f>
        <v>3561</v>
      </c>
      <c r="H14" s="158">
        <f t="shared" si="3"/>
        <v>2.8362750095577927E-2</v>
      </c>
      <c r="I14" s="165">
        <f>SUM($G$7:G14)</f>
        <v>24694</v>
      </c>
      <c r="J14" s="160">
        <f t="shared" si="4"/>
        <v>0.19668344590289283</v>
      </c>
      <c r="K14" s="14"/>
      <c r="M14" s="1"/>
      <c r="O14" s="1">
        <v>8</v>
      </c>
      <c r="P14" s="1">
        <f>'표준점수 등급컷 입력기능'!B11</f>
        <v>32</v>
      </c>
    </row>
    <row r="15" spans="1:16" ht="25" customHeight="1" x14ac:dyDescent="0.45">
      <c r="A15" s="4"/>
      <c r="B15" s="13"/>
      <c r="C15" s="154">
        <v>42</v>
      </c>
      <c r="D15" s="155">
        <f t="shared" si="5"/>
        <v>59</v>
      </c>
      <c r="E15" s="155">
        <f t="shared" si="6"/>
        <v>3</v>
      </c>
      <c r="F15" s="156">
        <f t="shared" si="7"/>
        <v>79</v>
      </c>
      <c r="G15" s="157">
        <f>IF(D15=D14,"",_xlfn.IFNA(VLOOKUP(D15,'202306'!$B$5:$E$55,4,FALSE),0))</f>
        <v>3585</v>
      </c>
      <c r="H15" s="158">
        <f t="shared" si="3"/>
        <v>2.8553905951318976E-2</v>
      </c>
      <c r="I15" s="165">
        <f>SUM($G$7:G15)</f>
        <v>28279</v>
      </c>
      <c r="J15" s="160">
        <f t="shared" si="4"/>
        <v>0.22523735185421179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307">
        <f t="shared" si="5"/>
        <v>58</v>
      </c>
      <c r="E16" s="307">
        <f t="shared" si="6"/>
        <v>3</v>
      </c>
      <c r="F16" s="309">
        <f t="shared" si="7"/>
        <v>75</v>
      </c>
      <c r="G16" s="311">
        <f>IF(D16=D15,"",_xlfn.IFNA(VLOOKUP(D16,'202306'!$B$5:$E$55,4,FALSE),0))</f>
        <v>7099</v>
      </c>
      <c r="H16" s="313">
        <f t="shared" si="3"/>
        <v>5.654230916273735E-2</v>
      </c>
      <c r="I16" s="315">
        <f>SUM($G$7:G16)</f>
        <v>35378</v>
      </c>
      <c r="J16" s="317">
        <f t="shared" si="4"/>
        <v>0.28177966101694918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8"/>
      <c r="E17" s="308"/>
      <c r="F17" s="310"/>
      <c r="G17" s="312"/>
      <c r="H17" s="314"/>
      <c r="I17" s="316"/>
      <c r="J17" s="318"/>
      <c r="K17" s="14"/>
      <c r="M17" s="1"/>
      <c r="P17" s="1">
        <f>H3*H4*J3*P7*IFERROR(IF(J57=1, 1, 0), 0)</f>
        <v>2919440366.7968001</v>
      </c>
    </row>
    <row r="18" spans="1:16" ht="25" customHeight="1" x14ac:dyDescent="0.45">
      <c r="A18" s="4"/>
      <c r="B18" s="13"/>
      <c r="C18" s="161">
        <v>39</v>
      </c>
      <c r="D18" s="155">
        <f t="shared" si="5"/>
        <v>57</v>
      </c>
      <c r="E18" s="155">
        <f t="shared" si="6"/>
        <v>4</v>
      </c>
      <c r="F18" s="156">
        <f t="shared" si="7"/>
        <v>71</v>
      </c>
      <c r="G18" s="157">
        <f>IF(D18=D17,"",_xlfn.IFNA(VLOOKUP(D18,'202306'!$B$5:$E$55,4,FALSE),0))</f>
        <v>3047</v>
      </c>
      <c r="H18" s="158">
        <f t="shared" si="3"/>
        <v>2.4268828851790492E-2</v>
      </c>
      <c r="I18" s="165">
        <f>SUM($G$7:G18)</f>
        <v>38425</v>
      </c>
      <c r="J18" s="160">
        <f t="shared" si="4"/>
        <v>0.30604848986873967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5"/>
        <v>56</v>
      </c>
      <c r="E19" s="155">
        <f t="shared" si="6"/>
        <v>4</v>
      </c>
      <c r="F19" s="156">
        <f t="shared" si="7"/>
        <v>68</v>
      </c>
      <c r="G19" s="157">
        <f>IF(D19=D18,"",_xlfn.IFNA(VLOOKUP(D19,'202306'!$B$5:$E$55,4,FALSE),0))</f>
        <v>3932</v>
      </c>
      <c r="H19" s="158">
        <f t="shared" si="3"/>
        <v>3.1317701032241622E-2</v>
      </c>
      <c r="I19" s="165">
        <f>SUM($G$7:G19)</f>
        <v>42357</v>
      </c>
      <c r="J19" s="160">
        <f t="shared" si="4"/>
        <v>0.33736619090098124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5"/>
        <v>55</v>
      </c>
      <c r="E20" s="155">
        <f t="shared" si="6"/>
        <v>4</v>
      </c>
      <c r="F20" s="156">
        <f t="shared" si="7"/>
        <v>65</v>
      </c>
      <c r="G20" s="157">
        <f>IF(D20=D19,"",_xlfn.IFNA(VLOOKUP(D20,'202306'!$B$5:$E$55,4,FALSE),0))</f>
        <v>4171</v>
      </c>
      <c r="H20" s="158">
        <f t="shared" si="3"/>
        <v>3.3221294762329552E-2</v>
      </c>
      <c r="I20" s="165">
        <f>SUM($G$7:G20)</f>
        <v>46528</v>
      </c>
      <c r="J20" s="160">
        <f t="shared" si="4"/>
        <v>0.37058748566331084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55">
        <f t="shared" si="5"/>
        <v>54</v>
      </c>
      <c r="E21" s="155">
        <f t="shared" si="6"/>
        <v>4</v>
      </c>
      <c r="F21" s="156">
        <f t="shared" si="7"/>
        <v>62</v>
      </c>
      <c r="G21" s="157">
        <f>IF(D21=D20,"",_xlfn.IFNA(VLOOKUP(D21,'202306'!$B$5:$E$55,4,FALSE),0))</f>
        <v>3164</v>
      </c>
      <c r="H21" s="158">
        <f t="shared" si="3"/>
        <v>2.5200713648528099E-2</v>
      </c>
      <c r="I21" s="165">
        <f>SUM($G$7:G21)</f>
        <v>49692</v>
      </c>
      <c r="J21" s="160">
        <f t="shared" si="4"/>
        <v>0.3957881993118389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55">
        <f t="shared" si="5"/>
        <v>53</v>
      </c>
      <c r="E22" s="155">
        <f t="shared" si="6"/>
        <v>4</v>
      </c>
      <c r="F22" s="156">
        <f t="shared" si="7"/>
        <v>59</v>
      </c>
      <c r="G22" s="157">
        <f>IF(D22=D21,"",_xlfn.IFNA(VLOOKUP(D22,'202306'!$B$5:$E$55,4,FALSE),0))</f>
        <v>4717</v>
      </c>
      <c r="H22" s="158">
        <f t="shared" si="3"/>
        <v>3.7570090480438384E-2</v>
      </c>
      <c r="I22" s="165">
        <f>SUM($G$7:G22)</f>
        <v>54409</v>
      </c>
      <c r="J22" s="160">
        <f t="shared" si="4"/>
        <v>0.43335828979227731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07">
        <f t="shared" si="5"/>
        <v>52</v>
      </c>
      <c r="E23" s="307">
        <f t="shared" si="6"/>
        <v>5</v>
      </c>
      <c r="F23" s="309">
        <f t="shared" si="7"/>
        <v>54</v>
      </c>
      <c r="G23" s="311">
        <f>IF(D23=D22,"",_xlfn.IFNA(VLOOKUP(D23,'202306'!$B$5:$E$55,4,FALSE),0))</f>
        <v>7326</v>
      </c>
      <c r="H23" s="313">
        <f t="shared" si="3"/>
        <v>5.8350324964954757E-2</v>
      </c>
      <c r="I23" s="315">
        <f>SUM($G$7:G23)</f>
        <v>61735</v>
      </c>
      <c r="J23" s="317">
        <f t="shared" si="4"/>
        <v>0.49170861475723204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308"/>
      <c r="E24" s="308"/>
      <c r="F24" s="310"/>
      <c r="G24" s="312"/>
      <c r="H24" s="314"/>
      <c r="I24" s="316"/>
      <c r="J24" s="318"/>
      <c r="K24" s="14"/>
      <c r="M24" s="1"/>
    </row>
    <row r="25" spans="1:16" ht="25" customHeight="1" x14ac:dyDescent="0.45">
      <c r="A25" s="4"/>
      <c r="B25" s="13"/>
      <c r="C25" s="166">
        <v>32</v>
      </c>
      <c r="D25" s="155">
        <f t="shared" si="5"/>
        <v>51</v>
      </c>
      <c r="E25" s="155">
        <f t="shared" si="6"/>
        <v>5</v>
      </c>
      <c r="F25" s="156">
        <f t="shared" si="7"/>
        <v>49</v>
      </c>
      <c r="G25" s="157">
        <f>IF(D25=D24,"",_xlfn.IFNA(VLOOKUP(D25,'202306'!$B$5:$E$55,4,FALSE),0))</f>
        <v>4581</v>
      </c>
      <c r="H25" s="158">
        <f t="shared" si="3"/>
        <v>3.6486873964572446E-2</v>
      </c>
      <c r="I25" s="165">
        <f>SUM($G$7:G25)</f>
        <v>66316</v>
      </c>
      <c r="J25" s="160">
        <f t="shared" si="4"/>
        <v>0.52819548872180455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55">
        <f t="shared" si="5"/>
        <v>50</v>
      </c>
      <c r="E26" s="155">
        <f t="shared" si="6"/>
        <v>5</v>
      </c>
      <c r="F26" s="156">
        <f t="shared" si="7"/>
        <v>46</v>
      </c>
      <c r="G26" s="157">
        <f>IF(D26=D25,"",_xlfn.IFNA(VLOOKUP(D26,'202306'!$B$5:$E$55,4,FALSE),0))</f>
        <v>2984</v>
      </c>
      <c r="H26" s="158">
        <f t="shared" si="3"/>
        <v>2.3767044730470244E-2</v>
      </c>
      <c r="I26" s="165">
        <f>SUM($G$7:G26)</f>
        <v>69300</v>
      </c>
      <c r="J26" s="160">
        <f t="shared" si="4"/>
        <v>0.55196253345227475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55">
        <f t="shared" si="5"/>
        <v>49</v>
      </c>
      <c r="E27" s="155">
        <f t="shared" si="6"/>
        <v>5</v>
      </c>
      <c r="F27" s="156">
        <f t="shared" si="7"/>
        <v>43</v>
      </c>
      <c r="G27" s="157">
        <f>IF(D27=D26,"",_xlfn.IFNA(VLOOKUP(D27,'202306'!$B$5:$E$55,4,FALSE),0))</f>
        <v>4019</v>
      </c>
      <c r="H27" s="158">
        <f t="shared" si="3"/>
        <v>3.2010641009302919E-2</v>
      </c>
      <c r="I27" s="165">
        <f>SUM($G$7:G27)</f>
        <v>73319</v>
      </c>
      <c r="J27" s="160">
        <f t="shared" si="4"/>
        <v>0.5839731744615777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55">
        <f t="shared" si="5"/>
        <v>48</v>
      </c>
      <c r="E28" s="155">
        <f t="shared" si="6"/>
        <v>5</v>
      </c>
      <c r="F28" s="156">
        <f t="shared" si="7"/>
        <v>40</v>
      </c>
      <c r="G28" s="157">
        <f>IF(D28=D27,"",_xlfn.IFNA(VLOOKUP(D28,'202306'!$B$5:$E$55,4,FALSE),0))</f>
        <v>3776</v>
      </c>
      <c r="H28" s="158">
        <f t="shared" si="3"/>
        <v>3.007518796992481E-2</v>
      </c>
      <c r="I28" s="165">
        <f>SUM($G$7:G28)</f>
        <v>77095</v>
      </c>
      <c r="J28" s="160">
        <f t="shared" si="4"/>
        <v>0.61404836243150251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55">
        <f t="shared" si="5"/>
        <v>47</v>
      </c>
      <c r="E29" s="155">
        <f t="shared" si="6"/>
        <v>6</v>
      </c>
      <c r="F29" s="156">
        <f t="shared" si="7"/>
        <v>37</v>
      </c>
      <c r="G29" s="157">
        <f>IF(D29=D28,"",_xlfn.IFNA(VLOOKUP(D29,'202306'!$B$5:$E$55,4,FALSE),0))</f>
        <v>2778</v>
      </c>
      <c r="H29" s="158">
        <f t="shared" si="3"/>
        <v>2.2126290302026251E-2</v>
      </c>
      <c r="I29" s="165">
        <f>SUM($G$7:G29)</f>
        <v>79873</v>
      </c>
      <c r="J29" s="160">
        <f t="shared" si="4"/>
        <v>0.63617465273352869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307">
        <f t="shared" si="5"/>
        <v>46</v>
      </c>
      <c r="E30" s="307">
        <f t="shared" si="6"/>
        <v>6</v>
      </c>
      <c r="F30" s="309">
        <f t="shared" si="7"/>
        <v>34</v>
      </c>
      <c r="G30" s="311">
        <f>IF(D30=D29,"",_xlfn.IFNA(VLOOKUP(D30,'202306'!$B$5:$E$55,4,FALSE),0))</f>
        <v>6617</v>
      </c>
      <c r="H30" s="313">
        <f t="shared" si="3"/>
        <v>5.2703262393271312E-2</v>
      </c>
      <c r="I30" s="315">
        <f>SUM($G$7:G30)</f>
        <v>86490</v>
      </c>
      <c r="J30" s="317">
        <f t="shared" si="4"/>
        <v>0.68887791512680008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08"/>
      <c r="E31" s="308"/>
      <c r="F31" s="310"/>
      <c r="G31" s="312"/>
      <c r="H31" s="314"/>
      <c r="I31" s="316"/>
      <c r="J31" s="318"/>
      <c r="K31" s="14"/>
      <c r="M31" s="1"/>
    </row>
    <row r="32" spans="1:16" ht="25" customHeight="1" x14ac:dyDescent="0.45">
      <c r="A32" s="4"/>
      <c r="B32" s="13"/>
      <c r="C32" s="167">
        <v>25</v>
      </c>
      <c r="D32" s="155">
        <f t="shared" si="5"/>
        <v>45</v>
      </c>
      <c r="E32" s="155">
        <f t="shared" si="6"/>
        <v>6</v>
      </c>
      <c r="F32" s="156">
        <f t="shared" si="7"/>
        <v>30</v>
      </c>
      <c r="G32" s="157">
        <f>IF(D32=D31,"",_xlfn.IFNA(VLOOKUP(D32,'202306'!$B$5:$E$55,4,FALSE),0))</f>
        <v>2752</v>
      </c>
      <c r="H32" s="158">
        <f t="shared" si="3"/>
        <v>2.1919204791640116E-2</v>
      </c>
      <c r="I32" s="165">
        <f>SUM($G$7:G32)</f>
        <v>89242</v>
      </c>
      <c r="J32" s="160">
        <f t="shared" si="4"/>
        <v>0.71079711991844019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55">
        <f t="shared" si="5"/>
        <v>44</v>
      </c>
      <c r="E33" s="155">
        <f t="shared" si="6"/>
        <v>6</v>
      </c>
      <c r="F33" s="156">
        <f t="shared" si="7"/>
        <v>28</v>
      </c>
      <c r="G33" s="157">
        <f>IF(D33=D32,"",_xlfn.IFNA(VLOOKUP(D33,'202306'!$B$5:$E$55,4,FALSE),0))</f>
        <v>2824</v>
      </c>
      <c r="H33" s="158">
        <f t="shared" si="3"/>
        <v>2.249267235886326E-2</v>
      </c>
      <c r="I33" s="165">
        <f>SUM($G$7:G33)</f>
        <v>92066</v>
      </c>
      <c r="J33" s="160">
        <f t="shared" si="4"/>
        <v>0.7332897922773034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55">
        <f t="shared" si="5"/>
        <v>43</v>
      </c>
      <c r="E34" s="155">
        <f t="shared" si="6"/>
        <v>6</v>
      </c>
      <c r="F34" s="156">
        <f t="shared" si="7"/>
        <v>26</v>
      </c>
      <c r="G34" s="157">
        <f>IF(D34=D33,"",_xlfn.IFNA(VLOOKUP(D34,'202306'!$B$5:$E$55,4,FALSE),0))</f>
        <v>2188</v>
      </c>
      <c r="H34" s="158">
        <f t="shared" si="3"/>
        <v>1.7427042181725499E-2</v>
      </c>
      <c r="I34" s="165">
        <f>SUM($G$7:G34)</f>
        <v>94254</v>
      </c>
      <c r="J34" s="160">
        <f t="shared" si="4"/>
        <v>0.75071683445902893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55">
        <f t="shared" si="5"/>
        <v>42</v>
      </c>
      <c r="E35" s="155">
        <f t="shared" si="6"/>
        <v>6</v>
      </c>
      <c r="F35" s="156">
        <f t="shared" si="7"/>
        <v>24</v>
      </c>
      <c r="G35" s="157">
        <f>IF(D35=D34,"",_xlfn.IFNA(VLOOKUP(D35,'202306'!$B$5:$E$55,4,FALSE),0))</f>
        <v>2531</v>
      </c>
      <c r="H35" s="158">
        <f t="shared" si="3"/>
        <v>2.015897795335797E-2</v>
      </c>
      <c r="I35" s="165">
        <f>SUM($G$7:G35)</f>
        <v>96785</v>
      </c>
      <c r="J35" s="160">
        <f t="shared" si="4"/>
        <v>0.7708758124123869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55">
        <f t="shared" si="5"/>
        <v>41</v>
      </c>
      <c r="E36" s="155">
        <f t="shared" si="6"/>
        <v>7</v>
      </c>
      <c r="F36" s="156">
        <f t="shared" si="7"/>
        <v>22</v>
      </c>
      <c r="G36" s="157">
        <f>IF(D36=D35,"",_xlfn.IFNA(VLOOKUP(D36,'202306'!$B$5:$E$55,4,FALSE),0))</f>
        <v>2041</v>
      </c>
      <c r="H36" s="158">
        <f t="shared" si="3"/>
        <v>1.6256212565311585E-2</v>
      </c>
      <c r="I36" s="165">
        <f>SUM($G$7:G36)</f>
        <v>98826</v>
      </c>
      <c r="J36" s="160">
        <f t="shared" si="4"/>
        <v>0.78713202497769852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07">
        <f t="shared" si="5"/>
        <v>40</v>
      </c>
      <c r="E37" s="307">
        <f t="shared" si="6"/>
        <v>7</v>
      </c>
      <c r="F37" s="309">
        <f t="shared" si="7"/>
        <v>20</v>
      </c>
      <c r="G37" s="311">
        <f>IF(D37=D36,"",_xlfn.IFNA(VLOOKUP(D37,'202306'!$B$5:$E$55,4,FALSE),0))</f>
        <v>3982</v>
      </c>
      <c r="H37" s="313">
        <f t="shared" si="3"/>
        <v>3.17159423983688E-2</v>
      </c>
      <c r="I37" s="315">
        <f>SUM($G$7:G37)</f>
        <v>102808</v>
      </c>
      <c r="J37" s="317">
        <f t="shared" si="4"/>
        <v>0.81884796737606724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308"/>
      <c r="E38" s="308"/>
      <c r="F38" s="310"/>
      <c r="G38" s="312"/>
      <c r="H38" s="314"/>
      <c r="I38" s="316"/>
      <c r="J38" s="318"/>
      <c r="K38" s="14"/>
      <c r="M38" s="1"/>
    </row>
    <row r="39" spans="1:13" ht="25" customHeight="1" x14ac:dyDescent="0.45">
      <c r="A39" s="4"/>
      <c r="B39" s="13"/>
      <c r="C39" s="166">
        <v>18</v>
      </c>
      <c r="D39" s="155">
        <f t="shared" si="5"/>
        <v>39</v>
      </c>
      <c r="E39" s="155">
        <f t="shared" si="6"/>
        <v>7</v>
      </c>
      <c r="F39" s="156">
        <f t="shared" si="7"/>
        <v>17</v>
      </c>
      <c r="G39" s="157">
        <f>IF(D39=D38,"",_xlfn.IFNA(VLOOKUP(D39,'202306'!$B$5:$E$55,4,FALSE),0))</f>
        <v>1642</v>
      </c>
      <c r="H39" s="158">
        <f t="shared" si="3"/>
        <v>1.3078246463616669E-2</v>
      </c>
      <c r="I39" s="165">
        <f>SUM($G$7:G39)</f>
        <v>104450</v>
      </c>
      <c r="J39" s="160">
        <f t="shared" si="4"/>
        <v>0.8319262138396839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55">
        <f t="shared" si="5"/>
        <v>38</v>
      </c>
      <c r="E40" s="155">
        <f t="shared" si="6"/>
        <v>7</v>
      </c>
      <c r="F40" s="156">
        <f t="shared" si="7"/>
        <v>16</v>
      </c>
      <c r="G40" s="157">
        <f>IF(D40=D39,"",_xlfn.IFNA(VLOOKUP(D40,'202306'!$B$5:$E$55,4,FALSE),0))</f>
        <v>1888</v>
      </c>
      <c r="H40" s="158">
        <f t="shared" si="3"/>
        <v>1.5037593984962405E-2</v>
      </c>
      <c r="I40" s="165">
        <f>SUM($G$7:G40)</f>
        <v>106338</v>
      </c>
      <c r="J40" s="160">
        <f t="shared" si="4"/>
        <v>0.84696380782464631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55">
        <f t="shared" si="5"/>
        <v>37</v>
      </c>
      <c r="E41" s="155">
        <f t="shared" si="6"/>
        <v>7</v>
      </c>
      <c r="F41" s="156">
        <f t="shared" si="7"/>
        <v>15</v>
      </c>
      <c r="G41" s="157">
        <f>IF(D41=D40,"",_xlfn.IFNA(VLOOKUP(D41,'202306'!$B$5:$E$55,4,FALSE),0))</f>
        <v>1559</v>
      </c>
      <c r="H41" s="158">
        <f t="shared" si="3"/>
        <v>1.2417165795845547E-2</v>
      </c>
      <c r="I41" s="165">
        <f>SUM($G$7:G41)</f>
        <v>107897</v>
      </c>
      <c r="J41" s="160">
        <f t="shared" si="4"/>
        <v>0.85938097362049193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55">
        <f t="shared" si="5"/>
        <v>36</v>
      </c>
      <c r="E42" s="155">
        <f t="shared" si="6"/>
        <v>7</v>
      </c>
      <c r="F42" s="156">
        <f t="shared" si="7"/>
        <v>12</v>
      </c>
      <c r="G42" s="157">
        <f>IF(D42=D41,"",_xlfn.IFNA(VLOOKUP(D42,'202306'!$B$5:$E$55,4,FALSE),0))</f>
        <v>5282</v>
      </c>
      <c r="H42" s="158">
        <f t="shared" si="3"/>
        <v>4.2070217917675547E-2</v>
      </c>
      <c r="I42" s="165">
        <f>SUM($G$7:G42)</f>
        <v>113179</v>
      </c>
      <c r="J42" s="160">
        <f t="shared" si="4"/>
        <v>0.90145119153816744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55">
        <f t="shared" si="5"/>
        <v>35</v>
      </c>
      <c r="E43" s="155">
        <f t="shared" si="6"/>
        <v>8</v>
      </c>
      <c r="F43" s="156">
        <f t="shared" si="7"/>
        <v>9</v>
      </c>
      <c r="G43" s="157">
        <f>IF(D43=D42,"",_xlfn.IFNA(VLOOKUP(D43,'202306'!$B$5:$E$55,4,FALSE),0))</f>
        <v>1305</v>
      </c>
      <c r="H43" s="158">
        <f t="shared" si="3"/>
        <v>1.039409965591946E-2</v>
      </c>
      <c r="I43" s="165">
        <f>SUM($G$7:G43)</f>
        <v>114484</v>
      </c>
      <c r="J43" s="160">
        <f t="shared" si="4"/>
        <v>0.91184529119408686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07">
        <f t="shared" si="5"/>
        <v>34</v>
      </c>
      <c r="E44" s="307">
        <f t="shared" si="6"/>
        <v>8</v>
      </c>
      <c r="F44" s="309">
        <f t="shared" si="7"/>
        <v>7</v>
      </c>
      <c r="G44" s="311">
        <f>IF(D44=D43,"",_xlfn.IFNA(VLOOKUP(D44,'202306'!$B$5:$E$55,4,FALSE),0))</f>
        <v>4506</v>
      </c>
      <c r="H44" s="313">
        <f t="shared" si="3"/>
        <v>3.5889511915381672E-2</v>
      </c>
      <c r="I44" s="315">
        <f>SUM($G$7:G44)</f>
        <v>118990</v>
      </c>
      <c r="J44" s="317">
        <f t="shared" si="4"/>
        <v>0.94773480310946856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08"/>
      <c r="E45" s="308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55">
        <f t="shared" si="5"/>
        <v>33</v>
      </c>
      <c r="E46" s="155">
        <f t="shared" si="6"/>
        <v>8</v>
      </c>
      <c r="F46" s="156">
        <f t="shared" si="7"/>
        <v>5</v>
      </c>
      <c r="G46" s="157">
        <f>IF(D46=D45,"",_xlfn.IFNA(VLOOKUP(D46,'202306'!$B$5:$E$55,4,FALSE),0))</f>
        <v>937</v>
      </c>
      <c r="H46" s="158">
        <f t="shared" si="3"/>
        <v>7.4630432012233973E-3</v>
      </c>
      <c r="I46" s="165">
        <f>SUM($G$7:G46)</f>
        <v>119927</v>
      </c>
      <c r="J46" s="160">
        <f t="shared" si="4"/>
        <v>0.95519784631069193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55">
        <f t="shared" si="5"/>
        <v>32</v>
      </c>
      <c r="E47" s="155">
        <f t="shared" si="6"/>
        <v>8</v>
      </c>
      <c r="F47" s="156">
        <f t="shared" si="7"/>
        <v>4</v>
      </c>
      <c r="G47" s="157">
        <f>IF(D47=D46,"",_xlfn.IFNA(VLOOKUP(D47,'202306'!$B$5:$E$55,4,FALSE),0))</f>
        <v>1655</v>
      </c>
      <c r="H47" s="158">
        <f t="shared" si="3"/>
        <v>1.3181789218809737E-2</v>
      </c>
      <c r="I47" s="165">
        <f>SUM($G$7:G47)</f>
        <v>121582</v>
      </c>
      <c r="J47" s="160">
        <f t="shared" si="4"/>
        <v>0.96837963552950168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55">
        <f t="shared" si="5"/>
        <v>31</v>
      </c>
      <c r="E48" s="155">
        <f t="shared" si="6"/>
        <v>9</v>
      </c>
      <c r="F48" s="156">
        <f t="shared" si="7"/>
        <v>3</v>
      </c>
      <c r="G48" s="157">
        <f>IF(D48=D47,"",_xlfn.IFNA(VLOOKUP(D48,'202306'!$B$5:$E$55,4,FALSE),0))</f>
        <v>719</v>
      </c>
      <c r="H48" s="158">
        <f t="shared" si="3"/>
        <v>5.7267108449088827E-3</v>
      </c>
      <c r="I48" s="165">
        <f>SUM($G$7:G48)</f>
        <v>122301</v>
      </c>
      <c r="J48" s="160">
        <f t="shared" si="4"/>
        <v>0.97410634637441063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55">
        <f t="shared" si="5"/>
        <v>30</v>
      </c>
      <c r="E49" s="155">
        <f t="shared" si="6"/>
        <v>9</v>
      </c>
      <c r="F49" s="156">
        <f t="shared" si="7"/>
        <v>2</v>
      </c>
      <c r="G49" s="157">
        <f>IF(D49=D48,"",_xlfn.IFNA(VLOOKUP(D49,'202306'!$B$5:$E$55,4,FALSE),0))</f>
        <v>1194</v>
      </c>
      <c r="H49" s="158">
        <f t="shared" si="3"/>
        <v>9.5100038231171156E-3</v>
      </c>
      <c r="I49" s="165">
        <f>SUM($G$7:G49)</f>
        <v>123495</v>
      </c>
      <c r="J49" s="160">
        <f t="shared" si="4"/>
        <v>0.98361635019752769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55">
        <f t="shared" si="5"/>
        <v>29</v>
      </c>
      <c r="E50" s="155">
        <f t="shared" si="6"/>
        <v>9</v>
      </c>
      <c r="F50" s="156">
        <f t="shared" si="7"/>
        <v>1</v>
      </c>
      <c r="G50" s="157">
        <f>IF(D50=D49,"",_xlfn.IFNA(VLOOKUP(D50,'202306'!$B$5:$E$55,4,FALSE),0))</f>
        <v>538</v>
      </c>
      <c r="H50" s="158">
        <f t="shared" si="3"/>
        <v>4.2850770995284818E-3</v>
      </c>
      <c r="I50" s="165">
        <f>SUM($G$7:G50)</f>
        <v>124033</v>
      </c>
      <c r="J50" s="160">
        <f t="shared" si="4"/>
        <v>0.98790142729705621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307">
        <f t="shared" si="5"/>
        <v>28</v>
      </c>
      <c r="E51" s="307">
        <f t="shared" si="6"/>
        <v>9</v>
      </c>
      <c r="F51" s="309">
        <f t="shared" si="7"/>
        <v>1</v>
      </c>
      <c r="G51" s="311">
        <f>IF(D51=D50,"",_xlfn.IFNA(VLOOKUP(D51,'202306'!$B$5:$E$55,4,FALSE),0))</f>
        <v>1007</v>
      </c>
      <c r="H51" s="313">
        <f t="shared" si="3"/>
        <v>8.0205811138014532E-3</v>
      </c>
      <c r="I51" s="315">
        <f>SUM($G$7:G51)</f>
        <v>125040</v>
      </c>
      <c r="J51" s="317">
        <f t="shared" si="4"/>
        <v>0.99592200841085765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08"/>
      <c r="E52" s="308"/>
      <c r="F52" s="310"/>
      <c r="G52" s="312"/>
      <c r="H52" s="314"/>
      <c r="I52" s="316"/>
      <c r="J52" s="318"/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27</v>
      </c>
      <c r="E53" s="155">
        <f t="shared" ref="E53:E57" si="8">IF(ROUND(D53,0)&gt;=$P$7,1,IF(ROUND(D53,0)&gt;=$P$8,2,IF(ROUND(D53,0)&gt;=$P$9,3,IF(ROUND(D53,0)&gt;=$P$10,4,IF(ROUND(D53,0)&gt;=$P$11,5,IF(ROUND(D53,0)&gt;=$P$12,6,IF(ROUND(D53,0)&gt;=$P$13,7,IF(ROUND(D53,0)&gt;=$P$14,8,9))))))))</f>
        <v>9</v>
      </c>
      <c r="F53" s="156">
        <f t="shared" si="2"/>
        <v>0</v>
      </c>
      <c r="G53" s="157">
        <f>IF(D53=D52,"",_xlfn.IFNA(VLOOKUP(D53,'202306'!$B$5:$E$55,4,FALSE),0))</f>
        <v>155</v>
      </c>
      <c r="H53" s="158">
        <f t="shared" si="3"/>
        <v>1.2345482349942654E-3</v>
      </c>
      <c r="I53" s="165">
        <f>SUM($G$7:G53)</f>
        <v>125195</v>
      </c>
      <c r="J53" s="160">
        <f t="shared" si="4"/>
        <v>0.9971565566458519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26</v>
      </c>
      <c r="E54" s="155">
        <f t="shared" si="8"/>
        <v>9</v>
      </c>
      <c r="F54" s="156">
        <f t="shared" si="2"/>
        <v>0</v>
      </c>
      <c r="G54" s="157">
        <f>IF(D54=D53,"",_xlfn.IFNA(VLOOKUP(D54,'202306'!$B$5:$E$55,4,FALSE),0))</f>
        <v>138</v>
      </c>
      <c r="H54" s="158">
        <f t="shared" si="3"/>
        <v>1.0991461705110233E-3</v>
      </c>
      <c r="I54" s="165">
        <f>SUM($G$7:G54)</f>
        <v>125333</v>
      </c>
      <c r="J54" s="160">
        <f t="shared" si="4"/>
        <v>0.99825570281636289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25</v>
      </c>
      <c r="E55" s="155">
        <f t="shared" si="8"/>
        <v>9</v>
      </c>
      <c r="F55" s="156">
        <f t="shared" si="2"/>
        <v>0</v>
      </c>
      <c r="G55" s="157">
        <f>IF(D55=D54,"",_xlfn.IFNA(VLOOKUP(D55,'202306'!$B$5:$E$55,4,FALSE),0))</f>
        <v>141</v>
      </c>
      <c r="H55" s="158">
        <f t="shared" si="3"/>
        <v>1.1230406524786543E-3</v>
      </c>
      <c r="I55" s="165">
        <f>SUM($G$7:G55)</f>
        <v>125474</v>
      </c>
      <c r="J55" s="160">
        <f t="shared" si="4"/>
        <v>0.99937874346884159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162" t="s">
        <v>21</v>
      </c>
      <c r="E56" s="163"/>
      <c r="F56" s="163"/>
      <c r="G56" s="163"/>
      <c r="H56" s="163"/>
      <c r="I56" s="163"/>
      <c r="J56" s="164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23</v>
      </c>
      <c r="E57" s="170">
        <f t="shared" si="8"/>
        <v>9</v>
      </c>
      <c r="F57" s="171">
        <f>IF(I55=0,ROUND(100*(1-(I54+I57)/2/$J$3),0),ROUND(100*(1-(I55+I57)/2/$J$3),0))</f>
        <v>0</v>
      </c>
      <c r="G57" s="172">
        <f>_xlfn.IFNA(VLOOKUP(D57,'202306'!$B$5:$E$55,4,FALSE),0)</f>
        <v>78</v>
      </c>
      <c r="H57" s="173">
        <f>G57/J3</f>
        <v>6.2125653115840452E-4</v>
      </c>
      <c r="I57" s="174">
        <f>SUM($G$7:G57)</f>
        <v>125552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52">
    <mergeCell ref="I44:I45"/>
    <mergeCell ref="J44:J45"/>
    <mergeCell ref="D51:D52"/>
    <mergeCell ref="E51:E52"/>
    <mergeCell ref="F51:F52"/>
    <mergeCell ref="G51:G52"/>
    <mergeCell ref="H51:H52"/>
    <mergeCell ref="I51:I52"/>
    <mergeCell ref="J51:J52"/>
    <mergeCell ref="D44:D45"/>
    <mergeCell ref="E44:E45"/>
    <mergeCell ref="F44:F45"/>
    <mergeCell ref="G44:G45"/>
    <mergeCell ref="H44:H45"/>
    <mergeCell ref="I30:I31"/>
    <mergeCell ref="J30:J31"/>
    <mergeCell ref="D37:D38"/>
    <mergeCell ref="E37:E38"/>
    <mergeCell ref="F37:F38"/>
    <mergeCell ref="G37:G38"/>
    <mergeCell ref="H37:H38"/>
    <mergeCell ref="I37:I38"/>
    <mergeCell ref="J37:J38"/>
    <mergeCell ref="D30:D31"/>
    <mergeCell ref="E30:E31"/>
    <mergeCell ref="F30:F31"/>
    <mergeCell ref="G30:G31"/>
    <mergeCell ref="H30:H31"/>
    <mergeCell ref="I16:I17"/>
    <mergeCell ref="J16:J17"/>
    <mergeCell ref="D23:D24"/>
    <mergeCell ref="E23:E24"/>
    <mergeCell ref="F23:F24"/>
    <mergeCell ref="G23:G24"/>
    <mergeCell ref="H23:H24"/>
    <mergeCell ref="I23:I24"/>
    <mergeCell ref="J23:J24"/>
    <mergeCell ref="D16:D17"/>
    <mergeCell ref="E16:E17"/>
    <mergeCell ref="F16:F17"/>
    <mergeCell ref="G16:G17"/>
    <mergeCell ref="H16:H17"/>
    <mergeCell ref="D3:F3"/>
    <mergeCell ref="D4:F4"/>
    <mergeCell ref="D8:J8"/>
    <mergeCell ref="D9:D10"/>
    <mergeCell ref="E9:E10"/>
    <mergeCell ref="F9:F10"/>
    <mergeCell ref="G9:G10"/>
    <mergeCell ref="H9:H10"/>
    <mergeCell ref="I9:I10"/>
    <mergeCell ref="J9:J10"/>
  </mergeCells>
  <phoneticPr fontId="1" type="noConversion"/>
  <conditionalFormatting sqref="D7:J7 D57:J57 D9:J9 D11:J16 D18:J23 D25:J30 D32:J37 D39:J44 D46:J51 D53:J55">
    <cfRule type="expression" dxfId="160" priority="7">
      <formula>OR($D7=$P$7:$P$14)</formula>
    </cfRule>
  </conditionalFormatting>
  <conditionalFormatting sqref="C7:C57">
    <cfRule type="expression" dxfId="159" priority="6">
      <formula>OR(AND($D7=0,OR($D6=$P$7:$P$14)),AND($D8&gt;0,OR($D7=$P$7:$P$14)))</formula>
    </cfRule>
  </conditionalFormatting>
  <conditionalFormatting sqref="D7 D57 D9 D11:D16 D18:D23 D25:D30 D32:D37 D39:D44 D46:D51 D53:D55">
    <cfRule type="expression" dxfId="158" priority="5">
      <formula>$D7=$D8</formula>
    </cfRule>
  </conditionalFormatting>
  <conditionalFormatting sqref="D56">
    <cfRule type="expression" dxfId="157" priority="4">
      <formula>OR($D56=$P$7:$P$14)</formula>
    </cfRule>
  </conditionalFormatting>
  <conditionalFormatting sqref="D56">
    <cfRule type="expression" dxfId="156" priority="3">
      <formula>$D56=$D57</formula>
    </cfRule>
  </conditionalFormatting>
  <conditionalFormatting sqref="D8">
    <cfRule type="expression" dxfId="155" priority="2">
      <formula>OR($D8=$P$7:$P$14)</formula>
    </cfRule>
  </conditionalFormatting>
  <conditionalFormatting sqref="D8">
    <cfRule type="expression" dxfId="15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9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기능'!D5</f>
        <v>21.56</v>
      </c>
      <c r="I3" s="10" t="s">
        <v>98</v>
      </c>
      <c r="J3" s="145">
        <f>'통계 및 응시자 수 입력 기능'!C5</f>
        <v>30708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121</v>
      </c>
      <c r="E4" s="302"/>
      <c r="F4" s="303"/>
      <c r="G4" s="147" t="s">
        <v>101</v>
      </c>
      <c r="H4" s="148">
        <f>'통계 및 응시자 수 입력 기능'!E5</f>
        <v>11.87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74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_xlfn.IFNA(VLOOKUP(D7,'202306'!$G$5:$J$55,4,FALSE),0)</f>
        <v>312</v>
      </c>
      <c r="H7" s="158">
        <f>G7/J3</f>
        <v>1.0160218835482611E-2</v>
      </c>
      <c r="I7" s="159">
        <f>G7</f>
        <v>312</v>
      </c>
      <c r="J7" s="160">
        <f>I7/J3</f>
        <v>1.0160218835482611E-2</v>
      </c>
      <c r="K7" s="14"/>
      <c r="M7" s="1"/>
      <c r="O7" s="1">
        <v>1</v>
      </c>
      <c r="P7" s="1">
        <f>'표준점수 등급컷 입력기능'!E4</f>
        <v>70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입력기능'!E5</f>
        <v>66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72</v>
      </c>
      <c r="E9" s="155">
        <f t="shared" si="0"/>
        <v>1</v>
      </c>
      <c r="F9" s="156">
        <f>IF(I8=0,ROUND(100*(1-(I7+I9)/2/$J$3),0),ROUND(100*(1-(I8+I9)/2/$J$3),0))</f>
        <v>99</v>
      </c>
      <c r="G9" s="157">
        <f>_xlfn.IFNA(VLOOKUP(D9,'202306'!$G$5:$J$55,4,FALSE),0)</f>
        <v>146</v>
      </c>
      <c r="H9" s="158">
        <f>G9/$J$3</f>
        <v>4.7544613781425032E-3</v>
      </c>
      <c r="I9" s="165">
        <f>SUM($G$7:G9)</f>
        <v>458</v>
      </c>
      <c r="J9" s="160">
        <f>I9/$J$3</f>
        <v>1.4914680213625114E-2</v>
      </c>
      <c r="K9" s="14"/>
      <c r="M9" s="1"/>
      <c r="O9" s="1">
        <v>3</v>
      </c>
      <c r="P9" s="1">
        <f>'표준점수 등급컷 입력기능'!E6</f>
        <v>58</v>
      </c>
    </row>
    <row r="10" spans="1:16" ht="25" customHeight="1" x14ac:dyDescent="0.45">
      <c r="A10" s="4"/>
      <c r="B10" s="13"/>
      <c r="C10" s="161">
        <v>47</v>
      </c>
      <c r="D10" s="307">
        <f t="shared" ref="D10:D54" si="1">ROUND(10*(C10-$H$3)/$H$4+50,0)</f>
        <v>71</v>
      </c>
      <c r="E10" s="307">
        <f t="shared" si="0"/>
        <v>1</v>
      </c>
      <c r="F10" s="309">
        <f>IF(I9=0,ROUND(100*(1-(I8+I10)/2/$J$3),0),ROUND(100*(1-(I9+I10)/2/$J$3),0))</f>
        <v>97</v>
      </c>
      <c r="G10" s="311">
        <f>IF(D10=D9,"",_xlfn.IFNA(VLOOKUP(D10,'202306'!$G$5:$J$55,4,FALSE),0))</f>
        <v>628</v>
      </c>
      <c r="H10" s="313">
        <f t="shared" ref="H10:H54" si="2">G10/$J$3</f>
        <v>2.0450696886804742E-2</v>
      </c>
      <c r="I10" s="315">
        <f>SUM($G$7:G10)</f>
        <v>1086</v>
      </c>
      <c r="J10" s="317">
        <f t="shared" ref="J10:J54" si="3">I10/$J$3</f>
        <v>3.5365377100429855E-2</v>
      </c>
      <c r="K10" s="14"/>
      <c r="M10" s="1"/>
      <c r="O10" s="1">
        <v>4</v>
      </c>
      <c r="P10" s="1">
        <f>'표준점수 등급컷 입력기능'!E7</f>
        <v>50</v>
      </c>
    </row>
    <row r="11" spans="1:16" ht="25" customHeight="1" x14ac:dyDescent="0.45">
      <c r="A11" s="4"/>
      <c r="B11" s="13"/>
      <c r="C11" s="154">
        <v>46</v>
      </c>
      <c r="D11" s="308"/>
      <c r="E11" s="308"/>
      <c r="F11" s="310"/>
      <c r="G11" s="312"/>
      <c r="H11" s="314"/>
      <c r="I11" s="316"/>
      <c r="J11" s="318"/>
      <c r="K11" s="14"/>
      <c r="M11" s="1"/>
      <c r="O11" s="1">
        <v>5</v>
      </c>
      <c r="P11" s="1">
        <f>'표준점수 등급컷 입력기능'!E8</f>
        <v>44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70</v>
      </c>
      <c r="E12" s="155">
        <f t="shared" si="0"/>
        <v>1</v>
      </c>
      <c r="F12" s="156">
        <f t="shared" ref="F12:F54" si="4">IF(I11=0,ROUND(100*(1-(I10+I12)/2/$J$3),0),ROUND(100*(1-(I11+I12)/2/$J$3),0))</f>
        <v>96</v>
      </c>
      <c r="G12" s="157">
        <f>IF(D12=D11,"",_xlfn.IFNA(VLOOKUP(D12,'202306'!$G$5:$J$55,4,FALSE),0))</f>
        <v>453</v>
      </c>
      <c r="H12" s="158">
        <f t="shared" si="2"/>
        <v>1.4751856193825713E-2</v>
      </c>
      <c r="I12" s="165">
        <f>SUM($G$7:G12)</f>
        <v>1539</v>
      </c>
      <c r="J12" s="160">
        <f t="shared" si="3"/>
        <v>5.0117233294255568E-2</v>
      </c>
      <c r="K12" s="14"/>
      <c r="M12" s="1"/>
      <c r="O12" s="1">
        <v>6</v>
      </c>
      <c r="P12" s="1">
        <f>'표준점수 등급컷 입력기능'!E9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1"/>
        <v>69</v>
      </c>
      <c r="E13" s="155">
        <f t="shared" si="0"/>
        <v>2</v>
      </c>
      <c r="F13" s="156">
        <f t="shared" si="4"/>
        <v>94</v>
      </c>
      <c r="G13" s="157">
        <f>IF(D13=D12,"",_xlfn.IFNA(VLOOKUP(D13,'202306'!$G$5:$J$55,4,FALSE),0))</f>
        <v>484</v>
      </c>
      <c r="H13" s="158">
        <f t="shared" si="2"/>
        <v>1.5761365116581997E-2</v>
      </c>
      <c r="I13" s="165">
        <f>SUM($G$7:G13)</f>
        <v>2023</v>
      </c>
      <c r="J13" s="160">
        <f t="shared" si="3"/>
        <v>6.5878598410837569E-2</v>
      </c>
      <c r="K13" s="14"/>
      <c r="M13" s="1"/>
      <c r="O13" s="1">
        <v>7</v>
      </c>
      <c r="P13" s="1">
        <f>'표준점수 등급컷 입력기능'!E10</f>
        <v>39</v>
      </c>
    </row>
    <row r="14" spans="1:16" ht="25" customHeight="1" x14ac:dyDescent="0.45">
      <c r="A14" s="4"/>
      <c r="B14" s="13"/>
      <c r="C14" s="161">
        <v>43</v>
      </c>
      <c r="D14" s="155">
        <f t="shared" si="1"/>
        <v>68</v>
      </c>
      <c r="E14" s="155">
        <f t="shared" si="0"/>
        <v>2</v>
      </c>
      <c r="F14" s="156">
        <f t="shared" si="4"/>
        <v>93</v>
      </c>
      <c r="G14" s="157">
        <f>IF(D14=D13,"",_xlfn.IFNA(VLOOKUP(D14,'202306'!$G$5:$J$55,4,FALSE),0))</f>
        <v>223</v>
      </c>
      <c r="H14" s="158">
        <f t="shared" si="2"/>
        <v>7.2619512830532761E-3</v>
      </c>
      <c r="I14" s="165">
        <f>SUM($G$7:G14)</f>
        <v>2246</v>
      </c>
      <c r="J14" s="160">
        <f t="shared" si="3"/>
        <v>7.3140549693890847E-2</v>
      </c>
      <c r="K14" s="14"/>
      <c r="M14" s="1"/>
      <c r="O14" s="1">
        <v>8</v>
      </c>
      <c r="P14" s="1">
        <f>'표준점수 등급컷 입력기능'!E11</f>
        <v>38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67</v>
      </c>
      <c r="E15" s="155">
        <f t="shared" si="0"/>
        <v>2</v>
      </c>
      <c r="F15" s="156">
        <f t="shared" si="4"/>
        <v>92</v>
      </c>
      <c r="G15" s="157">
        <f>IF(D15=D14,"",_xlfn.IFNA(VLOOKUP(D15,'202306'!$G$5:$J$55,4,FALSE),0))</f>
        <v>523</v>
      </c>
      <c r="H15" s="158">
        <f t="shared" si="2"/>
        <v>1.7031392471017325E-2</v>
      </c>
      <c r="I15" s="165">
        <f>SUM($G$7:G15)</f>
        <v>2769</v>
      </c>
      <c r="J15" s="160">
        <f t="shared" si="3"/>
        <v>9.0171942164908161E-2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307">
        <f t="shared" si="1"/>
        <v>66</v>
      </c>
      <c r="E16" s="307">
        <f t="shared" si="0"/>
        <v>2</v>
      </c>
      <c r="F16" s="309">
        <f t="shared" si="4"/>
        <v>90</v>
      </c>
      <c r="G16" s="311">
        <f>IF(D16=D15,"",_xlfn.IFNA(VLOOKUP(D16,'202306'!$G$5:$J$55,4,FALSE),0))</f>
        <v>740</v>
      </c>
      <c r="H16" s="313">
        <f t="shared" si="2"/>
        <v>2.4097954930311319E-2</v>
      </c>
      <c r="I16" s="315">
        <f>SUM($G$7:G16)</f>
        <v>3509</v>
      </c>
      <c r="J16" s="317">
        <f t="shared" si="3"/>
        <v>0.11426989709521948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8"/>
      <c r="E17" s="308"/>
      <c r="F17" s="310"/>
      <c r="G17" s="312"/>
      <c r="H17" s="314"/>
      <c r="I17" s="316"/>
      <c r="J17" s="318"/>
      <c r="K17" s="14"/>
      <c r="M17" s="1"/>
      <c r="P17" s="1">
        <f>H3*H4*J3*P7*IFERROR(IF(J57=1, 1, 0), 0)</f>
        <v>550109376.43199992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65</v>
      </c>
      <c r="E18" s="155">
        <f t="shared" si="0"/>
        <v>3</v>
      </c>
      <c r="F18" s="156">
        <f t="shared" si="4"/>
        <v>88</v>
      </c>
      <c r="G18" s="157">
        <f>IF(D18=D17,"",_xlfn.IFNA(VLOOKUP(D18,'202306'!$G$5:$J$55,4,FALSE),0))</f>
        <v>418</v>
      </c>
      <c r="H18" s="158">
        <f t="shared" si="2"/>
        <v>1.3612088055229907E-2</v>
      </c>
      <c r="I18" s="165">
        <f>SUM($G$7:G18)</f>
        <v>3927</v>
      </c>
      <c r="J18" s="160">
        <f t="shared" si="3"/>
        <v>0.12788198515044941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64</v>
      </c>
      <c r="E19" s="155">
        <f t="shared" si="0"/>
        <v>3</v>
      </c>
      <c r="F19" s="156">
        <f t="shared" si="4"/>
        <v>87</v>
      </c>
      <c r="G19" s="157">
        <f>IF(D19=D18,"",_xlfn.IFNA(VLOOKUP(D19,'202306'!$G$5:$J$55,4,FALSE),0))</f>
        <v>387</v>
      </c>
      <c r="H19" s="158">
        <f t="shared" si="2"/>
        <v>1.2602579132473623E-2</v>
      </c>
      <c r="I19" s="165">
        <f>SUM($G$7:G19)</f>
        <v>4314</v>
      </c>
      <c r="J19" s="160">
        <f t="shared" si="3"/>
        <v>0.14048456428292302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63</v>
      </c>
      <c r="E20" s="155">
        <f t="shared" si="0"/>
        <v>3</v>
      </c>
      <c r="F20" s="156">
        <f t="shared" si="4"/>
        <v>85</v>
      </c>
      <c r="G20" s="157">
        <f>IF(D20=D19,"",_xlfn.IFNA(VLOOKUP(D20,'202306'!$G$5:$J$55,4,FALSE),0))</f>
        <v>463</v>
      </c>
      <c r="H20" s="158">
        <f t="shared" si="2"/>
        <v>1.5077504233424514E-2</v>
      </c>
      <c r="I20" s="165">
        <f>SUM($G$7:G20)</f>
        <v>4777</v>
      </c>
      <c r="J20" s="160">
        <f t="shared" si="3"/>
        <v>0.15556206851634752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62</v>
      </c>
      <c r="E21" s="176">
        <f t="shared" si="0"/>
        <v>3</v>
      </c>
      <c r="F21" s="156">
        <f t="shared" si="4"/>
        <v>84</v>
      </c>
      <c r="G21" s="157">
        <f>IF(D21=D20,"",_xlfn.IFNA(VLOOKUP(D21,'202306'!$G$5:$J$55,4,FALSE),0))</f>
        <v>358</v>
      </c>
      <c r="H21" s="158">
        <f t="shared" si="2"/>
        <v>1.1658199817637098E-2</v>
      </c>
      <c r="I21" s="165">
        <f>SUM($G$7:G21)</f>
        <v>5135</v>
      </c>
      <c r="J21" s="160">
        <f t="shared" si="3"/>
        <v>0.16722026833398462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61</v>
      </c>
      <c r="E22" s="176">
        <f t="shared" si="0"/>
        <v>3</v>
      </c>
      <c r="F22" s="156">
        <f t="shared" si="4"/>
        <v>83</v>
      </c>
      <c r="G22" s="157">
        <f>IF(D22=D21,"",_xlfn.IFNA(VLOOKUP(D22,'202306'!$G$5:$J$55,4,FALSE),0))</f>
        <v>420</v>
      </c>
      <c r="H22" s="158">
        <f t="shared" si="2"/>
        <v>1.3677217663149667E-2</v>
      </c>
      <c r="I22" s="165">
        <f>SUM($G$7:G22)</f>
        <v>5555</v>
      </c>
      <c r="J22" s="160">
        <f t="shared" si="3"/>
        <v>0.18089748599713429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19">
        <f t="shared" si="1"/>
        <v>60</v>
      </c>
      <c r="E23" s="319">
        <f t="shared" si="0"/>
        <v>3</v>
      </c>
      <c r="F23" s="309">
        <f t="shared" si="4"/>
        <v>80</v>
      </c>
      <c r="G23" s="311">
        <f>IF(D23=D22,"",_xlfn.IFNA(VLOOKUP(D23,'202306'!$G$5:$J$55,4,FALSE),0))</f>
        <v>878</v>
      </c>
      <c r="H23" s="313">
        <f t="shared" si="2"/>
        <v>2.8591897876774783E-2</v>
      </c>
      <c r="I23" s="315">
        <f>SUM($G$7:G23)</f>
        <v>6433</v>
      </c>
      <c r="J23" s="317">
        <f t="shared" si="3"/>
        <v>0.20948938387390909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320"/>
      <c r="E24" s="320"/>
      <c r="F24" s="310"/>
      <c r="G24" s="312"/>
      <c r="H24" s="314"/>
      <c r="I24" s="316"/>
      <c r="J24" s="318"/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59</v>
      </c>
      <c r="E25" s="176">
        <f t="shared" si="0"/>
        <v>3</v>
      </c>
      <c r="F25" s="156">
        <f t="shared" si="4"/>
        <v>78</v>
      </c>
      <c r="G25" s="157">
        <f>IF(D25=D24,"",_xlfn.IFNA(VLOOKUP(D25,'202306'!$G$5:$J$55,4,FALSE),0))</f>
        <v>512</v>
      </c>
      <c r="H25" s="158">
        <f t="shared" si="2"/>
        <v>1.6673179627458644E-2</v>
      </c>
      <c r="I25" s="165">
        <f>SUM($G$7:G25)</f>
        <v>6945</v>
      </c>
      <c r="J25" s="160">
        <f t="shared" si="3"/>
        <v>0.22616256350136771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58</v>
      </c>
      <c r="E26" s="176">
        <f t="shared" si="0"/>
        <v>3</v>
      </c>
      <c r="F26" s="156">
        <f t="shared" si="4"/>
        <v>77</v>
      </c>
      <c r="G26" s="157">
        <f>IF(D26=D25,"",_xlfn.IFNA(VLOOKUP(D26,'202306'!$G$5:$J$55,4,FALSE),0))</f>
        <v>432</v>
      </c>
      <c r="H26" s="158">
        <f t="shared" si="2"/>
        <v>1.4067995310668231E-2</v>
      </c>
      <c r="I26" s="165">
        <f>SUM($G$7:G26)</f>
        <v>7377</v>
      </c>
      <c r="J26" s="160">
        <f t="shared" si="3"/>
        <v>0.24023055881203595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57</v>
      </c>
      <c r="E27" s="176">
        <f t="shared" si="0"/>
        <v>4</v>
      </c>
      <c r="F27" s="156">
        <f t="shared" si="4"/>
        <v>75</v>
      </c>
      <c r="G27" s="157">
        <f>IF(D27=D26,"",_xlfn.IFNA(VLOOKUP(D27,'202306'!$G$5:$J$55,4,FALSE),0))</f>
        <v>502</v>
      </c>
      <c r="H27" s="158">
        <f t="shared" si="2"/>
        <v>1.6347531587859843E-2</v>
      </c>
      <c r="I27" s="165">
        <f>SUM($G$7:G27)</f>
        <v>7879</v>
      </c>
      <c r="J27" s="160">
        <f t="shared" si="3"/>
        <v>0.25657809039989582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56</v>
      </c>
      <c r="E28" s="176">
        <f t="shared" si="0"/>
        <v>4</v>
      </c>
      <c r="F28" s="156">
        <f t="shared" si="4"/>
        <v>74</v>
      </c>
      <c r="G28" s="157">
        <f>IF(D28=D27,"",_xlfn.IFNA(VLOOKUP(D28,'202306'!$G$5:$J$55,4,FALSE),0))</f>
        <v>500</v>
      </c>
      <c r="H28" s="158">
        <f t="shared" si="2"/>
        <v>1.6282401979940082E-2</v>
      </c>
      <c r="I28" s="165">
        <f>SUM($G$7:G28)</f>
        <v>8379</v>
      </c>
      <c r="J28" s="160">
        <f t="shared" si="3"/>
        <v>0.27286049237983589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19">
        <f t="shared" si="1"/>
        <v>55</v>
      </c>
      <c r="E29" s="319">
        <f t="shared" si="0"/>
        <v>4</v>
      </c>
      <c r="F29" s="309">
        <f t="shared" si="4"/>
        <v>71</v>
      </c>
      <c r="G29" s="311">
        <f>IF(D29=D28,"",_xlfn.IFNA(VLOOKUP(D29,'202306'!$G$5:$J$55,4,FALSE),0))</f>
        <v>1110</v>
      </c>
      <c r="H29" s="313">
        <f t="shared" si="2"/>
        <v>3.6146932395466978E-2</v>
      </c>
      <c r="I29" s="315">
        <f>SUM($G$7:G29)</f>
        <v>9489</v>
      </c>
      <c r="J29" s="317">
        <f t="shared" si="3"/>
        <v>0.30900742477530285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320"/>
      <c r="E30" s="320"/>
      <c r="F30" s="310"/>
      <c r="G30" s="312"/>
      <c r="H30" s="314"/>
      <c r="I30" s="316"/>
      <c r="J30" s="318"/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54</v>
      </c>
      <c r="E31" s="176">
        <f t="shared" si="0"/>
        <v>4</v>
      </c>
      <c r="F31" s="156">
        <f t="shared" si="4"/>
        <v>68</v>
      </c>
      <c r="G31" s="157">
        <f>IF(D31=D30,"",_xlfn.IFNA(VLOOKUP(D31,'202306'!$G$5:$J$55,4,FALSE),0))</f>
        <v>560</v>
      </c>
      <c r="H31" s="158">
        <f t="shared" si="2"/>
        <v>1.823629021753289E-2</v>
      </c>
      <c r="I31" s="165">
        <f>SUM($G$7:G31)</f>
        <v>10049</v>
      </c>
      <c r="J31" s="160">
        <f t="shared" si="3"/>
        <v>0.32724371499283572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53</v>
      </c>
      <c r="E32" s="176">
        <f t="shared" si="0"/>
        <v>4</v>
      </c>
      <c r="F32" s="156">
        <f t="shared" si="4"/>
        <v>66</v>
      </c>
      <c r="G32" s="157">
        <f>IF(D32=D31,"",_xlfn.IFNA(VLOOKUP(D32,'202306'!$G$5:$J$55,4,FALSE),0))</f>
        <v>653</v>
      </c>
      <c r="H32" s="158">
        <f t="shared" si="2"/>
        <v>2.1264816985801745E-2</v>
      </c>
      <c r="I32" s="165">
        <f>SUM($G$7:G32)</f>
        <v>10702</v>
      </c>
      <c r="J32" s="160">
        <f t="shared" si="3"/>
        <v>0.34850853197863751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52</v>
      </c>
      <c r="E33" s="176">
        <f t="shared" si="0"/>
        <v>4</v>
      </c>
      <c r="F33" s="156">
        <f t="shared" si="4"/>
        <v>64</v>
      </c>
      <c r="G33" s="157">
        <f>IF(D33=D32,"",_xlfn.IFNA(VLOOKUP(D33,'202306'!$G$5:$J$55,4,FALSE),0))</f>
        <v>584</v>
      </c>
      <c r="H33" s="158">
        <f t="shared" si="2"/>
        <v>1.9017845512570013E-2</v>
      </c>
      <c r="I33" s="165">
        <f>SUM($G$7:G33)</f>
        <v>11286</v>
      </c>
      <c r="J33" s="160">
        <f t="shared" si="3"/>
        <v>0.36752637749120748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51</v>
      </c>
      <c r="E34" s="176">
        <f t="shared" si="0"/>
        <v>4</v>
      </c>
      <c r="F34" s="156">
        <f t="shared" si="4"/>
        <v>62</v>
      </c>
      <c r="G34" s="157">
        <f>IF(D34=D33,"",_xlfn.IFNA(VLOOKUP(D34,'202306'!$G$5:$J$55,4,FALSE),0))</f>
        <v>677</v>
      </c>
      <c r="H34" s="158">
        <f t="shared" si="2"/>
        <v>2.2046372280838868E-2</v>
      </c>
      <c r="I34" s="165">
        <f>SUM($G$7:G34)</f>
        <v>11963</v>
      </c>
      <c r="J34" s="160">
        <f t="shared" si="3"/>
        <v>0.38957274977204637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19">
        <f t="shared" si="1"/>
        <v>50</v>
      </c>
      <c r="E35" s="319">
        <f t="shared" si="0"/>
        <v>4</v>
      </c>
      <c r="F35" s="309">
        <f t="shared" si="4"/>
        <v>59</v>
      </c>
      <c r="G35" s="311">
        <f>IF(D35=D34,"",_xlfn.IFNA(VLOOKUP(D35,'202306'!$G$5:$J$55,4,FALSE),0))</f>
        <v>1392</v>
      </c>
      <c r="H35" s="313">
        <f t="shared" si="2"/>
        <v>4.5330207112153187E-2</v>
      </c>
      <c r="I35" s="315">
        <f>SUM($G$7:G35)</f>
        <v>13355</v>
      </c>
      <c r="J35" s="317">
        <f t="shared" si="3"/>
        <v>0.43490295688419955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20"/>
      <c r="E36" s="320"/>
      <c r="F36" s="310"/>
      <c r="G36" s="312"/>
      <c r="H36" s="314"/>
      <c r="I36" s="316"/>
      <c r="J36" s="318"/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49</v>
      </c>
      <c r="E37" s="176">
        <f t="shared" si="0"/>
        <v>5</v>
      </c>
      <c r="F37" s="156">
        <f t="shared" si="4"/>
        <v>55</v>
      </c>
      <c r="G37" s="157">
        <f>IF(D37=D36,"",_xlfn.IFNA(VLOOKUP(D37,'202306'!$G$5:$J$55,4,FALSE),0))</f>
        <v>853</v>
      </c>
      <c r="H37" s="158">
        <f t="shared" si="2"/>
        <v>2.7777777777777776E-2</v>
      </c>
      <c r="I37" s="165">
        <f>SUM($G$7:G37)</f>
        <v>14208</v>
      </c>
      <c r="J37" s="160">
        <f t="shared" si="3"/>
        <v>0.46268073466197734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48</v>
      </c>
      <c r="E38" s="176">
        <f t="shared" si="0"/>
        <v>5</v>
      </c>
      <c r="F38" s="156">
        <f t="shared" si="4"/>
        <v>52</v>
      </c>
      <c r="G38" s="157">
        <f>IF(D38=D37,"",_xlfn.IFNA(VLOOKUP(D38,'202306'!$G$5:$J$55,4,FALSE),0))</f>
        <v>806</v>
      </c>
      <c r="H38" s="158">
        <f t="shared" si="2"/>
        <v>2.624723199166341E-2</v>
      </c>
      <c r="I38" s="165">
        <f>SUM($G$7:G38)</f>
        <v>15014</v>
      </c>
      <c r="J38" s="160">
        <f t="shared" si="3"/>
        <v>0.48892796665364074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47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156">
        <f t="shared" si="4"/>
        <v>50</v>
      </c>
      <c r="G39" s="157">
        <f>IF(D39=D38,"",_xlfn.IFNA(VLOOKUP(D39,'202306'!$G$5:$J$55,4,FALSE),0))</f>
        <v>871</v>
      </c>
      <c r="H39" s="158">
        <f t="shared" si="2"/>
        <v>2.8363944249055622E-2</v>
      </c>
      <c r="I39" s="165">
        <f>SUM($G$7:G39)</f>
        <v>15885</v>
      </c>
      <c r="J39" s="160">
        <f t="shared" si="3"/>
        <v>0.51729191090269633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46</v>
      </c>
      <c r="E40" s="176">
        <f t="shared" si="5"/>
        <v>5</v>
      </c>
      <c r="F40" s="156">
        <f t="shared" si="4"/>
        <v>47</v>
      </c>
      <c r="G40" s="157">
        <f>IF(D40=D39,"",_xlfn.IFNA(VLOOKUP(D40,'202306'!$G$5:$J$55,4,FALSE),0))</f>
        <v>1010</v>
      </c>
      <c r="H40" s="158">
        <f t="shared" si="2"/>
        <v>3.2890451999478966E-2</v>
      </c>
      <c r="I40" s="165">
        <f>SUM($G$7:G40)</f>
        <v>16895</v>
      </c>
      <c r="J40" s="160">
        <f t="shared" si="3"/>
        <v>0.55018236290217537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45</v>
      </c>
      <c r="E41" s="176">
        <f t="shared" si="5"/>
        <v>5</v>
      </c>
      <c r="F41" s="156">
        <f t="shared" si="4"/>
        <v>43</v>
      </c>
      <c r="G41" s="157">
        <f>IF(D41=D40,"",_xlfn.IFNA(VLOOKUP(D41,'202306'!$G$5:$J$55,4,FALSE),0))</f>
        <v>993</v>
      </c>
      <c r="H41" s="158">
        <f t="shared" si="2"/>
        <v>3.2336850332161E-2</v>
      </c>
      <c r="I41" s="165">
        <f>SUM($G$7:G41)</f>
        <v>17888</v>
      </c>
      <c r="J41" s="160">
        <f t="shared" si="3"/>
        <v>0.58251921323433631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319">
        <f t="shared" si="1"/>
        <v>44</v>
      </c>
      <c r="E42" s="319">
        <f t="shared" si="5"/>
        <v>5</v>
      </c>
      <c r="F42" s="309">
        <f t="shared" si="4"/>
        <v>35</v>
      </c>
      <c r="G42" s="311">
        <f>IF(D42=D41,"",_xlfn.IFNA(VLOOKUP(D42,'202306'!$G$5:$J$55,4,FALSE),0))</f>
        <v>3965</v>
      </c>
      <c r="H42" s="313">
        <f t="shared" si="2"/>
        <v>0.12911944770092484</v>
      </c>
      <c r="I42" s="315">
        <f>SUM($G$7:G42)</f>
        <v>21853</v>
      </c>
      <c r="J42" s="317">
        <f t="shared" si="3"/>
        <v>0.71163866093526118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320"/>
      <c r="E43" s="320"/>
      <c r="F43" s="310"/>
      <c r="G43" s="312"/>
      <c r="H43" s="314"/>
      <c r="I43" s="316"/>
      <c r="J43" s="318"/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43</v>
      </c>
      <c r="E44" s="176">
        <f t="shared" si="5"/>
        <v>6</v>
      </c>
      <c r="F44" s="156">
        <f t="shared" si="4"/>
        <v>27</v>
      </c>
      <c r="G44" s="157">
        <f>IF(D44=D43,"",_xlfn.IFNA(VLOOKUP(D44,'202306'!$G$5:$J$55,4,FALSE),0))</f>
        <v>1027</v>
      </c>
      <c r="H44" s="158">
        <f t="shared" si="2"/>
        <v>3.3444053666796925E-2</v>
      </c>
      <c r="I44" s="165">
        <f>SUM($G$7:G44)</f>
        <v>22880</v>
      </c>
      <c r="J44" s="160">
        <f t="shared" si="3"/>
        <v>0.7450827146020581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42</v>
      </c>
      <c r="E45" s="176">
        <f t="shared" si="5"/>
        <v>6</v>
      </c>
      <c r="F45" s="156">
        <f t="shared" si="4"/>
        <v>24</v>
      </c>
      <c r="G45" s="157">
        <f>IF(D45=D44,"",_xlfn.IFNA(VLOOKUP(D45,'202306'!$G$5:$J$55,4,FALSE),0))</f>
        <v>1086</v>
      </c>
      <c r="H45" s="158">
        <f t="shared" si="2"/>
        <v>3.5365377100429855E-2</v>
      </c>
      <c r="I45" s="165">
        <f>SUM($G$7:G45)</f>
        <v>23966</v>
      </c>
      <c r="J45" s="160">
        <f t="shared" si="3"/>
        <v>0.78044809170248797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41</v>
      </c>
      <c r="E46" s="176">
        <f t="shared" si="5"/>
        <v>7</v>
      </c>
      <c r="F46" s="156">
        <f t="shared" si="4"/>
        <v>19</v>
      </c>
      <c r="G46" s="157">
        <f>IF(D46=D45,"",_xlfn.IFNA(VLOOKUP(D46,'202306'!$G$5:$J$55,4,FALSE),0))</f>
        <v>1807</v>
      </c>
      <c r="H46" s="158">
        <f t="shared" si="2"/>
        <v>5.8844600755503455E-2</v>
      </c>
      <c r="I46" s="165">
        <f>SUM($G$7:G46)</f>
        <v>25773</v>
      </c>
      <c r="J46" s="160">
        <f t="shared" si="3"/>
        <v>0.83929269245799143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40</v>
      </c>
      <c r="E47" s="176">
        <f t="shared" si="5"/>
        <v>7</v>
      </c>
      <c r="F47" s="156">
        <f t="shared" si="4"/>
        <v>14</v>
      </c>
      <c r="G47" s="157">
        <f>IF(D47=D46,"",_xlfn.IFNA(VLOOKUP(D47,'202306'!$G$5:$J$55,4,FALSE),0))</f>
        <v>1096</v>
      </c>
      <c r="H47" s="158">
        <f t="shared" si="2"/>
        <v>3.5691025140028657E-2</v>
      </c>
      <c r="I47" s="165">
        <f>SUM($G$7:G47)</f>
        <v>26869</v>
      </c>
      <c r="J47" s="160">
        <f t="shared" si="3"/>
        <v>0.87498371759802007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319">
        <f t="shared" si="1"/>
        <v>39</v>
      </c>
      <c r="E48" s="319">
        <f t="shared" si="5"/>
        <v>7</v>
      </c>
      <c r="F48" s="309">
        <f t="shared" si="4"/>
        <v>10</v>
      </c>
      <c r="G48" s="311">
        <f>IF(D48=D47,"",_xlfn.IFNA(VLOOKUP(D48,'202306'!$G$5:$J$55,4,FALSE),0))</f>
        <v>1762</v>
      </c>
      <c r="H48" s="313">
        <f t="shared" si="2"/>
        <v>5.7379184577308846E-2</v>
      </c>
      <c r="I48" s="315">
        <f>SUM($G$7:G48)</f>
        <v>28631</v>
      </c>
      <c r="J48" s="317">
        <f t="shared" si="3"/>
        <v>0.93236290217532891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20"/>
      <c r="E49" s="320"/>
      <c r="F49" s="310"/>
      <c r="G49" s="312"/>
      <c r="H49" s="314"/>
      <c r="I49" s="316"/>
      <c r="J49" s="318"/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38</v>
      </c>
      <c r="E50" s="176">
        <f t="shared" si="5"/>
        <v>8</v>
      </c>
      <c r="F50" s="156">
        <f t="shared" si="4"/>
        <v>5</v>
      </c>
      <c r="G50" s="157">
        <f>IF(D50=D49,"",_xlfn.IFNA(VLOOKUP(D50,'202306'!$G$5:$J$55,4,FALSE),0))</f>
        <v>936</v>
      </c>
      <c r="H50" s="158">
        <f t="shared" si="2"/>
        <v>3.048065650644783E-2</v>
      </c>
      <c r="I50" s="165">
        <f>SUM($G$7:G50)</f>
        <v>29567</v>
      </c>
      <c r="J50" s="160">
        <f t="shared" si="3"/>
        <v>0.96284355868177673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37</v>
      </c>
      <c r="E51" s="176">
        <f t="shared" si="5"/>
        <v>9</v>
      </c>
      <c r="F51" s="156">
        <f t="shared" si="4"/>
        <v>3</v>
      </c>
      <c r="G51" s="157">
        <f>IF(D51=D50,"",_xlfn.IFNA(VLOOKUP(D51,'202306'!$G$5:$J$55,4,FALSE),0))</f>
        <v>315</v>
      </c>
      <c r="H51" s="158">
        <f t="shared" si="2"/>
        <v>1.0257913247362251E-2</v>
      </c>
      <c r="I51" s="165">
        <f>SUM($G$7:G51)</f>
        <v>29882</v>
      </c>
      <c r="J51" s="160">
        <f t="shared" si="3"/>
        <v>0.97310147192913898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36</v>
      </c>
      <c r="E52" s="176">
        <f t="shared" si="5"/>
        <v>9</v>
      </c>
      <c r="F52" s="156">
        <f t="shared" si="4"/>
        <v>2</v>
      </c>
      <c r="G52" s="157">
        <f>IF(D52=D51,"",_xlfn.IFNA(VLOOKUP(D52,'202306'!$G$5:$J$55,4,FALSE),0))</f>
        <v>347</v>
      </c>
      <c r="H52" s="158">
        <f t="shared" si="2"/>
        <v>1.1299986974078417E-2</v>
      </c>
      <c r="I52" s="165">
        <f>SUM($G$7:G52)</f>
        <v>30229</v>
      </c>
      <c r="J52" s="160">
        <f t="shared" si="3"/>
        <v>0.9844014589032174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35</v>
      </c>
      <c r="E53" s="155">
        <f t="shared" si="5"/>
        <v>9</v>
      </c>
      <c r="F53" s="156">
        <f t="shared" si="4"/>
        <v>1</v>
      </c>
      <c r="G53" s="157">
        <f>IF(D53=D52,"",_xlfn.IFNA(VLOOKUP(D53,'202306'!$G$5:$J$55,4,FALSE),0))</f>
        <v>188</v>
      </c>
      <c r="H53" s="158">
        <f t="shared" si="2"/>
        <v>6.1221831444574701E-3</v>
      </c>
      <c r="I53" s="165">
        <f>SUM($G$7:G53)</f>
        <v>30417</v>
      </c>
      <c r="J53" s="160">
        <f t="shared" si="3"/>
        <v>0.99052364204767485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307">
        <f t="shared" si="1"/>
        <v>34</v>
      </c>
      <c r="E54" s="307">
        <f t="shared" si="5"/>
        <v>9</v>
      </c>
      <c r="F54" s="309">
        <f t="shared" si="4"/>
        <v>1</v>
      </c>
      <c r="G54" s="311">
        <f>IF(D54=D53,"",_xlfn.IFNA(VLOOKUP(D54,'202306'!$G$5:$J$55,4,FALSE),0))</f>
        <v>231</v>
      </c>
      <c r="H54" s="313">
        <f t="shared" si="2"/>
        <v>7.5224697147323171E-3</v>
      </c>
      <c r="I54" s="315">
        <f>SUM($G$7:G54)</f>
        <v>30648</v>
      </c>
      <c r="J54" s="317">
        <f t="shared" si="3"/>
        <v>0.99804611176240721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308"/>
      <c r="E55" s="308"/>
      <c r="F55" s="310"/>
      <c r="G55" s="312"/>
      <c r="H55" s="314"/>
      <c r="I55" s="316"/>
      <c r="J55" s="318"/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32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_xlfn.IFNA(VLOOKUP(D57,'202306'!$G$5:$J$55,4,FALSE),0)</f>
        <v>60</v>
      </c>
      <c r="H57" s="173">
        <f>G57/J3</f>
        <v>1.9538882375928096E-3</v>
      </c>
      <c r="I57" s="174">
        <f>SUM($G$7:G57)</f>
        <v>30708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60">
    <mergeCell ref="I54:I55"/>
    <mergeCell ref="J54:J55"/>
    <mergeCell ref="D54:D55"/>
    <mergeCell ref="E54:E55"/>
    <mergeCell ref="F54:F55"/>
    <mergeCell ref="G54:G55"/>
    <mergeCell ref="H54:H55"/>
    <mergeCell ref="I42:I43"/>
    <mergeCell ref="J42:J43"/>
    <mergeCell ref="D48:D49"/>
    <mergeCell ref="E48:E49"/>
    <mergeCell ref="F48:F49"/>
    <mergeCell ref="G48:G49"/>
    <mergeCell ref="H48:H49"/>
    <mergeCell ref="I48:I49"/>
    <mergeCell ref="J48:J49"/>
    <mergeCell ref="D42:D43"/>
    <mergeCell ref="E42:E43"/>
    <mergeCell ref="F42:F43"/>
    <mergeCell ref="G42:G43"/>
    <mergeCell ref="H42:H43"/>
    <mergeCell ref="I29:I30"/>
    <mergeCell ref="J29:J30"/>
    <mergeCell ref="D35:D36"/>
    <mergeCell ref="E35:E36"/>
    <mergeCell ref="F35:F36"/>
    <mergeCell ref="G35:G36"/>
    <mergeCell ref="H35:H36"/>
    <mergeCell ref="I35:I36"/>
    <mergeCell ref="J35:J36"/>
    <mergeCell ref="D29:D30"/>
    <mergeCell ref="E29:E30"/>
    <mergeCell ref="F29:F30"/>
    <mergeCell ref="G29:G30"/>
    <mergeCell ref="H29:H30"/>
    <mergeCell ref="I16:I17"/>
    <mergeCell ref="J16:J17"/>
    <mergeCell ref="D23:D24"/>
    <mergeCell ref="E23:E24"/>
    <mergeCell ref="F23:F24"/>
    <mergeCell ref="G23:G24"/>
    <mergeCell ref="H23:H24"/>
    <mergeCell ref="I23:I24"/>
    <mergeCell ref="J23:J24"/>
    <mergeCell ref="D3:F3"/>
    <mergeCell ref="D4:F4"/>
    <mergeCell ref="D56:J56"/>
    <mergeCell ref="D8:J8"/>
    <mergeCell ref="D10:D11"/>
    <mergeCell ref="E10:E11"/>
    <mergeCell ref="F10:F11"/>
    <mergeCell ref="G10:G11"/>
    <mergeCell ref="H10:H11"/>
    <mergeCell ref="I10:I11"/>
    <mergeCell ref="J10:J11"/>
    <mergeCell ref="D16:D17"/>
    <mergeCell ref="E16:E17"/>
    <mergeCell ref="F16:F17"/>
    <mergeCell ref="G16:G17"/>
    <mergeCell ref="H16:H17"/>
  </mergeCells>
  <phoneticPr fontId="1" type="noConversion"/>
  <conditionalFormatting sqref="D7:J7 D57:J57 D9:J10 D12:J16 D18:J23 D25:J29 D31:J35 D37:J42 D44:J48 D50:J54">
    <cfRule type="expression" dxfId="153" priority="7">
      <formula>OR($D7=$P$7:$P$14)</formula>
    </cfRule>
  </conditionalFormatting>
  <conditionalFormatting sqref="C7:C57">
    <cfRule type="expression" dxfId="152" priority="6">
      <formula>OR(AND($D7=0,OR($D6=$P$7:$P$14)),AND($D8&gt;0,OR($D7=$P$7:$P$14)))</formula>
    </cfRule>
  </conditionalFormatting>
  <conditionalFormatting sqref="D7 D57 D9:D10 D12:D16 D18:D23 D25:D29 D31:D35 D37:D42 D44:D48 D50:D54">
    <cfRule type="expression" dxfId="151" priority="5">
      <formula>$D7=$D8</formula>
    </cfRule>
  </conditionalFormatting>
  <conditionalFormatting sqref="D56">
    <cfRule type="expression" dxfId="150" priority="4">
      <formula>OR($D56=$P$7:$P$14)</formula>
    </cfRule>
  </conditionalFormatting>
  <conditionalFormatting sqref="D56">
    <cfRule type="expression" dxfId="149" priority="3">
      <formula>$D56=$D57</formula>
    </cfRule>
  </conditionalFormatting>
  <conditionalFormatting sqref="D8">
    <cfRule type="expression" dxfId="148" priority="2">
      <formula>OR($D8=$P$7:$P$14)</formula>
    </cfRule>
  </conditionalFormatting>
  <conditionalFormatting sqref="D8">
    <cfRule type="expression" dxfId="14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0"/>
  <dimension ref="A1:P113"/>
  <sheetViews>
    <sheetView topLeftCell="B1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기능'!D6</f>
        <v>26.15</v>
      </c>
      <c r="I3" s="10" t="s">
        <v>98</v>
      </c>
      <c r="J3" s="145">
        <f>'통계 및 응시자 수 입력 기능'!C6</f>
        <v>32076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120</v>
      </c>
      <c r="E4" s="302"/>
      <c r="F4" s="303"/>
      <c r="G4" s="147" t="s">
        <v>101</v>
      </c>
      <c r="H4" s="148">
        <f>'통계 및 응시자 수 입력 기능'!E6</f>
        <v>11.98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70</v>
      </c>
      <c r="E7" s="155">
        <f t="shared" ref="E7:E14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98</v>
      </c>
      <c r="G7" s="157">
        <f>_xlfn.IFNA(VLOOKUP(D7,'202306'!$L$5:$O$55,4,FALSE),0)</f>
        <v>1042</v>
      </c>
      <c r="H7" s="158">
        <f>G7/J3</f>
        <v>3.2485347300162115E-2</v>
      </c>
      <c r="I7" s="159">
        <f>G7</f>
        <v>1042</v>
      </c>
      <c r="J7" s="160">
        <f>I7/J3</f>
        <v>3.2485347300162115E-2</v>
      </c>
      <c r="K7" s="14"/>
      <c r="M7" s="1"/>
      <c r="O7" s="1">
        <v>1</v>
      </c>
      <c r="P7" s="1">
        <f>'표준점수 등급컷 입력기능'!H4</f>
        <v>68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입력기능'!H5</f>
        <v>65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68</v>
      </c>
      <c r="E9" s="155">
        <f t="shared" si="0"/>
        <v>1</v>
      </c>
      <c r="F9" s="156">
        <f>IF(I8=0,ROUND(100*(1-(I7+I9)/2/$J$3),0),ROUND(100*(1-(I8+I9)/2/$J$3),0))</f>
        <v>96</v>
      </c>
      <c r="G9" s="157">
        <f>_xlfn.IFNA(VLOOKUP(D9,'202306'!$L$5:$O$55,4,FALSE),0)</f>
        <v>309</v>
      </c>
      <c r="H9" s="158">
        <f>G9/$J$3</f>
        <v>9.6333707444818551E-3</v>
      </c>
      <c r="I9" s="165">
        <f>SUM($G$7:G9)</f>
        <v>1351</v>
      </c>
      <c r="J9" s="160">
        <f>I9/$J$3</f>
        <v>4.2118718044643969E-2</v>
      </c>
      <c r="K9" s="14"/>
      <c r="M9" s="1"/>
      <c r="O9" s="1">
        <v>3</v>
      </c>
      <c r="P9" s="1">
        <f>'표준점수 등급컷 입력기능'!H6</f>
        <v>58</v>
      </c>
    </row>
    <row r="10" spans="1:16" ht="25" customHeight="1" x14ac:dyDescent="0.45">
      <c r="A10" s="4"/>
      <c r="B10" s="13"/>
      <c r="C10" s="161">
        <v>47</v>
      </c>
      <c r="D10" s="307">
        <f t="shared" ref="D10" si="1">ROUND(10*(C10-$H$3)/$H$4+50,0)</f>
        <v>67</v>
      </c>
      <c r="E10" s="307">
        <f t="shared" ref="E10" si="2">IF(ROUND(D10,0)&gt;=$P$7,1,IF(ROUND(D10,0)&gt;=$P$8,2,IF(ROUND(D10,0)&gt;=$P$9,3,IF(ROUND(D10,0)&gt;=$P$10,4,IF(ROUND(D10,0)&gt;=$P$11,5,IF(ROUND(D10,0)&gt;=$P$12,6,IF(ROUND(D10,0)&gt;=$P$13,7,IF(ROUND(D10,0)&gt;=$P$14,8,9))))))))</f>
        <v>2</v>
      </c>
      <c r="F10" s="309">
        <f t="shared" ref="F10" si="3">IF(I9=0,ROUND(100*(1-(I8+I10)/2/$J$3),0),ROUND(100*(1-(I9+I10)/2/$J$3),0))</f>
        <v>94</v>
      </c>
      <c r="G10" s="311">
        <f>IF(D10=D9,"",_xlfn.IFNA(VLOOKUP(D10,'202306'!$L$5:$O$55,4,FALSE),0))</f>
        <v>1188</v>
      </c>
      <c r="H10" s="313">
        <f t="shared" ref="H10" si="4">G10/$J$3</f>
        <v>3.7037037037037035E-2</v>
      </c>
      <c r="I10" s="315">
        <f>SUM($G$7:G10)</f>
        <v>2539</v>
      </c>
      <c r="J10" s="317">
        <f t="shared" ref="J10" si="5">I10/$J$3</f>
        <v>7.9155755081681003E-2</v>
      </c>
      <c r="K10" s="14"/>
      <c r="M10" s="1"/>
      <c r="O10" s="1">
        <v>4</v>
      </c>
      <c r="P10" s="1">
        <f>'표준점수 등급컷 입력기능'!H7</f>
        <v>52</v>
      </c>
    </row>
    <row r="11" spans="1:16" ht="25" customHeight="1" x14ac:dyDescent="0.45">
      <c r="A11" s="4"/>
      <c r="B11" s="13"/>
      <c r="C11" s="154">
        <v>46</v>
      </c>
      <c r="D11" s="308"/>
      <c r="E11" s="308"/>
      <c r="F11" s="310"/>
      <c r="G11" s="312"/>
      <c r="H11" s="314"/>
      <c r="I11" s="316"/>
      <c r="J11" s="318"/>
      <c r="K11" s="14"/>
      <c r="M11" s="1"/>
      <c r="O11" s="1">
        <v>5</v>
      </c>
      <c r="P11" s="1">
        <f>'표준점수 등급컷 입력기능'!H8</f>
        <v>47</v>
      </c>
    </row>
    <row r="12" spans="1:16" ht="25" customHeight="1" x14ac:dyDescent="0.45">
      <c r="A12" s="4"/>
      <c r="B12" s="13"/>
      <c r="C12" s="161">
        <v>45</v>
      </c>
      <c r="D12" s="155">
        <f t="shared" ref="D12:D55" si="6">ROUND(10*(C12-$H$3)/$H$4+50,0)</f>
        <v>66</v>
      </c>
      <c r="E12" s="155">
        <f t="shared" si="0"/>
        <v>2</v>
      </c>
      <c r="F12" s="156">
        <f t="shared" ref="F12:F55" si="7">IF(I11=0,ROUND(100*(1-(I10+I12)/2/$J$3),0),ROUND(100*(1-(I11+I12)/2/$J$3),0))</f>
        <v>91</v>
      </c>
      <c r="G12" s="157">
        <f>IF(D12=D11,"",_xlfn.IFNA(VLOOKUP(D12,'202306'!$L$5:$O$55,4,FALSE),0))</f>
        <v>595</v>
      </c>
      <c r="H12" s="158">
        <f t="shared" ref="H12:H55" si="8">G12/$J$3</f>
        <v>1.8549694475620403E-2</v>
      </c>
      <c r="I12" s="165">
        <f>SUM($G$7:G12)</f>
        <v>3134</v>
      </c>
      <c r="J12" s="160">
        <f t="shared" ref="J12:J55" si="9">I12/$J$3</f>
        <v>9.7705449557301413E-2</v>
      </c>
      <c r="K12" s="14"/>
      <c r="M12" s="1"/>
      <c r="O12" s="1">
        <v>6</v>
      </c>
      <c r="P12" s="1">
        <f>'표준점수 등급컷 입력기능'!H9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6"/>
        <v>65</v>
      </c>
      <c r="E13" s="155">
        <f t="shared" si="0"/>
        <v>2</v>
      </c>
      <c r="F13" s="156">
        <f t="shared" si="7"/>
        <v>89</v>
      </c>
      <c r="G13" s="157">
        <f>IF(D13=D12,"",_xlfn.IFNA(VLOOKUP(D13,'202306'!$L$5:$O$55,4,FALSE),0))</f>
        <v>659</v>
      </c>
      <c r="H13" s="158">
        <f t="shared" si="8"/>
        <v>2.0544955730140917E-2</v>
      </c>
      <c r="I13" s="165">
        <f>SUM($G$7:G13)</f>
        <v>3793</v>
      </c>
      <c r="J13" s="160">
        <f t="shared" si="9"/>
        <v>0.11825040528744232</v>
      </c>
      <c r="K13" s="14"/>
      <c r="M13" s="1"/>
      <c r="O13" s="1">
        <v>7</v>
      </c>
      <c r="P13" s="1">
        <f>'표준점수 등급컷 입력기능'!H10</f>
        <v>38</v>
      </c>
    </row>
    <row r="14" spans="1:16" ht="25" customHeight="1" x14ac:dyDescent="0.45">
      <c r="A14" s="4"/>
      <c r="B14" s="13"/>
      <c r="C14" s="161">
        <v>43</v>
      </c>
      <c r="D14" s="155">
        <f t="shared" si="6"/>
        <v>64</v>
      </c>
      <c r="E14" s="155">
        <f t="shared" si="0"/>
        <v>3</v>
      </c>
      <c r="F14" s="156">
        <f t="shared" si="7"/>
        <v>88</v>
      </c>
      <c r="G14" s="157">
        <f>IF(D14=D13,"",_xlfn.IFNA(VLOOKUP(D14,'202306'!$L$5:$O$55,4,FALSE),0))</f>
        <v>187</v>
      </c>
      <c r="H14" s="158">
        <f t="shared" si="8"/>
        <v>5.8299039780521263E-3</v>
      </c>
      <c r="I14" s="165">
        <f>SUM($G$7:G14)</f>
        <v>3980</v>
      </c>
      <c r="J14" s="160">
        <f t="shared" si="9"/>
        <v>0.12408030926549445</v>
      </c>
      <c r="K14" s="14"/>
      <c r="M14" s="1"/>
      <c r="O14" s="1">
        <v>8</v>
      </c>
      <c r="P14" s="1">
        <f>'표준점수 등급컷 입력기능'!H11</f>
        <v>34</v>
      </c>
    </row>
    <row r="15" spans="1:16" ht="25" customHeight="1" x14ac:dyDescent="0.45">
      <c r="A15" s="4"/>
      <c r="B15" s="13"/>
      <c r="C15" s="154">
        <v>42</v>
      </c>
      <c r="D15" s="155">
        <f t="shared" ref="D15:D52" si="10">ROUND(10*(C15-$H$3)/$H$4+50,0)</f>
        <v>63</v>
      </c>
      <c r="E15" s="155">
        <f t="shared" ref="E15:E52" si="11">IF(ROUND(D15,0)&gt;=$P$7,1,IF(ROUND(D15,0)&gt;=$P$8,2,IF(ROUND(D15,0)&gt;=$P$9,3,IF(ROUND(D15,0)&gt;=$P$10,4,IF(ROUND(D15,0)&gt;=$P$11,5,IF(ROUND(D15,0)&gt;=$P$12,6,IF(ROUND(D15,0)&gt;=$P$13,7,IF(ROUND(D15,0)&gt;=$P$14,8,9))))))))</f>
        <v>3</v>
      </c>
      <c r="F15" s="156">
        <f t="shared" ref="F15:F52" si="12">IF(I14=0,ROUND(100*(1-(I13+I15)/2/$J$3),0),ROUND(100*(1-(I14+I15)/2/$J$3),0))</f>
        <v>87</v>
      </c>
      <c r="G15" s="157">
        <f>IF(D15=D14,"",_xlfn.IFNA(VLOOKUP(D15,'202306'!$L$5:$O$55,4,FALSE),0))</f>
        <v>645</v>
      </c>
      <c r="H15" s="158">
        <f t="shared" ref="H15:H52" si="13">G15/$J$3</f>
        <v>2.0108492330714552E-2</v>
      </c>
      <c r="I15" s="165">
        <f>SUM($G$7:G15)</f>
        <v>4625</v>
      </c>
      <c r="J15" s="160">
        <f t="shared" ref="J15:J52" si="14">I15/$J$3</f>
        <v>0.144188801596209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307">
        <f t="shared" si="10"/>
        <v>62</v>
      </c>
      <c r="E16" s="307">
        <f t="shared" si="11"/>
        <v>3</v>
      </c>
      <c r="F16" s="309">
        <f t="shared" si="12"/>
        <v>84</v>
      </c>
      <c r="G16" s="311">
        <f>IF(D16=D15,"",_xlfn.IFNA(VLOOKUP(D16,'202306'!$L$5:$O$55,4,FALSE),0))</f>
        <v>849</v>
      </c>
      <c r="H16" s="313">
        <f t="shared" si="13"/>
        <v>2.6468387579498692E-2</v>
      </c>
      <c r="I16" s="315">
        <f>SUM($G$7:G16)</f>
        <v>5474</v>
      </c>
      <c r="J16" s="317">
        <f t="shared" si="14"/>
        <v>0.17065718917570769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8"/>
      <c r="E17" s="308"/>
      <c r="F17" s="310"/>
      <c r="G17" s="312"/>
      <c r="H17" s="314"/>
      <c r="I17" s="316"/>
      <c r="J17" s="318"/>
      <c r="K17" s="14"/>
      <c r="M17" s="1"/>
      <c r="P17" s="1">
        <f>H3*H4*J3*P7*IFERROR(IF(J57=1, 1, 0), 0)</f>
        <v>683309767.53599989</v>
      </c>
    </row>
    <row r="18" spans="1:16" ht="25" customHeight="1" x14ac:dyDescent="0.45">
      <c r="A18" s="4"/>
      <c r="B18" s="13"/>
      <c r="C18" s="161">
        <v>39</v>
      </c>
      <c r="D18" s="155">
        <f t="shared" si="10"/>
        <v>61</v>
      </c>
      <c r="E18" s="155">
        <f t="shared" si="11"/>
        <v>3</v>
      </c>
      <c r="F18" s="156">
        <f t="shared" si="12"/>
        <v>82</v>
      </c>
      <c r="G18" s="157">
        <f>IF(D18=D17,"",_xlfn.IFNA(VLOOKUP(D18,'202306'!$L$5:$O$55,4,FALSE),0))</f>
        <v>638</v>
      </c>
      <c r="H18" s="158">
        <f t="shared" si="13"/>
        <v>1.9890260631001373E-2</v>
      </c>
      <c r="I18" s="165">
        <f>SUM($G$7:G18)</f>
        <v>6112</v>
      </c>
      <c r="J18" s="160">
        <f t="shared" si="14"/>
        <v>0.19054744980670907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0"/>
        <v>60</v>
      </c>
      <c r="E19" s="155">
        <f t="shared" si="11"/>
        <v>3</v>
      </c>
      <c r="F19" s="156">
        <f t="shared" si="12"/>
        <v>80</v>
      </c>
      <c r="G19" s="157">
        <f>IF(D19=D18,"",_xlfn.IFNA(VLOOKUP(D19,'202306'!$L$5:$O$55,4,FALSE),0))</f>
        <v>427</v>
      </c>
      <c r="H19" s="158">
        <f t="shared" si="13"/>
        <v>1.3312133682504054E-2</v>
      </c>
      <c r="I19" s="165">
        <f>SUM($G$7:G19)</f>
        <v>6539</v>
      </c>
      <c r="J19" s="160">
        <f t="shared" si="14"/>
        <v>0.20385958348921313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0"/>
        <v>59</v>
      </c>
      <c r="E20" s="155">
        <f t="shared" si="11"/>
        <v>3</v>
      </c>
      <c r="F20" s="156">
        <f t="shared" si="12"/>
        <v>79</v>
      </c>
      <c r="G20" s="157">
        <f>IF(D20=D19,"",_xlfn.IFNA(VLOOKUP(D20,'202306'!$L$5:$O$55,4,FALSE),0))</f>
        <v>508</v>
      </c>
      <c r="H20" s="158">
        <f t="shared" si="13"/>
        <v>1.5837386207756578E-2</v>
      </c>
      <c r="I20" s="165">
        <f>SUM($G$7:G20)</f>
        <v>7047</v>
      </c>
      <c r="J20" s="160">
        <f t="shared" si="14"/>
        <v>0.2196969696969697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55">
        <f t="shared" si="10"/>
        <v>58</v>
      </c>
      <c r="E21" s="155">
        <f t="shared" si="11"/>
        <v>3</v>
      </c>
      <c r="F21" s="156">
        <f t="shared" si="12"/>
        <v>77</v>
      </c>
      <c r="G21" s="157">
        <f>IF(D21=D20,"",_xlfn.IFNA(VLOOKUP(D21,'202306'!$L$5:$O$55,4,FALSE),0))</f>
        <v>616</v>
      </c>
      <c r="H21" s="158">
        <f t="shared" si="13"/>
        <v>1.9204389574759947E-2</v>
      </c>
      <c r="I21" s="165">
        <f>SUM($G$7:G21)</f>
        <v>7663</v>
      </c>
      <c r="J21" s="160">
        <f t="shared" si="14"/>
        <v>0.23890135927172965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07">
        <f t="shared" si="10"/>
        <v>57</v>
      </c>
      <c r="E22" s="307">
        <f t="shared" si="11"/>
        <v>4</v>
      </c>
      <c r="F22" s="309">
        <f t="shared" si="12"/>
        <v>74</v>
      </c>
      <c r="G22" s="311">
        <f>IF(D22=D21,"",_xlfn.IFNA(VLOOKUP(D22,'202306'!$L$5:$O$55,4,FALSE),0))</f>
        <v>1279</v>
      </c>
      <c r="H22" s="313">
        <f t="shared" si="13"/>
        <v>3.9874049133308394E-2</v>
      </c>
      <c r="I22" s="315">
        <f>SUM($G$7:G22)</f>
        <v>8942</v>
      </c>
      <c r="J22" s="317">
        <f t="shared" si="14"/>
        <v>0.27877540840503806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08"/>
      <c r="E23" s="308"/>
      <c r="F23" s="310"/>
      <c r="G23" s="312"/>
      <c r="H23" s="314"/>
      <c r="I23" s="316"/>
      <c r="J23" s="318"/>
      <c r="K23" s="14"/>
      <c r="M23" s="1"/>
    </row>
    <row r="24" spans="1:16" ht="25" customHeight="1" x14ac:dyDescent="0.45">
      <c r="A24" s="4"/>
      <c r="B24" s="13"/>
      <c r="C24" s="167">
        <v>33</v>
      </c>
      <c r="D24" s="155">
        <f t="shared" si="10"/>
        <v>56</v>
      </c>
      <c r="E24" s="155">
        <f t="shared" si="11"/>
        <v>4</v>
      </c>
      <c r="F24" s="156">
        <f t="shared" si="12"/>
        <v>71</v>
      </c>
      <c r="G24" s="157">
        <f>IF(D24=D23,"",_xlfn.IFNA(VLOOKUP(D24,'202306'!$L$5:$O$55,4,FALSE),0))</f>
        <v>619</v>
      </c>
      <c r="H24" s="158">
        <f t="shared" si="13"/>
        <v>1.9297917446065595E-2</v>
      </c>
      <c r="I24" s="165">
        <f>SUM($G$7:G24)</f>
        <v>9561</v>
      </c>
      <c r="J24" s="160">
        <f t="shared" si="14"/>
        <v>0.29807332585110363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55">
        <f t="shared" si="10"/>
        <v>55</v>
      </c>
      <c r="E25" s="155">
        <f t="shared" si="11"/>
        <v>4</v>
      </c>
      <c r="F25" s="156">
        <f t="shared" si="12"/>
        <v>69</v>
      </c>
      <c r="G25" s="157">
        <f>IF(D25=D24,"",_xlfn.IFNA(VLOOKUP(D25,'202306'!$L$5:$O$55,4,FALSE),0))</f>
        <v>675</v>
      </c>
      <c r="H25" s="158">
        <f t="shared" si="13"/>
        <v>2.1043771043771045E-2</v>
      </c>
      <c r="I25" s="165">
        <f>SUM($G$7:G25)</f>
        <v>10236</v>
      </c>
      <c r="J25" s="160">
        <f t="shared" si="14"/>
        <v>0.31911709689487466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55">
        <f t="shared" si="10"/>
        <v>54</v>
      </c>
      <c r="E26" s="155">
        <f t="shared" si="11"/>
        <v>4</v>
      </c>
      <c r="F26" s="156">
        <f t="shared" si="12"/>
        <v>67</v>
      </c>
      <c r="G26" s="157">
        <f>IF(D26=D25,"",_xlfn.IFNA(VLOOKUP(D26,'202306'!$L$5:$O$55,4,FALSE),0))</f>
        <v>826</v>
      </c>
      <c r="H26" s="158">
        <f t="shared" si="13"/>
        <v>2.5751340566155381E-2</v>
      </c>
      <c r="I26" s="165">
        <f>SUM($G$7:G26)</f>
        <v>11062</v>
      </c>
      <c r="J26" s="160">
        <f t="shared" si="14"/>
        <v>0.34486843746103008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55">
        <f t="shared" si="10"/>
        <v>53</v>
      </c>
      <c r="E27" s="155">
        <f t="shared" si="11"/>
        <v>4</v>
      </c>
      <c r="F27" s="156">
        <f t="shared" si="12"/>
        <v>64</v>
      </c>
      <c r="G27" s="157">
        <f>IF(D27=D26,"",_xlfn.IFNA(VLOOKUP(D27,'202306'!$L$5:$O$55,4,FALSE),0))</f>
        <v>682</v>
      </c>
      <c r="H27" s="158">
        <f t="shared" si="13"/>
        <v>2.1262002743484224E-2</v>
      </c>
      <c r="I27" s="165">
        <f>SUM($G$7:G27)</f>
        <v>11744</v>
      </c>
      <c r="J27" s="160">
        <f t="shared" si="14"/>
        <v>0.3661304402045143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307">
        <f t="shared" si="10"/>
        <v>52</v>
      </c>
      <c r="E28" s="307">
        <f t="shared" si="11"/>
        <v>4</v>
      </c>
      <c r="F28" s="309">
        <f t="shared" si="12"/>
        <v>61</v>
      </c>
      <c r="G28" s="311">
        <f>IF(D28=D27,"",_xlfn.IFNA(VLOOKUP(D28,'202306'!$L$5:$O$55,4,FALSE),0))</f>
        <v>1794</v>
      </c>
      <c r="H28" s="313">
        <f t="shared" si="13"/>
        <v>5.5929667040778154E-2</v>
      </c>
      <c r="I28" s="315">
        <f>SUM($G$7:G28)</f>
        <v>13538</v>
      </c>
      <c r="J28" s="317">
        <f t="shared" si="14"/>
        <v>0.42206010724529242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08"/>
      <c r="E29" s="308"/>
      <c r="F29" s="310"/>
      <c r="G29" s="312"/>
      <c r="H29" s="314"/>
      <c r="I29" s="316"/>
      <c r="J29" s="318"/>
      <c r="K29" s="14"/>
      <c r="M29" s="1"/>
    </row>
    <row r="30" spans="1:16" ht="25" customHeight="1" x14ac:dyDescent="0.45">
      <c r="A30" s="4"/>
      <c r="B30" s="13"/>
      <c r="C30" s="167">
        <v>27</v>
      </c>
      <c r="D30" s="155">
        <f t="shared" si="10"/>
        <v>51</v>
      </c>
      <c r="E30" s="155">
        <f t="shared" si="11"/>
        <v>5</v>
      </c>
      <c r="F30" s="156">
        <f t="shared" si="12"/>
        <v>56</v>
      </c>
      <c r="G30" s="157">
        <f>IF(D30=D29,"",_xlfn.IFNA(VLOOKUP(D30,'202306'!$L$5:$O$55,4,FALSE),0))</f>
        <v>874</v>
      </c>
      <c r="H30" s="158">
        <f t="shared" si="13"/>
        <v>2.7247786507045766E-2</v>
      </c>
      <c r="I30" s="165">
        <f>SUM($G$7:G30)</f>
        <v>14412</v>
      </c>
      <c r="J30" s="160">
        <f t="shared" si="14"/>
        <v>0.44930789375233821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55">
        <f t="shared" si="10"/>
        <v>50</v>
      </c>
      <c r="E31" s="155">
        <f t="shared" si="11"/>
        <v>5</v>
      </c>
      <c r="F31" s="156">
        <f t="shared" si="12"/>
        <v>53</v>
      </c>
      <c r="G31" s="157">
        <f>IF(D31=D30,"",_xlfn.IFNA(VLOOKUP(D31,'202306'!$L$5:$O$55,4,FALSE),0))</f>
        <v>1038</v>
      </c>
      <c r="H31" s="158">
        <f t="shared" si="13"/>
        <v>3.2360643471754581E-2</v>
      </c>
      <c r="I31" s="165">
        <f>SUM($G$7:G31)</f>
        <v>15450</v>
      </c>
      <c r="J31" s="160">
        <f t="shared" si="14"/>
        <v>0.48166853722409275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55">
        <f t="shared" si="10"/>
        <v>49</v>
      </c>
      <c r="E32" s="155">
        <f t="shared" si="11"/>
        <v>5</v>
      </c>
      <c r="F32" s="156">
        <f t="shared" si="12"/>
        <v>50</v>
      </c>
      <c r="G32" s="157">
        <f>IF(D32=D31,"",_xlfn.IFNA(VLOOKUP(D32,'202306'!$L$5:$O$55,4,FALSE),0))</f>
        <v>892</v>
      </c>
      <c r="H32" s="158">
        <f t="shared" si="13"/>
        <v>2.7808953734879661E-2</v>
      </c>
      <c r="I32" s="165">
        <f>SUM($G$7:G32)</f>
        <v>16342</v>
      </c>
      <c r="J32" s="160">
        <f t="shared" si="14"/>
        <v>0.50947749095897243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55">
        <f t="shared" si="10"/>
        <v>48</v>
      </c>
      <c r="E33" s="155">
        <f t="shared" si="11"/>
        <v>5</v>
      </c>
      <c r="F33" s="156">
        <f t="shared" si="12"/>
        <v>47</v>
      </c>
      <c r="G33" s="157">
        <f>IF(D33=D32,"",_xlfn.IFNA(VLOOKUP(D33,'202306'!$L$5:$O$55,4,FALSE),0))</f>
        <v>1061</v>
      </c>
      <c r="H33" s="158">
        <f t="shared" si="13"/>
        <v>3.3077690485097892E-2</v>
      </c>
      <c r="I33" s="165">
        <f>SUM($G$7:G33)</f>
        <v>17403</v>
      </c>
      <c r="J33" s="160">
        <f t="shared" si="14"/>
        <v>0.54255518144407033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307">
        <f t="shared" si="10"/>
        <v>47</v>
      </c>
      <c r="E34" s="307">
        <f t="shared" si="11"/>
        <v>5</v>
      </c>
      <c r="F34" s="309">
        <f t="shared" si="12"/>
        <v>43</v>
      </c>
      <c r="G34" s="311">
        <f>IF(D34=D33,"",_xlfn.IFNA(VLOOKUP(D34,'202306'!$L$5:$O$55,4,FALSE),0))</f>
        <v>1959</v>
      </c>
      <c r="H34" s="313">
        <f t="shared" si="13"/>
        <v>6.1073699962588851E-2</v>
      </c>
      <c r="I34" s="315">
        <f>SUM($G$7:G34)</f>
        <v>19362</v>
      </c>
      <c r="J34" s="317">
        <f t="shared" si="14"/>
        <v>0.60362888140665916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08"/>
      <c r="E35" s="308"/>
      <c r="F35" s="310"/>
      <c r="G35" s="312"/>
      <c r="H35" s="314"/>
      <c r="I35" s="316"/>
      <c r="J35" s="318"/>
      <c r="K35" s="14"/>
      <c r="M35" s="1"/>
    </row>
    <row r="36" spans="1:13" ht="25" customHeight="1" x14ac:dyDescent="0.45">
      <c r="A36" s="4"/>
      <c r="B36" s="13"/>
      <c r="C36" s="167">
        <v>21</v>
      </c>
      <c r="D36" s="155">
        <f t="shared" si="10"/>
        <v>46</v>
      </c>
      <c r="E36" s="155">
        <f t="shared" si="11"/>
        <v>6</v>
      </c>
      <c r="F36" s="156">
        <f t="shared" si="12"/>
        <v>38</v>
      </c>
      <c r="G36" s="157">
        <f>IF(D36=D35,"",_xlfn.IFNA(VLOOKUP(D36,'202306'!$L$5:$O$55,4,FALSE),0))</f>
        <v>1055</v>
      </c>
      <c r="H36" s="158">
        <f t="shared" si="13"/>
        <v>3.2890634742486595E-2</v>
      </c>
      <c r="I36" s="165">
        <f>SUM($G$7:G36)</f>
        <v>20417</v>
      </c>
      <c r="J36" s="160">
        <f t="shared" si="14"/>
        <v>0.63651951614914581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55">
        <f t="shared" si="10"/>
        <v>45</v>
      </c>
      <c r="E37" s="155">
        <f t="shared" si="11"/>
        <v>6</v>
      </c>
      <c r="F37" s="156">
        <f t="shared" si="12"/>
        <v>35</v>
      </c>
      <c r="G37" s="157">
        <f>IF(D37=D36,"",_xlfn.IFNA(VLOOKUP(D37,'202306'!$L$5:$O$55,4,FALSE),0))</f>
        <v>911</v>
      </c>
      <c r="H37" s="158">
        <f t="shared" si="13"/>
        <v>2.8401296919815439E-2</v>
      </c>
      <c r="I37" s="165">
        <f>SUM($G$7:G37)</f>
        <v>21328</v>
      </c>
      <c r="J37" s="160">
        <f t="shared" si="14"/>
        <v>0.66492081306896123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55">
        <f t="shared" si="10"/>
        <v>44</v>
      </c>
      <c r="E38" s="155">
        <f t="shared" si="11"/>
        <v>6</v>
      </c>
      <c r="F38" s="156">
        <f t="shared" si="12"/>
        <v>32</v>
      </c>
      <c r="G38" s="157">
        <f>IF(D38=D37,"",_xlfn.IFNA(VLOOKUP(D38,'202306'!$L$5:$O$55,4,FALSE),0))</f>
        <v>945</v>
      </c>
      <c r="H38" s="158">
        <f t="shared" si="13"/>
        <v>2.9461279461279462E-2</v>
      </c>
      <c r="I38" s="165">
        <f>SUM($G$7:G38)</f>
        <v>22273</v>
      </c>
      <c r="J38" s="160">
        <f t="shared" si="14"/>
        <v>0.69438209253024064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55">
        <f t="shared" si="10"/>
        <v>43</v>
      </c>
      <c r="E39" s="155">
        <f t="shared" si="11"/>
        <v>6</v>
      </c>
      <c r="F39" s="156">
        <f t="shared" si="12"/>
        <v>29</v>
      </c>
      <c r="G39" s="157">
        <f>IF(D39=D38,"",_xlfn.IFNA(VLOOKUP(D39,'202306'!$L$5:$O$55,4,FALSE),0))</f>
        <v>963</v>
      </c>
      <c r="H39" s="158">
        <f t="shared" si="13"/>
        <v>3.0022446689113354E-2</v>
      </c>
      <c r="I39" s="165">
        <f>SUM($G$7:G39)</f>
        <v>23236</v>
      </c>
      <c r="J39" s="160">
        <f t="shared" si="14"/>
        <v>0.72440453921935399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07">
        <f t="shared" si="10"/>
        <v>42</v>
      </c>
      <c r="E40" s="307">
        <f t="shared" si="11"/>
        <v>6</v>
      </c>
      <c r="F40" s="309">
        <f t="shared" si="12"/>
        <v>25</v>
      </c>
      <c r="G40" s="311">
        <f>IF(D40=D39,"",_xlfn.IFNA(VLOOKUP(D40,'202306'!$L$5:$O$55,4,FALSE),0))</f>
        <v>1758</v>
      </c>
      <c r="H40" s="313">
        <f t="shared" si="13"/>
        <v>5.4807332585110363E-2</v>
      </c>
      <c r="I40" s="315">
        <f>SUM($G$7:G40)</f>
        <v>24994</v>
      </c>
      <c r="J40" s="317">
        <f t="shared" si="14"/>
        <v>0.77921187180446438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08"/>
      <c r="E41" s="308"/>
      <c r="F41" s="310"/>
      <c r="G41" s="312"/>
      <c r="H41" s="314"/>
      <c r="I41" s="316"/>
      <c r="J41" s="318"/>
      <c r="K41" s="14"/>
      <c r="M41" s="1"/>
    </row>
    <row r="42" spans="1:13" ht="25" customHeight="1" x14ac:dyDescent="0.45">
      <c r="A42" s="4"/>
      <c r="B42" s="13"/>
      <c r="C42" s="167">
        <v>15</v>
      </c>
      <c r="D42" s="155">
        <f t="shared" si="10"/>
        <v>41</v>
      </c>
      <c r="E42" s="155">
        <f t="shared" si="11"/>
        <v>7</v>
      </c>
      <c r="F42" s="156">
        <f t="shared" si="12"/>
        <v>21</v>
      </c>
      <c r="G42" s="157">
        <f>IF(D42=D41,"",_xlfn.IFNA(VLOOKUP(D42,'202306'!$L$5:$O$55,4,FALSE),0))</f>
        <v>750</v>
      </c>
      <c r="H42" s="158">
        <f t="shared" si="13"/>
        <v>2.3381967826412272E-2</v>
      </c>
      <c r="I42" s="165">
        <f>SUM($G$7:G42)</f>
        <v>25744</v>
      </c>
      <c r="J42" s="160">
        <f t="shared" si="14"/>
        <v>0.80259383963087672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55">
        <f t="shared" si="10"/>
        <v>40</v>
      </c>
      <c r="E43" s="155">
        <f t="shared" si="11"/>
        <v>7</v>
      </c>
      <c r="F43" s="156">
        <f t="shared" si="12"/>
        <v>17</v>
      </c>
      <c r="G43" s="157">
        <f>IF(D43=D42,"",_xlfn.IFNA(VLOOKUP(D43,'202306'!$L$5:$O$55,4,FALSE),0))</f>
        <v>1720</v>
      </c>
      <c r="H43" s="158">
        <f t="shared" si="13"/>
        <v>5.3622646215238809E-2</v>
      </c>
      <c r="I43" s="165">
        <f>SUM($G$7:G43)</f>
        <v>27464</v>
      </c>
      <c r="J43" s="160">
        <f t="shared" si="14"/>
        <v>0.85621648584611543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55">
        <f t="shared" si="10"/>
        <v>39</v>
      </c>
      <c r="E44" s="155">
        <f t="shared" si="11"/>
        <v>7</v>
      </c>
      <c r="F44" s="156">
        <f t="shared" si="12"/>
        <v>13</v>
      </c>
      <c r="G44" s="157">
        <f>IF(D44=D43,"",_xlfn.IFNA(VLOOKUP(D44,'202306'!$L$5:$O$55,4,FALSE),0))</f>
        <v>618</v>
      </c>
      <c r="H44" s="158">
        <f t="shared" si="13"/>
        <v>1.926674148896371E-2</v>
      </c>
      <c r="I44" s="165">
        <f>SUM($G$7:G44)</f>
        <v>28082</v>
      </c>
      <c r="J44" s="160">
        <f t="shared" si="14"/>
        <v>0.87548322733507922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55">
        <f t="shared" si="10"/>
        <v>38</v>
      </c>
      <c r="E45" s="155">
        <f t="shared" si="11"/>
        <v>7</v>
      </c>
      <c r="F45" s="156">
        <f t="shared" si="12"/>
        <v>12</v>
      </c>
      <c r="G45" s="157">
        <f>IF(D45=D44,"",_xlfn.IFNA(VLOOKUP(D45,'202306'!$L$5:$O$55,4,FALSE),0))</f>
        <v>484</v>
      </c>
      <c r="H45" s="158">
        <f t="shared" si="13"/>
        <v>1.5089163237311385E-2</v>
      </c>
      <c r="I45" s="165">
        <f>SUM($G$7:G45)</f>
        <v>28566</v>
      </c>
      <c r="J45" s="160">
        <f t="shared" si="14"/>
        <v>0.89057239057239057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307">
        <f t="shared" si="10"/>
        <v>37</v>
      </c>
      <c r="E46" s="307">
        <f t="shared" si="11"/>
        <v>8</v>
      </c>
      <c r="F46" s="309">
        <f t="shared" si="12"/>
        <v>9</v>
      </c>
      <c r="G46" s="311">
        <f>IF(D46=D45,"",_xlfn.IFNA(VLOOKUP(D46,'202306'!$L$5:$O$55,4,FALSE),0))</f>
        <v>1134</v>
      </c>
      <c r="H46" s="313">
        <f t="shared" si="13"/>
        <v>3.5353535353535352E-2</v>
      </c>
      <c r="I46" s="315">
        <f>SUM($G$7:G46)</f>
        <v>29700</v>
      </c>
      <c r="J46" s="317">
        <f t="shared" si="14"/>
        <v>0.92592592592592593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308"/>
      <c r="E47" s="308"/>
      <c r="F47" s="310"/>
      <c r="G47" s="312"/>
      <c r="H47" s="314"/>
      <c r="I47" s="316"/>
      <c r="J47" s="318"/>
      <c r="K47" s="14"/>
      <c r="M47" s="1"/>
    </row>
    <row r="48" spans="1:13" ht="25" customHeight="1" x14ac:dyDescent="0.45">
      <c r="A48" s="4"/>
      <c r="B48" s="13"/>
      <c r="C48" s="167">
        <v>9</v>
      </c>
      <c r="D48" s="155">
        <f t="shared" si="10"/>
        <v>36</v>
      </c>
      <c r="E48" s="155">
        <f t="shared" si="11"/>
        <v>8</v>
      </c>
      <c r="F48" s="156">
        <f t="shared" si="12"/>
        <v>7</v>
      </c>
      <c r="G48" s="157">
        <f>IF(D48=D47,"",_xlfn.IFNA(VLOOKUP(D48,'202306'!$L$5:$O$55,4,FALSE),0))</f>
        <v>398</v>
      </c>
      <c r="H48" s="158">
        <f t="shared" si="13"/>
        <v>1.2408030926549445E-2</v>
      </c>
      <c r="I48" s="165">
        <f>SUM($G$7:G48)</f>
        <v>30098</v>
      </c>
      <c r="J48" s="160">
        <f t="shared" si="14"/>
        <v>0.93833395685247534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55">
        <f t="shared" si="10"/>
        <v>35</v>
      </c>
      <c r="E49" s="155">
        <f t="shared" si="11"/>
        <v>8</v>
      </c>
      <c r="F49" s="156">
        <f t="shared" si="12"/>
        <v>5</v>
      </c>
      <c r="G49" s="157">
        <f>IF(D49=D48,"",_xlfn.IFNA(VLOOKUP(D49,'202306'!$L$5:$O$55,4,FALSE),0))</f>
        <v>461</v>
      </c>
      <c r="H49" s="158">
        <f t="shared" si="13"/>
        <v>1.4372116223968076E-2</v>
      </c>
      <c r="I49" s="165">
        <f>SUM($G$7:G49)</f>
        <v>30559</v>
      </c>
      <c r="J49" s="160">
        <f t="shared" si="14"/>
        <v>0.95270607307644339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55">
        <f t="shared" si="10"/>
        <v>34</v>
      </c>
      <c r="E50" s="155">
        <f t="shared" si="11"/>
        <v>8</v>
      </c>
      <c r="F50" s="156">
        <f t="shared" si="12"/>
        <v>3</v>
      </c>
      <c r="G50" s="157">
        <f>IF(D50=D49,"",_xlfn.IFNA(VLOOKUP(D50,'202306'!$L$5:$O$55,4,FALSE),0))</f>
        <v>915</v>
      </c>
      <c r="H50" s="158">
        <f t="shared" si="13"/>
        <v>2.8526000748222969E-2</v>
      </c>
      <c r="I50" s="165">
        <f>SUM($G$7:G50)</f>
        <v>31474</v>
      </c>
      <c r="J50" s="160">
        <f t="shared" si="14"/>
        <v>0.98123207382466637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55">
        <f t="shared" si="10"/>
        <v>33</v>
      </c>
      <c r="E51" s="155">
        <f t="shared" si="11"/>
        <v>9</v>
      </c>
      <c r="F51" s="156">
        <f t="shared" si="12"/>
        <v>2</v>
      </c>
      <c r="G51" s="157">
        <f>IF(D51=D50,"",_xlfn.IFNA(VLOOKUP(D51,'202306'!$L$5:$O$55,4,FALSE),0))</f>
        <v>148</v>
      </c>
      <c r="H51" s="158">
        <f t="shared" si="13"/>
        <v>4.6140416510786885E-3</v>
      </c>
      <c r="I51" s="165">
        <f>SUM($G$7:G51)</f>
        <v>31622</v>
      </c>
      <c r="J51" s="160">
        <f t="shared" si="14"/>
        <v>0.98584611547574508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07">
        <f t="shared" si="10"/>
        <v>32</v>
      </c>
      <c r="E52" s="307">
        <f t="shared" si="11"/>
        <v>9</v>
      </c>
      <c r="F52" s="309">
        <f t="shared" si="12"/>
        <v>1</v>
      </c>
      <c r="G52" s="311">
        <f>IF(D52=D51,"",_xlfn.IFNA(VLOOKUP(D52,'202306'!$L$5:$O$55,4,FALSE),0))</f>
        <v>295</v>
      </c>
      <c r="H52" s="313">
        <f t="shared" si="13"/>
        <v>9.1969073450554936E-3</v>
      </c>
      <c r="I52" s="315">
        <f>SUM($G$7:G52)</f>
        <v>31917</v>
      </c>
      <c r="J52" s="317">
        <f t="shared" si="14"/>
        <v>0.99504302282080059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08"/>
      <c r="E53" s="308"/>
      <c r="F53" s="310"/>
      <c r="G53" s="312"/>
      <c r="H53" s="314"/>
      <c r="I53" s="316"/>
      <c r="J53" s="318"/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6"/>
        <v>31</v>
      </c>
      <c r="E54" s="155">
        <f t="shared" ref="E54:E57" si="15">IF(ROUND(D54,0)&gt;=$P$7,1,IF(ROUND(D54,0)&gt;=$P$8,2,IF(ROUND(D54,0)&gt;=$P$9,3,IF(ROUND(D54,0)&gt;=$P$10,4,IF(ROUND(D54,0)&gt;=$P$11,5,IF(ROUND(D54,0)&gt;=$P$12,6,IF(ROUND(D54,0)&gt;=$P$13,7,IF(ROUND(D54,0)&gt;=$P$14,8,9))))))))</f>
        <v>9</v>
      </c>
      <c r="F54" s="156">
        <f t="shared" si="7"/>
        <v>0</v>
      </c>
      <c r="G54" s="157">
        <f>IF(D54=D53,"",_xlfn.IFNA(VLOOKUP(D54,'202306'!$L$5:$O$55,4,FALSE),0))</f>
        <v>42</v>
      </c>
      <c r="H54" s="158">
        <f t="shared" si="8"/>
        <v>1.3093901982790871E-3</v>
      </c>
      <c r="I54" s="165">
        <f>SUM($G$7:G54)</f>
        <v>31959</v>
      </c>
      <c r="J54" s="160">
        <f t="shared" si="9"/>
        <v>0.99635241301907973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6"/>
        <v>30</v>
      </c>
      <c r="E55" s="155">
        <f t="shared" si="15"/>
        <v>9</v>
      </c>
      <c r="F55" s="156">
        <f t="shared" si="7"/>
        <v>0</v>
      </c>
      <c r="G55" s="157">
        <f>IF(D55=D54,"",_xlfn.IFNA(VLOOKUP(D55,'202306'!$L$5:$O$55,4,FALSE),0))</f>
        <v>98</v>
      </c>
      <c r="H55" s="158">
        <f t="shared" si="8"/>
        <v>3.0552437959845366E-3</v>
      </c>
      <c r="I55" s="165">
        <f>SUM($G$7:G55)</f>
        <v>32057</v>
      </c>
      <c r="J55" s="160">
        <f t="shared" si="9"/>
        <v>0.99940765681506427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28</v>
      </c>
      <c r="E57" s="170">
        <f t="shared" si="15"/>
        <v>9</v>
      </c>
      <c r="F57" s="171">
        <f>IF(I55=0,ROUND(100*(1-(I54+I57)/2/$J$3),0),ROUND(100*(1-(I55+I57)/2/$J$3),0))</f>
        <v>0</v>
      </c>
      <c r="G57" s="172">
        <f>_xlfn.IFNA(VLOOKUP(D57,'202306'!$L$5:$O$55,4,FALSE),0)</f>
        <v>19</v>
      </c>
      <c r="H57" s="173">
        <f>G57/J3</f>
        <v>5.9234318493577758E-4</v>
      </c>
      <c r="I57" s="174">
        <f>SUM($G$7:G57)</f>
        <v>32076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D61">
        <v>50</v>
      </c>
      <c r="E61" s="142">
        <f>IF(G7="", 0, G7)</f>
        <v>1042</v>
      </c>
      <c r="F61">
        <f>D61*E61</f>
        <v>52100</v>
      </c>
      <c r="M61" s="1"/>
    </row>
    <row r="62" spans="1:13" x14ac:dyDescent="0.45">
      <c r="D62">
        <v>49</v>
      </c>
      <c r="E62" s="142">
        <f t="shared" ref="E62:E111" si="16">IF(G8="", 0, G8)</f>
        <v>0</v>
      </c>
      <c r="F62">
        <f t="shared" ref="F62:F111" si="17">D62*E62</f>
        <v>0</v>
      </c>
      <c r="M62" s="1"/>
    </row>
    <row r="63" spans="1:13" x14ac:dyDescent="0.45">
      <c r="D63">
        <f>IF(E63=0, D62-0.5, IF(E64=0, D62-1.5, D62-1))</f>
        <v>48</v>
      </c>
      <c r="E63" s="142">
        <f t="shared" si="16"/>
        <v>309</v>
      </c>
      <c r="F63">
        <f t="shared" si="17"/>
        <v>14832</v>
      </c>
      <c r="M63" s="1"/>
    </row>
    <row r="64" spans="1:13" x14ac:dyDescent="0.45">
      <c r="D64">
        <f t="shared" ref="D64:D108" si="18">IF(E64=0, D63-0.5, IF(E65=0, D63-1.5, D63-1))</f>
        <v>46.5</v>
      </c>
      <c r="E64" s="142">
        <f t="shared" si="16"/>
        <v>1188</v>
      </c>
      <c r="F64">
        <f t="shared" si="17"/>
        <v>55242</v>
      </c>
      <c r="M64" s="1"/>
    </row>
    <row r="65" spans="4:13" x14ac:dyDescent="0.45">
      <c r="D65">
        <f t="shared" si="18"/>
        <v>46</v>
      </c>
      <c r="E65" s="142">
        <f t="shared" si="16"/>
        <v>0</v>
      </c>
      <c r="F65">
        <f t="shared" si="17"/>
        <v>0</v>
      </c>
      <c r="M65" s="1"/>
    </row>
    <row r="66" spans="4:13" x14ac:dyDescent="0.45">
      <c r="D66">
        <f t="shared" si="18"/>
        <v>45</v>
      </c>
      <c r="E66" s="142">
        <f t="shared" si="16"/>
        <v>595</v>
      </c>
      <c r="F66">
        <f t="shared" si="17"/>
        <v>26775</v>
      </c>
      <c r="M66" s="1"/>
    </row>
    <row r="67" spans="4:13" x14ac:dyDescent="0.45">
      <c r="D67">
        <f t="shared" si="18"/>
        <v>44</v>
      </c>
      <c r="E67" s="142">
        <f t="shared" si="16"/>
        <v>659</v>
      </c>
      <c r="F67">
        <f t="shared" si="17"/>
        <v>28996</v>
      </c>
      <c r="M67" s="1"/>
    </row>
    <row r="68" spans="4:13" x14ac:dyDescent="0.45">
      <c r="D68">
        <f t="shared" si="18"/>
        <v>43</v>
      </c>
      <c r="E68" s="142">
        <f t="shared" si="16"/>
        <v>187</v>
      </c>
      <c r="F68">
        <f t="shared" si="17"/>
        <v>8041</v>
      </c>
      <c r="M68" s="1"/>
    </row>
    <row r="69" spans="4:13" x14ac:dyDescent="0.45">
      <c r="D69">
        <f t="shared" si="18"/>
        <v>42</v>
      </c>
      <c r="E69" s="142">
        <f t="shared" si="16"/>
        <v>645</v>
      </c>
      <c r="F69">
        <f t="shared" si="17"/>
        <v>27090</v>
      </c>
      <c r="M69" s="1"/>
    </row>
    <row r="70" spans="4:13" x14ac:dyDescent="0.45">
      <c r="D70">
        <f t="shared" si="18"/>
        <v>40.5</v>
      </c>
      <c r="E70" s="142">
        <f t="shared" si="16"/>
        <v>849</v>
      </c>
      <c r="F70">
        <f t="shared" si="17"/>
        <v>34384.5</v>
      </c>
      <c r="M70" s="1"/>
    </row>
    <row r="71" spans="4:13" x14ac:dyDescent="0.45">
      <c r="D71">
        <f t="shared" si="18"/>
        <v>40</v>
      </c>
      <c r="E71" s="142">
        <f t="shared" si="16"/>
        <v>0</v>
      </c>
      <c r="F71">
        <f t="shared" si="17"/>
        <v>0</v>
      </c>
      <c r="M71" s="1"/>
    </row>
    <row r="72" spans="4:13" x14ac:dyDescent="0.45">
      <c r="D72">
        <f t="shared" si="18"/>
        <v>39</v>
      </c>
      <c r="E72" s="142">
        <f t="shared" si="16"/>
        <v>638</v>
      </c>
      <c r="F72">
        <f t="shared" si="17"/>
        <v>24882</v>
      </c>
      <c r="M72" s="1"/>
    </row>
    <row r="73" spans="4:13" x14ac:dyDescent="0.45">
      <c r="D73">
        <f t="shared" si="18"/>
        <v>38</v>
      </c>
      <c r="E73" s="142">
        <f t="shared" si="16"/>
        <v>427</v>
      </c>
      <c r="F73">
        <f t="shared" si="17"/>
        <v>16226</v>
      </c>
      <c r="M73" s="1"/>
    </row>
    <row r="74" spans="4:13" x14ac:dyDescent="0.45">
      <c r="D74">
        <f t="shared" si="18"/>
        <v>37</v>
      </c>
      <c r="E74" s="142">
        <f t="shared" si="16"/>
        <v>508</v>
      </c>
      <c r="F74">
        <f t="shared" si="17"/>
        <v>18796</v>
      </c>
      <c r="M74" s="1"/>
    </row>
    <row r="75" spans="4:13" x14ac:dyDescent="0.45">
      <c r="D75">
        <f t="shared" si="18"/>
        <v>36</v>
      </c>
      <c r="E75" s="142">
        <f t="shared" si="16"/>
        <v>616</v>
      </c>
      <c r="F75">
        <f t="shared" si="17"/>
        <v>22176</v>
      </c>
      <c r="M75" s="1"/>
    </row>
    <row r="76" spans="4:13" x14ac:dyDescent="0.45">
      <c r="D76">
        <f t="shared" si="18"/>
        <v>34.5</v>
      </c>
      <c r="E76" s="142">
        <f t="shared" si="16"/>
        <v>1279</v>
      </c>
      <c r="F76">
        <f t="shared" si="17"/>
        <v>44125.5</v>
      </c>
      <c r="M76" s="1"/>
    </row>
    <row r="77" spans="4:13" x14ac:dyDescent="0.45">
      <c r="D77">
        <f t="shared" si="18"/>
        <v>34</v>
      </c>
      <c r="E77" s="142">
        <f t="shared" si="16"/>
        <v>0</v>
      </c>
      <c r="F77">
        <f t="shared" si="17"/>
        <v>0</v>
      </c>
      <c r="M77" s="1"/>
    </row>
    <row r="78" spans="4:13" x14ac:dyDescent="0.45">
      <c r="D78">
        <f t="shared" si="18"/>
        <v>33</v>
      </c>
      <c r="E78" s="142">
        <f t="shared" si="16"/>
        <v>619</v>
      </c>
      <c r="F78">
        <f t="shared" si="17"/>
        <v>20427</v>
      </c>
      <c r="M78" s="1"/>
    </row>
    <row r="79" spans="4:13" x14ac:dyDescent="0.45">
      <c r="D79">
        <f t="shared" si="18"/>
        <v>32</v>
      </c>
      <c r="E79" s="142">
        <f t="shared" si="16"/>
        <v>675</v>
      </c>
      <c r="F79">
        <f t="shared" si="17"/>
        <v>21600</v>
      </c>
      <c r="M79" s="1"/>
    </row>
    <row r="80" spans="4:13" x14ac:dyDescent="0.45">
      <c r="D80">
        <f t="shared" si="18"/>
        <v>31</v>
      </c>
      <c r="E80" s="142">
        <f t="shared" si="16"/>
        <v>826</v>
      </c>
      <c r="F80">
        <f t="shared" si="17"/>
        <v>25606</v>
      </c>
      <c r="M80" s="1"/>
    </row>
    <row r="81" spans="4:13" x14ac:dyDescent="0.45">
      <c r="D81">
        <f t="shared" si="18"/>
        <v>30</v>
      </c>
      <c r="E81" s="142">
        <f t="shared" si="16"/>
        <v>682</v>
      </c>
      <c r="F81">
        <f t="shared" si="17"/>
        <v>20460</v>
      </c>
      <c r="M81" s="1"/>
    </row>
    <row r="82" spans="4:13" x14ac:dyDescent="0.45">
      <c r="D82">
        <f t="shared" si="18"/>
        <v>28.5</v>
      </c>
      <c r="E82" s="142">
        <f t="shared" si="16"/>
        <v>1794</v>
      </c>
      <c r="F82">
        <f t="shared" si="17"/>
        <v>51129</v>
      </c>
      <c r="M82" s="1"/>
    </row>
    <row r="83" spans="4:13" x14ac:dyDescent="0.45">
      <c r="D83">
        <f t="shared" si="18"/>
        <v>28</v>
      </c>
      <c r="E83" s="142">
        <f t="shared" si="16"/>
        <v>0</v>
      </c>
      <c r="F83">
        <f t="shared" si="17"/>
        <v>0</v>
      </c>
      <c r="M83" s="1"/>
    </row>
    <row r="84" spans="4:13" x14ac:dyDescent="0.45">
      <c r="D84">
        <f t="shared" si="18"/>
        <v>27</v>
      </c>
      <c r="E84" s="142">
        <f t="shared" si="16"/>
        <v>874</v>
      </c>
      <c r="F84">
        <f t="shared" si="17"/>
        <v>23598</v>
      </c>
      <c r="M84" s="1"/>
    </row>
    <row r="85" spans="4:13" x14ac:dyDescent="0.45">
      <c r="D85">
        <f t="shared" si="18"/>
        <v>26</v>
      </c>
      <c r="E85" s="142">
        <f t="shared" si="16"/>
        <v>1038</v>
      </c>
      <c r="F85">
        <f t="shared" si="17"/>
        <v>26988</v>
      </c>
      <c r="M85" s="1"/>
    </row>
    <row r="86" spans="4:13" x14ac:dyDescent="0.45">
      <c r="D86">
        <f t="shared" si="18"/>
        <v>25</v>
      </c>
      <c r="E86" s="142">
        <f t="shared" si="16"/>
        <v>892</v>
      </c>
      <c r="F86">
        <f t="shared" si="17"/>
        <v>22300</v>
      </c>
      <c r="M86" s="1"/>
    </row>
    <row r="87" spans="4:13" x14ac:dyDescent="0.45">
      <c r="D87">
        <f t="shared" si="18"/>
        <v>24</v>
      </c>
      <c r="E87" s="142">
        <f t="shared" si="16"/>
        <v>1061</v>
      </c>
      <c r="F87">
        <f t="shared" si="17"/>
        <v>25464</v>
      </c>
      <c r="M87" s="1"/>
    </row>
    <row r="88" spans="4:13" x14ac:dyDescent="0.45">
      <c r="D88">
        <f t="shared" si="18"/>
        <v>22.5</v>
      </c>
      <c r="E88" s="142">
        <f t="shared" si="16"/>
        <v>1959</v>
      </c>
      <c r="F88">
        <f t="shared" si="17"/>
        <v>44077.5</v>
      </c>
      <c r="M88" s="1"/>
    </row>
    <row r="89" spans="4:13" x14ac:dyDescent="0.45">
      <c r="D89">
        <f t="shared" si="18"/>
        <v>22</v>
      </c>
      <c r="E89" s="142">
        <f t="shared" si="16"/>
        <v>0</v>
      </c>
      <c r="F89">
        <f t="shared" si="17"/>
        <v>0</v>
      </c>
      <c r="M89" s="1"/>
    </row>
    <row r="90" spans="4:13" x14ac:dyDescent="0.45">
      <c r="D90">
        <f t="shared" si="18"/>
        <v>21</v>
      </c>
      <c r="E90" s="142">
        <f t="shared" si="16"/>
        <v>1055</v>
      </c>
      <c r="F90">
        <f t="shared" si="17"/>
        <v>22155</v>
      </c>
      <c r="M90" s="1"/>
    </row>
    <row r="91" spans="4:13" x14ac:dyDescent="0.45">
      <c r="D91">
        <f t="shared" si="18"/>
        <v>20</v>
      </c>
      <c r="E91" s="142">
        <f t="shared" si="16"/>
        <v>911</v>
      </c>
      <c r="F91">
        <f t="shared" si="17"/>
        <v>18220</v>
      </c>
      <c r="M91" s="1"/>
    </row>
    <row r="92" spans="4:13" x14ac:dyDescent="0.45">
      <c r="D92">
        <f t="shared" si="18"/>
        <v>19</v>
      </c>
      <c r="E92" s="142">
        <f t="shared" si="16"/>
        <v>945</v>
      </c>
      <c r="F92">
        <f t="shared" si="17"/>
        <v>17955</v>
      </c>
      <c r="M92" s="1"/>
    </row>
    <row r="93" spans="4:13" x14ac:dyDescent="0.45">
      <c r="D93">
        <f t="shared" si="18"/>
        <v>18</v>
      </c>
      <c r="E93" s="142">
        <f t="shared" si="16"/>
        <v>963</v>
      </c>
      <c r="F93">
        <f t="shared" si="17"/>
        <v>17334</v>
      </c>
      <c r="M93" s="1"/>
    </row>
    <row r="94" spans="4:13" x14ac:dyDescent="0.45">
      <c r="D94">
        <f t="shared" si="18"/>
        <v>16.5</v>
      </c>
      <c r="E94" s="142">
        <f t="shared" si="16"/>
        <v>1758</v>
      </c>
      <c r="F94">
        <f t="shared" si="17"/>
        <v>29007</v>
      </c>
      <c r="M94" s="1"/>
    </row>
    <row r="95" spans="4:13" x14ac:dyDescent="0.45">
      <c r="D95">
        <f t="shared" si="18"/>
        <v>16</v>
      </c>
      <c r="E95" s="142">
        <f t="shared" si="16"/>
        <v>0</v>
      </c>
      <c r="F95">
        <f t="shared" si="17"/>
        <v>0</v>
      </c>
      <c r="M95" s="1"/>
    </row>
    <row r="96" spans="4:13" x14ac:dyDescent="0.45">
      <c r="D96">
        <f t="shared" si="18"/>
        <v>15</v>
      </c>
      <c r="E96" s="142">
        <f t="shared" si="16"/>
        <v>750</v>
      </c>
      <c r="F96">
        <f t="shared" si="17"/>
        <v>11250</v>
      </c>
      <c r="M96" s="1"/>
    </row>
    <row r="97" spans="4:13" x14ac:dyDescent="0.45">
      <c r="D97">
        <f t="shared" si="18"/>
        <v>14</v>
      </c>
      <c r="E97" s="142">
        <f t="shared" si="16"/>
        <v>1720</v>
      </c>
      <c r="F97">
        <f t="shared" si="17"/>
        <v>24080</v>
      </c>
      <c r="M97" s="1"/>
    </row>
    <row r="98" spans="4:13" x14ac:dyDescent="0.45">
      <c r="D98">
        <f t="shared" si="18"/>
        <v>13</v>
      </c>
      <c r="E98" s="142">
        <f t="shared" si="16"/>
        <v>618</v>
      </c>
      <c r="F98">
        <f t="shared" si="17"/>
        <v>8034</v>
      </c>
      <c r="M98" s="1"/>
    </row>
    <row r="99" spans="4:13" x14ac:dyDescent="0.45">
      <c r="D99">
        <f t="shared" si="18"/>
        <v>12</v>
      </c>
      <c r="E99" s="142">
        <f t="shared" si="16"/>
        <v>484</v>
      </c>
      <c r="F99">
        <f t="shared" si="17"/>
        <v>5808</v>
      </c>
      <c r="M99" s="1"/>
    </row>
    <row r="100" spans="4:13" x14ac:dyDescent="0.45">
      <c r="D100">
        <f t="shared" si="18"/>
        <v>10.5</v>
      </c>
      <c r="E100" s="142">
        <f t="shared" si="16"/>
        <v>1134</v>
      </c>
      <c r="F100">
        <f t="shared" si="17"/>
        <v>11907</v>
      </c>
      <c r="M100" s="1"/>
    </row>
    <row r="101" spans="4:13" x14ac:dyDescent="0.45">
      <c r="D101">
        <f t="shared" si="18"/>
        <v>10</v>
      </c>
      <c r="E101" s="142">
        <f t="shared" si="16"/>
        <v>0</v>
      </c>
      <c r="F101">
        <f t="shared" si="17"/>
        <v>0</v>
      </c>
      <c r="M101" s="1"/>
    </row>
    <row r="102" spans="4:13" x14ac:dyDescent="0.45">
      <c r="D102">
        <f t="shared" si="18"/>
        <v>9</v>
      </c>
      <c r="E102" s="142">
        <f t="shared" si="16"/>
        <v>398</v>
      </c>
      <c r="F102">
        <f t="shared" si="17"/>
        <v>3582</v>
      </c>
      <c r="M102" s="1"/>
    </row>
    <row r="103" spans="4:13" x14ac:dyDescent="0.45">
      <c r="D103">
        <f t="shared" si="18"/>
        <v>8</v>
      </c>
      <c r="E103" s="142">
        <f t="shared" si="16"/>
        <v>461</v>
      </c>
      <c r="F103">
        <f t="shared" si="17"/>
        <v>3688</v>
      </c>
      <c r="M103" s="1"/>
    </row>
    <row r="104" spans="4:13" x14ac:dyDescent="0.45">
      <c r="D104">
        <f t="shared" si="18"/>
        <v>7</v>
      </c>
      <c r="E104" s="142">
        <f t="shared" si="16"/>
        <v>915</v>
      </c>
      <c r="F104">
        <f t="shared" si="17"/>
        <v>6405</v>
      </c>
      <c r="M104" s="1"/>
    </row>
    <row r="105" spans="4:13" x14ac:dyDescent="0.45">
      <c r="D105">
        <f t="shared" si="18"/>
        <v>6</v>
      </c>
      <c r="E105" s="142">
        <f t="shared" si="16"/>
        <v>148</v>
      </c>
      <c r="F105">
        <f t="shared" si="17"/>
        <v>888</v>
      </c>
      <c r="M105" s="1"/>
    </row>
    <row r="106" spans="4:13" x14ac:dyDescent="0.45">
      <c r="D106">
        <f t="shared" si="18"/>
        <v>4.5</v>
      </c>
      <c r="E106" s="142">
        <f t="shared" si="16"/>
        <v>295</v>
      </c>
      <c r="F106">
        <f t="shared" si="17"/>
        <v>1327.5</v>
      </c>
    </row>
    <row r="107" spans="4:13" x14ac:dyDescent="0.45">
      <c r="D107">
        <f t="shared" si="18"/>
        <v>4</v>
      </c>
      <c r="E107" s="142">
        <f t="shared" si="16"/>
        <v>0</v>
      </c>
      <c r="F107">
        <f t="shared" si="17"/>
        <v>0</v>
      </c>
    </row>
    <row r="108" spans="4:13" x14ac:dyDescent="0.45">
      <c r="D108">
        <f t="shared" si="18"/>
        <v>3</v>
      </c>
      <c r="E108" s="142">
        <f t="shared" si="16"/>
        <v>42</v>
      </c>
      <c r="F108">
        <f t="shared" si="17"/>
        <v>126</v>
      </c>
    </row>
    <row r="109" spans="4:13" x14ac:dyDescent="0.45">
      <c r="D109">
        <v>2</v>
      </c>
      <c r="E109" s="142">
        <f t="shared" si="16"/>
        <v>98</v>
      </c>
      <c r="F109">
        <f t="shared" si="17"/>
        <v>196</v>
      </c>
    </row>
    <row r="110" spans="4:13" x14ac:dyDescent="0.45">
      <c r="D110">
        <v>1</v>
      </c>
      <c r="E110" s="142">
        <f t="shared" si="16"/>
        <v>0</v>
      </c>
      <c r="F110">
        <f t="shared" si="17"/>
        <v>0</v>
      </c>
    </row>
    <row r="111" spans="4:13" x14ac:dyDescent="0.45">
      <c r="D111">
        <v>0</v>
      </c>
      <c r="E111" s="142">
        <f t="shared" si="16"/>
        <v>19</v>
      </c>
      <c r="F111">
        <f t="shared" si="17"/>
        <v>0</v>
      </c>
    </row>
    <row r="113" spans="6:6" x14ac:dyDescent="0.45">
      <c r="F113">
        <f>SUM(F61:F111)/I57</f>
        <v>26.102943010350419</v>
      </c>
    </row>
  </sheetData>
  <mergeCells count="60">
    <mergeCell ref="I52:I53"/>
    <mergeCell ref="J52:J53"/>
    <mergeCell ref="D52:D53"/>
    <mergeCell ref="E52:E53"/>
    <mergeCell ref="F52:F53"/>
    <mergeCell ref="G52:G53"/>
    <mergeCell ref="H52:H53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28:I29"/>
    <mergeCell ref="J28:J29"/>
    <mergeCell ref="D34:D35"/>
    <mergeCell ref="E34:E35"/>
    <mergeCell ref="F34:F35"/>
    <mergeCell ref="G34:G35"/>
    <mergeCell ref="H34:H35"/>
    <mergeCell ref="I34:I35"/>
    <mergeCell ref="J34:J35"/>
    <mergeCell ref="D28:D29"/>
    <mergeCell ref="E28:E29"/>
    <mergeCell ref="F28:F29"/>
    <mergeCell ref="G28:G29"/>
    <mergeCell ref="H28:H29"/>
    <mergeCell ref="I16:I17"/>
    <mergeCell ref="J16:J17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56:J56"/>
    <mergeCell ref="D8:J8"/>
    <mergeCell ref="D10:D11"/>
    <mergeCell ref="E10:E11"/>
    <mergeCell ref="F10:F11"/>
    <mergeCell ref="G10:G11"/>
    <mergeCell ref="H10:H11"/>
    <mergeCell ref="I10:I11"/>
    <mergeCell ref="J10:J11"/>
    <mergeCell ref="D16:D17"/>
    <mergeCell ref="E16:E17"/>
    <mergeCell ref="F16:F17"/>
    <mergeCell ref="G16:G17"/>
    <mergeCell ref="H16:H17"/>
  </mergeCells>
  <phoneticPr fontId="1" type="noConversion"/>
  <conditionalFormatting sqref="D7:J7 D57:J57 D9:J10 D12:J16 D18:J22 D24:J28 D30:J34 D36:J40 D42:J46 D48:J52 D54:J55">
    <cfRule type="expression" dxfId="146" priority="7">
      <formula>OR($D7=$P$7:$P$14)</formula>
    </cfRule>
  </conditionalFormatting>
  <conditionalFormatting sqref="C7:C57">
    <cfRule type="expression" dxfId="145" priority="6">
      <formula>OR(AND($D7=0,OR($D6=$P$7:$P$14)),AND($D8&gt;0,OR($D7=$P$7:$P$14)))</formula>
    </cfRule>
  </conditionalFormatting>
  <conditionalFormatting sqref="D7 D57 D9:D10 D12:D16 D18:D22 D24:D28 D30:D34 D36:D40 D42:D46 D48:D52 D54:D55">
    <cfRule type="expression" dxfId="144" priority="5">
      <formula>$D7=$D8</formula>
    </cfRule>
  </conditionalFormatting>
  <conditionalFormatting sqref="D56">
    <cfRule type="expression" dxfId="143" priority="4">
      <formula>OR($D56=$P$7:$P$14)</formula>
    </cfRule>
  </conditionalFormatting>
  <conditionalFormatting sqref="D56">
    <cfRule type="expression" dxfId="142" priority="3">
      <formula>$D56=$D57</formula>
    </cfRule>
  </conditionalFormatting>
  <conditionalFormatting sqref="D8">
    <cfRule type="expression" dxfId="141" priority="2">
      <formula>OR($D8=$P$7:$P$14)</formula>
    </cfRule>
  </conditionalFormatting>
  <conditionalFormatting sqref="D8">
    <cfRule type="expression" dxfId="14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1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기능'!D7</f>
        <v>26.82</v>
      </c>
      <c r="I3" s="10" t="s">
        <v>98</v>
      </c>
      <c r="J3" s="145">
        <f>'통계 및 응시자 수 입력 기능'!C7</f>
        <v>25271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119</v>
      </c>
      <c r="E4" s="302"/>
      <c r="F4" s="303"/>
      <c r="G4" s="147" t="s">
        <v>101</v>
      </c>
      <c r="H4" s="148">
        <f>'통계 및 응시자 수 입력 기능'!E7</f>
        <v>12.92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68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98</v>
      </c>
      <c r="G7" s="157">
        <f>_xlfn.IFNA(VLOOKUP(D7,'202306'!$Q$5:$T$55,4,FALSE),0)</f>
        <v>1147</v>
      </c>
      <c r="H7" s="158">
        <f>G7/J3</f>
        <v>4.5387994143484628E-2</v>
      </c>
      <c r="I7" s="159">
        <f>G7</f>
        <v>1147</v>
      </c>
      <c r="J7" s="160">
        <f>I7/J3</f>
        <v>4.5387994143484628E-2</v>
      </c>
      <c r="K7" s="14"/>
      <c r="M7" s="1"/>
      <c r="O7" s="1">
        <v>1</v>
      </c>
      <c r="P7" s="1">
        <f>'표준점수 등급컷 입력기능'!K4</f>
        <v>68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입력기능'!K5</f>
        <v>64</v>
      </c>
    </row>
    <row r="9" spans="1:16" ht="25" customHeight="1" x14ac:dyDescent="0.45">
      <c r="A9" s="4"/>
      <c r="B9" s="13"/>
      <c r="C9" s="154">
        <v>48</v>
      </c>
      <c r="D9" s="307">
        <f>ROUND(10*(C9-$H$3)/$H$4+50,0)</f>
        <v>66</v>
      </c>
      <c r="E9" s="307">
        <f t="shared" si="0"/>
        <v>2</v>
      </c>
      <c r="F9" s="309">
        <f>IF(I8=0,ROUND(100*(1-(I7+I9)/2/$J$3),0),ROUND(100*(1-(I8+I9)/2/$J$3),0))</f>
        <v>93</v>
      </c>
      <c r="G9" s="311">
        <f>_xlfn.IFNA(VLOOKUP(D9,'202306'!$Q$5:$T$55,4,FALSE),0)</f>
        <v>1206</v>
      </c>
      <c r="H9" s="313">
        <f>G9/$J$3</f>
        <v>4.772268608286178E-2</v>
      </c>
      <c r="I9" s="315">
        <f>SUM($G$7:G9)</f>
        <v>2353</v>
      </c>
      <c r="J9" s="317">
        <f>I9/$J$3</f>
        <v>9.3110680226346401E-2</v>
      </c>
      <c r="K9" s="14"/>
      <c r="M9" s="1"/>
      <c r="O9" s="1">
        <v>3</v>
      </c>
      <c r="P9" s="1">
        <f>'표준점수 등급컷 입력기능'!K6</f>
        <v>59</v>
      </c>
    </row>
    <row r="10" spans="1:16" ht="25" customHeight="1" x14ac:dyDescent="0.45">
      <c r="A10" s="4"/>
      <c r="B10" s="13"/>
      <c r="C10" s="161">
        <v>47</v>
      </c>
      <c r="D10" s="308"/>
      <c r="E10" s="308"/>
      <c r="F10" s="310"/>
      <c r="G10" s="312"/>
      <c r="H10" s="314"/>
      <c r="I10" s="316"/>
      <c r="J10" s="318"/>
      <c r="K10" s="14"/>
      <c r="M10" s="1"/>
      <c r="O10" s="1">
        <v>4</v>
      </c>
      <c r="P10" s="1">
        <f>'표준점수 등급컷 입력기능'!K7</f>
        <v>52</v>
      </c>
    </row>
    <row r="11" spans="1:16" ht="25" customHeight="1" x14ac:dyDescent="0.45">
      <c r="A11" s="4"/>
      <c r="B11" s="13"/>
      <c r="C11" s="154">
        <v>46</v>
      </c>
      <c r="D11" s="155">
        <f t="shared" ref="D11:D55" si="1">ROUND(10*(C11-$H$3)/$H$4+50,0)</f>
        <v>65</v>
      </c>
      <c r="E11" s="155">
        <f t="shared" si="0"/>
        <v>2</v>
      </c>
      <c r="F11" s="156">
        <f t="shared" ref="F11:F55" si="2">IF(I10=0,ROUND(100*(1-(I9+I11)/2/$J$3),0),ROUND(100*(1-(I10+I11)/2/$J$3),0))</f>
        <v>90</v>
      </c>
      <c r="G11" s="157">
        <f>IF(D11=D10,"",_xlfn.IFNA(VLOOKUP(D11,'202306'!$Q$5:$T$55,4,FALSE),0))</f>
        <v>391</v>
      </c>
      <c r="H11" s="158">
        <f t="shared" ref="H11:H55" si="3">G11/$J$3</f>
        <v>1.5472280479601124E-2</v>
      </c>
      <c r="I11" s="165">
        <f>SUM($G$7:G11)</f>
        <v>2744</v>
      </c>
      <c r="J11" s="160">
        <f t="shared" ref="J11:J55" si="4">I11/$J$3</f>
        <v>0.10858296070594753</v>
      </c>
      <c r="K11" s="14"/>
      <c r="M11" s="1"/>
      <c r="O11" s="1">
        <v>5</v>
      </c>
      <c r="P11" s="1">
        <f>'표준점수 등급컷 입력기능'!K8</f>
        <v>46</v>
      </c>
    </row>
    <row r="12" spans="1:16" ht="25" customHeight="1" x14ac:dyDescent="0.45">
      <c r="A12" s="4"/>
      <c r="B12" s="13"/>
      <c r="C12" s="161">
        <v>45</v>
      </c>
      <c r="D12" s="155">
        <f t="shared" si="1"/>
        <v>64</v>
      </c>
      <c r="E12" s="155">
        <f t="shared" si="0"/>
        <v>2</v>
      </c>
      <c r="F12" s="156">
        <f t="shared" si="2"/>
        <v>88</v>
      </c>
      <c r="G12" s="157">
        <f>IF(D12=D11,"",_xlfn.IFNA(VLOOKUP(D12,'202306'!$Q$5:$T$55,4,FALSE),0))</f>
        <v>611</v>
      </c>
      <c r="H12" s="158">
        <f t="shared" si="3"/>
        <v>2.4177911439990502E-2</v>
      </c>
      <c r="I12" s="165">
        <f>SUM($G$7:G12)</f>
        <v>3355</v>
      </c>
      <c r="J12" s="160">
        <f t="shared" si="4"/>
        <v>0.13276087214593804</v>
      </c>
      <c r="K12" s="14"/>
      <c r="M12" s="1"/>
      <c r="O12" s="1">
        <v>6</v>
      </c>
      <c r="P12" s="1">
        <f>'표준점수 등급컷 입력기능'!K9</f>
        <v>41</v>
      </c>
    </row>
    <row r="13" spans="1:16" ht="25" customHeight="1" x14ac:dyDescent="0.45">
      <c r="A13" s="4"/>
      <c r="B13" s="13"/>
      <c r="C13" s="154">
        <v>44</v>
      </c>
      <c r="D13" s="307">
        <f t="shared" si="1"/>
        <v>63</v>
      </c>
      <c r="E13" s="307">
        <f t="shared" si="0"/>
        <v>3</v>
      </c>
      <c r="F13" s="309">
        <f t="shared" si="2"/>
        <v>85</v>
      </c>
      <c r="G13" s="311">
        <f>IF(D13=D12,"",_xlfn.IFNA(VLOOKUP(D13,'202306'!$Q$5:$T$55,4,FALSE),0))</f>
        <v>796</v>
      </c>
      <c r="H13" s="313">
        <f t="shared" si="3"/>
        <v>3.1498555656681575E-2</v>
      </c>
      <c r="I13" s="315">
        <f>SUM($G$7:G13)</f>
        <v>4151</v>
      </c>
      <c r="J13" s="317">
        <f t="shared" si="4"/>
        <v>0.1642594278026196</v>
      </c>
      <c r="K13" s="14"/>
      <c r="M13" s="1"/>
      <c r="O13" s="1">
        <v>7</v>
      </c>
      <c r="P13" s="1">
        <f>'표준점수 등급컷 입력기능'!K10</f>
        <v>38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입력기능'!K11</f>
        <v>35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62</v>
      </c>
      <c r="E15" s="155">
        <f t="shared" si="0"/>
        <v>3</v>
      </c>
      <c r="F15" s="156">
        <f t="shared" si="2"/>
        <v>83</v>
      </c>
      <c r="G15" s="157">
        <f>IF(D15=D14,"",_xlfn.IFNA(VLOOKUP(D15,'202306'!$Q$5:$T$55,4,FALSE),0))</f>
        <v>393</v>
      </c>
      <c r="H15" s="158">
        <f t="shared" si="3"/>
        <v>1.5551422579241027E-2</v>
      </c>
      <c r="I15" s="165">
        <f>SUM($G$7:G15)</f>
        <v>4544</v>
      </c>
      <c r="J15" s="160">
        <f t="shared" si="4"/>
        <v>0.17981085038186062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61</v>
      </c>
      <c r="E16" s="155">
        <f t="shared" si="0"/>
        <v>3</v>
      </c>
      <c r="F16" s="156">
        <f t="shared" si="2"/>
        <v>81</v>
      </c>
      <c r="G16" s="157">
        <f>IF(D16=D15,"",_xlfn.IFNA(VLOOKUP(D16,'202306'!$Q$5:$T$55,4,FALSE),0))</f>
        <v>368</v>
      </c>
      <c r="H16" s="158">
        <f t="shared" si="3"/>
        <v>1.4562146333742235E-2</v>
      </c>
      <c r="I16" s="165">
        <f>SUM($G$7:G16)</f>
        <v>4912</v>
      </c>
      <c r="J16" s="160">
        <f t="shared" si="4"/>
        <v>0.19437299671560287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60</v>
      </c>
      <c r="E17" s="155">
        <f t="shared" si="0"/>
        <v>3</v>
      </c>
      <c r="F17" s="156">
        <f t="shared" si="2"/>
        <v>79</v>
      </c>
      <c r="G17" s="157">
        <f>IF(D17=D16,"",_xlfn.IFNA(VLOOKUP(D17,'202306'!$Q$5:$T$55,4,FALSE),0))</f>
        <v>558</v>
      </c>
      <c r="H17" s="158">
        <f t="shared" si="3"/>
        <v>2.2080645799533061E-2</v>
      </c>
      <c r="I17" s="165">
        <f>SUM($G$7:G17)</f>
        <v>5470</v>
      </c>
      <c r="J17" s="160">
        <f t="shared" si="4"/>
        <v>0.21645364251513594</v>
      </c>
      <c r="K17" s="14"/>
      <c r="M17" s="1"/>
      <c r="P17" s="1">
        <f>H3*H4*J3*P7*IFERROR(IF(J57=1, 1, 0), 0)</f>
        <v>595460047.36319995</v>
      </c>
    </row>
    <row r="18" spans="1:16" ht="25" customHeight="1" x14ac:dyDescent="0.45">
      <c r="A18" s="4"/>
      <c r="B18" s="13"/>
      <c r="C18" s="161">
        <v>39</v>
      </c>
      <c r="D18" s="307">
        <f t="shared" si="1"/>
        <v>59</v>
      </c>
      <c r="E18" s="307">
        <f t="shared" si="0"/>
        <v>3</v>
      </c>
      <c r="F18" s="309">
        <f t="shared" si="2"/>
        <v>77</v>
      </c>
      <c r="G18" s="311">
        <f>IF(D18=D17,"",_xlfn.IFNA(VLOOKUP(D18,'202306'!$Q$5:$T$55,4,FALSE),0))</f>
        <v>804</v>
      </c>
      <c r="H18" s="313">
        <f t="shared" si="3"/>
        <v>3.1815124055241187E-2</v>
      </c>
      <c r="I18" s="315">
        <f>SUM($G$7:G18)</f>
        <v>6274</v>
      </c>
      <c r="J18" s="317">
        <f t="shared" si="4"/>
        <v>0.24826876657037711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308"/>
      <c r="E19" s="308"/>
      <c r="F19" s="310"/>
      <c r="G19" s="312"/>
      <c r="H19" s="314"/>
      <c r="I19" s="316"/>
      <c r="J19" s="318"/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58</v>
      </c>
      <c r="E20" s="155">
        <f t="shared" si="0"/>
        <v>4</v>
      </c>
      <c r="F20" s="156">
        <f t="shared" si="2"/>
        <v>74</v>
      </c>
      <c r="G20" s="157">
        <f>IF(D20=D19,"",_xlfn.IFNA(VLOOKUP(D20,'202306'!$Q$5:$T$55,4,FALSE),0))</f>
        <v>461</v>
      </c>
      <c r="H20" s="158">
        <f t="shared" si="3"/>
        <v>1.8242253966997746E-2</v>
      </c>
      <c r="I20" s="165">
        <f>SUM($G$7:G20)</f>
        <v>6735</v>
      </c>
      <c r="J20" s="160">
        <f t="shared" si="4"/>
        <v>0.26651102053737485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57</v>
      </c>
      <c r="E21" s="176">
        <f t="shared" si="0"/>
        <v>4</v>
      </c>
      <c r="F21" s="156">
        <f t="shared" si="2"/>
        <v>73</v>
      </c>
      <c r="G21" s="157">
        <f>IF(D21=D20,"",_xlfn.IFNA(VLOOKUP(D21,'202306'!$Q$5:$T$55,4,FALSE),0))</f>
        <v>406</v>
      </c>
      <c r="H21" s="158">
        <f t="shared" si="3"/>
        <v>1.6065846226900399E-2</v>
      </c>
      <c r="I21" s="165">
        <f>SUM($G$7:G21)</f>
        <v>7141</v>
      </c>
      <c r="J21" s="160">
        <f t="shared" si="4"/>
        <v>0.28257686676427524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19">
        <f t="shared" si="1"/>
        <v>56</v>
      </c>
      <c r="E22" s="319">
        <f t="shared" si="0"/>
        <v>4</v>
      </c>
      <c r="F22" s="309">
        <f t="shared" si="2"/>
        <v>70</v>
      </c>
      <c r="G22" s="311">
        <f>IF(D22=D21,"",_xlfn.IFNA(VLOOKUP(D22,'202306'!$Q$5:$T$55,4,FALSE),0))</f>
        <v>1056</v>
      </c>
      <c r="H22" s="313">
        <f t="shared" si="3"/>
        <v>4.178702860986902E-2</v>
      </c>
      <c r="I22" s="315">
        <f>SUM($G$7:G22)</f>
        <v>8197</v>
      </c>
      <c r="J22" s="317">
        <f t="shared" si="4"/>
        <v>0.32436389537414428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20"/>
      <c r="E23" s="320"/>
      <c r="F23" s="310"/>
      <c r="G23" s="312"/>
      <c r="H23" s="314"/>
      <c r="I23" s="316"/>
      <c r="J23" s="318"/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55</v>
      </c>
      <c r="E24" s="176">
        <f t="shared" si="0"/>
        <v>4</v>
      </c>
      <c r="F24" s="156">
        <f t="shared" si="2"/>
        <v>67</v>
      </c>
      <c r="G24" s="157">
        <f>IF(D24=D23,"",_xlfn.IFNA(VLOOKUP(D24,'202306'!$Q$5:$T$55,4,FALSE),0))</f>
        <v>463</v>
      </c>
      <c r="H24" s="158">
        <f t="shared" si="3"/>
        <v>1.8321396066637647E-2</v>
      </c>
      <c r="I24" s="165">
        <f>SUM($G$7:G24)</f>
        <v>8660</v>
      </c>
      <c r="J24" s="160">
        <f t="shared" si="4"/>
        <v>0.34268529144078191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54</v>
      </c>
      <c r="E25" s="176">
        <f t="shared" si="0"/>
        <v>4</v>
      </c>
      <c r="F25" s="156">
        <f t="shared" si="2"/>
        <v>65</v>
      </c>
      <c r="G25" s="157">
        <f>IF(D25=D24,"",_xlfn.IFNA(VLOOKUP(D25,'202306'!$Q$5:$T$55,4,FALSE),0))</f>
        <v>552</v>
      </c>
      <c r="H25" s="158">
        <f t="shared" si="3"/>
        <v>2.184321950061335E-2</v>
      </c>
      <c r="I25" s="165">
        <f>SUM($G$7:G25)</f>
        <v>9212</v>
      </c>
      <c r="J25" s="160">
        <f t="shared" si="4"/>
        <v>0.36452851094139527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53</v>
      </c>
      <c r="E26" s="176">
        <f t="shared" si="0"/>
        <v>4</v>
      </c>
      <c r="F26" s="156">
        <f t="shared" si="2"/>
        <v>63</v>
      </c>
      <c r="G26" s="157">
        <f>IF(D26=D25,"",_xlfn.IFNA(VLOOKUP(D26,'202306'!$Q$5:$T$55,4,FALSE),0))</f>
        <v>475</v>
      </c>
      <c r="H26" s="158">
        <f t="shared" si="3"/>
        <v>1.8796248664477069E-2</v>
      </c>
      <c r="I26" s="165">
        <f>SUM($G$7:G26)</f>
        <v>9687</v>
      </c>
      <c r="J26" s="160">
        <f t="shared" si="4"/>
        <v>0.38332475960587237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19">
        <f t="shared" si="1"/>
        <v>52</v>
      </c>
      <c r="E27" s="319">
        <f t="shared" si="0"/>
        <v>4</v>
      </c>
      <c r="F27" s="309">
        <f t="shared" si="2"/>
        <v>59</v>
      </c>
      <c r="G27" s="311">
        <f>IF(D27=D26,"",_xlfn.IFNA(VLOOKUP(D27,'202306'!$Q$5:$T$55,4,FALSE),0))</f>
        <v>1222</v>
      </c>
      <c r="H27" s="313">
        <f t="shared" si="3"/>
        <v>4.8355822879981004E-2</v>
      </c>
      <c r="I27" s="315">
        <f>SUM($G$7:G27)</f>
        <v>10909</v>
      </c>
      <c r="J27" s="317">
        <f t="shared" si="4"/>
        <v>0.43168058248585334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320"/>
      <c r="E28" s="320"/>
      <c r="F28" s="310"/>
      <c r="G28" s="312"/>
      <c r="H28" s="314"/>
      <c r="I28" s="316"/>
      <c r="J28" s="318"/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51</v>
      </c>
      <c r="E29" s="176">
        <f t="shared" si="0"/>
        <v>5</v>
      </c>
      <c r="F29" s="156">
        <f t="shared" si="2"/>
        <v>56</v>
      </c>
      <c r="G29" s="157">
        <f>IF(D29=D28,"",_xlfn.IFNA(VLOOKUP(D29,'202306'!$Q$5:$T$55,4,FALSE),0))</f>
        <v>535</v>
      </c>
      <c r="H29" s="158">
        <f t="shared" si="3"/>
        <v>2.1170511653674173E-2</v>
      </c>
      <c r="I29" s="165">
        <f>SUM($G$7:G29)</f>
        <v>11444</v>
      </c>
      <c r="J29" s="160">
        <f t="shared" si="4"/>
        <v>0.45285109413952751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50</v>
      </c>
      <c r="E30" s="176">
        <f t="shared" si="0"/>
        <v>5</v>
      </c>
      <c r="F30" s="156">
        <f t="shared" si="2"/>
        <v>53</v>
      </c>
      <c r="G30" s="157">
        <f>IF(D30=D29,"",_xlfn.IFNA(VLOOKUP(D30,'202306'!$Q$5:$T$55,4,FALSE),0))</f>
        <v>702</v>
      </c>
      <c r="H30" s="158">
        <f t="shared" si="3"/>
        <v>2.777887697360611E-2</v>
      </c>
      <c r="I30" s="165">
        <f>SUM($G$7:G30)</f>
        <v>12146</v>
      </c>
      <c r="J30" s="160">
        <f t="shared" si="4"/>
        <v>0.48062997111313366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19">
        <f t="shared" si="1"/>
        <v>49</v>
      </c>
      <c r="E31" s="319">
        <f t="shared" si="0"/>
        <v>5</v>
      </c>
      <c r="F31" s="309">
        <f t="shared" si="2"/>
        <v>49</v>
      </c>
      <c r="G31" s="311">
        <f>IF(D31=D30,"",_xlfn.IFNA(VLOOKUP(D31,'202306'!$Q$5:$T$55,4,FALSE),0))</f>
        <v>1240</v>
      </c>
      <c r="H31" s="313">
        <f t="shared" si="3"/>
        <v>4.906810177674014E-2</v>
      </c>
      <c r="I31" s="315">
        <f>SUM($G$7:G31)</f>
        <v>13386</v>
      </c>
      <c r="J31" s="317">
        <f t="shared" si="4"/>
        <v>0.52969807288987381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20"/>
      <c r="E32" s="320"/>
      <c r="F32" s="310"/>
      <c r="G32" s="312"/>
      <c r="H32" s="314"/>
      <c r="I32" s="316"/>
      <c r="J32" s="318"/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48</v>
      </c>
      <c r="E33" s="176">
        <f t="shared" si="0"/>
        <v>5</v>
      </c>
      <c r="F33" s="156">
        <f t="shared" si="2"/>
        <v>46</v>
      </c>
      <c r="G33" s="157">
        <f>IF(D33=D32,"",_xlfn.IFNA(VLOOKUP(D33,'202306'!$Q$5:$T$55,4,FALSE),0))</f>
        <v>677</v>
      </c>
      <c r="H33" s="158">
        <f t="shared" si="3"/>
        <v>2.6789600728107318E-2</v>
      </c>
      <c r="I33" s="165">
        <f>SUM($G$7:G33)</f>
        <v>14063</v>
      </c>
      <c r="J33" s="160">
        <f t="shared" si="4"/>
        <v>0.55648767361798113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47</v>
      </c>
      <c r="E34" s="176">
        <f t="shared" si="0"/>
        <v>5</v>
      </c>
      <c r="F34" s="156">
        <f t="shared" si="2"/>
        <v>43</v>
      </c>
      <c r="G34" s="157">
        <f>IF(D34=D33,"",_xlfn.IFNA(VLOOKUP(D34,'202306'!$Q$5:$T$55,4,FALSE),0))</f>
        <v>570</v>
      </c>
      <c r="H34" s="158">
        <f t="shared" si="3"/>
        <v>2.2555498397372482E-2</v>
      </c>
      <c r="I34" s="165">
        <f>SUM($G$7:G34)</f>
        <v>14633</v>
      </c>
      <c r="J34" s="160">
        <f t="shared" si="4"/>
        <v>0.5790431720153536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46</v>
      </c>
      <c r="E35" s="176">
        <f t="shared" si="0"/>
        <v>5</v>
      </c>
      <c r="F35" s="156">
        <f t="shared" si="2"/>
        <v>41</v>
      </c>
      <c r="G35" s="157">
        <f>IF(D35=D34,"",_xlfn.IFNA(VLOOKUP(D35,'202306'!$Q$5:$T$55,4,FALSE),0))</f>
        <v>673</v>
      </c>
      <c r="H35" s="158">
        <f t="shared" si="3"/>
        <v>2.6631316528827508E-2</v>
      </c>
      <c r="I35" s="165">
        <f>SUM($G$7:G35)</f>
        <v>15306</v>
      </c>
      <c r="J35" s="160">
        <f t="shared" si="4"/>
        <v>0.60567448854418104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19">
        <f t="shared" si="1"/>
        <v>45</v>
      </c>
      <c r="E36" s="319">
        <f t="shared" si="0"/>
        <v>6</v>
      </c>
      <c r="F36" s="309">
        <f t="shared" si="2"/>
        <v>37</v>
      </c>
      <c r="G36" s="311">
        <f>IF(D36=D35,"",_xlfn.IFNA(VLOOKUP(D36,'202306'!$Q$5:$T$55,4,FALSE),0))</f>
        <v>1236</v>
      </c>
      <c r="H36" s="313">
        <f t="shared" si="3"/>
        <v>4.8909817577460331E-2</v>
      </c>
      <c r="I36" s="315">
        <f>SUM($G$7:G36)</f>
        <v>16542</v>
      </c>
      <c r="J36" s="317">
        <f t="shared" si="4"/>
        <v>0.65458430612164142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20"/>
      <c r="E37" s="320"/>
      <c r="F37" s="310"/>
      <c r="G37" s="312"/>
      <c r="H37" s="314"/>
      <c r="I37" s="316"/>
      <c r="J37" s="318"/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44</v>
      </c>
      <c r="E38" s="176">
        <f t="shared" si="0"/>
        <v>6</v>
      </c>
      <c r="F38" s="156">
        <f t="shared" si="2"/>
        <v>33</v>
      </c>
      <c r="G38" s="157">
        <f>IF(D38=D37,"",_xlfn.IFNA(VLOOKUP(D38,'202306'!$Q$5:$T$55,4,FALSE),0))</f>
        <v>699</v>
      </c>
      <c r="H38" s="158">
        <f t="shared" si="3"/>
        <v>2.7660163824146256E-2</v>
      </c>
      <c r="I38" s="165">
        <f>SUM($G$7:G38)</f>
        <v>17241</v>
      </c>
      <c r="J38" s="160">
        <f t="shared" si="4"/>
        <v>0.68224446994578769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43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156">
        <f t="shared" si="2"/>
        <v>31</v>
      </c>
      <c r="G39" s="157">
        <f>IF(D39=D38,"",_xlfn.IFNA(VLOOKUP(D39,'202306'!$Q$5:$T$55,4,FALSE),0))</f>
        <v>580</v>
      </c>
      <c r="H39" s="158">
        <f t="shared" si="3"/>
        <v>2.2951208895571999E-2</v>
      </c>
      <c r="I39" s="165">
        <f>SUM($G$7:G39)</f>
        <v>17821</v>
      </c>
      <c r="J39" s="160">
        <f t="shared" si="4"/>
        <v>0.7051956788413597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19">
        <f t="shared" si="1"/>
        <v>42</v>
      </c>
      <c r="E40" s="319">
        <f t="shared" si="5"/>
        <v>6</v>
      </c>
      <c r="F40" s="309">
        <f t="shared" si="2"/>
        <v>27</v>
      </c>
      <c r="G40" s="311">
        <f>IF(D40=D39,"",_xlfn.IFNA(VLOOKUP(D40,'202306'!$Q$5:$T$55,4,FALSE),0))</f>
        <v>1259</v>
      </c>
      <c r="H40" s="313">
        <f t="shared" si="3"/>
        <v>4.9819951723319218E-2</v>
      </c>
      <c r="I40" s="315">
        <f>SUM($G$7:G40)</f>
        <v>19080</v>
      </c>
      <c r="J40" s="317">
        <f t="shared" si="4"/>
        <v>0.75501563056467891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20"/>
      <c r="E41" s="320"/>
      <c r="F41" s="310"/>
      <c r="G41" s="312"/>
      <c r="H41" s="314"/>
      <c r="I41" s="316"/>
      <c r="J41" s="318"/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41</v>
      </c>
      <c r="E42" s="176">
        <f t="shared" si="5"/>
        <v>6</v>
      </c>
      <c r="F42" s="156">
        <f t="shared" si="2"/>
        <v>23</v>
      </c>
      <c r="G42" s="157">
        <f>IF(D42=D41,"",_xlfn.IFNA(VLOOKUP(D42,'202306'!$Q$5:$T$55,4,FALSE),0))</f>
        <v>591</v>
      </c>
      <c r="H42" s="158">
        <f t="shared" si="3"/>
        <v>2.3386490443591468E-2</v>
      </c>
      <c r="I42" s="165">
        <f>SUM($G$7:G42)</f>
        <v>19671</v>
      </c>
      <c r="J42" s="160">
        <f t="shared" si="4"/>
        <v>0.77840212100827033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40</v>
      </c>
      <c r="E43" s="176">
        <f t="shared" si="5"/>
        <v>7</v>
      </c>
      <c r="F43" s="156">
        <f t="shared" si="2"/>
        <v>21</v>
      </c>
      <c r="G43" s="157">
        <f>IF(D43=D42,"",_xlfn.IFNA(VLOOKUP(D43,'202306'!$Q$5:$T$55,4,FALSE),0))</f>
        <v>707</v>
      </c>
      <c r="H43" s="158">
        <f t="shared" si="3"/>
        <v>2.7976732222705868E-2</v>
      </c>
      <c r="I43" s="165">
        <f>SUM($G$7:G43)</f>
        <v>20378</v>
      </c>
      <c r="J43" s="160">
        <f t="shared" si="4"/>
        <v>0.80637885323097624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39</v>
      </c>
      <c r="E44" s="319">
        <f t="shared" si="5"/>
        <v>7</v>
      </c>
      <c r="F44" s="309">
        <f t="shared" si="2"/>
        <v>17</v>
      </c>
      <c r="G44" s="311">
        <f>IF(D44=D43,"",_xlfn.IFNA(VLOOKUP(D44,'202306'!$Q$5:$T$55,4,FALSE),0))</f>
        <v>1129</v>
      </c>
      <c r="H44" s="313">
        <f t="shared" si="3"/>
        <v>4.4675715246725499E-2</v>
      </c>
      <c r="I44" s="315">
        <f>SUM($G$7:G44)</f>
        <v>21507</v>
      </c>
      <c r="J44" s="317">
        <f t="shared" si="4"/>
        <v>0.85105456847770167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38</v>
      </c>
      <c r="E46" s="176">
        <f t="shared" si="5"/>
        <v>7</v>
      </c>
      <c r="F46" s="156">
        <f t="shared" si="2"/>
        <v>13</v>
      </c>
      <c r="G46" s="157">
        <f>IF(D46=D45,"",_xlfn.IFNA(VLOOKUP(D46,'202306'!$Q$5:$T$55,4,FALSE),0))</f>
        <v>1027</v>
      </c>
      <c r="H46" s="158">
        <f t="shared" si="3"/>
        <v>4.0639468165090419E-2</v>
      </c>
      <c r="I46" s="165">
        <f>SUM($G$7:G46)</f>
        <v>22534</v>
      </c>
      <c r="J46" s="160">
        <f t="shared" si="4"/>
        <v>0.89169403664279212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37</v>
      </c>
      <c r="E47" s="176">
        <f t="shared" si="5"/>
        <v>8</v>
      </c>
      <c r="F47" s="156">
        <f t="shared" si="2"/>
        <v>8</v>
      </c>
      <c r="G47" s="157">
        <f>IF(D47=D46,"",_xlfn.IFNA(VLOOKUP(D47,'202306'!$Q$5:$T$55,4,FALSE),0))</f>
        <v>1241</v>
      </c>
      <c r="H47" s="158">
        <f t="shared" si="3"/>
        <v>4.9107672826560089E-2</v>
      </c>
      <c r="I47" s="165">
        <f>SUM($G$7:G47)</f>
        <v>23775</v>
      </c>
      <c r="J47" s="160">
        <f t="shared" si="4"/>
        <v>0.94080170946935227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36</v>
      </c>
      <c r="E48" s="176">
        <f t="shared" si="5"/>
        <v>8</v>
      </c>
      <c r="F48" s="156">
        <f t="shared" si="2"/>
        <v>5</v>
      </c>
      <c r="G48" s="157">
        <f>IF(D48=D47,"",_xlfn.IFNA(VLOOKUP(D48,'202306'!$Q$5:$T$55,4,FALSE),0))</f>
        <v>374</v>
      </c>
      <c r="H48" s="158">
        <f t="shared" si="3"/>
        <v>1.4799572632661944E-2</v>
      </c>
      <c r="I48" s="165">
        <f>SUM($G$7:G48)</f>
        <v>24149</v>
      </c>
      <c r="J48" s="160">
        <f t="shared" si="4"/>
        <v>0.95560128210201412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19">
        <f t="shared" si="1"/>
        <v>35</v>
      </c>
      <c r="E49" s="319">
        <f t="shared" si="5"/>
        <v>8</v>
      </c>
      <c r="F49" s="309">
        <f t="shared" si="2"/>
        <v>3</v>
      </c>
      <c r="G49" s="311">
        <f>IF(D49=D48,"",_xlfn.IFNA(VLOOKUP(D49,'202306'!$Q$5:$T$55,4,FALSE),0))</f>
        <v>672</v>
      </c>
      <c r="H49" s="313">
        <f t="shared" si="3"/>
        <v>2.6591745479007559E-2</v>
      </c>
      <c r="I49" s="315">
        <f>SUM($G$7:G49)</f>
        <v>24821</v>
      </c>
      <c r="J49" s="317">
        <f t="shared" si="4"/>
        <v>0.98219302758102167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320"/>
      <c r="E50" s="320"/>
      <c r="F50" s="310"/>
      <c r="G50" s="312"/>
      <c r="H50" s="314"/>
      <c r="I50" s="316"/>
      <c r="J50" s="318"/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34</v>
      </c>
      <c r="E51" s="176">
        <f t="shared" si="5"/>
        <v>9</v>
      </c>
      <c r="F51" s="156">
        <f t="shared" si="2"/>
        <v>2</v>
      </c>
      <c r="G51" s="157">
        <f>IF(D51=D50,"",_xlfn.IFNA(VLOOKUP(D51,'202306'!$Q$5:$T$55,4,FALSE),0))</f>
        <v>136</v>
      </c>
      <c r="H51" s="158">
        <f t="shared" si="3"/>
        <v>5.3816627755134345E-3</v>
      </c>
      <c r="I51" s="165">
        <f>SUM($G$7:G51)</f>
        <v>24957</v>
      </c>
      <c r="J51" s="160">
        <f t="shared" si="4"/>
        <v>0.98757469035653511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33</v>
      </c>
      <c r="E52" s="176">
        <f t="shared" si="5"/>
        <v>9</v>
      </c>
      <c r="F52" s="156">
        <f t="shared" si="2"/>
        <v>1</v>
      </c>
      <c r="G52" s="157">
        <f>IF(D52=D51,"",_xlfn.IFNA(VLOOKUP(D52,'202306'!$Q$5:$T$55,4,FALSE),0))</f>
        <v>119</v>
      </c>
      <c r="H52" s="158">
        <f t="shared" si="3"/>
        <v>4.7089549285742553E-3</v>
      </c>
      <c r="I52" s="165">
        <f>SUM($G$7:G52)</f>
        <v>25076</v>
      </c>
      <c r="J52" s="160">
        <f t="shared" si="4"/>
        <v>0.99228364528510937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07">
        <f t="shared" si="1"/>
        <v>32</v>
      </c>
      <c r="E53" s="307">
        <f t="shared" si="5"/>
        <v>9</v>
      </c>
      <c r="F53" s="309">
        <f t="shared" si="2"/>
        <v>1</v>
      </c>
      <c r="G53" s="311">
        <f>IF(D53=D52,"",_xlfn.IFNA(VLOOKUP(D53,'202306'!$Q$5:$T$55,4,FALSE),0))</f>
        <v>119</v>
      </c>
      <c r="H53" s="313">
        <f t="shared" si="3"/>
        <v>4.7089549285742553E-3</v>
      </c>
      <c r="I53" s="315">
        <f>SUM($G$7:G53)</f>
        <v>25195</v>
      </c>
      <c r="J53" s="317">
        <f t="shared" si="4"/>
        <v>0.99699260021368363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308"/>
      <c r="E54" s="308"/>
      <c r="F54" s="310"/>
      <c r="G54" s="312"/>
      <c r="H54" s="314"/>
      <c r="I54" s="316"/>
      <c r="J54" s="318"/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31</v>
      </c>
      <c r="E55" s="155">
        <f t="shared" si="5"/>
        <v>9</v>
      </c>
      <c r="F55" s="156">
        <f t="shared" si="2"/>
        <v>0</v>
      </c>
      <c r="G55" s="157">
        <f>IF(D55=D54,"",_xlfn.IFNA(VLOOKUP(D55,'202306'!$Q$5:$T$55,4,FALSE),0))</f>
        <v>66</v>
      </c>
      <c r="H55" s="158">
        <f t="shared" si="3"/>
        <v>2.6116892881168138E-3</v>
      </c>
      <c r="I55" s="165">
        <f>SUM($G$7:G55)</f>
        <v>25261</v>
      </c>
      <c r="J55" s="160">
        <f t="shared" si="4"/>
        <v>0.99960428950180047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29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_xlfn.IFNA(VLOOKUP(D57,'202306'!$Q$5:$T$55,4,FALSE),0)</f>
        <v>10</v>
      </c>
      <c r="H57" s="173">
        <f>G57/J3</f>
        <v>3.9571049819951725E-4</v>
      </c>
      <c r="I57" s="174">
        <f>SUM($G$7:G57)</f>
        <v>25271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81">
    <mergeCell ref="I49:I50"/>
    <mergeCell ref="J49:J50"/>
    <mergeCell ref="D53:D54"/>
    <mergeCell ref="E53:E54"/>
    <mergeCell ref="F53:F54"/>
    <mergeCell ref="G53:G54"/>
    <mergeCell ref="H53:H54"/>
    <mergeCell ref="I53:I54"/>
    <mergeCell ref="J53:J54"/>
    <mergeCell ref="D49:D50"/>
    <mergeCell ref="E49:E50"/>
    <mergeCell ref="F49:F50"/>
    <mergeCell ref="G49:G50"/>
    <mergeCell ref="H49:H50"/>
    <mergeCell ref="I40:I41"/>
    <mergeCell ref="J40:J41"/>
    <mergeCell ref="D44:D45"/>
    <mergeCell ref="E44:E45"/>
    <mergeCell ref="F44:F45"/>
    <mergeCell ref="G44:G45"/>
    <mergeCell ref="H44:H45"/>
    <mergeCell ref="I44:I45"/>
    <mergeCell ref="J44:J45"/>
    <mergeCell ref="D40:D41"/>
    <mergeCell ref="E40:E41"/>
    <mergeCell ref="F40:F41"/>
    <mergeCell ref="G40:G41"/>
    <mergeCell ref="H40:H41"/>
    <mergeCell ref="I31:I32"/>
    <mergeCell ref="J31:J32"/>
    <mergeCell ref="D36:D37"/>
    <mergeCell ref="E36:E37"/>
    <mergeCell ref="F36:F37"/>
    <mergeCell ref="G36:G37"/>
    <mergeCell ref="H36:H37"/>
    <mergeCell ref="I36:I37"/>
    <mergeCell ref="J36:J37"/>
    <mergeCell ref="D31:D32"/>
    <mergeCell ref="E31:E32"/>
    <mergeCell ref="F31:F32"/>
    <mergeCell ref="G31:G32"/>
    <mergeCell ref="H31:H32"/>
    <mergeCell ref="I22:I23"/>
    <mergeCell ref="J22:J23"/>
    <mergeCell ref="D27:D28"/>
    <mergeCell ref="E27:E28"/>
    <mergeCell ref="F27:F28"/>
    <mergeCell ref="G27:G28"/>
    <mergeCell ref="H27:H28"/>
    <mergeCell ref="I27:I28"/>
    <mergeCell ref="J27:J28"/>
    <mergeCell ref="D22:D23"/>
    <mergeCell ref="E22:E23"/>
    <mergeCell ref="F22:F23"/>
    <mergeCell ref="G22:G23"/>
    <mergeCell ref="H22:H23"/>
    <mergeCell ref="I13:I14"/>
    <mergeCell ref="J13:J14"/>
    <mergeCell ref="D18:D19"/>
    <mergeCell ref="E18:E19"/>
    <mergeCell ref="F18:F19"/>
    <mergeCell ref="G18:G19"/>
    <mergeCell ref="H18:H19"/>
    <mergeCell ref="I18:I19"/>
    <mergeCell ref="J18:J19"/>
    <mergeCell ref="D3:F3"/>
    <mergeCell ref="D4:F4"/>
    <mergeCell ref="D56:J56"/>
    <mergeCell ref="D8:J8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  <mergeCell ref="H13:H14"/>
  </mergeCells>
  <phoneticPr fontId="1" type="noConversion"/>
  <conditionalFormatting sqref="D7:J7 D57:J57 D9:J9 D11:J13 D15:J18 D20:J22 D24:J27 D29:J31 D33:J36 D38:J40 D42:J44 D46:J49 D51:J53 D55:J55">
    <cfRule type="expression" dxfId="139" priority="7">
      <formula>OR($D7=$P$7:$P$14)</formula>
    </cfRule>
  </conditionalFormatting>
  <conditionalFormatting sqref="C7:C57">
    <cfRule type="expression" dxfId="138" priority="6">
      <formula>OR(AND($D7=0,OR($D6=$P$7:$P$14)),AND($D8&gt;0,OR($D7=$P$7:$P$14)))</formula>
    </cfRule>
  </conditionalFormatting>
  <conditionalFormatting sqref="D7 D57 D9 D11:D13 D15:D18 D20:D22 D24:D27 D29:D31 D33:D36 D38:D40 D42:D44 D46:D49 D51:D53 D55">
    <cfRule type="expression" dxfId="137" priority="5">
      <formula>$D7=$D8</formula>
    </cfRule>
  </conditionalFormatting>
  <conditionalFormatting sqref="D56">
    <cfRule type="expression" dxfId="136" priority="4">
      <formula>OR($D56=$P$7:$P$14)</formula>
    </cfRule>
  </conditionalFormatting>
  <conditionalFormatting sqref="D56">
    <cfRule type="expression" dxfId="135" priority="3">
      <formula>$D56=$D57</formula>
    </cfRule>
  </conditionalFormatting>
  <conditionalFormatting sqref="D8">
    <cfRule type="expression" dxfId="134" priority="2">
      <formula>OR($D8=$P$7:$P$14)</formula>
    </cfRule>
  </conditionalFormatting>
  <conditionalFormatting sqref="D8">
    <cfRule type="expression" dxfId="133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2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기능'!D8</f>
        <v>24.71</v>
      </c>
      <c r="I3" s="10" t="s">
        <v>98</v>
      </c>
      <c r="J3" s="145">
        <f>'통계 및 응시자 수 입력 기능'!C8</f>
        <v>18847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118</v>
      </c>
      <c r="E4" s="302"/>
      <c r="F4" s="303"/>
      <c r="G4" s="147" t="s">
        <v>101</v>
      </c>
      <c r="H4" s="148">
        <f>'통계 및 응시자 수 입력 기능'!E8</f>
        <v>13.43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69</v>
      </c>
      <c r="E7" s="155">
        <f t="shared" ref="E7:E3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97</v>
      </c>
      <c r="G7" s="157">
        <f>_xlfn.IFNA(VLOOKUP(D7,'202306'!$V$5:$Y$55,4,FALSE),0)</f>
        <v>945</v>
      </c>
      <c r="H7" s="158">
        <f>G7/J3</f>
        <v>5.0140605931978562E-2</v>
      </c>
      <c r="I7" s="159">
        <f>G7</f>
        <v>945</v>
      </c>
      <c r="J7" s="160">
        <f>I7/J3</f>
        <v>5.0140605931978562E-2</v>
      </c>
      <c r="K7" s="14"/>
      <c r="M7" s="1"/>
      <c r="O7" s="1">
        <v>1</v>
      </c>
      <c r="P7" s="1">
        <f>'표준점수 등급컷 입력기능'!B16</f>
        <v>69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입력기능'!B17</f>
        <v>65</v>
      </c>
    </row>
    <row r="9" spans="1:16" ht="25" customHeight="1" x14ac:dyDescent="0.45">
      <c r="A9" s="4"/>
      <c r="B9" s="13"/>
      <c r="C9" s="154">
        <v>48</v>
      </c>
      <c r="D9" s="307">
        <f>ROUND(10*(C9-$H$3)/$H$4+50,0)</f>
        <v>67</v>
      </c>
      <c r="E9" s="307">
        <f t="shared" si="0"/>
        <v>2</v>
      </c>
      <c r="F9" s="309">
        <f>IF(I8=0,ROUND(100*(1-(I7+I9)/2/$J$3),0),ROUND(100*(1-(I8+I9)/2/$J$3),0))</f>
        <v>93</v>
      </c>
      <c r="G9" s="311">
        <f>_xlfn.IFNA(VLOOKUP(D9,'202306'!$V$5:$Y$55,4,FALSE),0)</f>
        <v>822</v>
      </c>
      <c r="H9" s="313">
        <f>G9/$J$3</f>
        <v>4.3614368334482942E-2</v>
      </c>
      <c r="I9" s="315">
        <f>SUM($G$7:G9)</f>
        <v>1767</v>
      </c>
      <c r="J9" s="317">
        <f>I9/$J$3</f>
        <v>9.375497426646151E-2</v>
      </c>
      <c r="K9" s="14"/>
      <c r="M9" s="1"/>
      <c r="O9" s="1">
        <v>3</v>
      </c>
      <c r="P9" s="1">
        <f>'표준점수 등급컷 입력기능'!B18</f>
        <v>59</v>
      </c>
    </row>
    <row r="10" spans="1:16" ht="25" customHeight="1" x14ac:dyDescent="0.45">
      <c r="A10" s="4"/>
      <c r="B10" s="13"/>
      <c r="C10" s="161">
        <v>47</v>
      </c>
      <c r="D10" s="308"/>
      <c r="E10" s="308"/>
      <c r="F10" s="310"/>
      <c r="G10" s="312"/>
      <c r="H10" s="314"/>
      <c r="I10" s="316"/>
      <c r="J10" s="318"/>
      <c r="K10" s="14"/>
      <c r="M10" s="1"/>
      <c r="O10" s="1">
        <v>4</v>
      </c>
      <c r="P10" s="1">
        <f>'표준점수 등급컷 입력기능'!B19</f>
        <v>52</v>
      </c>
    </row>
    <row r="11" spans="1:16" ht="25" customHeight="1" x14ac:dyDescent="0.45">
      <c r="A11" s="4"/>
      <c r="B11" s="13"/>
      <c r="C11" s="154">
        <v>46</v>
      </c>
      <c r="D11" s="155">
        <f t="shared" ref="D11:D55" si="1">ROUND(10*(C11-$H$3)/$H$4+50,0)</f>
        <v>66</v>
      </c>
      <c r="E11" s="155">
        <f t="shared" si="0"/>
        <v>2</v>
      </c>
      <c r="F11" s="156">
        <f t="shared" ref="F11:F55" si="2">IF(I10=0,ROUND(100*(1-(I9+I11)/2/$J$3),0),ROUND(100*(1-(I10+I11)/2/$J$3),0))</f>
        <v>91</v>
      </c>
      <c r="G11" s="157">
        <f>IF(D11=D10,"",_xlfn.IFNA(VLOOKUP(D11,'202306'!$V$5:$Y$55,4,FALSE),0))</f>
        <v>46</v>
      </c>
      <c r="H11" s="158">
        <f t="shared" ref="H11:H55" si="3">G11/$J$3</f>
        <v>2.440706743778851E-3</v>
      </c>
      <c r="I11" s="165">
        <f>SUM($G$7:G11)</f>
        <v>1813</v>
      </c>
      <c r="J11" s="160">
        <f t="shared" ref="J11:J55" si="4">I11/$J$3</f>
        <v>9.6195681010240355E-2</v>
      </c>
      <c r="K11" s="14"/>
      <c r="M11" s="1"/>
      <c r="O11" s="1">
        <v>5</v>
      </c>
      <c r="P11" s="1">
        <f>'표준점수 등급컷 입력기능'!B20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65</v>
      </c>
      <c r="E12" s="155">
        <f t="shared" si="0"/>
        <v>2</v>
      </c>
      <c r="F12" s="156">
        <f t="shared" si="2"/>
        <v>89</v>
      </c>
      <c r="G12" s="157">
        <f>IF(D12=D11,"",_xlfn.IFNA(VLOOKUP(D12,'202306'!$V$5:$Y$55,4,FALSE),0))</f>
        <v>366</v>
      </c>
      <c r="H12" s="158">
        <f t="shared" si="3"/>
        <v>1.9419536265718681E-2</v>
      </c>
      <c r="I12" s="165">
        <f>SUM($G$7:G12)</f>
        <v>2179</v>
      </c>
      <c r="J12" s="160">
        <f t="shared" si="4"/>
        <v>0.11561521727595904</v>
      </c>
      <c r="K12" s="14"/>
      <c r="M12" s="1"/>
      <c r="O12" s="1">
        <v>6</v>
      </c>
      <c r="P12" s="1">
        <f>'표준점수 등급컷 입력기능'!B21</f>
        <v>41</v>
      </c>
    </row>
    <row r="13" spans="1:16" ht="25" customHeight="1" x14ac:dyDescent="0.45">
      <c r="A13" s="4"/>
      <c r="B13" s="13"/>
      <c r="C13" s="154">
        <v>44</v>
      </c>
      <c r="D13" s="307">
        <f t="shared" si="1"/>
        <v>64</v>
      </c>
      <c r="E13" s="307">
        <f t="shared" si="0"/>
        <v>3</v>
      </c>
      <c r="F13" s="309">
        <f t="shared" si="2"/>
        <v>87</v>
      </c>
      <c r="G13" s="311">
        <f>IF(D13=D12,"",_xlfn.IFNA(VLOOKUP(D13,'202306'!$V$5:$Y$55,4,FALSE),0))</f>
        <v>467</v>
      </c>
      <c r="H13" s="313">
        <f t="shared" si="3"/>
        <v>2.477847933358094E-2</v>
      </c>
      <c r="I13" s="315">
        <f>SUM($G$7:G13)</f>
        <v>2646</v>
      </c>
      <c r="J13" s="317">
        <f t="shared" si="4"/>
        <v>0.14039369660953999</v>
      </c>
      <c r="K13" s="14"/>
      <c r="M13" s="1"/>
      <c r="O13" s="1">
        <v>7</v>
      </c>
      <c r="P13" s="1">
        <f>'표준점수 등급컷 입력기능'!B22</f>
        <v>38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입력기능'!B23</f>
        <v>36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63</v>
      </c>
      <c r="E15" s="155">
        <f t="shared" si="0"/>
        <v>3</v>
      </c>
      <c r="F15" s="156">
        <f t="shared" si="2"/>
        <v>85</v>
      </c>
      <c r="G15" s="157">
        <f>IF(D15=D14,"",_xlfn.IFNA(VLOOKUP(D15,'202306'!$V$5:$Y$55,4,FALSE),0))</f>
        <v>366</v>
      </c>
      <c r="H15" s="158">
        <f t="shared" si="3"/>
        <v>1.9419536265718681E-2</v>
      </c>
      <c r="I15" s="165">
        <f>SUM($G$7:G15)</f>
        <v>3012</v>
      </c>
      <c r="J15" s="160">
        <f t="shared" si="4"/>
        <v>0.15981323287525867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62</v>
      </c>
      <c r="E16" s="155">
        <f t="shared" si="0"/>
        <v>3</v>
      </c>
      <c r="F16" s="156">
        <f t="shared" si="2"/>
        <v>83</v>
      </c>
      <c r="G16" s="157">
        <f>IF(D16=D15,"",_xlfn.IFNA(VLOOKUP(D16,'202306'!$V$5:$Y$55,4,FALSE),0))</f>
        <v>215</v>
      </c>
      <c r="H16" s="158">
        <f t="shared" si="3"/>
        <v>1.1407651085053323E-2</v>
      </c>
      <c r="I16" s="165">
        <f>SUM($G$7:G16)</f>
        <v>3227</v>
      </c>
      <c r="J16" s="160">
        <f t="shared" si="4"/>
        <v>0.17122088396031199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7">
        <f t="shared" si="1"/>
        <v>61</v>
      </c>
      <c r="E17" s="307">
        <f t="shared" si="0"/>
        <v>3</v>
      </c>
      <c r="F17" s="309">
        <f t="shared" si="2"/>
        <v>81</v>
      </c>
      <c r="G17" s="311">
        <f>IF(D17=D16,"",_xlfn.IFNA(VLOOKUP(D17,'202306'!$V$5:$Y$55,4,FALSE),0))</f>
        <v>627</v>
      </c>
      <c r="H17" s="313">
        <f t="shared" si="3"/>
        <v>3.3267894094550859E-2</v>
      </c>
      <c r="I17" s="315">
        <f>SUM($G$7:G17)</f>
        <v>3854</v>
      </c>
      <c r="J17" s="317">
        <f t="shared" si="4"/>
        <v>0.20448877805486285</v>
      </c>
      <c r="K17" s="14"/>
      <c r="M17" s="1"/>
      <c r="P17" s="1">
        <f>H3*H4*J3*P7*IFERROR(IF(J57=1, 1, 0), 0)</f>
        <v>431558901.89790004</v>
      </c>
    </row>
    <row r="18" spans="1:16" ht="25" customHeight="1" x14ac:dyDescent="0.45">
      <c r="A18" s="4"/>
      <c r="B18" s="13"/>
      <c r="C18" s="161">
        <v>39</v>
      </c>
      <c r="D18" s="308"/>
      <c r="E18" s="308"/>
      <c r="F18" s="310"/>
      <c r="G18" s="312"/>
      <c r="H18" s="314"/>
      <c r="I18" s="316"/>
      <c r="J18" s="318"/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60</v>
      </c>
      <c r="E19" s="155">
        <f t="shared" si="0"/>
        <v>3</v>
      </c>
      <c r="F19" s="156">
        <f t="shared" si="2"/>
        <v>79</v>
      </c>
      <c r="G19" s="157">
        <f>IF(D19=D18,"",_xlfn.IFNA(VLOOKUP(D19,'202306'!$V$5:$Y$55,4,FALSE),0))</f>
        <v>244</v>
      </c>
      <c r="H19" s="158">
        <f t="shared" si="3"/>
        <v>1.2946357510479121E-2</v>
      </c>
      <c r="I19" s="165">
        <f>SUM($G$7:G19)</f>
        <v>4098</v>
      </c>
      <c r="J19" s="160">
        <f t="shared" si="4"/>
        <v>0.21743513556534197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59</v>
      </c>
      <c r="E20" s="155">
        <f t="shared" si="0"/>
        <v>3</v>
      </c>
      <c r="F20" s="156">
        <f t="shared" si="2"/>
        <v>77</v>
      </c>
      <c r="G20" s="157">
        <f>IF(D20=D19,"",_xlfn.IFNA(VLOOKUP(D20,'202306'!$V$5:$Y$55,4,FALSE),0))</f>
        <v>336</v>
      </c>
      <c r="H20" s="158">
        <f t="shared" si="3"/>
        <v>1.7827770998036823E-2</v>
      </c>
      <c r="I20" s="165">
        <f>SUM($G$7:G20)</f>
        <v>4434</v>
      </c>
      <c r="J20" s="160">
        <f t="shared" si="4"/>
        <v>0.23526290656337878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319">
        <f t="shared" si="1"/>
        <v>58</v>
      </c>
      <c r="E21" s="319">
        <f t="shared" si="0"/>
        <v>4</v>
      </c>
      <c r="F21" s="309">
        <f t="shared" si="2"/>
        <v>75</v>
      </c>
      <c r="G21" s="311">
        <f>IF(D21=D20,"",_xlfn.IFNA(VLOOKUP(D21,'202306'!$V$5:$Y$55,4,FALSE),0))</f>
        <v>576</v>
      </c>
      <c r="H21" s="313">
        <f t="shared" si="3"/>
        <v>3.0561893139491696E-2</v>
      </c>
      <c r="I21" s="315">
        <f>SUM($G$7:G21)</f>
        <v>5010</v>
      </c>
      <c r="J21" s="317">
        <f t="shared" si="4"/>
        <v>0.26582479970287048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20"/>
      <c r="E22" s="320"/>
      <c r="F22" s="310"/>
      <c r="G22" s="312"/>
      <c r="H22" s="314"/>
      <c r="I22" s="316"/>
      <c r="J22" s="318"/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57</v>
      </c>
      <c r="E23" s="176">
        <f t="shared" si="0"/>
        <v>4</v>
      </c>
      <c r="F23" s="156">
        <f t="shared" si="2"/>
        <v>72</v>
      </c>
      <c r="G23" s="157">
        <f>IF(D23=D22,"",_xlfn.IFNA(VLOOKUP(D23,'202306'!$V$5:$Y$55,4,FALSE),0))</f>
        <v>373</v>
      </c>
      <c r="H23" s="158">
        <f t="shared" si="3"/>
        <v>1.9790948161511116E-2</v>
      </c>
      <c r="I23" s="165">
        <f>SUM($G$7:G23)</f>
        <v>5383</v>
      </c>
      <c r="J23" s="160">
        <f t="shared" si="4"/>
        <v>0.2856157478643816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56</v>
      </c>
      <c r="E24" s="176">
        <f t="shared" si="0"/>
        <v>4</v>
      </c>
      <c r="F24" s="156">
        <f t="shared" si="2"/>
        <v>71</v>
      </c>
      <c r="G24" s="157">
        <f>IF(D24=D23,"",_xlfn.IFNA(VLOOKUP(D24,'202306'!$V$5:$Y$55,4,FALSE),0))</f>
        <v>308</v>
      </c>
      <c r="H24" s="158">
        <f t="shared" si="3"/>
        <v>1.6342123414867089E-2</v>
      </c>
      <c r="I24" s="165">
        <f>SUM($G$7:G24)</f>
        <v>5691</v>
      </c>
      <c r="J24" s="160">
        <f t="shared" si="4"/>
        <v>0.30195787127924867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319">
        <f t="shared" si="1"/>
        <v>55</v>
      </c>
      <c r="E25" s="319">
        <f t="shared" si="0"/>
        <v>4</v>
      </c>
      <c r="F25" s="309">
        <f t="shared" si="2"/>
        <v>68</v>
      </c>
      <c r="G25" s="311">
        <f>IF(D25=D24,"",_xlfn.IFNA(VLOOKUP(D25,'202306'!$V$5:$Y$55,4,FALSE),0))</f>
        <v>723</v>
      </c>
      <c r="H25" s="313">
        <f t="shared" si="3"/>
        <v>3.8361542951132803E-2</v>
      </c>
      <c r="I25" s="315">
        <f>SUM($G$7:G25)</f>
        <v>6414</v>
      </c>
      <c r="J25" s="317">
        <f t="shared" si="4"/>
        <v>0.34031941423038148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20"/>
      <c r="E26" s="320"/>
      <c r="F26" s="310"/>
      <c r="G26" s="312"/>
      <c r="H26" s="314"/>
      <c r="I26" s="316"/>
      <c r="J26" s="318"/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54</v>
      </c>
      <c r="E27" s="176">
        <f t="shared" si="0"/>
        <v>4</v>
      </c>
      <c r="F27" s="156">
        <f t="shared" si="2"/>
        <v>65</v>
      </c>
      <c r="G27" s="157">
        <f>IF(D27=D26,"",_xlfn.IFNA(VLOOKUP(D27,'202306'!$V$5:$Y$55,4,FALSE),0))</f>
        <v>312</v>
      </c>
      <c r="H27" s="158">
        <f t="shared" si="3"/>
        <v>1.6554358783891335E-2</v>
      </c>
      <c r="I27" s="165">
        <f>SUM($G$7:G27)</f>
        <v>6726</v>
      </c>
      <c r="J27" s="160">
        <f t="shared" si="4"/>
        <v>0.35687377301427281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53</v>
      </c>
      <c r="E28" s="176">
        <f t="shared" si="0"/>
        <v>4</v>
      </c>
      <c r="F28" s="156">
        <f t="shared" si="2"/>
        <v>63</v>
      </c>
      <c r="G28" s="157">
        <f>IF(D28=D27,"",_xlfn.IFNA(VLOOKUP(D28,'202306'!$V$5:$Y$55,4,FALSE),0))</f>
        <v>388</v>
      </c>
      <c r="H28" s="158">
        <f t="shared" si="3"/>
        <v>2.0586830795352045E-2</v>
      </c>
      <c r="I28" s="165">
        <f>SUM($G$7:G28)</f>
        <v>7114</v>
      </c>
      <c r="J28" s="160">
        <f t="shared" si="4"/>
        <v>0.37746060380962487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19">
        <f t="shared" si="1"/>
        <v>52</v>
      </c>
      <c r="E29" s="319">
        <f t="shared" si="0"/>
        <v>4</v>
      </c>
      <c r="F29" s="309">
        <f t="shared" si="2"/>
        <v>60</v>
      </c>
      <c r="G29" s="311">
        <f>IF(D29=D28,"",_xlfn.IFNA(VLOOKUP(D29,'202306'!$V$5:$Y$55,4,FALSE),0))</f>
        <v>695</v>
      </c>
      <c r="H29" s="313">
        <f t="shared" si="3"/>
        <v>3.6875895367963069E-2</v>
      </c>
      <c r="I29" s="315">
        <f>SUM($G$7:G29)</f>
        <v>7809</v>
      </c>
      <c r="J29" s="317">
        <f t="shared" si="4"/>
        <v>0.41433649917758797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320"/>
      <c r="E30" s="320"/>
      <c r="F30" s="310"/>
      <c r="G30" s="312"/>
      <c r="H30" s="314"/>
      <c r="I30" s="316"/>
      <c r="J30" s="318"/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51</v>
      </c>
      <c r="E31" s="176">
        <f t="shared" si="0"/>
        <v>5</v>
      </c>
      <c r="F31" s="156">
        <f t="shared" si="2"/>
        <v>58</v>
      </c>
      <c r="G31" s="157">
        <f>IF(D31=D30,"",_xlfn.IFNA(VLOOKUP(D31,'202306'!$V$5:$Y$55,4,FALSE),0))</f>
        <v>337</v>
      </c>
      <c r="H31" s="158">
        <f t="shared" si="3"/>
        <v>1.7880829840292885E-2</v>
      </c>
      <c r="I31" s="165">
        <f>SUM($G$7:G31)</f>
        <v>8146</v>
      </c>
      <c r="J31" s="160">
        <f t="shared" si="4"/>
        <v>0.43221732901788085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50</v>
      </c>
      <c r="E32" s="176">
        <f t="shared" si="0"/>
        <v>5</v>
      </c>
      <c r="F32" s="156">
        <f t="shared" si="2"/>
        <v>56</v>
      </c>
      <c r="G32" s="157">
        <f>IF(D32=D31,"",_xlfn.IFNA(VLOOKUP(D32,'202306'!$V$5:$Y$55,4,FALSE),0))</f>
        <v>415</v>
      </c>
      <c r="H32" s="158">
        <f t="shared" si="3"/>
        <v>2.2019419536265718E-2</v>
      </c>
      <c r="I32" s="165">
        <f>SUM($G$7:G32)</f>
        <v>8561</v>
      </c>
      <c r="J32" s="160">
        <f t="shared" si="4"/>
        <v>0.45423674855414653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319">
        <f t="shared" si="1"/>
        <v>49</v>
      </c>
      <c r="E33" s="319">
        <f t="shared" si="0"/>
        <v>5</v>
      </c>
      <c r="F33" s="309">
        <f t="shared" si="2"/>
        <v>53</v>
      </c>
      <c r="G33" s="311">
        <f>IF(D33=D32,"",_xlfn.IFNA(VLOOKUP(D33,'202306'!$V$5:$Y$55,4,FALSE),0))</f>
        <v>767</v>
      </c>
      <c r="H33" s="313">
        <f t="shared" si="3"/>
        <v>4.0696132010399531E-2</v>
      </c>
      <c r="I33" s="315">
        <f>SUM($G$7:G33)</f>
        <v>9328</v>
      </c>
      <c r="J33" s="317">
        <f t="shared" si="4"/>
        <v>0.4949328805645461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320"/>
      <c r="E34" s="320"/>
      <c r="F34" s="310"/>
      <c r="G34" s="312"/>
      <c r="H34" s="314"/>
      <c r="I34" s="316"/>
      <c r="J34" s="318"/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48</v>
      </c>
      <c r="E35" s="176">
        <f t="shared" si="0"/>
        <v>5</v>
      </c>
      <c r="F35" s="156">
        <f t="shared" si="2"/>
        <v>49</v>
      </c>
      <c r="G35" s="157">
        <f>IF(D35=D34,"",_xlfn.IFNA(VLOOKUP(D35,'202306'!$V$5:$Y$55,4,FALSE),0))</f>
        <v>451</v>
      </c>
      <c r="H35" s="158">
        <f t="shared" si="3"/>
        <v>2.3929537857483949E-2</v>
      </c>
      <c r="I35" s="165">
        <f>SUM($G$7:G35)</f>
        <v>9779</v>
      </c>
      <c r="J35" s="160">
        <f t="shared" si="4"/>
        <v>0.51886241842203007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47</v>
      </c>
      <c r="E36" s="176">
        <f t="shared" si="0"/>
        <v>5</v>
      </c>
      <c r="F36" s="156">
        <f t="shared" si="2"/>
        <v>47</v>
      </c>
      <c r="G36" s="157">
        <f>IF(D36=D35,"",_xlfn.IFNA(VLOOKUP(D36,'202306'!$V$5:$Y$55,4,FALSE),0))</f>
        <v>406</v>
      </c>
      <c r="H36" s="158">
        <f t="shared" si="3"/>
        <v>2.1541889955961162E-2</v>
      </c>
      <c r="I36" s="165">
        <f>SUM($G$7:G36)</f>
        <v>10185</v>
      </c>
      <c r="J36" s="160">
        <f t="shared" si="4"/>
        <v>0.54040430837799114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19">
        <f t="shared" si="1"/>
        <v>46</v>
      </c>
      <c r="E37" s="319">
        <f t="shared" si="0"/>
        <v>5</v>
      </c>
      <c r="F37" s="309">
        <f t="shared" si="2"/>
        <v>44</v>
      </c>
      <c r="G37" s="311">
        <f>IF(D37=D36,"",_xlfn.IFNA(VLOOKUP(D37,'202306'!$V$5:$Y$55,4,FALSE),0))</f>
        <v>919</v>
      </c>
      <c r="H37" s="313">
        <f t="shared" si="3"/>
        <v>4.8761076033320951E-2</v>
      </c>
      <c r="I37" s="315">
        <f>SUM($G$7:G37)</f>
        <v>11104</v>
      </c>
      <c r="J37" s="317">
        <f t="shared" si="4"/>
        <v>0.58916538441131217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320"/>
      <c r="E38" s="320"/>
      <c r="F38" s="310"/>
      <c r="G38" s="312"/>
      <c r="H38" s="314"/>
      <c r="I38" s="316"/>
      <c r="J38" s="318"/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45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156">
        <f t="shared" si="2"/>
        <v>40</v>
      </c>
      <c r="G39" s="157">
        <f>IF(D39=D38,"",_xlfn.IFNA(VLOOKUP(D39,'202306'!$V$5:$Y$55,4,FALSE),0))</f>
        <v>381</v>
      </c>
      <c r="H39" s="158">
        <f t="shared" si="3"/>
        <v>2.0215418899559613E-2</v>
      </c>
      <c r="I39" s="165">
        <f>SUM($G$7:G39)</f>
        <v>11485</v>
      </c>
      <c r="J39" s="160">
        <f t="shared" si="4"/>
        <v>0.60938080331087174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19">
        <f t="shared" si="1"/>
        <v>44</v>
      </c>
      <c r="E40" s="319">
        <f t="shared" si="5"/>
        <v>6</v>
      </c>
      <c r="F40" s="309">
        <f t="shared" si="2"/>
        <v>36</v>
      </c>
      <c r="G40" s="311">
        <f>IF(D40=D39,"",_xlfn.IFNA(VLOOKUP(D40,'202306'!$V$5:$Y$55,4,FALSE),0))</f>
        <v>1010</v>
      </c>
      <c r="H40" s="313">
        <f t="shared" si="3"/>
        <v>5.3589430678622589E-2</v>
      </c>
      <c r="I40" s="315">
        <f>SUM($G$7:G40)</f>
        <v>12495</v>
      </c>
      <c r="J40" s="317">
        <f t="shared" si="4"/>
        <v>0.6629702339894944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20"/>
      <c r="E41" s="320"/>
      <c r="F41" s="310"/>
      <c r="G41" s="312"/>
      <c r="H41" s="314"/>
      <c r="I41" s="316"/>
      <c r="J41" s="318"/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43</v>
      </c>
      <c r="E42" s="176">
        <f t="shared" si="5"/>
        <v>6</v>
      </c>
      <c r="F42" s="156">
        <f t="shared" si="2"/>
        <v>32</v>
      </c>
      <c r="G42" s="157">
        <f>IF(D42=D41,"",_xlfn.IFNA(VLOOKUP(D42,'202306'!$V$5:$Y$55,4,FALSE),0))</f>
        <v>550</v>
      </c>
      <c r="H42" s="158">
        <f t="shared" si="3"/>
        <v>2.9182363240834085E-2</v>
      </c>
      <c r="I42" s="165">
        <f>SUM($G$7:G42)</f>
        <v>13045</v>
      </c>
      <c r="J42" s="160">
        <f t="shared" si="4"/>
        <v>0.6921525972303284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42</v>
      </c>
      <c r="E43" s="176">
        <f t="shared" si="5"/>
        <v>6</v>
      </c>
      <c r="F43" s="156">
        <f t="shared" si="2"/>
        <v>27</v>
      </c>
      <c r="G43" s="157">
        <f>IF(D43=D42,"",_xlfn.IFNA(VLOOKUP(D43,'202306'!$V$5:$Y$55,4,FALSE),0))</f>
        <v>1261</v>
      </c>
      <c r="H43" s="158">
        <f t="shared" si="3"/>
        <v>6.6907200084894147E-2</v>
      </c>
      <c r="I43" s="165">
        <f>SUM($G$7:G43)</f>
        <v>14306</v>
      </c>
      <c r="J43" s="160">
        <f t="shared" si="4"/>
        <v>0.75905979731522255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41</v>
      </c>
      <c r="E44" s="319">
        <f t="shared" si="5"/>
        <v>6</v>
      </c>
      <c r="F44" s="309">
        <f t="shared" si="2"/>
        <v>21</v>
      </c>
      <c r="G44" s="311">
        <f>IF(D44=D43,"",_xlfn.IFNA(VLOOKUP(D44,'202306'!$V$5:$Y$55,4,FALSE),0))</f>
        <v>1197</v>
      </c>
      <c r="H44" s="313">
        <f t="shared" si="3"/>
        <v>6.3511434180506185E-2</v>
      </c>
      <c r="I44" s="315">
        <f>SUM($G$7:G44)</f>
        <v>15503</v>
      </c>
      <c r="J44" s="317">
        <f t="shared" si="4"/>
        <v>0.82257123149572875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40</v>
      </c>
      <c r="E46" s="176">
        <f t="shared" si="5"/>
        <v>7</v>
      </c>
      <c r="F46" s="156">
        <f t="shared" si="2"/>
        <v>16</v>
      </c>
      <c r="G46" s="157">
        <f>IF(D46=D45,"",_xlfn.IFNA(VLOOKUP(D46,'202306'!$V$5:$Y$55,4,FALSE),0))</f>
        <v>562</v>
      </c>
      <c r="H46" s="158">
        <f t="shared" si="3"/>
        <v>2.9819069347906828E-2</v>
      </c>
      <c r="I46" s="165">
        <f>SUM($G$7:G46)</f>
        <v>16065</v>
      </c>
      <c r="J46" s="160">
        <f t="shared" si="4"/>
        <v>0.85239030084363554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39</v>
      </c>
      <c r="E47" s="176">
        <f t="shared" si="5"/>
        <v>7</v>
      </c>
      <c r="F47" s="156">
        <f t="shared" si="2"/>
        <v>13</v>
      </c>
      <c r="G47" s="157">
        <f>IF(D47=D46,"",_xlfn.IFNA(VLOOKUP(D47,'202306'!$V$5:$Y$55,4,FALSE),0))</f>
        <v>509</v>
      </c>
      <c r="H47" s="158">
        <f t="shared" si="3"/>
        <v>2.7006950708335545E-2</v>
      </c>
      <c r="I47" s="165">
        <f>SUM($G$7:G47)</f>
        <v>16574</v>
      </c>
      <c r="J47" s="160">
        <f t="shared" si="4"/>
        <v>0.87939725155197113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319">
        <f t="shared" si="1"/>
        <v>38</v>
      </c>
      <c r="E48" s="319">
        <f t="shared" si="5"/>
        <v>7</v>
      </c>
      <c r="F48" s="309">
        <f t="shared" si="2"/>
        <v>10</v>
      </c>
      <c r="G48" s="311">
        <f>IF(D48=D47,"",_xlfn.IFNA(VLOOKUP(D48,'202306'!$V$5:$Y$55,4,FALSE),0))</f>
        <v>776</v>
      </c>
      <c r="H48" s="313">
        <f t="shared" si="3"/>
        <v>4.117366159070409E-2</v>
      </c>
      <c r="I48" s="315">
        <f>SUM($G$7:G48)</f>
        <v>17350</v>
      </c>
      <c r="J48" s="317">
        <f t="shared" si="4"/>
        <v>0.92057091314267525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20"/>
      <c r="E49" s="320"/>
      <c r="F49" s="310"/>
      <c r="G49" s="312"/>
      <c r="H49" s="314"/>
      <c r="I49" s="316"/>
      <c r="J49" s="318"/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37</v>
      </c>
      <c r="E50" s="176">
        <f t="shared" si="5"/>
        <v>8</v>
      </c>
      <c r="F50" s="156">
        <f t="shared" si="2"/>
        <v>6</v>
      </c>
      <c r="G50" s="157">
        <f>IF(D50=D49,"",_xlfn.IFNA(VLOOKUP(D50,'202306'!$V$5:$Y$55,4,FALSE),0))</f>
        <v>669</v>
      </c>
      <c r="H50" s="158">
        <f t="shared" si="3"/>
        <v>3.5496365469305458E-2</v>
      </c>
      <c r="I50" s="165">
        <f>SUM($G$7:G50)</f>
        <v>18019</v>
      </c>
      <c r="J50" s="160">
        <f t="shared" si="4"/>
        <v>0.95606727861198071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36</v>
      </c>
      <c r="E51" s="176">
        <f t="shared" si="5"/>
        <v>8</v>
      </c>
      <c r="F51" s="156">
        <f t="shared" si="2"/>
        <v>4</v>
      </c>
      <c r="G51" s="157">
        <f>IF(D51=D50,"",_xlfn.IFNA(VLOOKUP(D51,'202306'!$V$5:$Y$55,4,FALSE),0))</f>
        <v>237</v>
      </c>
      <c r="H51" s="158">
        <f t="shared" si="3"/>
        <v>1.2574945614686688E-2</v>
      </c>
      <c r="I51" s="165">
        <f>SUM($G$7:G51)</f>
        <v>18256</v>
      </c>
      <c r="J51" s="160">
        <f t="shared" si="4"/>
        <v>0.96864222422666735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19">
        <f t="shared" si="1"/>
        <v>35</v>
      </c>
      <c r="E52" s="319">
        <f t="shared" si="5"/>
        <v>9</v>
      </c>
      <c r="F52" s="309">
        <f t="shared" si="2"/>
        <v>2</v>
      </c>
      <c r="G52" s="311">
        <f>IF(D52=D51,"",_xlfn.IFNA(VLOOKUP(D52,'202306'!$V$5:$Y$55,4,FALSE),0))</f>
        <v>392</v>
      </c>
      <c r="H52" s="313">
        <f t="shared" si="3"/>
        <v>2.0799066164376292E-2</v>
      </c>
      <c r="I52" s="315">
        <f>SUM($G$7:G52)</f>
        <v>18648</v>
      </c>
      <c r="J52" s="317">
        <f t="shared" si="4"/>
        <v>0.98944129039104367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20"/>
      <c r="E53" s="320"/>
      <c r="F53" s="310"/>
      <c r="G53" s="312"/>
      <c r="H53" s="314"/>
      <c r="I53" s="316"/>
      <c r="J53" s="318"/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34</v>
      </c>
      <c r="E54" s="155">
        <f t="shared" si="5"/>
        <v>9</v>
      </c>
      <c r="F54" s="156">
        <f t="shared" si="2"/>
        <v>1</v>
      </c>
      <c r="G54" s="157">
        <f>IF(D54=D53,"",_xlfn.IFNA(VLOOKUP(D54,'202306'!$V$5:$Y$55,4,FALSE),0))</f>
        <v>93</v>
      </c>
      <c r="H54" s="158">
        <f t="shared" si="3"/>
        <v>4.9344723298137636E-3</v>
      </c>
      <c r="I54" s="165">
        <f>SUM($G$7:G54)</f>
        <v>18741</v>
      </c>
      <c r="J54" s="160">
        <f t="shared" si="4"/>
        <v>0.99437576272085748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33</v>
      </c>
      <c r="E55" s="155">
        <f t="shared" si="5"/>
        <v>9</v>
      </c>
      <c r="F55" s="156">
        <f t="shared" si="2"/>
        <v>0</v>
      </c>
      <c r="G55" s="157">
        <f>IF(D55=D54,"",_xlfn.IFNA(VLOOKUP(D55,'202306'!$V$5:$Y$55,4,FALSE),0))</f>
        <v>75</v>
      </c>
      <c r="H55" s="158">
        <f t="shared" si="3"/>
        <v>3.9794131692046479E-3</v>
      </c>
      <c r="I55" s="165">
        <f>SUM($G$7:G55)</f>
        <v>18816</v>
      </c>
      <c r="J55" s="160">
        <f t="shared" si="4"/>
        <v>0.99835517589006206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32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_xlfn.IFNA(VLOOKUP(D57,'202306'!$V$5:$Y$55,4,FALSE),0)</f>
        <v>31</v>
      </c>
      <c r="H57" s="173">
        <f>G57/J3</f>
        <v>1.6448241099379212E-3</v>
      </c>
      <c r="I57" s="174">
        <f>SUM($G$7:G57)</f>
        <v>18847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88">
    <mergeCell ref="I52:I53"/>
    <mergeCell ref="J52:J53"/>
    <mergeCell ref="D52:D53"/>
    <mergeCell ref="E52:E53"/>
    <mergeCell ref="F52:F53"/>
    <mergeCell ref="G52:G53"/>
    <mergeCell ref="H52:H53"/>
    <mergeCell ref="I44:I45"/>
    <mergeCell ref="J44:J45"/>
    <mergeCell ref="D48:D49"/>
    <mergeCell ref="E48:E49"/>
    <mergeCell ref="F48:F49"/>
    <mergeCell ref="G48:G49"/>
    <mergeCell ref="H48:H49"/>
    <mergeCell ref="I48:I49"/>
    <mergeCell ref="J48:J49"/>
    <mergeCell ref="D44:D45"/>
    <mergeCell ref="E44:E45"/>
    <mergeCell ref="F44:F45"/>
    <mergeCell ref="G44:G45"/>
    <mergeCell ref="H44:H45"/>
    <mergeCell ref="I37:I38"/>
    <mergeCell ref="J37:J38"/>
    <mergeCell ref="D40:D41"/>
    <mergeCell ref="E40:E41"/>
    <mergeCell ref="F40:F41"/>
    <mergeCell ref="G40:G41"/>
    <mergeCell ref="H40:H41"/>
    <mergeCell ref="I40:I41"/>
    <mergeCell ref="J40:J41"/>
    <mergeCell ref="D37:D38"/>
    <mergeCell ref="E37:E38"/>
    <mergeCell ref="F37:F38"/>
    <mergeCell ref="G37:G38"/>
    <mergeCell ref="H37:H38"/>
    <mergeCell ref="I29:I30"/>
    <mergeCell ref="J29:J30"/>
    <mergeCell ref="D33:D34"/>
    <mergeCell ref="E33:E34"/>
    <mergeCell ref="F33:F34"/>
    <mergeCell ref="G33:G34"/>
    <mergeCell ref="H33:H34"/>
    <mergeCell ref="I33:I34"/>
    <mergeCell ref="J33:J34"/>
    <mergeCell ref="D29:D30"/>
    <mergeCell ref="E29:E30"/>
    <mergeCell ref="F29:F30"/>
    <mergeCell ref="G29:G30"/>
    <mergeCell ref="H29:H30"/>
    <mergeCell ref="I21:I22"/>
    <mergeCell ref="J21:J22"/>
    <mergeCell ref="D25:D26"/>
    <mergeCell ref="E25:E26"/>
    <mergeCell ref="F25:F26"/>
    <mergeCell ref="G25:G26"/>
    <mergeCell ref="H25:H26"/>
    <mergeCell ref="I25:I26"/>
    <mergeCell ref="J25:J26"/>
    <mergeCell ref="D21:D22"/>
    <mergeCell ref="E21:E22"/>
    <mergeCell ref="F21:F22"/>
    <mergeCell ref="G21:G22"/>
    <mergeCell ref="H21:H22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56:J56"/>
    <mergeCell ref="D8:J8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  <mergeCell ref="H13:H14"/>
  </mergeCells>
  <phoneticPr fontId="1" type="noConversion"/>
  <conditionalFormatting sqref="D7:J7 D57:J57 D9:J9 D11:J13 D15:J17 D19:J21 D23:J25 D27:J29 D31:J33 D35:J37 D39:J40 D42:J44 D46:J48 D50:J52 D54:J55">
    <cfRule type="expression" dxfId="132" priority="7">
      <formula>OR($D7=$P$7:$P$14)</formula>
    </cfRule>
  </conditionalFormatting>
  <conditionalFormatting sqref="C7:C57">
    <cfRule type="expression" dxfId="131" priority="6">
      <formula>OR(AND($D7=0,OR($D6=$P$7:$P$14)),AND($D8&gt;0,OR($D7=$P$7:$P$14)))</formula>
    </cfRule>
  </conditionalFormatting>
  <conditionalFormatting sqref="D7 D57 D9 D11:D13 D15:D17 D19:D21 D23:D25 D27:D29 D31:D33 D35:D37 D39:D40 D42:D44 D46:D48 D50:D52 D54:D55">
    <cfRule type="expression" dxfId="130" priority="5">
      <formula>$D7=$D8</formula>
    </cfRule>
  </conditionalFormatting>
  <conditionalFormatting sqref="D56">
    <cfRule type="expression" dxfId="129" priority="4">
      <formula>OR($D56=$P$7:$P$14)</formula>
    </cfRule>
  </conditionalFormatting>
  <conditionalFormatting sqref="D56">
    <cfRule type="expression" dxfId="128" priority="3">
      <formula>$D56=$D57</formula>
    </cfRule>
  </conditionalFormatting>
  <conditionalFormatting sqref="D8">
    <cfRule type="expression" dxfId="127" priority="2">
      <formula>OR($D8=$P$7:$P$14)</formula>
    </cfRule>
  </conditionalFormatting>
  <conditionalFormatting sqref="D8">
    <cfRule type="expression" dxfId="126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3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기능'!D9</f>
        <v>21.42</v>
      </c>
      <c r="I3" s="10" t="s">
        <v>98</v>
      </c>
      <c r="J3" s="145">
        <f>'통계 및 응시자 수 입력 기능'!C9</f>
        <v>14697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117</v>
      </c>
      <c r="E4" s="302"/>
      <c r="F4" s="303"/>
      <c r="G4" s="147" t="s">
        <v>101</v>
      </c>
      <c r="H4" s="148">
        <f>'통계 및 응시자 수 입력 기능'!E9</f>
        <v>12.86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72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_xlfn.IFNA(VLOOKUP(D7,'202306'!$AA$5:$AD$55,4,FALSE),0)</f>
        <v>281</v>
      </c>
      <c r="H7" s="158">
        <f>G7/J3</f>
        <v>1.9119548207117098E-2</v>
      </c>
      <c r="I7" s="159">
        <f>G7</f>
        <v>281</v>
      </c>
      <c r="J7" s="160">
        <f>I7/J3</f>
        <v>1.9119548207117098E-2</v>
      </c>
      <c r="K7" s="14"/>
      <c r="M7" s="1"/>
      <c r="O7" s="1">
        <v>1</v>
      </c>
      <c r="P7" s="1">
        <f>'표준점수 등급컷 입력기능'!E16</f>
        <v>71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입력기능'!E17</f>
        <v>66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71</v>
      </c>
      <c r="E9" s="155">
        <f t="shared" si="0"/>
        <v>1</v>
      </c>
      <c r="F9" s="156">
        <f>IF(I8=0,ROUND(100*(1-(I7+I9)/2/$J$3),0),ROUND(100*(1-(I8+I9)/2/$J$3),0))</f>
        <v>97</v>
      </c>
      <c r="G9" s="157">
        <f>_xlfn.IFNA(VLOOKUP(D9,'202306'!$AA$5:$AD$55,4,FALSE),0)</f>
        <v>351</v>
      </c>
      <c r="H9" s="158">
        <f>G9/$J$3</f>
        <v>2.3882424984690752E-2</v>
      </c>
      <c r="I9" s="165">
        <f>SUM($G$7:G9)</f>
        <v>632</v>
      </c>
      <c r="J9" s="160">
        <f>I9/$J$3</f>
        <v>4.3001973191807853E-2</v>
      </c>
      <c r="K9" s="14"/>
      <c r="M9" s="1"/>
      <c r="O9" s="1">
        <v>3</v>
      </c>
      <c r="P9" s="1">
        <f>'표준점수 등급컷 입력기능'!E18</f>
        <v>58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70</v>
      </c>
      <c r="E10" s="155">
        <f t="shared" si="0"/>
        <v>2</v>
      </c>
      <c r="F10" s="156">
        <f>IF(I9=0,ROUND(100*(1-(I8+I10)/2/$J$3),0),ROUND(100*(1-(I9+I10)/2/$J$3),0))</f>
        <v>95</v>
      </c>
      <c r="G10" s="157">
        <f>IF(D10=D9,"",_xlfn.IFNA(VLOOKUP(D10,'202306'!$AA$5:$AD$55,4,FALSE),0))</f>
        <v>66</v>
      </c>
      <c r="H10" s="158">
        <f t="shared" ref="H10:H55" si="2">G10/$J$3</f>
        <v>4.4907123902837316E-3</v>
      </c>
      <c r="I10" s="165">
        <f>SUM($G$7:G10)</f>
        <v>698</v>
      </c>
      <c r="J10" s="160">
        <f t="shared" ref="J10:J55" si="3">I10/$J$3</f>
        <v>4.7492685582091583E-2</v>
      </c>
      <c r="K10" s="14"/>
      <c r="M10" s="1"/>
      <c r="O10" s="1">
        <v>4</v>
      </c>
      <c r="P10" s="1">
        <f>'표준점수 등급컷 입력기능'!E19</f>
        <v>50</v>
      </c>
    </row>
    <row r="11" spans="1:16" ht="25" customHeight="1" x14ac:dyDescent="0.45">
      <c r="A11" s="4"/>
      <c r="B11" s="13"/>
      <c r="C11" s="154">
        <v>46</v>
      </c>
      <c r="D11" s="155">
        <f t="shared" si="1"/>
        <v>69</v>
      </c>
      <c r="E11" s="155">
        <f t="shared" si="0"/>
        <v>2</v>
      </c>
      <c r="F11" s="156">
        <f t="shared" ref="F11:F55" si="4">IF(I10=0,ROUND(100*(1-(I9+I11)/2/$J$3),0),ROUND(100*(1-(I10+I11)/2/$J$3),0))</f>
        <v>94</v>
      </c>
      <c r="G11" s="157">
        <f>IF(D11=D10,"",_xlfn.IFNA(VLOOKUP(D11,'202306'!$AA$5:$AD$55,4,FALSE),0))</f>
        <v>284</v>
      </c>
      <c r="H11" s="158">
        <f t="shared" si="2"/>
        <v>1.932367149758454E-2</v>
      </c>
      <c r="I11" s="165">
        <f>SUM($G$7:G11)</f>
        <v>982</v>
      </c>
      <c r="J11" s="160">
        <f t="shared" si="3"/>
        <v>6.681635707967612E-2</v>
      </c>
      <c r="K11" s="14"/>
      <c r="M11" s="1"/>
      <c r="O11" s="1">
        <v>5</v>
      </c>
      <c r="P11" s="1">
        <f>'표준점수 등급컷 입력기능'!E20</f>
        <v>44</v>
      </c>
    </row>
    <row r="12" spans="1:16" ht="25" customHeight="1" x14ac:dyDescent="0.45">
      <c r="A12" s="4"/>
      <c r="B12" s="13"/>
      <c r="C12" s="161">
        <v>45</v>
      </c>
      <c r="D12" s="307">
        <f t="shared" si="1"/>
        <v>68</v>
      </c>
      <c r="E12" s="307">
        <f t="shared" si="0"/>
        <v>2</v>
      </c>
      <c r="F12" s="309">
        <f t="shared" si="4"/>
        <v>92</v>
      </c>
      <c r="G12" s="311">
        <f>IF(D12=D11,"",_xlfn.IFNA(VLOOKUP(D12,'202306'!$AA$5:$AD$55,4,FALSE),0))</f>
        <v>356</v>
      </c>
      <c r="H12" s="313">
        <f t="shared" si="2"/>
        <v>2.4222630468803158E-2</v>
      </c>
      <c r="I12" s="315">
        <f>SUM($G$7:G12)</f>
        <v>1338</v>
      </c>
      <c r="J12" s="317">
        <f t="shared" si="3"/>
        <v>9.1038987548479278E-2</v>
      </c>
      <c r="K12" s="14"/>
      <c r="M12" s="1"/>
      <c r="O12" s="1">
        <v>6</v>
      </c>
      <c r="P12" s="1">
        <f>'표준점수 등급컷 입력기능'!E21</f>
        <v>42</v>
      </c>
    </row>
    <row r="13" spans="1:16" ht="25" customHeight="1" x14ac:dyDescent="0.45">
      <c r="A13" s="4"/>
      <c r="B13" s="13"/>
      <c r="C13" s="154">
        <v>44</v>
      </c>
      <c r="D13" s="308"/>
      <c r="E13" s="308"/>
      <c r="F13" s="310"/>
      <c r="G13" s="312"/>
      <c r="H13" s="314"/>
      <c r="I13" s="316"/>
      <c r="J13" s="318"/>
      <c r="K13" s="14"/>
      <c r="M13" s="1"/>
      <c r="O13" s="1">
        <v>7</v>
      </c>
      <c r="P13" s="1">
        <f>'표준점수 등급컷 입력기능'!E22</f>
        <v>40</v>
      </c>
    </row>
    <row r="14" spans="1:16" ht="25" customHeight="1" x14ac:dyDescent="0.45">
      <c r="A14" s="4"/>
      <c r="B14" s="13"/>
      <c r="C14" s="161">
        <v>43</v>
      </c>
      <c r="D14" s="155">
        <f t="shared" si="1"/>
        <v>67</v>
      </c>
      <c r="E14" s="155">
        <f t="shared" si="0"/>
        <v>2</v>
      </c>
      <c r="F14" s="156">
        <f t="shared" si="4"/>
        <v>90</v>
      </c>
      <c r="G14" s="157">
        <f>IF(D14=D13,"",_xlfn.IFNA(VLOOKUP(D14,'202306'!$AA$5:$AD$55,4,FALSE),0))</f>
        <v>235</v>
      </c>
      <c r="H14" s="158">
        <f t="shared" si="2"/>
        <v>1.5989657753282982E-2</v>
      </c>
      <c r="I14" s="165">
        <f>SUM($G$7:G14)</f>
        <v>1573</v>
      </c>
      <c r="J14" s="160">
        <f t="shared" si="3"/>
        <v>0.10702864530176226</v>
      </c>
      <c r="K14" s="14"/>
      <c r="M14" s="1"/>
      <c r="O14" s="1">
        <v>8</v>
      </c>
      <c r="P14" s="1">
        <f>'표준점수 등급컷 입력기능'!E23</f>
        <v>37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66</v>
      </c>
      <c r="E15" s="155">
        <f t="shared" si="0"/>
        <v>2</v>
      </c>
      <c r="F15" s="156">
        <f t="shared" si="4"/>
        <v>89</v>
      </c>
      <c r="G15" s="157">
        <f>IF(D15=D14,"",_xlfn.IFNA(VLOOKUP(D15,'202306'!$AA$5:$AD$55,4,FALSE),0))</f>
        <v>124</v>
      </c>
      <c r="H15" s="158">
        <f t="shared" si="2"/>
        <v>8.4370960059876165E-3</v>
      </c>
      <c r="I15" s="165">
        <f>SUM($G$7:G15)</f>
        <v>1697</v>
      </c>
      <c r="J15" s="160">
        <f t="shared" si="3"/>
        <v>0.11546574130774988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65</v>
      </c>
      <c r="E16" s="155">
        <f t="shared" si="0"/>
        <v>3</v>
      </c>
      <c r="F16" s="156">
        <f t="shared" si="4"/>
        <v>88</v>
      </c>
      <c r="G16" s="157">
        <f>IF(D16=D15,"",_xlfn.IFNA(VLOOKUP(D16,'202306'!$AA$5:$AD$55,4,FALSE),0))</f>
        <v>215</v>
      </c>
      <c r="H16" s="158">
        <f t="shared" si="2"/>
        <v>1.4628835816833368E-2</v>
      </c>
      <c r="I16" s="165">
        <f>SUM($G$7:G16)</f>
        <v>1912</v>
      </c>
      <c r="J16" s="160">
        <f t="shared" si="3"/>
        <v>0.13009457712458325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7">
        <f t="shared" si="1"/>
        <v>64</v>
      </c>
      <c r="E17" s="307">
        <f t="shared" si="0"/>
        <v>3</v>
      </c>
      <c r="F17" s="309">
        <f t="shared" si="4"/>
        <v>86</v>
      </c>
      <c r="G17" s="311">
        <f>IF(D17=D16,"",_xlfn.IFNA(VLOOKUP(D17,'202306'!$AA$5:$AD$55,4,FALSE),0))</f>
        <v>335</v>
      </c>
      <c r="H17" s="313">
        <f t="shared" si="2"/>
        <v>2.2793767435531062E-2</v>
      </c>
      <c r="I17" s="315">
        <f>SUM($G$7:G17)</f>
        <v>2247</v>
      </c>
      <c r="J17" s="317">
        <f t="shared" si="3"/>
        <v>0.1528883445601143</v>
      </c>
      <c r="K17" s="14"/>
      <c r="M17" s="1"/>
      <c r="P17" s="1">
        <f>H3*H4*J3*P7*IFERROR(IF(J57=1, 1, 0), 0)</f>
        <v>287440181.2044</v>
      </c>
    </row>
    <row r="18" spans="1:16" ht="25" customHeight="1" x14ac:dyDescent="0.45">
      <c r="A18" s="4"/>
      <c r="B18" s="13"/>
      <c r="C18" s="161">
        <v>39</v>
      </c>
      <c r="D18" s="308"/>
      <c r="E18" s="308"/>
      <c r="F18" s="310"/>
      <c r="G18" s="312"/>
      <c r="H18" s="314"/>
      <c r="I18" s="316"/>
      <c r="J18" s="318"/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63</v>
      </c>
      <c r="E19" s="155">
        <f t="shared" si="0"/>
        <v>3</v>
      </c>
      <c r="F19" s="156">
        <f t="shared" si="4"/>
        <v>84</v>
      </c>
      <c r="G19" s="157">
        <f>IF(D19=D18,"",_xlfn.IFNA(VLOOKUP(D19,'202306'!$AA$5:$AD$55,4,FALSE),0))</f>
        <v>200</v>
      </c>
      <c r="H19" s="158">
        <f t="shared" si="2"/>
        <v>1.3608219364496155E-2</v>
      </c>
      <c r="I19" s="165">
        <f>SUM($G$7:G19)</f>
        <v>2447</v>
      </c>
      <c r="J19" s="160">
        <f t="shared" si="3"/>
        <v>0.16649656392461046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62</v>
      </c>
      <c r="E20" s="155">
        <f t="shared" si="0"/>
        <v>3</v>
      </c>
      <c r="F20" s="156">
        <f t="shared" si="4"/>
        <v>83</v>
      </c>
      <c r="G20" s="157">
        <f>IF(D20=D19,"",_xlfn.IFNA(VLOOKUP(D20,'202306'!$AA$5:$AD$55,4,FALSE),0))</f>
        <v>139</v>
      </c>
      <c r="H20" s="158">
        <f t="shared" si="2"/>
        <v>9.4577124583248278E-3</v>
      </c>
      <c r="I20" s="165">
        <f>SUM($G$7:G20)</f>
        <v>2586</v>
      </c>
      <c r="J20" s="160">
        <f t="shared" si="3"/>
        <v>0.17595427638293529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319">
        <f t="shared" si="1"/>
        <v>61</v>
      </c>
      <c r="E21" s="319">
        <f t="shared" si="0"/>
        <v>3</v>
      </c>
      <c r="F21" s="309">
        <f t="shared" si="4"/>
        <v>81</v>
      </c>
      <c r="G21" s="311">
        <f>IF(D21=D20,"",_xlfn.IFNA(VLOOKUP(D21,'202306'!$AA$5:$AD$55,4,FALSE),0))</f>
        <v>319</v>
      </c>
      <c r="H21" s="313">
        <f t="shared" si="2"/>
        <v>2.1705109886371369E-2</v>
      </c>
      <c r="I21" s="315">
        <f>SUM($G$7:G21)</f>
        <v>2905</v>
      </c>
      <c r="J21" s="317">
        <f t="shared" si="3"/>
        <v>0.19765938626930665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20"/>
      <c r="E22" s="320"/>
      <c r="F22" s="310"/>
      <c r="G22" s="312"/>
      <c r="H22" s="314"/>
      <c r="I22" s="316"/>
      <c r="J22" s="318"/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60</v>
      </c>
      <c r="E23" s="176">
        <f t="shared" si="0"/>
        <v>3</v>
      </c>
      <c r="F23" s="156">
        <f t="shared" si="4"/>
        <v>80</v>
      </c>
      <c r="G23" s="157">
        <f>IF(D23=D22,"",_xlfn.IFNA(VLOOKUP(D23,'202306'!$AA$5:$AD$55,4,FALSE),0))</f>
        <v>147</v>
      </c>
      <c r="H23" s="158">
        <f t="shared" si="2"/>
        <v>1.0002041232904674E-2</v>
      </c>
      <c r="I23" s="165">
        <f>SUM($G$7:G23)</f>
        <v>3052</v>
      </c>
      <c r="J23" s="160">
        <f t="shared" si="3"/>
        <v>0.20766142750221134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59</v>
      </c>
      <c r="E24" s="176">
        <f t="shared" si="0"/>
        <v>3</v>
      </c>
      <c r="F24" s="156">
        <f t="shared" si="4"/>
        <v>79</v>
      </c>
      <c r="G24" s="157">
        <f>IF(D24=D23,"",_xlfn.IFNA(VLOOKUP(D24,'202306'!$AA$5:$AD$55,4,FALSE),0))</f>
        <v>198</v>
      </c>
      <c r="H24" s="158">
        <f t="shared" si="2"/>
        <v>1.3472137170851195E-2</v>
      </c>
      <c r="I24" s="165">
        <f>SUM($G$7:G24)</f>
        <v>3250</v>
      </c>
      <c r="J24" s="160">
        <f t="shared" si="3"/>
        <v>0.22113356467306253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58</v>
      </c>
      <c r="E25" s="176">
        <f t="shared" si="0"/>
        <v>3</v>
      </c>
      <c r="F25" s="156">
        <f t="shared" si="4"/>
        <v>77</v>
      </c>
      <c r="G25" s="157">
        <f>IF(D25=D24,"",_xlfn.IFNA(VLOOKUP(D25,'202306'!$AA$5:$AD$55,4,FALSE),0))</f>
        <v>183</v>
      </c>
      <c r="H25" s="158">
        <f t="shared" si="2"/>
        <v>1.2451520718513982E-2</v>
      </c>
      <c r="I25" s="165">
        <f>SUM($G$7:G25)</f>
        <v>3433</v>
      </c>
      <c r="J25" s="160">
        <f t="shared" si="3"/>
        <v>0.23358508539157652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19">
        <f t="shared" si="1"/>
        <v>57</v>
      </c>
      <c r="E26" s="319">
        <f t="shared" si="0"/>
        <v>4</v>
      </c>
      <c r="F26" s="309">
        <f t="shared" si="4"/>
        <v>75</v>
      </c>
      <c r="G26" s="311">
        <f>IF(D26=D25,"",_xlfn.IFNA(VLOOKUP(D26,'202306'!$AA$5:$AD$55,4,FALSE),0))</f>
        <v>398</v>
      </c>
      <c r="H26" s="313">
        <f t="shared" si="2"/>
        <v>2.708035653534735E-2</v>
      </c>
      <c r="I26" s="315">
        <f>SUM($G$7:G26)</f>
        <v>3831</v>
      </c>
      <c r="J26" s="317">
        <f t="shared" si="3"/>
        <v>0.26066544192692387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20"/>
      <c r="E27" s="320"/>
      <c r="F27" s="310"/>
      <c r="G27" s="312"/>
      <c r="H27" s="314"/>
      <c r="I27" s="316"/>
      <c r="J27" s="318"/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56</v>
      </c>
      <c r="E28" s="176">
        <f t="shared" si="0"/>
        <v>4</v>
      </c>
      <c r="F28" s="156">
        <f t="shared" si="4"/>
        <v>73</v>
      </c>
      <c r="G28" s="157">
        <f>IF(D28=D27,"",_xlfn.IFNA(VLOOKUP(D28,'202306'!$AA$5:$AD$55,4,FALSE),0))</f>
        <v>220</v>
      </c>
      <c r="H28" s="158">
        <f t="shared" si="2"/>
        <v>1.4969041300945771E-2</v>
      </c>
      <c r="I28" s="165">
        <f>SUM($G$7:G28)</f>
        <v>4051</v>
      </c>
      <c r="J28" s="160">
        <f t="shared" si="3"/>
        <v>0.27563448322786965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55</v>
      </c>
      <c r="E29" s="176">
        <f t="shared" si="0"/>
        <v>4</v>
      </c>
      <c r="F29" s="156">
        <f t="shared" si="4"/>
        <v>72</v>
      </c>
      <c r="G29" s="157">
        <f>IF(D29=D28,"",_xlfn.IFNA(VLOOKUP(D29,'202306'!$AA$5:$AD$55,4,FALSE),0))</f>
        <v>244</v>
      </c>
      <c r="H29" s="158">
        <f t="shared" si="2"/>
        <v>1.6602027624685309E-2</v>
      </c>
      <c r="I29" s="165">
        <f>SUM($G$7:G29)</f>
        <v>4295</v>
      </c>
      <c r="J29" s="160">
        <f t="shared" si="3"/>
        <v>0.29223651085255492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319">
        <f t="shared" si="1"/>
        <v>54</v>
      </c>
      <c r="E30" s="319">
        <f t="shared" si="0"/>
        <v>4</v>
      </c>
      <c r="F30" s="309">
        <f t="shared" si="4"/>
        <v>69</v>
      </c>
      <c r="G30" s="311">
        <f>IF(D30=D29,"",_xlfn.IFNA(VLOOKUP(D30,'202306'!$AA$5:$AD$55,4,FALSE),0))</f>
        <v>440</v>
      </c>
      <c r="H30" s="313">
        <f t="shared" si="2"/>
        <v>2.9938082601891541E-2</v>
      </c>
      <c r="I30" s="315">
        <f>SUM($G$7:G30)</f>
        <v>4735</v>
      </c>
      <c r="J30" s="317">
        <f t="shared" si="3"/>
        <v>0.32217459345444649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20"/>
      <c r="E31" s="320"/>
      <c r="F31" s="310"/>
      <c r="G31" s="312"/>
      <c r="H31" s="314"/>
      <c r="I31" s="316"/>
      <c r="J31" s="318"/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53</v>
      </c>
      <c r="E32" s="176">
        <f t="shared" si="0"/>
        <v>4</v>
      </c>
      <c r="F32" s="156">
        <f t="shared" si="4"/>
        <v>67</v>
      </c>
      <c r="G32" s="157">
        <f>IF(D32=D31,"",_xlfn.IFNA(VLOOKUP(D32,'202306'!$AA$5:$AD$55,4,FALSE),0))</f>
        <v>266</v>
      </c>
      <c r="H32" s="158">
        <f t="shared" si="2"/>
        <v>1.8098931754779887E-2</v>
      </c>
      <c r="I32" s="165">
        <f>SUM($G$7:G32)</f>
        <v>5001</v>
      </c>
      <c r="J32" s="160">
        <f t="shared" si="3"/>
        <v>0.34027352520922638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52</v>
      </c>
      <c r="E33" s="176">
        <f t="shared" si="0"/>
        <v>4</v>
      </c>
      <c r="F33" s="156">
        <f t="shared" si="4"/>
        <v>65</v>
      </c>
      <c r="G33" s="157">
        <f>IF(D33=D32,"",_xlfn.IFNA(VLOOKUP(D33,'202306'!$AA$5:$AD$55,4,FALSE),0))</f>
        <v>240</v>
      </c>
      <c r="H33" s="158">
        <f t="shared" si="2"/>
        <v>1.6329863237395388E-2</v>
      </c>
      <c r="I33" s="165">
        <f>SUM($G$7:G33)</f>
        <v>5241</v>
      </c>
      <c r="J33" s="160">
        <f t="shared" si="3"/>
        <v>0.35660338844662176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51</v>
      </c>
      <c r="E34" s="176">
        <f t="shared" si="0"/>
        <v>4</v>
      </c>
      <c r="F34" s="156">
        <f t="shared" si="4"/>
        <v>63</v>
      </c>
      <c r="G34" s="157">
        <f>IF(D34=D33,"",_xlfn.IFNA(VLOOKUP(D34,'202306'!$AA$5:$AD$55,4,FALSE),0))</f>
        <v>283</v>
      </c>
      <c r="H34" s="158">
        <f t="shared" si="2"/>
        <v>1.9255630400762062E-2</v>
      </c>
      <c r="I34" s="165">
        <f>SUM($G$7:G34)</f>
        <v>5524</v>
      </c>
      <c r="J34" s="160">
        <f t="shared" si="3"/>
        <v>0.37585901884738382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19">
        <f t="shared" si="1"/>
        <v>50</v>
      </c>
      <c r="E35" s="319">
        <f t="shared" si="0"/>
        <v>4</v>
      </c>
      <c r="F35" s="309">
        <f t="shared" si="4"/>
        <v>60</v>
      </c>
      <c r="G35" s="311">
        <f>IF(D35=D34,"",_xlfn.IFNA(VLOOKUP(D35,'202306'!$AA$5:$AD$55,4,FALSE),0))</f>
        <v>632</v>
      </c>
      <c r="H35" s="313">
        <f t="shared" si="2"/>
        <v>4.3001973191807853E-2</v>
      </c>
      <c r="I35" s="315">
        <f>SUM($G$7:G35)</f>
        <v>6156</v>
      </c>
      <c r="J35" s="317">
        <f t="shared" si="3"/>
        <v>0.41886099203919169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20"/>
      <c r="E36" s="320"/>
      <c r="F36" s="310"/>
      <c r="G36" s="312"/>
      <c r="H36" s="314"/>
      <c r="I36" s="316"/>
      <c r="J36" s="318"/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49</v>
      </c>
      <c r="E37" s="176">
        <f t="shared" si="0"/>
        <v>5</v>
      </c>
      <c r="F37" s="156">
        <f t="shared" si="4"/>
        <v>57</v>
      </c>
      <c r="G37" s="157">
        <f>IF(D37=D36,"",_xlfn.IFNA(VLOOKUP(D37,'202306'!$AA$5:$AD$55,4,FALSE),0))</f>
        <v>363</v>
      </c>
      <c r="H37" s="158">
        <f t="shared" si="2"/>
        <v>2.4698918146560521E-2</v>
      </c>
      <c r="I37" s="165">
        <f>SUM($G$7:G37)</f>
        <v>6519</v>
      </c>
      <c r="J37" s="160">
        <f t="shared" si="3"/>
        <v>0.44355991018575219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48</v>
      </c>
      <c r="E38" s="176">
        <f t="shared" si="0"/>
        <v>5</v>
      </c>
      <c r="F38" s="156">
        <f t="shared" si="4"/>
        <v>54</v>
      </c>
      <c r="G38" s="157">
        <f>IF(D38=D37,"",_xlfn.IFNA(VLOOKUP(D38,'202306'!$AA$5:$AD$55,4,FALSE),0))</f>
        <v>367</v>
      </c>
      <c r="H38" s="158">
        <f t="shared" si="2"/>
        <v>2.4971082533850445E-2</v>
      </c>
      <c r="I38" s="165">
        <f>SUM($G$7:G38)</f>
        <v>6886</v>
      </c>
      <c r="J38" s="160">
        <f t="shared" si="3"/>
        <v>0.46853099271960263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319">
        <f t="shared" si="1"/>
        <v>47</v>
      </c>
      <c r="E39" s="319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309">
        <f t="shared" si="4"/>
        <v>50</v>
      </c>
      <c r="G39" s="311">
        <f>IF(D39=D38,"",_xlfn.IFNA(VLOOKUP(D39,'202306'!$AA$5:$AD$55,4,FALSE),0))</f>
        <v>870</v>
      </c>
      <c r="H39" s="313">
        <f t="shared" si="2"/>
        <v>5.9195754235558277E-2</v>
      </c>
      <c r="I39" s="315">
        <f>SUM($G$7:G39)</f>
        <v>7756</v>
      </c>
      <c r="J39" s="317">
        <f t="shared" si="3"/>
        <v>0.52772674695516086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20"/>
      <c r="E40" s="320"/>
      <c r="F40" s="310"/>
      <c r="G40" s="312"/>
      <c r="H40" s="314"/>
      <c r="I40" s="316"/>
      <c r="J40" s="318"/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46</v>
      </c>
      <c r="E41" s="176">
        <f t="shared" si="5"/>
        <v>5</v>
      </c>
      <c r="F41" s="156">
        <f t="shared" si="4"/>
        <v>46</v>
      </c>
      <c r="G41" s="157">
        <f>IF(D41=D40,"",_xlfn.IFNA(VLOOKUP(D41,'202306'!$AA$5:$AD$55,4,FALSE),0))</f>
        <v>476</v>
      </c>
      <c r="H41" s="158">
        <f t="shared" si="2"/>
        <v>3.2387562087500849E-2</v>
      </c>
      <c r="I41" s="165">
        <f>SUM($G$7:G41)</f>
        <v>8232</v>
      </c>
      <c r="J41" s="160">
        <f t="shared" si="3"/>
        <v>0.5601143090426618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45</v>
      </c>
      <c r="E42" s="176">
        <f t="shared" si="5"/>
        <v>5</v>
      </c>
      <c r="F42" s="156">
        <f t="shared" si="4"/>
        <v>42</v>
      </c>
      <c r="G42" s="157">
        <f>IF(D42=D41,"",_xlfn.IFNA(VLOOKUP(D42,'202306'!$AA$5:$AD$55,4,FALSE),0))</f>
        <v>479</v>
      </c>
      <c r="H42" s="158">
        <f t="shared" si="2"/>
        <v>3.2591685377968291E-2</v>
      </c>
      <c r="I42" s="165">
        <f>SUM($G$7:G42)</f>
        <v>8711</v>
      </c>
      <c r="J42" s="160">
        <f t="shared" si="3"/>
        <v>0.5927059944206301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44</v>
      </c>
      <c r="E43" s="176">
        <f t="shared" si="5"/>
        <v>5</v>
      </c>
      <c r="F43" s="156">
        <f t="shared" si="4"/>
        <v>37</v>
      </c>
      <c r="G43" s="157">
        <f>IF(D43=D42,"",_xlfn.IFNA(VLOOKUP(D43,'202306'!$AA$5:$AD$55,4,FALSE),0))</f>
        <v>1155</v>
      </c>
      <c r="H43" s="158">
        <f t="shared" si="2"/>
        <v>7.85874668299653E-2</v>
      </c>
      <c r="I43" s="165">
        <f>SUM($G$7:G43)</f>
        <v>9866</v>
      </c>
      <c r="J43" s="160">
        <f t="shared" si="3"/>
        <v>0.67129346125059541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43</v>
      </c>
      <c r="E44" s="319">
        <f t="shared" si="5"/>
        <v>6</v>
      </c>
      <c r="F44" s="309">
        <f t="shared" si="4"/>
        <v>29</v>
      </c>
      <c r="G44" s="311">
        <f>IF(D44=D43,"",_xlfn.IFNA(VLOOKUP(D44,'202306'!$AA$5:$AD$55,4,FALSE),0))</f>
        <v>1180</v>
      </c>
      <c r="H44" s="313">
        <f t="shared" si="2"/>
        <v>8.0288494250527323E-2</v>
      </c>
      <c r="I44" s="315">
        <f>SUM($G$7:G44)</f>
        <v>11046</v>
      </c>
      <c r="J44" s="317">
        <f t="shared" si="3"/>
        <v>0.75158195550112272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42</v>
      </c>
      <c r="E46" s="176">
        <f t="shared" si="5"/>
        <v>6</v>
      </c>
      <c r="F46" s="156">
        <f t="shared" si="4"/>
        <v>23</v>
      </c>
      <c r="G46" s="157">
        <f>IF(D46=D45,"",_xlfn.IFNA(VLOOKUP(D46,'202306'!$AA$5:$AD$55,4,FALSE),0))</f>
        <v>519</v>
      </c>
      <c r="H46" s="158">
        <f t="shared" si="2"/>
        <v>3.5313329250867526E-2</v>
      </c>
      <c r="I46" s="165">
        <f>SUM($G$7:G46)</f>
        <v>11565</v>
      </c>
      <c r="J46" s="160">
        <f t="shared" si="3"/>
        <v>0.78689528475199022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41</v>
      </c>
      <c r="E47" s="176">
        <f t="shared" si="5"/>
        <v>7</v>
      </c>
      <c r="F47" s="156">
        <f t="shared" si="4"/>
        <v>19</v>
      </c>
      <c r="G47" s="157">
        <f>IF(D47=D46,"",_xlfn.IFNA(VLOOKUP(D47,'202306'!$AA$5:$AD$55,4,FALSE),0))</f>
        <v>546</v>
      </c>
      <c r="H47" s="158">
        <f t="shared" si="2"/>
        <v>3.7150438865074506E-2</v>
      </c>
      <c r="I47" s="165">
        <f>SUM($G$7:G47)</f>
        <v>12111</v>
      </c>
      <c r="J47" s="160">
        <f t="shared" si="3"/>
        <v>0.82404572361706474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319">
        <f t="shared" si="1"/>
        <v>40</v>
      </c>
      <c r="E48" s="319">
        <f t="shared" si="5"/>
        <v>7</v>
      </c>
      <c r="F48" s="309">
        <f t="shared" si="4"/>
        <v>13</v>
      </c>
      <c r="G48" s="311">
        <f>IF(D48=D47,"",_xlfn.IFNA(VLOOKUP(D48,'202306'!$AA$5:$AD$55,4,FALSE),0))</f>
        <v>1311</v>
      </c>
      <c r="H48" s="313">
        <f t="shared" si="2"/>
        <v>8.9201877934272297E-2</v>
      </c>
      <c r="I48" s="315">
        <f>SUM($G$7:G48)</f>
        <v>13422</v>
      </c>
      <c r="J48" s="317">
        <f t="shared" si="3"/>
        <v>0.913247601551337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20"/>
      <c r="E49" s="320"/>
      <c r="F49" s="310"/>
      <c r="G49" s="312"/>
      <c r="H49" s="314"/>
      <c r="I49" s="316"/>
      <c r="J49" s="318"/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39</v>
      </c>
      <c r="E50" s="176">
        <f t="shared" si="5"/>
        <v>8</v>
      </c>
      <c r="F50" s="156">
        <f t="shared" si="4"/>
        <v>8</v>
      </c>
      <c r="G50" s="157">
        <f>IF(D50=D49,"",_xlfn.IFNA(VLOOKUP(D50,'202306'!$AA$5:$AD$55,4,FALSE),0))</f>
        <v>302</v>
      </c>
      <c r="H50" s="158">
        <f t="shared" si="2"/>
        <v>2.0548411240389194E-2</v>
      </c>
      <c r="I50" s="165">
        <f>SUM($G$7:G50)</f>
        <v>13724</v>
      </c>
      <c r="J50" s="160">
        <f t="shared" si="3"/>
        <v>0.93379601279172619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38</v>
      </c>
      <c r="E51" s="176">
        <f t="shared" si="5"/>
        <v>8</v>
      </c>
      <c r="F51" s="156">
        <f t="shared" si="4"/>
        <v>5</v>
      </c>
      <c r="G51" s="157">
        <f>IF(D51=D50,"",_xlfn.IFNA(VLOOKUP(D51,'202306'!$AA$5:$AD$55,4,FALSE),0))</f>
        <v>348</v>
      </c>
      <c r="H51" s="158">
        <f t="shared" si="2"/>
        <v>2.367830169422331E-2</v>
      </c>
      <c r="I51" s="165">
        <f>SUM($G$7:G51)</f>
        <v>14072</v>
      </c>
      <c r="J51" s="160">
        <f t="shared" si="3"/>
        <v>0.95747431448594955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37</v>
      </c>
      <c r="E52" s="176">
        <f t="shared" si="5"/>
        <v>8</v>
      </c>
      <c r="F52" s="156">
        <f t="shared" si="4"/>
        <v>3</v>
      </c>
      <c r="G52" s="157">
        <f>IF(D52=D51,"",_xlfn.IFNA(VLOOKUP(D52,'202306'!$AA$5:$AD$55,4,FALSE),0))</f>
        <v>290</v>
      </c>
      <c r="H52" s="158">
        <f t="shared" si="2"/>
        <v>1.9731918078519425E-2</v>
      </c>
      <c r="I52" s="165">
        <f>SUM($G$7:G52)</f>
        <v>14362</v>
      </c>
      <c r="J52" s="160">
        <f t="shared" si="3"/>
        <v>0.97720623256446892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07">
        <f t="shared" si="1"/>
        <v>36</v>
      </c>
      <c r="E53" s="307">
        <f t="shared" si="5"/>
        <v>9</v>
      </c>
      <c r="F53" s="309">
        <f t="shared" si="4"/>
        <v>2</v>
      </c>
      <c r="G53" s="311">
        <f>IF(D53=D52,"",_xlfn.IFNA(VLOOKUP(D53,'202306'!$AA$5:$AD$55,4,FALSE),0))</f>
        <v>205</v>
      </c>
      <c r="H53" s="313">
        <f t="shared" si="2"/>
        <v>1.3948424848608559E-2</v>
      </c>
      <c r="I53" s="315">
        <f>SUM($G$7:G53)</f>
        <v>14567</v>
      </c>
      <c r="J53" s="317">
        <f t="shared" si="3"/>
        <v>0.99115465741307751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308"/>
      <c r="E54" s="308"/>
      <c r="F54" s="310"/>
      <c r="G54" s="312"/>
      <c r="H54" s="314"/>
      <c r="I54" s="316"/>
      <c r="J54" s="318"/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35</v>
      </c>
      <c r="E55" s="155">
        <f t="shared" si="5"/>
        <v>9</v>
      </c>
      <c r="F55" s="156">
        <f t="shared" si="4"/>
        <v>1</v>
      </c>
      <c r="G55" s="157">
        <f>IF(D55=D54,"",_xlfn.IFNA(VLOOKUP(D55,'202306'!$AA$5:$AD$55,4,FALSE),0))</f>
        <v>95</v>
      </c>
      <c r="H55" s="158">
        <f t="shared" si="2"/>
        <v>6.463904198135674E-3</v>
      </c>
      <c r="I55" s="165">
        <f>SUM($G$7:G55)</f>
        <v>14662</v>
      </c>
      <c r="J55" s="160">
        <f t="shared" si="3"/>
        <v>0.99761856161121321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33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_xlfn.IFNA(VLOOKUP(D57,'202306'!$AA$5:$AD$55,4,FALSE),0)</f>
        <v>35</v>
      </c>
      <c r="H57" s="173">
        <f>G57/J3</f>
        <v>2.3814383887868274E-3</v>
      </c>
      <c r="I57" s="174">
        <f>SUM($G$7:G57)</f>
        <v>14697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74">
    <mergeCell ref="I53:I54"/>
    <mergeCell ref="J53:J54"/>
    <mergeCell ref="D53:D54"/>
    <mergeCell ref="E53:E54"/>
    <mergeCell ref="F53:F54"/>
    <mergeCell ref="G53:G54"/>
    <mergeCell ref="H53:H54"/>
    <mergeCell ref="I44:I45"/>
    <mergeCell ref="J44:J45"/>
    <mergeCell ref="D48:D49"/>
    <mergeCell ref="E48:E49"/>
    <mergeCell ref="F48:F49"/>
    <mergeCell ref="G48:G49"/>
    <mergeCell ref="H48:H49"/>
    <mergeCell ref="I48:I49"/>
    <mergeCell ref="J48:J49"/>
    <mergeCell ref="D44:D45"/>
    <mergeCell ref="E44:E45"/>
    <mergeCell ref="F44:F45"/>
    <mergeCell ref="G44:G45"/>
    <mergeCell ref="H44:H45"/>
    <mergeCell ref="I35:I36"/>
    <mergeCell ref="J35:J36"/>
    <mergeCell ref="D39:D40"/>
    <mergeCell ref="E39:E40"/>
    <mergeCell ref="F39:F40"/>
    <mergeCell ref="G39:G40"/>
    <mergeCell ref="H39:H40"/>
    <mergeCell ref="I39:I40"/>
    <mergeCell ref="J39:J40"/>
    <mergeCell ref="D35:D36"/>
    <mergeCell ref="E35:E36"/>
    <mergeCell ref="F35:F36"/>
    <mergeCell ref="G35:G36"/>
    <mergeCell ref="H35:H36"/>
    <mergeCell ref="I26:I27"/>
    <mergeCell ref="J26:J27"/>
    <mergeCell ref="D30:D31"/>
    <mergeCell ref="E30:E31"/>
    <mergeCell ref="F30:F31"/>
    <mergeCell ref="G30:G31"/>
    <mergeCell ref="H30:H31"/>
    <mergeCell ref="I30:I31"/>
    <mergeCell ref="J30:J31"/>
    <mergeCell ref="D26:D27"/>
    <mergeCell ref="E26:E27"/>
    <mergeCell ref="F26:F27"/>
    <mergeCell ref="G26:G27"/>
    <mergeCell ref="H26:H27"/>
    <mergeCell ref="I17:I18"/>
    <mergeCell ref="J17:J18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17:D18"/>
    <mergeCell ref="E17:E18"/>
    <mergeCell ref="F17:F18"/>
    <mergeCell ref="G17:G18"/>
    <mergeCell ref="H17:H18"/>
  </mergeCells>
  <phoneticPr fontId="1" type="noConversion"/>
  <conditionalFormatting sqref="D7:J7 D57:J57 D9:J12 D14:J17 D19:J21 D23:J26 D28:J30 D32:J35 D37:J39 D41:J44 D46:J48 D50:J53 D55:J55">
    <cfRule type="expression" dxfId="125" priority="7">
      <formula>OR($D7=$P$7:$P$14)</formula>
    </cfRule>
  </conditionalFormatting>
  <conditionalFormatting sqref="C7:C57">
    <cfRule type="expression" dxfId="124" priority="6">
      <formula>OR(AND($D7=0,OR($D6=$P$7:$P$14)),AND($D8&gt;0,OR($D7=$P$7:$P$14)))</formula>
    </cfRule>
  </conditionalFormatting>
  <conditionalFormatting sqref="D7 D57 D9:D12 D14:D17 D19:D21 D23:D26 D28:D30 D32:D35 D37:D39 D41:D44 D46:D48 D50:D53 D55">
    <cfRule type="expression" dxfId="123" priority="5">
      <formula>$D7=$D8</formula>
    </cfRule>
  </conditionalFormatting>
  <conditionalFormatting sqref="D56">
    <cfRule type="expression" dxfId="122" priority="4">
      <formula>OR($D56=$P$7:$P$14)</formula>
    </cfRule>
  </conditionalFormatting>
  <conditionalFormatting sqref="D56">
    <cfRule type="expression" dxfId="121" priority="3">
      <formula>$D56=$D57</formula>
    </cfRule>
  </conditionalFormatting>
  <conditionalFormatting sqref="D8">
    <cfRule type="expression" dxfId="120" priority="2">
      <formula>OR($D8=$P$7:$P$14)</formula>
    </cfRule>
  </conditionalFormatting>
  <conditionalFormatting sqref="D8">
    <cfRule type="expression" dxfId="119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4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기능'!D10</f>
        <v>20</v>
      </c>
      <c r="I3" s="10" t="s">
        <v>98</v>
      </c>
      <c r="J3" s="145">
        <f>'통계 및 응시자 수 입력 기능'!C10</f>
        <v>5974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116</v>
      </c>
      <c r="E4" s="302"/>
      <c r="F4" s="303"/>
      <c r="G4" s="147" t="s">
        <v>101</v>
      </c>
      <c r="H4" s="148">
        <f>'통계 및 응시자 수 입력 기능'!E10</f>
        <v>12.5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74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98</v>
      </c>
      <c r="G7" s="157">
        <f>_xlfn.IFNA(VLOOKUP(D7,'202306'!$AF$5:$AI$55,4,FALSE),0)</f>
        <v>182</v>
      </c>
      <c r="H7" s="158">
        <f>G7/J3</f>
        <v>3.0465349849347172E-2</v>
      </c>
      <c r="I7" s="159">
        <f>G7</f>
        <v>182</v>
      </c>
      <c r="J7" s="160">
        <f>I7/J3</f>
        <v>3.0465349849347172E-2</v>
      </c>
      <c r="K7" s="14"/>
      <c r="M7" s="1"/>
      <c r="O7" s="1">
        <v>1</v>
      </c>
      <c r="P7" s="1">
        <f>'표준점수 등급컷 입력기능'!H16</f>
        <v>72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입력기능'!H17</f>
        <v>66</v>
      </c>
    </row>
    <row r="9" spans="1:16" ht="25" customHeight="1" x14ac:dyDescent="0.45">
      <c r="A9" s="4"/>
      <c r="B9" s="13"/>
      <c r="C9" s="154">
        <v>48</v>
      </c>
      <c r="D9" s="307">
        <f>ROUND(10*(C9-$H$3)/$H$4+50,0)</f>
        <v>72</v>
      </c>
      <c r="E9" s="307">
        <f t="shared" si="0"/>
        <v>1</v>
      </c>
      <c r="F9" s="309">
        <f>IF(I8=0,ROUND(100*(1-(I7+I9)/2/$J$3),0),ROUND(100*(1-(I8+I9)/2/$J$3),0))</f>
        <v>96</v>
      </c>
      <c r="G9" s="311">
        <f>_xlfn.IFNA(VLOOKUP(D9,'202306'!$AF$5:$AI$55,4,FALSE),0)</f>
        <v>159</v>
      </c>
      <c r="H9" s="313">
        <f>G9/$J$3</f>
        <v>2.6615333110143958E-2</v>
      </c>
      <c r="I9" s="315">
        <f>SUM($G$7:G9)</f>
        <v>341</v>
      </c>
      <c r="J9" s="317">
        <f>I9/$J$3</f>
        <v>5.7080682959491126E-2</v>
      </c>
      <c r="K9" s="14"/>
      <c r="M9" s="1"/>
      <c r="O9" s="1">
        <v>3</v>
      </c>
      <c r="P9" s="1">
        <f>'표준점수 등급컷 입력기능'!H18</f>
        <v>57</v>
      </c>
    </row>
    <row r="10" spans="1:16" ht="25" customHeight="1" x14ac:dyDescent="0.45">
      <c r="A10" s="4"/>
      <c r="B10" s="13"/>
      <c r="C10" s="161">
        <v>47</v>
      </c>
      <c r="D10" s="308"/>
      <c r="E10" s="308"/>
      <c r="F10" s="310"/>
      <c r="G10" s="312"/>
      <c r="H10" s="314"/>
      <c r="I10" s="316"/>
      <c r="J10" s="318"/>
      <c r="K10" s="14"/>
      <c r="M10" s="1"/>
      <c r="O10" s="1">
        <v>4</v>
      </c>
      <c r="P10" s="1">
        <f>'표준점수 등급컷 입력기능'!H19</f>
        <v>49</v>
      </c>
    </row>
    <row r="11" spans="1:16" ht="25" customHeight="1" x14ac:dyDescent="0.45">
      <c r="A11" s="4"/>
      <c r="B11" s="13"/>
      <c r="C11" s="154">
        <v>46</v>
      </c>
      <c r="D11" s="155">
        <f t="shared" ref="D11:D54" si="1">ROUND(10*(C11-$H$3)/$H$4+50,0)</f>
        <v>71</v>
      </c>
      <c r="E11" s="155">
        <f t="shared" si="0"/>
        <v>2</v>
      </c>
      <c r="F11" s="156">
        <f t="shared" ref="F11:F54" si="2">IF(I10=0,ROUND(100*(1-(I9+I11)/2/$J$3),0),ROUND(100*(1-(I10+I11)/2/$J$3),0))</f>
        <v>94</v>
      </c>
      <c r="G11" s="157">
        <f>IF(D11=D10,"",_xlfn.IFNA(VLOOKUP(D11,'202306'!$AF$5:$AI$55,4,FALSE),0))</f>
        <v>15</v>
      </c>
      <c r="H11" s="158">
        <f t="shared" ref="H11:H54" si="3">G11/$J$3</f>
        <v>2.5108804820890528E-3</v>
      </c>
      <c r="I11" s="165">
        <f>SUM($G$7:G11)</f>
        <v>356</v>
      </c>
      <c r="J11" s="160">
        <f t="shared" ref="J11:J54" si="4">I11/$J$3</f>
        <v>5.9591563441580182E-2</v>
      </c>
      <c r="K11" s="14"/>
      <c r="M11" s="1"/>
      <c r="O11" s="1">
        <v>5</v>
      </c>
      <c r="P11" s="1">
        <f>'표준점수 등급컷 입력기능'!H20</f>
        <v>44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70</v>
      </c>
      <c r="E12" s="155">
        <f t="shared" si="0"/>
        <v>2</v>
      </c>
      <c r="F12" s="156">
        <f t="shared" si="2"/>
        <v>93</v>
      </c>
      <c r="G12" s="157">
        <f>IF(D12=D11,"",_xlfn.IFNA(VLOOKUP(D12,'202306'!$AF$5:$AI$55,4,FALSE),0))</f>
        <v>68</v>
      </c>
      <c r="H12" s="158">
        <f t="shared" si="3"/>
        <v>1.1382658185470372E-2</v>
      </c>
      <c r="I12" s="165">
        <f>SUM($G$7:G12)</f>
        <v>424</v>
      </c>
      <c r="J12" s="160">
        <f t="shared" si="4"/>
        <v>7.0974221627050554E-2</v>
      </c>
      <c r="K12" s="14"/>
      <c r="M12" s="1"/>
      <c r="O12" s="1">
        <v>6</v>
      </c>
      <c r="P12" s="1">
        <f>'표준점수 등급컷 입력기능'!H21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1"/>
        <v>69</v>
      </c>
      <c r="E13" s="155">
        <f t="shared" si="0"/>
        <v>2</v>
      </c>
      <c r="F13" s="156">
        <f t="shared" si="2"/>
        <v>92</v>
      </c>
      <c r="G13" s="157">
        <f>IF(D13=D12,"",_xlfn.IFNA(VLOOKUP(D13,'202306'!$AF$5:$AI$55,4,FALSE),0))</f>
        <v>68</v>
      </c>
      <c r="H13" s="158">
        <f t="shared" si="3"/>
        <v>1.1382658185470372E-2</v>
      </c>
      <c r="I13" s="165">
        <f>SUM($G$7:G13)</f>
        <v>492</v>
      </c>
      <c r="J13" s="160">
        <f t="shared" si="4"/>
        <v>8.2356879812520919E-2</v>
      </c>
      <c r="K13" s="14"/>
      <c r="M13" s="1"/>
      <c r="O13" s="1">
        <v>7</v>
      </c>
      <c r="P13" s="1">
        <f>'표준점수 등급컷 입력기능'!H22</f>
        <v>40</v>
      </c>
    </row>
    <row r="14" spans="1:16" ht="25" customHeight="1" x14ac:dyDescent="0.45">
      <c r="A14" s="4"/>
      <c r="B14" s="13"/>
      <c r="C14" s="161">
        <v>43</v>
      </c>
      <c r="D14" s="307">
        <f t="shared" si="1"/>
        <v>68</v>
      </c>
      <c r="E14" s="307">
        <f t="shared" si="0"/>
        <v>2</v>
      </c>
      <c r="F14" s="309">
        <f t="shared" si="2"/>
        <v>91</v>
      </c>
      <c r="G14" s="311">
        <f>IF(D14=D13,"",_xlfn.IFNA(VLOOKUP(D14,'202306'!$AF$5:$AI$55,4,FALSE),0))</f>
        <v>98</v>
      </c>
      <c r="H14" s="313">
        <f t="shared" si="3"/>
        <v>1.6404419149648478E-2</v>
      </c>
      <c r="I14" s="315">
        <f>SUM($G$7:G14)</f>
        <v>590</v>
      </c>
      <c r="J14" s="317">
        <f t="shared" si="4"/>
        <v>9.8761298962169397E-2</v>
      </c>
      <c r="K14" s="14"/>
      <c r="M14" s="1"/>
      <c r="O14" s="1">
        <v>8</v>
      </c>
      <c r="P14" s="1">
        <f>'표준점수 등급컷 입력기능'!H23</f>
        <v>38</v>
      </c>
    </row>
    <row r="15" spans="1:16" ht="25" customHeight="1" x14ac:dyDescent="0.45">
      <c r="A15" s="4"/>
      <c r="B15" s="13"/>
      <c r="C15" s="154">
        <v>42</v>
      </c>
      <c r="D15" s="308"/>
      <c r="E15" s="308"/>
      <c r="F15" s="310"/>
      <c r="G15" s="312"/>
      <c r="H15" s="314"/>
      <c r="I15" s="316"/>
      <c r="J15" s="318"/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67</v>
      </c>
      <c r="E16" s="155">
        <f t="shared" si="0"/>
        <v>2</v>
      </c>
      <c r="F16" s="156">
        <f t="shared" si="2"/>
        <v>90</v>
      </c>
      <c r="G16" s="157">
        <f>IF(D16=D15,"",_xlfn.IFNA(VLOOKUP(D16,'202306'!$AF$5:$AI$55,4,FALSE),0))</f>
        <v>38</v>
      </c>
      <c r="H16" s="158">
        <f t="shared" si="3"/>
        <v>6.3608972212922665E-3</v>
      </c>
      <c r="I16" s="165">
        <f>SUM($G$7:G16)</f>
        <v>628</v>
      </c>
      <c r="J16" s="160">
        <f t="shared" si="4"/>
        <v>0.10512219618346166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66</v>
      </c>
      <c r="E17" s="155">
        <f t="shared" si="0"/>
        <v>2</v>
      </c>
      <c r="F17" s="156">
        <f t="shared" si="2"/>
        <v>89</v>
      </c>
      <c r="G17" s="157">
        <f>IF(D17=D16,"",_xlfn.IFNA(VLOOKUP(D17,'202306'!$AF$5:$AI$55,4,FALSE),0))</f>
        <v>37</v>
      </c>
      <c r="H17" s="158">
        <f t="shared" si="3"/>
        <v>6.1935051891529964E-3</v>
      </c>
      <c r="I17" s="165">
        <f>SUM($G$7:G17)</f>
        <v>665</v>
      </c>
      <c r="J17" s="160">
        <f t="shared" si="4"/>
        <v>0.11131570137261466</v>
      </c>
      <c r="K17" s="14"/>
      <c r="M17" s="1"/>
      <c r="P17" s="1">
        <f>H3*H4*J3*P7*IFERROR(IF(J57=1, 1, 0), 0)</f>
        <v>107532000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65</v>
      </c>
      <c r="E18" s="155">
        <f t="shared" si="0"/>
        <v>3</v>
      </c>
      <c r="F18" s="156">
        <f t="shared" si="2"/>
        <v>88</v>
      </c>
      <c r="G18" s="157">
        <f>IF(D18=D17,"",_xlfn.IFNA(VLOOKUP(D18,'202306'!$AF$5:$AI$55,4,FALSE),0))</f>
        <v>63</v>
      </c>
      <c r="H18" s="158">
        <f t="shared" si="3"/>
        <v>1.0545698024774021E-2</v>
      </c>
      <c r="I18" s="165">
        <f>SUM($G$7:G18)</f>
        <v>728</v>
      </c>
      <c r="J18" s="160">
        <f t="shared" si="4"/>
        <v>0.12186139939738869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307">
        <f t="shared" si="1"/>
        <v>64</v>
      </c>
      <c r="E19" s="307">
        <f t="shared" si="0"/>
        <v>3</v>
      </c>
      <c r="F19" s="309">
        <f t="shared" si="2"/>
        <v>87</v>
      </c>
      <c r="G19" s="311">
        <f>IF(D19=D18,"",_xlfn.IFNA(VLOOKUP(D19,'202306'!$AF$5:$AI$55,4,FALSE),0))</f>
        <v>120</v>
      </c>
      <c r="H19" s="313">
        <f t="shared" si="3"/>
        <v>2.0087043856712422E-2</v>
      </c>
      <c r="I19" s="315">
        <f>SUM($G$7:G19)</f>
        <v>848</v>
      </c>
      <c r="J19" s="317">
        <f t="shared" si="4"/>
        <v>0.14194844325410111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308"/>
      <c r="E20" s="308"/>
      <c r="F20" s="310"/>
      <c r="G20" s="312"/>
      <c r="H20" s="314"/>
      <c r="I20" s="316"/>
      <c r="J20" s="318"/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63</v>
      </c>
      <c r="E21" s="176">
        <f t="shared" si="0"/>
        <v>3</v>
      </c>
      <c r="F21" s="156">
        <f t="shared" si="2"/>
        <v>85</v>
      </c>
      <c r="G21" s="157">
        <f>IF(D21=D20,"",_xlfn.IFNA(VLOOKUP(D21,'202306'!$AF$5:$AI$55,4,FALSE),0))</f>
        <v>60</v>
      </c>
      <c r="H21" s="158">
        <f t="shared" si="3"/>
        <v>1.0043521928356211E-2</v>
      </c>
      <c r="I21" s="165">
        <f>SUM($G$7:G21)</f>
        <v>908</v>
      </c>
      <c r="J21" s="160">
        <f t="shared" si="4"/>
        <v>0.15199196518245731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62</v>
      </c>
      <c r="E22" s="176">
        <f t="shared" si="0"/>
        <v>3</v>
      </c>
      <c r="F22" s="156">
        <f t="shared" si="2"/>
        <v>84</v>
      </c>
      <c r="G22" s="157">
        <f>IF(D22=D21,"",_xlfn.IFNA(VLOOKUP(D22,'202306'!$AF$5:$AI$55,4,FALSE),0))</f>
        <v>37</v>
      </c>
      <c r="H22" s="158">
        <f t="shared" si="3"/>
        <v>6.1935051891529964E-3</v>
      </c>
      <c r="I22" s="165">
        <f>SUM($G$7:G22)</f>
        <v>945</v>
      </c>
      <c r="J22" s="160">
        <f t="shared" si="4"/>
        <v>0.15818547037161032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61</v>
      </c>
      <c r="E23" s="176">
        <f t="shared" si="0"/>
        <v>3</v>
      </c>
      <c r="F23" s="156">
        <f t="shared" si="2"/>
        <v>84</v>
      </c>
      <c r="G23" s="157">
        <f>IF(D23=D22,"",_xlfn.IFNA(VLOOKUP(D23,'202306'!$AF$5:$AI$55,4,FALSE),0))</f>
        <v>80</v>
      </c>
      <c r="H23" s="158">
        <f t="shared" si="3"/>
        <v>1.3391362571141614E-2</v>
      </c>
      <c r="I23" s="165">
        <f>SUM($G$7:G23)</f>
        <v>1025</v>
      </c>
      <c r="J23" s="160">
        <f t="shared" si="4"/>
        <v>0.17157683294275192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319">
        <f t="shared" si="1"/>
        <v>60</v>
      </c>
      <c r="E24" s="319">
        <f t="shared" si="0"/>
        <v>3</v>
      </c>
      <c r="F24" s="309">
        <f t="shared" si="2"/>
        <v>82</v>
      </c>
      <c r="G24" s="311">
        <f>IF(D24=D23,"",_xlfn.IFNA(VLOOKUP(D24,'202306'!$AF$5:$AI$55,4,FALSE),0))</f>
        <v>126</v>
      </c>
      <c r="H24" s="313">
        <f t="shared" si="3"/>
        <v>2.1091396049548041E-2</v>
      </c>
      <c r="I24" s="315">
        <f>SUM($G$7:G24)</f>
        <v>1151</v>
      </c>
      <c r="J24" s="317">
        <f t="shared" si="4"/>
        <v>0.19266822899229996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320"/>
      <c r="E25" s="320"/>
      <c r="F25" s="310"/>
      <c r="G25" s="312"/>
      <c r="H25" s="314"/>
      <c r="I25" s="316"/>
      <c r="J25" s="318"/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59</v>
      </c>
      <c r="E26" s="176">
        <f t="shared" si="0"/>
        <v>3</v>
      </c>
      <c r="F26" s="156">
        <f t="shared" si="2"/>
        <v>80</v>
      </c>
      <c r="G26" s="157">
        <f>IF(D26=D25,"",_xlfn.IFNA(VLOOKUP(D26,'202306'!$AF$5:$AI$55,4,FALSE),0))</f>
        <v>80</v>
      </c>
      <c r="H26" s="158">
        <f t="shared" si="3"/>
        <v>1.3391362571141614E-2</v>
      </c>
      <c r="I26" s="165">
        <f>SUM($G$7:G26)</f>
        <v>1231</v>
      </c>
      <c r="J26" s="160">
        <f t="shared" si="4"/>
        <v>0.20605959156344159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58</v>
      </c>
      <c r="E27" s="176">
        <f t="shared" si="0"/>
        <v>3</v>
      </c>
      <c r="F27" s="156">
        <f t="shared" si="2"/>
        <v>79</v>
      </c>
      <c r="G27" s="157">
        <f>IF(D27=D26,"",_xlfn.IFNA(VLOOKUP(D27,'202306'!$AF$5:$AI$55,4,FALSE),0))</f>
        <v>73</v>
      </c>
      <c r="H27" s="158">
        <f t="shared" si="3"/>
        <v>1.2219618346166722E-2</v>
      </c>
      <c r="I27" s="165">
        <f>SUM($G$7:G27)</f>
        <v>1304</v>
      </c>
      <c r="J27" s="160">
        <f t="shared" si="4"/>
        <v>0.21827920990960831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57</v>
      </c>
      <c r="E28" s="176">
        <f t="shared" si="0"/>
        <v>3</v>
      </c>
      <c r="F28" s="156">
        <f t="shared" si="2"/>
        <v>77</v>
      </c>
      <c r="G28" s="157">
        <f>IF(D28=D27,"",_xlfn.IFNA(VLOOKUP(D28,'202306'!$AF$5:$AI$55,4,FALSE),0))</f>
        <v>83</v>
      </c>
      <c r="H28" s="158">
        <f t="shared" si="3"/>
        <v>1.3893538667559425E-2</v>
      </c>
      <c r="I28" s="165">
        <f>SUM($G$7:G28)</f>
        <v>1387</v>
      </c>
      <c r="J28" s="160">
        <f t="shared" si="4"/>
        <v>0.23217274857716771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19">
        <f t="shared" si="1"/>
        <v>56</v>
      </c>
      <c r="E29" s="319">
        <f t="shared" si="0"/>
        <v>4</v>
      </c>
      <c r="F29" s="309">
        <f t="shared" si="2"/>
        <v>75</v>
      </c>
      <c r="G29" s="311">
        <f>IF(D29=D28,"",_xlfn.IFNA(VLOOKUP(D29,'202306'!$AF$5:$AI$55,4,FALSE),0))</f>
        <v>188</v>
      </c>
      <c r="H29" s="313">
        <f t="shared" si="3"/>
        <v>3.1469702042182794E-2</v>
      </c>
      <c r="I29" s="315">
        <f>SUM($G$7:G29)</f>
        <v>1575</v>
      </c>
      <c r="J29" s="317">
        <f t="shared" si="4"/>
        <v>0.26364245061935054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320"/>
      <c r="E30" s="320"/>
      <c r="F30" s="310"/>
      <c r="G30" s="312"/>
      <c r="H30" s="314"/>
      <c r="I30" s="316"/>
      <c r="J30" s="318"/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55</v>
      </c>
      <c r="E31" s="176">
        <f t="shared" si="0"/>
        <v>4</v>
      </c>
      <c r="F31" s="156">
        <f t="shared" si="2"/>
        <v>73</v>
      </c>
      <c r="G31" s="157">
        <f>IF(D31=D30,"",_xlfn.IFNA(VLOOKUP(D31,'202306'!$AF$5:$AI$55,4,FALSE),0))</f>
        <v>93</v>
      </c>
      <c r="H31" s="158">
        <f t="shared" si="3"/>
        <v>1.5567458988952126E-2</v>
      </c>
      <c r="I31" s="165">
        <f>SUM($G$7:G31)</f>
        <v>1668</v>
      </c>
      <c r="J31" s="160">
        <f t="shared" si="4"/>
        <v>0.27920990960830266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54</v>
      </c>
      <c r="E32" s="176">
        <f t="shared" si="0"/>
        <v>4</v>
      </c>
      <c r="F32" s="156">
        <f t="shared" si="2"/>
        <v>71</v>
      </c>
      <c r="G32" s="157">
        <f>IF(D32=D31,"",_xlfn.IFNA(VLOOKUP(D32,'202306'!$AF$5:$AI$55,4,FALSE),0))</f>
        <v>85</v>
      </c>
      <c r="H32" s="158">
        <f t="shared" si="3"/>
        <v>1.4228322731837965E-2</v>
      </c>
      <c r="I32" s="165">
        <f>SUM($G$7:G32)</f>
        <v>1753</v>
      </c>
      <c r="J32" s="160">
        <f t="shared" si="4"/>
        <v>0.2934382323401406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53</v>
      </c>
      <c r="E33" s="176">
        <f t="shared" si="0"/>
        <v>4</v>
      </c>
      <c r="F33" s="156">
        <f t="shared" si="2"/>
        <v>70</v>
      </c>
      <c r="G33" s="157">
        <f>IF(D33=D32,"",_xlfn.IFNA(VLOOKUP(D33,'202306'!$AF$5:$AI$55,4,FALSE),0))</f>
        <v>100</v>
      </c>
      <c r="H33" s="158">
        <f t="shared" si="3"/>
        <v>1.6739203213927016E-2</v>
      </c>
      <c r="I33" s="165">
        <f>SUM($G$7:G33)</f>
        <v>1853</v>
      </c>
      <c r="J33" s="160">
        <f t="shared" si="4"/>
        <v>0.31017743555406763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319">
        <f t="shared" si="1"/>
        <v>52</v>
      </c>
      <c r="E34" s="319">
        <f t="shared" si="0"/>
        <v>4</v>
      </c>
      <c r="F34" s="309">
        <f t="shared" si="2"/>
        <v>67</v>
      </c>
      <c r="G34" s="311">
        <f>IF(D34=D33,"",_xlfn.IFNA(VLOOKUP(D34,'202306'!$AF$5:$AI$55,4,FALSE),0))</f>
        <v>242</v>
      </c>
      <c r="H34" s="313">
        <f t="shared" si="3"/>
        <v>4.0508871777703383E-2</v>
      </c>
      <c r="I34" s="315">
        <f>SUM($G$7:G34)</f>
        <v>2095</v>
      </c>
      <c r="J34" s="317">
        <f t="shared" si="4"/>
        <v>0.35068630733177103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20"/>
      <c r="E35" s="320"/>
      <c r="F35" s="310"/>
      <c r="G35" s="312"/>
      <c r="H35" s="314"/>
      <c r="I35" s="316"/>
      <c r="J35" s="318"/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51</v>
      </c>
      <c r="E36" s="176">
        <f t="shared" si="0"/>
        <v>4</v>
      </c>
      <c r="F36" s="156">
        <f t="shared" si="2"/>
        <v>64</v>
      </c>
      <c r="G36" s="157">
        <f>IF(D36=D35,"",_xlfn.IFNA(VLOOKUP(D36,'202306'!$AF$5:$AI$55,4,FALSE),0))</f>
        <v>134</v>
      </c>
      <c r="H36" s="158">
        <f t="shared" si="3"/>
        <v>2.2430532306662202E-2</v>
      </c>
      <c r="I36" s="165">
        <f>SUM($G$7:G36)</f>
        <v>2229</v>
      </c>
      <c r="J36" s="160">
        <f t="shared" si="4"/>
        <v>0.37311683963843323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50</v>
      </c>
      <c r="E37" s="176">
        <f t="shared" si="0"/>
        <v>4</v>
      </c>
      <c r="F37" s="156">
        <f t="shared" si="2"/>
        <v>61</v>
      </c>
      <c r="G37" s="157">
        <f>IF(D37=D36,"",_xlfn.IFNA(VLOOKUP(D37,'202306'!$AF$5:$AI$55,4,FALSE),0))</f>
        <v>145</v>
      </c>
      <c r="H37" s="158">
        <f t="shared" si="3"/>
        <v>2.4271844660194174E-2</v>
      </c>
      <c r="I37" s="165">
        <f>SUM($G$7:G37)</f>
        <v>2374</v>
      </c>
      <c r="J37" s="160">
        <f t="shared" si="4"/>
        <v>0.39738868429862739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49</v>
      </c>
      <c r="E38" s="176">
        <f t="shared" si="0"/>
        <v>4</v>
      </c>
      <c r="F38" s="156">
        <f t="shared" si="2"/>
        <v>59</v>
      </c>
      <c r="G38" s="157">
        <f>IF(D38=D37,"",_xlfn.IFNA(VLOOKUP(D38,'202306'!$AF$5:$AI$55,4,FALSE),0))</f>
        <v>164</v>
      </c>
      <c r="H38" s="158">
        <f t="shared" si="3"/>
        <v>2.7452293270840308E-2</v>
      </c>
      <c r="I38" s="165">
        <f>SUM($G$7:G38)</f>
        <v>2538</v>
      </c>
      <c r="J38" s="160">
        <f t="shared" si="4"/>
        <v>0.4248409775694677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319">
        <f t="shared" si="1"/>
        <v>48</v>
      </c>
      <c r="E39" s="319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309">
        <f t="shared" si="2"/>
        <v>55</v>
      </c>
      <c r="G39" s="311">
        <f>IF(D39=D38,"",_xlfn.IFNA(VLOOKUP(D39,'202306'!$AF$5:$AI$55,4,FALSE),0))</f>
        <v>306</v>
      </c>
      <c r="H39" s="313">
        <f t="shared" si="3"/>
        <v>5.1221961834616671E-2</v>
      </c>
      <c r="I39" s="315">
        <f>SUM($G$7:G39)</f>
        <v>2844</v>
      </c>
      <c r="J39" s="317">
        <f t="shared" si="4"/>
        <v>0.47606293940408434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20"/>
      <c r="E40" s="320"/>
      <c r="F40" s="310"/>
      <c r="G40" s="312"/>
      <c r="H40" s="314"/>
      <c r="I40" s="316"/>
      <c r="J40" s="318"/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47</v>
      </c>
      <c r="E41" s="176">
        <f t="shared" si="5"/>
        <v>5</v>
      </c>
      <c r="F41" s="156">
        <f t="shared" si="2"/>
        <v>51</v>
      </c>
      <c r="G41" s="157">
        <f>IF(D41=D40,"",_xlfn.IFNA(VLOOKUP(D41,'202306'!$AF$5:$AI$55,4,FALSE),0))</f>
        <v>177</v>
      </c>
      <c r="H41" s="158">
        <f t="shared" si="3"/>
        <v>2.9628389688650822E-2</v>
      </c>
      <c r="I41" s="165">
        <f>SUM($G$7:G41)</f>
        <v>3021</v>
      </c>
      <c r="J41" s="160">
        <f t="shared" si="4"/>
        <v>0.50569132909273518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46</v>
      </c>
      <c r="E42" s="176">
        <f t="shared" si="5"/>
        <v>5</v>
      </c>
      <c r="F42" s="156">
        <f t="shared" si="2"/>
        <v>48</v>
      </c>
      <c r="G42" s="157">
        <f>IF(D42=D41,"",_xlfn.IFNA(VLOOKUP(D42,'202306'!$AF$5:$AI$55,4,FALSE),0))</f>
        <v>186</v>
      </c>
      <c r="H42" s="158">
        <f t="shared" si="3"/>
        <v>3.1134917977904252E-2</v>
      </c>
      <c r="I42" s="165">
        <f>SUM($G$7:G42)</f>
        <v>3207</v>
      </c>
      <c r="J42" s="160">
        <f t="shared" si="4"/>
        <v>0.53682624707063942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45</v>
      </c>
      <c r="E43" s="176">
        <f t="shared" si="5"/>
        <v>5</v>
      </c>
      <c r="F43" s="156">
        <f t="shared" si="2"/>
        <v>45</v>
      </c>
      <c r="G43" s="157">
        <f>IF(D43=D42,"",_xlfn.IFNA(VLOOKUP(D43,'202306'!$AF$5:$AI$55,4,FALSE),0))</f>
        <v>188</v>
      </c>
      <c r="H43" s="158">
        <f t="shared" si="3"/>
        <v>3.1469702042182794E-2</v>
      </c>
      <c r="I43" s="165">
        <f>SUM($G$7:G43)</f>
        <v>3395</v>
      </c>
      <c r="J43" s="160">
        <f t="shared" si="4"/>
        <v>0.56829594911282222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44</v>
      </c>
      <c r="E44" s="319">
        <f t="shared" si="5"/>
        <v>5</v>
      </c>
      <c r="F44" s="309">
        <f t="shared" si="2"/>
        <v>39</v>
      </c>
      <c r="G44" s="311">
        <f>IF(D44=D43,"",_xlfn.IFNA(VLOOKUP(D44,'202306'!$AF$5:$AI$55,4,FALSE),0))</f>
        <v>502</v>
      </c>
      <c r="H44" s="313">
        <f t="shared" si="3"/>
        <v>8.4030800133913619E-2</v>
      </c>
      <c r="I44" s="315">
        <f>SUM($G$7:G44)</f>
        <v>3897</v>
      </c>
      <c r="J44" s="317">
        <f t="shared" si="4"/>
        <v>0.65232674924673584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43</v>
      </c>
      <c r="E46" s="176">
        <f t="shared" si="5"/>
        <v>6</v>
      </c>
      <c r="F46" s="156">
        <f t="shared" si="2"/>
        <v>29</v>
      </c>
      <c r="G46" s="157">
        <f>IF(D46=D45,"",_xlfn.IFNA(VLOOKUP(D46,'202306'!$AF$5:$AI$55,4,FALSE),0))</f>
        <v>637</v>
      </c>
      <c r="H46" s="158">
        <f t="shared" si="3"/>
        <v>0.1066287244727151</v>
      </c>
      <c r="I46" s="165">
        <f>SUM($G$7:G46)</f>
        <v>4534</v>
      </c>
      <c r="J46" s="160">
        <f t="shared" si="4"/>
        <v>0.75895547371945093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42</v>
      </c>
      <c r="E47" s="176">
        <f t="shared" si="5"/>
        <v>6</v>
      </c>
      <c r="F47" s="156">
        <f t="shared" si="2"/>
        <v>20</v>
      </c>
      <c r="G47" s="157">
        <f>IF(D47=D46,"",_xlfn.IFNA(VLOOKUP(D47,'202306'!$AF$5:$AI$55,4,FALSE),0))</f>
        <v>532</v>
      </c>
      <c r="H47" s="158">
        <f t="shared" si="3"/>
        <v>8.9052561098091731E-2</v>
      </c>
      <c r="I47" s="165">
        <f>SUM($G$7:G47)</f>
        <v>5066</v>
      </c>
      <c r="J47" s="160">
        <f t="shared" si="4"/>
        <v>0.84800803481754272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41</v>
      </c>
      <c r="E48" s="176">
        <f t="shared" si="5"/>
        <v>7</v>
      </c>
      <c r="F48" s="156">
        <f t="shared" si="2"/>
        <v>14</v>
      </c>
      <c r="G48" s="157">
        <f>IF(D48=D47,"",_xlfn.IFNA(VLOOKUP(D48,'202306'!$AF$5:$AI$55,4,FALSE),0))</f>
        <v>171</v>
      </c>
      <c r="H48" s="158">
        <f t="shared" si="3"/>
        <v>2.8624037495815199E-2</v>
      </c>
      <c r="I48" s="165">
        <f>SUM($G$7:G48)</f>
        <v>5237</v>
      </c>
      <c r="J48" s="160">
        <f t="shared" si="4"/>
        <v>0.87663207231335794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19">
        <f t="shared" si="1"/>
        <v>40</v>
      </c>
      <c r="E49" s="319">
        <f t="shared" si="5"/>
        <v>7</v>
      </c>
      <c r="F49" s="309">
        <f t="shared" si="2"/>
        <v>9</v>
      </c>
      <c r="G49" s="311">
        <f>IF(D49=D48,"",_xlfn.IFNA(VLOOKUP(D49,'202306'!$AF$5:$AI$55,4,FALSE),0))</f>
        <v>363</v>
      </c>
      <c r="H49" s="313">
        <f t="shared" si="3"/>
        <v>6.0763307666555071E-2</v>
      </c>
      <c r="I49" s="315">
        <f>SUM($G$7:G49)</f>
        <v>5600</v>
      </c>
      <c r="J49" s="317">
        <f t="shared" si="4"/>
        <v>0.93739537997991296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320"/>
      <c r="E50" s="320"/>
      <c r="F50" s="310"/>
      <c r="G50" s="312"/>
      <c r="H50" s="314"/>
      <c r="I50" s="316"/>
      <c r="J50" s="318"/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39</v>
      </c>
      <c r="E51" s="176">
        <f t="shared" si="5"/>
        <v>8</v>
      </c>
      <c r="F51" s="156">
        <f t="shared" si="2"/>
        <v>5</v>
      </c>
      <c r="G51" s="157">
        <f>IF(D51=D50,"",_xlfn.IFNA(VLOOKUP(D51,'202306'!$AF$5:$AI$55,4,FALSE),0))</f>
        <v>121</v>
      </c>
      <c r="H51" s="158">
        <f t="shared" si="3"/>
        <v>2.0254435888851691E-2</v>
      </c>
      <c r="I51" s="165">
        <f>SUM($G$7:G51)</f>
        <v>5721</v>
      </c>
      <c r="J51" s="160">
        <f t="shared" si="4"/>
        <v>0.95764981586876463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38</v>
      </c>
      <c r="E52" s="176">
        <f t="shared" si="5"/>
        <v>8</v>
      </c>
      <c r="F52" s="156">
        <f t="shared" si="2"/>
        <v>3</v>
      </c>
      <c r="G52" s="157">
        <f>IF(D52=D51,"",_xlfn.IFNA(VLOOKUP(D52,'202306'!$AF$5:$AI$55,4,FALSE),0))</f>
        <v>94</v>
      </c>
      <c r="H52" s="158">
        <f t="shared" si="3"/>
        <v>1.5734851021091397E-2</v>
      </c>
      <c r="I52" s="165">
        <f>SUM($G$7:G52)</f>
        <v>5815</v>
      </c>
      <c r="J52" s="160">
        <f t="shared" si="4"/>
        <v>0.97338466688985603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37</v>
      </c>
      <c r="E53" s="155">
        <f t="shared" si="5"/>
        <v>9</v>
      </c>
      <c r="F53" s="156">
        <f t="shared" si="2"/>
        <v>2</v>
      </c>
      <c r="G53" s="157">
        <f>IF(D53=D52,"",_xlfn.IFNA(VLOOKUP(D53,'202306'!$AF$5:$AI$55,4,FALSE),0))</f>
        <v>58</v>
      </c>
      <c r="H53" s="158">
        <f t="shared" si="3"/>
        <v>9.7087378640776691E-3</v>
      </c>
      <c r="I53" s="165">
        <f>SUM($G$7:G53)</f>
        <v>5873</v>
      </c>
      <c r="J53" s="160">
        <f t="shared" si="4"/>
        <v>0.9830934047539337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307">
        <f t="shared" si="1"/>
        <v>36</v>
      </c>
      <c r="E54" s="307">
        <f t="shared" si="5"/>
        <v>9</v>
      </c>
      <c r="F54" s="309">
        <f t="shared" si="2"/>
        <v>1</v>
      </c>
      <c r="G54" s="311">
        <f>IF(D54=D53,"",_xlfn.IFNA(VLOOKUP(D54,'202306'!$AF$5:$AI$55,4,FALSE),0))</f>
        <v>84</v>
      </c>
      <c r="H54" s="313">
        <f t="shared" si="3"/>
        <v>1.4060930699698694E-2</v>
      </c>
      <c r="I54" s="315">
        <f>SUM($G$7:G54)</f>
        <v>5957</v>
      </c>
      <c r="J54" s="317">
        <f t="shared" si="4"/>
        <v>0.99715433545363241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308"/>
      <c r="E55" s="308"/>
      <c r="F55" s="310"/>
      <c r="G55" s="312"/>
      <c r="H55" s="314"/>
      <c r="I55" s="316"/>
      <c r="J55" s="318"/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34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_xlfn.IFNA(VLOOKUP(D57,'202306'!$AF$5:$AI$55,4,FALSE),0)</f>
        <v>17</v>
      </c>
      <c r="H57" s="173">
        <f>G57/J3</f>
        <v>2.845664546367593E-3</v>
      </c>
      <c r="I57" s="174">
        <f>SUM($G$7:G57)</f>
        <v>5974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74">
    <mergeCell ref="I54:I55"/>
    <mergeCell ref="J54:J55"/>
    <mergeCell ref="D54:D55"/>
    <mergeCell ref="E54:E55"/>
    <mergeCell ref="F54:F55"/>
    <mergeCell ref="G54:G55"/>
    <mergeCell ref="H54:H55"/>
    <mergeCell ref="I44:I45"/>
    <mergeCell ref="J44:J45"/>
    <mergeCell ref="D49:D50"/>
    <mergeCell ref="E49:E50"/>
    <mergeCell ref="F49:F50"/>
    <mergeCell ref="G49:G50"/>
    <mergeCell ref="H49:H50"/>
    <mergeCell ref="I49:I50"/>
    <mergeCell ref="J49:J50"/>
    <mergeCell ref="D44:D45"/>
    <mergeCell ref="E44:E45"/>
    <mergeCell ref="F44:F45"/>
    <mergeCell ref="G44:G45"/>
    <mergeCell ref="H44:H45"/>
    <mergeCell ref="I34:I35"/>
    <mergeCell ref="J34:J35"/>
    <mergeCell ref="D39:D40"/>
    <mergeCell ref="E39:E40"/>
    <mergeCell ref="F39:F40"/>
    <mergeCell ref="G39:G40"/>
    <mergeCell ref="H39:H40"/>
    <mergeCell ref="I39:I40"/>
    <mergeCell ref="J39:J40"/>
    <mergeCell ref="D34:D35"/>
    <mergeCell ref="E34:E35"/>
    <mergeCell ref="F34:F35"/>
    <mergeCell ref="G34:G35"/>
    <mergeCell ref="H34:H35"/>
    <mergeCell ref="I24:I25"/>
    <mergeCell ref="J24:J25"/>
    <mergeCell ref="D29:D30"/>
    <mergeCell ref="E29:E30"/>
    <mergeCell ref="F29:F30"/>
    <mergeCell ref="G29:G30"/>
    <mergeCell ref="H29:H30"/>
    <mergeCell ref="I29:I30"/>
    <mergeCell ref="J29:J30"/>
    <mergeCell ref="D24:D25"/>
    <mergeCell ref="E24:E25"/>
    <mergeCell ref="F24:F25"/>
    <mergeCell ref="G24:G25"/>
    <mergeCell ref="H24:H25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56:J56"/>
    <mergeCell ref="D8:J8"/>
    <mergeCell ref="D9:D10"/>
    <mergeCell ref="E9:E10"/>
    <mergeCell ref="F9:F10"/>
    <mergeCell ref="G9:G10"/>
    <mergeCell ref="H9:H10"/>
    <mergeCell ref="I9:I10"/>
    <mergeCell ref="J9:J10"/>
    <mergeCell ref="D14:D15"/>
    <mergeCell ref="E14:E15"/>
    <mergeCell ref="F14:F15"/>
    <mergeCell ref="G14:G15"/>
    <mergeCell ref="H14:H15"/>
  </mergeCells>
  <phoneticPr fontId="1" type="noConversion"/>
  <conditionalFormatting sqref="D7:J7 D57:J57 D9:J9 D11:J14 D16:J19 D21:J24 D26:J29 D31:J34 D36:J39 D41:J44 D46:J49 D51:J54">
    <cfRule type="expression" dxfId="118" priority="7">
      <formula>OR($D7=$P$7:$P$14)</formula>
    </cfRule>
  </conditionalFormatting>
  <conditionalFormatting sqref="C7:C57">
    <cfRule type="expression" dxfId="117" priority="6">
      <formula>OR(AND($D7=0,OR($D6=$P$7:$P$14)),AND($D8&gt;0,OR($D7=$P$7:$P$14)))</formula>
    </cfRule>
  </conditionalFormatting>
  <conditionalFormatting sqref="D7 D57 D9 D11:D14 D16:D19 D21:D24 D26:D29 D31:D34 D36:D39 D41:D44 D46:D49 D51:D54">
    <cfRule type="expression" dxfId="116" priority="5">
      <formula>$D7=$D8</formula>
    </cfRule>
  </conditionalFormatting>
  <conditionalFormatting sqref="D56">
    <cfRule type="expression" dxfId="115" priority="4">
      <formula>OR($D56=$P$7:$P$14)</formula>
    </cfRule>
  </conditionalFormatting>
  <conditionalFormatting sqref="D56">
    <cfRule type="expression" dxfId="114" priority="3">
      <formula>$D56=$D57</formula>
    </cfRule>
  </conditionalFormatting>
  <conditionalFormatting sqref="D8">
    <cfRule type="expression" dxfId="113" priority="2">
      <formula>OR($D8=$P$7:$P$14)</formula>
    </cfRule>
  </conditionalFormatting>
  <conditionalFormatting sqref="D8">
    <cfRule type="expression" dxfId="112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5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기능'!D11</f>
        <v>23.32</v>
      </c>
      <c r="I3" s="10" t="s">
        <v>98</v>
      </c>
      <c r="J3" s="145">
        <f>'통계 및 응시자 수 입력 기능'!C11</f>
        <v>25273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115</v>
      </c>
      <c r="E4" s="302"/>
      <c r="F4" s="303"/>
      <c r="G4" s="147" t="s">
        <v>101</v>
      </c>
      <c r="H4" s="148">
        <f>'통계 및 응시자 수 입력 기능'!E11</f>
        <v>12.81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71</v>
      </c>
      <c r="E7" s="155">
        <f t="shared" ref="E7:E3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_xlfn.IFNA(VLOOKUP(D7,'202306'!$AK$5:$AN$55,4,FALSE),0)</f>
        <v>315</v>
      </c>
      <c r="H7" s="158">
        <f>G7/J3</f>
        <v>1.2463894274522217E-2</v>
      </c>
      <c r="I7" s="159">
        <f>G7</f>
        <v>315</v>
      </c>
      <c r="J7" s="160">
        <f>I7/J3</f>
        <v>1.2463894274522217E-2</v>
      </c>
      <c r="K7" s="14"/>
      <c r="M7" s="1"/>
      <c r="O7" s="1">
        <v>1</v>
      </c>
      <c r="P7" s="1">
        <f>'표준점수 등급컷 입력기능'!K16</f>
        <v>68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입력기능'!K17</f>
        <v>65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69</v>
      </c>
      <c r="E9" s="155">
        <f t="shared" si="0"/>
        <v>1</v>
      </c>
      <c r="F9" s="156">
        <f>IF(I8=0,ROUND(100*(1-(I7+I9)/2/$J$3),0),ROUND(100*(1-(I8+I9)/2/$J$3),0))</f>
        <v>98</v>
      </c>
      <c r="G9" s="157">
        <f>_xlfn.IFNA(VLOOKUP(D9,'202306'!$AK$5:$AN$55,4,FALSE),0)</f>
        <v>418</v>
      </c>
      <c r="H9" s="158">
        <f>G9/$J$3</f>
        <v>1.6539389862699323E-2</v>
      </c>
      <c r="I9" s="165">
        <f>SUM($G$7:G9)</f>
        <v>733</v>
      </c>
      <c r="J9" s="160">
        <f>I9/$J$3</f>
        <v>2.900328413722154E-2</v>
      </c>
      <c r="K9" s="14"/>
      <c r="M9" s="1"/>
      <c r="O9" s="1">
        <v>3</v>
      </c>
      <c r="P9" s="1">
        <f>'표준점수 등급컷 입력기능'!K18</f>
        <v>59</v>
      </c>
    </row>
    <row r="10" spans="1:16" ht="25" customHeight="1" x14ac:dyDescent="0.45">
      <c r="A10" s="4"/>
      <c r="B10" s="13"/>
      <c r="C10" s="161">
        <v>47</v>
      </c>
      <c r="D10" s="307">
        <f t="shared" ref="D10:D55" si="1">ROUND(10*(C10-$H$3)/$H$4+50,0)</f>
        <v>68</v>
      </c>
      <c r="E10" s="307">
        <f t="shared" si="0"/>
        <v>1</v>
      </c>
      <c r="F10" s="309">
        <f>IF(I9=0,ROUND(100*(1-(I8+I10)/2/$J$3),0),ROUND(100*(1-(I9+I10)/2/$J$3),0))</f>
        <v>96</v>
      </c>
      <c r="G10" s="311">
        <f>IF(D10=D9,"",_xlfn.IFNA(VLOOKUP(D10,'202306'!$AK$5:$AN$55,4,FALSE),0))</f>
        <v>603</v>
      </c>
      <c r="H10" s="313">
        <f t="shared" ref="H10:H55" si="2">G10/$J$3</f>
        <v>2.3859454754085387E-2</v>
      </c>
      <c r="I10" s="315">
        <f>SUM($G$7:G10)</f>
        <v>1336</v>
      </c>
      <c r="J10" s="317">
        <f t="shared" ref="J10:J55" si="3">I10/$J$3</f>
        <v>5.286273889130693E-2</v>
      </c>
      <c r="K10" s="14"/>
      <c r="M10" s="1"/>
      <c r="O10" s="1">
        <v>4</v>
      </c>
      <c r="P10" s="1">
        <f>'표준점수 등급컷 입력기능'!K19</f>
        <v>52</v>
      </c>
    </row>
    <row r="11" spans="1:16" ht="25" customHeight="1" x14ac:dyDescent="0.45">
      <c r="A11" s="4"/>
      <c r="B11" s="13"/>
      <c r="C11" s="154">
        <v>46</v>
      </c>
      <c r="D11" s="308"/>
      <c r="E11" s="308"/>
      <c r="F11" s="310"/>
      <c r="G11" s="312"/>
      <c r="H11" s="314"/>
      <c r="I11" s="316"/>
      <c r="J11" s="318"/>
      <c r="K11" s="14"/>
      <c r="M11" s="1"/>
      <c r="O11" s="1">
        <v>5</v>
      </c>
      <c r="P11" s="1">
        <f>'표준점수 등급컷 입력기능'!K20</f>
        <v>46</v>
      </c>
    </row>
    <row r="12" spans="1:16" ht="25" customHeight="1" x14ac:dyDescent="0.45">
      <c r="A12" s="4"/>
      <c r="B12" s="13"/>
      <c r="C12" s="161">
        <v>45</v>
      </c>
      <c r="D12" s="155">
        <f t="shared" si="1"/>
        <v>67</v>
      </c>
      <c r="E12" s="155">
        <f t="shared" si="0"/>
        <v>2</v>
      </c>
      <c r="F12" s="156">
        <f t="shared" ref="F12:F55" si="4">IF(I11=0,ROUND(100*(1-(I10+I12)/2/$J$3),0),ROUND(100*(1-(I11+I12)/2/$J$3),0))</f>
        <v>94</v>
      </c>
      <c r="G12" s="157">
        <f>IF(D12=D11,"",_xlfn.IFNA(VLOOKUP(D12,'202306'!$AK$5:$AN$55,4,FALSE),0))</f>
        <v>607</v>
      </c>
      <c r="H12" s="158">
        <f t="shared" si="2"/>
        <v>2.4017726427412654E-2</v>
      </c>
      <c r="I12" s="165">
        <f>SUM($G$7:G12)</f>
        <v>1943</v>
      </c>
      <c r="J12" s="160">
        <f t="shared" si="3"/>
        <v>7.6880465318719587E-2</v>
      </c>
      <c r="K12" s="14"/>
      <c r="M12" s="1"/>
      <c r="O12" s="1">
        <v>6</v>
      </c>
      <c r="P12" s="1">
        <f>'표준점수 등급컷 입력기능'!K21</f>
        <v>41</v>
      </c>
    </row>
    <row r="13" spans="1:16" ht="25" customHeight="1" x14ac:dyDescent="0.45">
      <c r="A13" s="4"/>
      <c r="B13" s="13"/>
      <c r="C13" s="154">
        <v>44</v>
      </c>
      <c r="D13" s="155">
        <f t="shared" si="1"/>
        <v>66</v>
      </c>
      <c r="E13" s="155">
        <f t="shared" si="0"/>
        <v>2</v>
      </c>
      <c r="F13" s="156">
        <f t="shared" si="4"/>
        <v>92</v>
      </c>
      <c r="G13" s="157">
        <f>IF(D13=D12,"",_xlfn.IFNA(VLOOKUP(D13,'202306'!$AK$5:$AN$55,4,FALSE),0))</f>
        <v>211</v>
      </c>
      <c r="H13" s="158">
        <f t="shared" si="2"/>
        <v>8.3488307680132951E-3</v>
      </c>
      <c r="I13" s="165">
        <f>SUM($G$7:G13)</f>
        <v>2154</v>
      </c>
      <c r="J13" s="160">
        <f t="shared" si="3"/>
        <v>8.5229296086732881E-2</v>
      </c>
      <c r="K13" s="14"/>
      <c r="M13" s="1"/>
      <c r="O13" s="1">
        <v>7</v>
      </c>
      <c r="P13" s="1">
        <f>'표준점수 등급컷 입력기능'!K22</f>
        <v>38</v>
      </c>
    </row>
    <row r="14" spans="1:16" ht="25" customHeight="1" x14ac:dyDescent="0.45">
      <c r="A14" s="4"/>
      <c r="B14" s="13"/>
      <c r="C14" s="161">
        <v>43</v>
      </c>
      <c r="D14" s="307">
        <f t="shared" si="1"/>
        <v>65</v>
      </c>
      <c r="E14" s="307">
        <f t="shared" si="0"/>
        <v>2</v>
      </c>
      <c r="F14" s="309">
        <f t="shared" si="4"/>
        <v>90</v>
      </c>
      <c r="G14" s="311">
        <f>IF(D14=D13,"",_xlfn.IFNA(VLOOKUP(D14,'202306'!$AK$5:$AN$55,4,FALSE),0))</f>
        <v>859</v>
      </c>
      <c r="H14" s="313">
        <f t="shared" si="2"/>
        <v>3.3988841847030431E-2</v>
      </c>
      <c r="I14" s="315">
        <f>SUM($G$7:G14)</f>
        <v>3013</v>
      </c>
      <c r="J14" s="317">
        <f t="shared" si="3"/>
        <v>0.1192181379337633</v>
      </c>
      <c r="K14" s="14"/>
      <c r="M14" s="1"/>
      <c r="O14" s="1">
        <v>8</v>
      </c>
      <c r="P14" s="1">
        <f>'표준점수 등급컷 입력기능'!K23</f>
        <v>36</v>
      </c>
    </row>
    <row r="15" spans="1:16" ht="25" customHeight="1" x14ac:dyDescent="0.45">
      <c r="A15" s="4"/>
      <c r="B15" s="13"/>
      <c r="C15" s="154">
        <v>42</v>
      </c>
      <c r="D15" s="308"/>
      <c r="E15" s="308"/>
      <c r="F15" s="310"/>
      <c r="G15" s="312"/>
      <c r="H15" s="314"/>
      <c r="I15" s="316"/>
      <c r="J15" s="318"/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64</v>
      </c>
      <c r="E16" s="155">
        <f t="shared" si="0"/>
        <v>3</v>
      </c>
      <c r="F16" s="156">
        <f t="shared" si="4"/>
        <v>87</v>
      </c>
      <c r="G16" s="157">
        <f>IF(D16=D15,"",_xlfn.IFNA(VLOOKUP(D16,'202306'!$AK$5:$AN$55,4,FALSE),0))</f>
        <v>304</v>
      </c>
      <c r="H16" s="158">
        <f t="shared" si="2"/>
        <v>1.2028647172872236E-2</v>
      </c>
      <c r="I16" s="165">
        <f>SUM($G$7:G16)</f>
        <v>3317</v>
      </c>
      <c r="J16" s="160">
        <f t="shared" si="3"/>
        <v>0.13124678510663554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63</v>
      </c>
      <c r="E17" s="155">
        <f t="shared" si="0"/>
        <v>3</v>
      </c>
      <c r="F17" s="156">
        <f t="shared" si="4"/>
        <v>86</v>
      </c>
      <c r="G17" s="157">
        <f>IF(D17=D16,"",_xlfn.IFNA(VLOOKUP(D17,'202306'!$AK$5:$AN$55,4,FALSE),0))</f>
        <v>514</v>
      </c>
      <c r="H17" s="158">
        <f t="shared" si="2"/>
        <v>2.0337910022553713E-2</v>
      </c>
      <c r="I17" s="165">
        <f>SUM($G$7:G17)</f>
        <v>3831</v>
      </c>
      <c r="J17" s="160">
        <f t="shared" si="3"/>
        <v>0.15158469512918926</v>
      </c>
      <c r="K17" s="14"/>
      <c r="M17" s="1"/>
      <c r="P17" s="1">
        <f>H3*H4*J3*P7*IFERROR(IF(J57=1, 1, 0), 0)</f>
        <v>513385248.86879998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62</v>
      </c>
      <c r="E18" s="155">
        <f t="shared" si="0"/>
        <v>3</v>
      </c>
      <c r="F18" s="156">
        <f t="shared" si="4"/>
        <v>84</v>
      </c>
      <c r="G18" s="157">
        <f>IF(D18=D17,"",_xlfn.IFNA(VLOOKUP(D18,'202306'!$AK$5:$AN$55,4,FALSE),0))</f>
        <v>325</v>
      </c>
      <c r="H18" s="158">
        <f t="shared" si="2"/>
        <v>1.2859573457840383E-2</v>
      </c>
      <c r="I18" s="165">
        <f>SUM($G$7:G18)</f>
        <v>4156</v>
      </c>
      <c r="J18" s="160">
        <f t="shared" si="3"/>
        <v>0.16444426858702962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307">
        <f t="shared" si="1"/>
        <v>61</v>
      </c>
      <c r="E19" s="307">
        <f t="shared" si="0"/>
        <v>3</v>
      </c>
      <c r="F19" s="309">
        <f t="shared" si="4"/>
        <v>82</v>
      </c>
      <c r="G19" s="311">
        <f>IF(D19=D18,"",_xlfn.IFNA(VLOOKUP(D19,'202306'!$AK$5:$AN$55,4,FALSE),0))</f>
        <v>864</v>
      </c>
      <c r="H19" s="313">
        <f t="shared" si="2"/>
        <v>3.4186681438689512E-2</v>
      </c>
      <c r="I19" s="315">
        <f>SUM($G$7:G19)</f>
        <v>5020</v>
      </c>
      <c r="J19" s="317">
        <f t="shared" si="3"/>
        <v>0.19863095002571915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308"/>
      <c r="E20" s="308"/>
      <c r="F20" s="310"/>
      <c r="G20" s="312"/>
      <c r="H20" s="314"/>
      <c r="I20" s="316"/>
      <c r="J20" s="318"/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60</v>
      </c>
      <c r="E21" s="176">
        <f t="shared" si="0"/>
        <v>3</v>
      </c>
      <c r="F21" s="156">
        <f t="shared" si="4"/>
        <v>79</v>
      </c>
      <c r="G21" s="157">
        <f>IF(D21=D20,"",_xlfn.IFNA(VLOOKUP(D21,'202306'!$AK$5:$AN$55,4,FALSE),0))</f>
        <v>354</v>
      </c>
      <c r="H21" s="158">
        <f t="shared" si="2"/>
        <v>1.4007043089463064E-2</v>
      </c>
      <c r="I21" s="165">
        <f>SUM($G$7:G21)</f>
        <v>5374</v>
      </c>
      <c r="J21" s="160">
        <f t="shared" si="3"/>
        <v>0.21263799311518222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59</v>
      </c>
      <c r="E22" s="176">
        <f t="shared" si="0"/>
        <v>3</v>
      </c>
      <c r="F22" s="156">
        <f t="shared" si="4"/>
        <v>78</v>
      </c>
      <c r="G22" s="157">
        <f>IF(D22=D21,"",_xlfn.IFNA(VLOOKUP(D22,'202306'!$AK$5:$AN$55,4,FALSE),0))</f>
        <v>457</v>
      </c>
      <c r="H22" s="158">
        <f t="shared" si="2"/>
        <v>1.8082538677640168E-2</v>
      </c>
      <c r="I22" s="165">
        <f>SUM($G$7:G22)</f>
        <v>5831</v>
      </c>
      <c r="J22" s="160">
        <f t="shared" si="3"/>
        <v>0.23072053179282237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19">
        <f t="shared" si="1"/>
        <v>58</v>
      </c>
      <c r="E23" s="319">
        <f t="shared" si="0"/>
        <v>4</v>
      </c>
      <c r="F23" s="309">
        <f t="shared" si="4"/>
        <v>75</v>
      </c>
      <c r="G23" s="311">
        <f>IF(D23=D22,"",_xlfn.IFNA(VLOOKUP(D23,'202306'!$AK$5:$AN$55,4,FALSE),0))</f>
        <v>911</v>
      </c>
      <c r="H23" s="313">
        <f t="shared" si="2"/>
        <v>3.6046373600284891E-2</v>
      </c>
      <c r="I23" s="315">
        <f>SUM($G$7:G23)</f>
        <v>6742</v>
      </c>
      <c r="J23" s="317">
        <f t="shared" si="3"/>
        <v>0.26676690539310727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320"/>
      <c r="E24" s="320"/>
      <c r="F24" s="310"/>
      <c r="G24" s="312"/>
      <c r="H24" s="314"/>
      <c r="I24" s="316"/>
      <c r="J24" s="318"/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57</v>
      </c>
      <c r="E25" s="176">
        <f t="shared" si="0"/>
        <v>4</v>
      </c>
      <c r="F25" s="156">
        <f t="shared" si="4"/>
        <v>72</v>
      </c>
      <c r="G25" s="157">
        <f>IF(D25=D24,"",_xlfn.IFNA(VLOOKUP(D25,'202306'!$AK$5:$AN$55,4,FALSE),0))</f>
        <v>517</v>
      </c>
      <c r="H25" s="158">
        <f t="shared" si="2"/>
        <v>2.0456613777549162E-2</v>
      </c>
      <c r="I25" s="165">
        <f>SUM($G$7:G25)</f>
        <v>7259</v>
      </c>
      <c r="J25" s="160">
        <f t="shared" si="3"/>
        <v>0.28722351917065642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56</v>
      </c>
      <c r="E26" s="176">
        <f t="shared" si="0"/>
        <v>4</v>
      </c>
      <c r="F26" s="156">
        <f t="shared" si="4"/>
        <v>70</v>
      </c>
      <c r="G26" s="157">
        <f>IF(D26=D25,"",_xlfn.IFNA(VLOOKUP(D26,'202306'!$AK$5:$AN$55,4,FALSE),0))</f>
        <v>470</v>
      </c>
      <c r="H26" s="158">
        <f t="shared" si="2"/>
        <v>1.8596921615953783E-2</v>
      </c>
      <c r="I26" s="165">
        <f>SUM($G$7:G26)</f>
        <v>7729</v>
      </c>
      <c r="J26" s="160">
        <f t="shared" si="3"/>
        <v>0.30582044078661019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55</v>
      </c>
      <c r="E27" s="176">
        <f t="shared" si="0"/>
        <v>4</v>
      </c>
      <c r="F27" s="156">
        <f t="shared" si="4"/>
        <v>68</v>
      </c>
      <c r="G27" s="157">
        <f>IF(D27=D26,"",_xlfn.IFNA(VLOOKUP(D27,'202306'!$AK$5:$AN$55,4,FALSE),0))</f>
        <v>536</v>
      </c>
      <c r="H27" s="158">
        <f t="shared" si="2"/>
        <v>2.1208404225853676E-2</v>
      </c>
      <c r="I27" s="165">
        <f>SUM($G$7:G27)</f>
        <v>8265</v>
      </c>
      <c r="J27" s="160">
        <f t="shared" si="3"/>
        <v>0.32702884501246388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319">
        <f t="shared" si="1"/>
        <v>54</v>
      </c>
      <c r="E28" s="319">
        <f t="shared" si="0"/>
        <v>4</v>
      </c>
      <c r="F28" s="309">
        <f t="shared" si="4"/>
        <v>65</v>
      </c>
      <c r="G28" s="311">
        <f>IF(D28=D27,"",_xlfn.IFNA(VLOOKUP(D28,'202306'!$AK$5:$AN$55,4,FALSE),0))</f>
        <v>1061</v>
      </c>
      <c r="H28" s="313">
        <f t="shared" si="2"/>
        <v>4.1981561350057373E-2</v>
      </c>
      <c r="I28" s="315">
        <f>SUM($G$7:G28)</f>
        <v>9326</v>
      </c>
      <c r="J28" s="317">
        <f t="shared" si="3"/>
        <v>0.36901040636252125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20"/>
      <c r="E29" s="320"/>
      <c r="F29" s="310"/>
      <c r="G29" s="312"/>
      <c r="H29" s="314"/>
      <c r="I29" s="316"/>
      <c r="J29" s="318"/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53</v>
      </c>
      <c r="E30" s="176">
        <f t="shared" si="0"/>
        <v>4</v>
      </c>
      <c r="F30" s="156">
        <f t="shared" si="4"/>
        <v>62</v>
      </c>
      <c r="G30" s="157">
        <f>IF(D30=D29,"",_xlfn.IFNA(VLOOKUP(D30,'202306'!$AK$5:$AN$55,4,FALSE),0))</f>
        <v>515</v>
      </c>
      <c r="H30" s="158">
        <f t="shared" si="2"/>
        <v>2.0377477940885531E-2</v>
      </c>
      <c r="I30" s="165">
        <f>SUM($G$7:G30)</f>
        <v>9841</v>
      </c>
      <c r="J30" s="160">
        <f t="shared" si="3"/>
        <v>0.38938788430340682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52</v>
      </c>
      <c r="E31" s="176">
        <f t="shared" si="0"/>
        <v>4</v>
      </c>
      <c r="F31" s="156">
        <f t="shared" si="4"/>
        <v>60</v>
      </c>
      <c r="G31" s="157">
        <f>IF(D31=D30,"",_xlfn.IFNA(VLOOKUP(D31,'202306'!$AK$5:$AN$55,4,FALSE),0))</f>
        <v>490</v>
      </c>
      <c r="H31" s="158">
        <f t="shared" si="2"/>
        <v>1.9388279982590115E-2</v>
      </c>
      <c r="I31" s="165">
        <f>SUM($G$7:G31)</f>
        <v>10331</v>
      </c>
      <c r="J31" s="160">
        <f t="shared" si="3"/>
        <v>0.40877616428599689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19">
        <f t="shared" si="1"/>
        <v>51</v>
      </c>
      <c r="E32" s="319">
        <f t="shared" si="0"/>
        <v>5</v>
      </c>
      <c r="F32" s="309">
        <f t="shared" si="4"/>
        <v>57</v>
      </c>
      <c r="G32" s="311">
        <f>IF(D32=D31,"",_xlfn.IFNA(VLOOKUP(D32,'202306'!$AK$5:$AN$55,4,FALSE),0))</f>
        <v>1168</v>
      </c>
      <c r="H32" s="313">
        <f t="shared" si="2"/>
        <v>4.6215328611561746E-2</v>
      </c>
      <c r="I32" s="315">
        <f>SUM($G$7:G32)</f>
        <v>11499</v>
      </c>
      <c r="J32" s="317">
        <f t="shared" si="3"/>
        <v>0.45499149289755864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320"/>
      <c r="E33" s="320"/>
      <c r="F33" s="310"/>
      <c r="G33" s="312"/>
      <c r="H33" s="314"/>
      <c r="I33" s="316"/>
      <c r="J33" s="318"/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50</v>
      </c>
      <c r="E34" s="176">
        <f t="shared" si="0"/>
        <v>5</v>
      </c>
      <c r="F34" s="156">
        <f t="shared" si="4"/>
        <v>53</v>
      </c>
      <c r="G34" s="157">
        <f>IF(D34=D33,"",_xlfn.IFNA(VLOOKUP(D34,'202306'!$AK$5:$AN$55,4,FALSE),0))</f>
        <v>590</v>
      </c>
      <c r="H34" s="158">
        <f t="shared" si="2"/>
        <v>2.3345071815771772E-2</v>
      </c>
      <c r="I34" s="165">
        <f>SUM($G$7:G34)</f>
        <v>12089</v>
      </c>
      <c r="J34" s="160">
        <f t="shared" si="3"/>
        <v>0.47833656471333041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49</v>
      </c>
      <c r="E35" s="176">
        <f t="shared" si="0"/>
        <v>5</v>
      </c>
      <c r="F35" s="156">
        <f t="shared" si="4"/>
        <v>51</v>
      </c>
      <c r="G35" s="157">
        <f>IF(D35=D34,"",_xlfn.IFNA(VLOOKUP(D35,'202306'!$AK$5:$AN$55,4,FALSE),0))</f>
        <v>608</v>
      </c>
      <c r="H35" s="158">
        <f t="shared" si="2"/>
        <v>2.4057294345744471E-2</v>
      </c>
      <c r="I35" s="165">
        <f>SUM($G$7:G35)</f>
        <v>12697</v>
      </c>
      <c r="J35" s="160">
        <f t="shared" si="3"/>
        <v>0.50239385905907485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48</v>
      </c>
      <c r="E36" s="176">
        <f t="shared" si="0"/>
        <v>5</v>
      </c>
      <c r="F36" s="156">
        <f t="shared" si="4"/>
        <v>49</v>
      </c>
      <c r="G36" s="157">
        <f>IF(D36=D35,"",_xlfn.IFNA(VLOOKUP(D36,'202306'!$AK$5:$AN$55,4,FALSE),0))</f>
        <v>621</v>
      </c>
      <c r="H36" s="158">
        <f t="shared" si="2"/>
        <v>2.4571677284058086E-2</v>
      </c>
      <c r="I36" s="165">
        <f>SUM($G$7:G36)</f>
        <v>13318</v>
      </c>
      <c r="J36" s="160">
        <f t="shared" si="3"/>
        <v>0.52696553634313303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19">
        <f t="shared" si="1"/>
        <v>47</v>
      </c>
      <c r="E37" s="319">
        <f t="shared" si="0"/>
        <v>5</v>
      </c>
      <c r="F37" s="309">
        <f t="shared" si="4"/>
        <v>45</v>
      </c>
      <c r="G37" s="311">
        <f>IF(D37=D36,"",_xlfn.IFNA(VLOOKUP(D37,'202306'!$AK$5:$AN$55,4,FALSE),0))</f>
        <v>1271</v>
      </c>
      <c r="H37" s="313">
        <f t="shared" si="2"/>
        <v>5.0290824199738848E-2</v>
      </c>
      <c r="I37" s="315">
        <f>SUM($G$7:G37)</f>
        <v>14589</v>
      </c>
      <c r="J37" s="317">
        <f t="shared" si="3"/>
        <v>0.57725636054287188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320"/>
      <c r="E38" s="320"/>
      <c r="F38" s="310"/>
      <c r="G38" s="312"/>
      <c r="H38" s="314"/>
      <c r="I38" s="316"/>
      <c r="J38" s="318"/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46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156">
        <f t="shared" si="4"/>
        <v>41</v>
      </c>
      <c r="G39" s="157">
        <f>IF(D39=D38,"",_xlfn.IFNA(VLOOKUP(D39,'202306'!$AK$5:$AN$55,4,FALSE),0))</f>
        <v>643</v>
      </c>
      <c r="H39" s="158">
        <f t="shared" si="2"/>
        <v>2.5442171487358049E-2</v>
      </c>
      <c r="I39" s="165">
        <f>SUM($G$7:G39)</f>
        <v>15232</v>
      </c>
      <c r="J39" s="160">
        <f t="shared" si="3"/>
        <v>0.60269853203022994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45</v>
      </c>
      <c r="E40" s="176">
        <f t="shared" si="5"/>
        <v>6</v>
      </c>
      <c r="F40" s="156">
        <f t="shared" si="4"/>
        <v>38</v>
      </c>
      <c r="G40" s="157">
        <f>IF(D40=D39,"",_xlfn.IFNA(VLOOKUP(D40,'202306'!$AK$5:$AN$55,4,FALSE),0))</f>
        <v>633</v>
      </c>
      <c r="H40" s="158">
        <f t="shared" si="2"/>
        <v>2.5046492304039884E-2</v>
      </c>
      <c r="I40" s="165">
        <f>SUM($G$7:G40)</f>
        <v>15865</v>
      </c>
      <c r="J40" s="160">
        <f t="shared" si="3"/>
        <v>0.62774502433426982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19">
        <f t="shared" si="1"/>
        <v>44</v>
      </c>
      <c r="E41" s="319">
        <f t="shared" si="5"/>
        <v>6</v>
      </c>
      <c r="F41" s="309">
        <f t="shared" si="4"/>
        <v>35</v>
      </c>
      <c r="G41" s="311">
        <f>IF(D41=D40,"",_xlfn.IFNA(VLOOKUP(D41,'202306'!$AK$5:$AN$55,4,FALSE),0))</f>
        <v>1332</v>
      </c>
      <c r="H41" s="313">
        <f t="shared" si="2"/>
        <v>5.270446721797966E-2</v>
      </c>
      <c r="I41" s="315">
        <f>SUM($G$7:G41)</f>
        <v>17197</v>
      </c>
      <c r="J41" s="317">
        <f t="shared" si="3"/>
        <v>0.68044949155224943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320"/>
      <c r="E42" s="320"/>
      <c r="F42" s="310"/>
      <c r="G42" s="312"/>
      <c r="H42" s="314"/>
      <c r="I42" s="316"/>
      <c r="J42" s="318"/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43</v>
      </c>
      <c r="E43" s="176">
        <f t="shared" si="5"/>
        <v>6</v>
      </c>
      <c r="F43" s="156">
        <f t="shared" si="4"/>
        <v>30</v>
      </c>
      <c r="G43" s="157">
        <f>IF(D43=D42,"",_xlfn.IFNA(VLOOKUP(D43,'202306'!$AK$5:$AN$55,4,FALSE),0))</f>
        <v>762</v>
      </c>
      <c r="H43" s="158">
        <f t="shared" si="2"/>
        <v>3.015075376884422E-2</v>
      </c>
      <c r="I43" s="165">
        <f>SUM($G$7:G43)</f>
        <v>17959</v>
      </c>
      <c r="J43" s="160">
        <f t="shared" si="3"/>
        <v>0.71060024532109367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42</v>
      </c>
      <c r="E44" s="176">
        <f t="shared" si="5"/>
        <v>6</v>
      </c>
      <c r="F44" s="156">
        <f t="shared" si="4"/>
        <v>28</v>
      </c>
      <c r="G44" s="157">
        <f>IF(D44=D43,"",_xlfn.IFNA(VLOOKUP(D44,'202306'!$AK$5:$AN$55,4,FALSE),0))</f>
        <v>689</v>
      </c>
      <c r="H44" s="158">
        <f t="shared" si="2"/>
        <v>2.7262295730621611E-2</v>
      </c>
      <c r="I44" s="165">
        <f>SUM($G$7:G44)</f>
        <v>18648</v>
      </c>
      <c r="J44" s="160">
        <f t="shared" si="3"/>
        <v>0.73786254105171523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41</v>
      </c>
      <c r="E45" s="176">
        <f t="shared" si="5"/>
        <v>6</v>
      </c>
      <c r="F45" s="156">
        <f t="shared" si="4"/>
        <v>25</v>
      </c>
      <c r="G45" s="157">
        <f>IF(D45=D44,"",_xlfn.IFNA(VLOOKUP(D45,'202306'!$AK$5:$AN$55,4,FALSE),0))</f>
        <v>848</v>
      </c>
      <c r="H45" s="158">
        <f t="shared" si="2"/>
        <v>3.3553594745380444E-2</v>
      </c>
      <c r="I45" s="165">
        <f>SUM($G$7:G45)</f>
        <v>19496</v>
      </c>
      <c r="J45" s="160">
        <f t="shared" si="3"/>
        <v>0.77141613579709567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319">
        <f t="shared" si="1"/>
        <v>40</v>
      </c>
      <c r="E46" s="319">
        <f t="shared" si="5"/>
        <v>7</v>
      </c>
      <c r="F46" s="309">
        <f t="shared" si="4"/>
        <v>20</v>
      </c>
      <c r="G46" s="311">
        <f>IF(D46=D45,"",_xlfn.IFNA(VLOOKUP(D46,'202306'!$AK$5:$AN$55,4,FALSE),0))</f>
        <v>1349</v>
      </c>
      <c r="H46" s="313">
        <f t="shared" si="2"/>
        <v>5.3377121829620545E-2</v>
      </c>
      <c r="I46" s="315">
        <f>SUM($G$7:G46)</f>
        <v>20845</v>
      </c>
      <c r="J46" s="317">
        <f t="shared" si="3"/>
        <v>0.82479325762671629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320"/>
      <c r="E47" s="320"/>
      <c r="F47" s="310"/>
      <c r="G47" s="312"/>
      <c r="H47" s="314"/>
      <c r="I47" s="316"/>
      <c r="J47" s="318"/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39</v>
      </c>
      <c r="E48" s="176">
        <f t="shared" si="5"/>
        <v>7</v>
      </c>
      <c r="F48" s="156">
        <f t="shared" si="4"/>
        <v>14</v>
      </c>
      <c r="G48" s="157">
        <f>IF(D48=D47,"",_xlfn.IFNA(VLOOKUP(D48,'202306'!$AK$5:$AN$55,4,FALSE),0))</f>
        <v>1638</v>
      </c>
      <c r="H48" s="158">
        <f t="shared" si="2"/>
        <v>6.4812250227515536E-2</v>
      </c>
      <c r="I48" s="165">
        <f>SUM($G$7:G48)</f>
        <v>22483</v>
      </c>
      <c r="J48" s="160">
        <f t="shared" si="3"/>
        <v>0.88960550785423176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38</v>
      </c>
      <c r="E49" s="176">
        <f t="shared" si="5"/>
        <v>7</v>
      </c>
      <c r="F49" s="156">
        <f t="shared" si="4"/>
        <v>10</v>
      </c>
      <c r="G49" s="157">
        <f>IF(D49=D48,"",_xlfn.IFNA(VLOOKUP(D49,'202306'!$AK$5:$AN$55,4,FALSE),0))</f>
        <v>506</v>
      </c>
      <c r="H49" s="158">
        <f t="shared" si="2"/>
        <v>2.0021366675899183E-2</v>
      </c>
      <c r="I49" s="165">
        <f>SUM($G$7:G49)</f>
        <v>22989</v>
      </c>
      <c r="J49" s="160">
        <f t="shared" si="3"/>
        <v>0.90962687453013102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37</v>
      </c>
      <c r="E50" s="176">
        <f t="shared" si="5"/>
        <v>8</v>
      </c>
      <c r="F50" s="156">
        <f t="shared" si="4"/>
        <v>7</v>
      </c>
      <c r="G50" s="157">
        <f>IF(D50=D49,"",_xlfn.IFNA(VLOOKUP(D50,'202306'!$AK$5:$AN$55,4,FALSE),0))</f>
        <v>833</v>
      </c>
      <c r="H50" s="158">
        <f t="shared" si="2"/>
        <v>3.2960075970403194E-2</v>
      </c>
      <c r="I50" s="165">
        <f>SUM($G$7:G50)</f>
        <v>23822</v>
      </c>
      <c r="J50" s="160">
        <f t="shared" si="3"/>
        <v>0.9425869505005342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319">
        <f t="shared" si="1"/>
        <v>36</v>
      </c>
      <c r="E51" s="319">
        <f t="shared" si="5"/>
        <v>8</v>
      </c>
      <c r="F51" s="309">
        <f t="shared" si="4"/>
        <v>4</v>
      </c>
      <c r="G51" s="311">
        <f>IF(D51=D50,"",_xlfn.IFNA(VLOOKUP(D51,'202306'!$AK$5:$AN$55,4,FALSE),0))</f>
        <v>958</v>
      </c>
      <c r="H51" s="313">
        <f t="shared" si="2"/>
        <v>3.790606576188027E-2</v>
      </c>
      <c r="I51" s="315">
        <f>SUM($G$7:G51)</f>
        <v>24780</v>
      </c>
      <c r="J51" s="317">
        <f t="shared" si="3"/>
        <v>0.98049301626241447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20"/>
      <c r="E52" s="320"/>
      <c r="F52" s="310"/>
      <c r="G52" s="312"/>
      <c r="H52" s="314"/>
      <c r="I52" s="316"/>
      <c r="J52" s="318"/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35</v>
      </c>
      <c r="E53" s="155">
        <f t="shared" si="5"/>
        <v>9</v>
      </c>
      <c r="F53" s="156">
        <f t="shared" si="4"/>
        <v>2</v>
      </c>
      <c r="G53" s="157">
        <f>IF(D53=D52,"",_xlfn.IFNA(VLOOKUP(D53,'202306'!$AK$5:$AN$55,4,FALSE),0))</f>
        <v>139</v>
      </c>
      <c r="H53" s="158">
        <f t="shared" si="2"/>
        <v>5.4999406481225019E-3</v>
      </c>
      <c r="I53" s="165">
        <f>SUM($G$7:G53)</f>
        <v>24919</v>
      </c>
      <c r="J53" s="160">
        <f t="shared" si="3"/>
        <v>0.9859929569105369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34</v>
      </c>
      <c r="E54" s="155">
        <f t="shared" si="5"/>
        <v>9</v>
      </c>
      <c r="F54" s="156">
        <f t="shared" si="4"/>
        <v>1</v>
      </c>
      <c r="G54" s="157">
        <f>IF(D54=D53,"",_xlfn.IFNA(VLOOKUP(D54,'202306'!$AK$5:$AN$55,4,FALSE),0))</f>
        <v>137</v>
      </c>
      <c r="H54" s="158">
        <f t="shared" si="2"/>
        <v>5.4208048114588693E-3</v>
      </c>
      <c r="I54" s="165">
        <f>SUM($G$7:G54)</f>
        <v>25056</v>
      </c>
      <c r="J54" s="160">
        <f t="shared" si="3"/>
        <v>0.9914137617219958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33</v>
      </c>
      <c r="E55" s="155">
        <f t="shared" si="5"/>
        <v>9</v>
      </c>
      <c r="F55" s="156">
        <f t="shared" si="4"/>
        <v>1</v>
      </c>
      <c r="G55" s="157">
        <f>IF(D55=D54,"",_xlfn.IFNA(VLOOKUP(D55,'202306'!$AK$5:$AN$55,4,FALSE),0))</f>
        <v>162</v>
      </c>
      <c r="H55" s="158">
        <f t="shared" si="2"/>
        <v>6.4100027697542835E-3</v>
      </c>
      <c r="I55" s="165">
        <f>SUM($G$7:G55)</f>
        <v>25218</v>
      </c>
      <c r="J55" s="160">
        <f t="shared" si="3"/>
        <v>0.99782376449175014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32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_xlfn.IFNA(VLOOKUP(D57,'202306'!$AK$5:$AN$55,4,FALSE),0)</f>
        <v>55</v>
      </c>
      <c r="H57" s="173">
        <f>G57/J3</f>
        <v>2.1762355082499108E-3</v>
      </c>
      <c r="I57" s="174">
        <f>SUM($G$7:G57)</f>
        <v>25273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74">
    <mergeCell ref="I51:I52"/>
    <mergeCell ref="J51:J52"/>
    <mergeCell ref="D51:D52"/>
    <mergeCell ref="E51:E52"/>
    <mergeCell ref="F51:F52"/>
    <mergeCell ref="G51:G52"/>
    <mergeCell ref="H51:H52"/>
    <mergeCell ref="I41:I42"/>
    <mergeCell ref="J41:J42"/>
    <mergeCell ref="D46:D47"/>
    <mergeCell ref="E46:E47"/>
    <mergeCell ref="F46:F47"/>
    <mergeCell ref="G46:G47"/>
    <mergeCell ref="H46:H47"/>
    <mergeCell ref="I46:I47"/>
    <mergeCell ref="J46:J47"/>
    <mergeCell ref="D41:D42"/>
    <mergeCell ref="E41:E42"/>
    <mergeCell ref="F41:F42"/>
    <mergeCell ref="G41:G42"/>
    <mergeCell ref="H41:H42"/>
    <mergeCell ref="I32:I33"/>
    <mergeCell ref="J32:J33"/>
    <mergeCell ref="D37:D38"/>
    <mergeCell ref="E37:E38"/>
    <mergeCell ref="F37:F38"/>
    <mergeCell ref="G37:G38"/>
    <mergeCell ref="H37:H38"/>
    <mergeCell ref="I37:I38"/>
    <mergeCell ref="J37:J38"/>
    <mergeCell ref="D32:D33"/>
    <mergeCell ref="E32:E33"/>
    <mergeCell ref="F32:F33"/>
    <mergeCell ref="G32:G33"/>
    <mergeCell ref="H32:H33"/>
    <mergeCell ref="I23:I24"/>
    <mergeCell ref="J23:J24"/>
    <mergeCell ref="D28:D29"/>
    <mergeCell ref="E28:E29"/>
    <mergeCell ref="F28:F29"/>
    <mergeCell ref="G28:G29"/>
    <mergeCell ref="H28:H29"/>
    <mergeCell ref="I28:I29"/>
    <mergeCell ref="J28:J29"/>
    <mergeCell ref="D23:D24"/>
    <mergeCell ref="E23:E24"/>
    <mergeCell ref="F23:F24"/>
    <mergeCell ref="G23:G24"/>
    <mergeCell ref="H23:H24"/>
    <mergeCell ref="I14:I15"/>
    <mergeCell ref="J14:J15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56:J56"/>
    <mergeCell ref="D8:J8"/>
    <mergeCell ref="D10:D11"/>
    <mergeCell ref="E10:E11"/>
    <mergeCell ref="F10:F11"/>
    <mergeCell ref="G10:G11"/>
    <mergeCell ref="H10:H11"/>
    <mergeCell ref="I10:I11"/>
    <mergeCell ref="J10:J11"/>
    <mergeCell ref="D14:D15"/>
    <mergeCell ref="E14:E15"/>
    <mergeCell ref="F14:F15"/>
    <mergeCell ref="G14:G15"/>
    <mergeCell ref="H14:H15"/>
  </mergeCells>
  <phoneticPr fontId="1" type="noConversion"/>
  <conditionalFormatting sqref="D7:J7 D57:J57 D9:J10 D12:J14 D16:J19 D21:J23 D25:J28 D30:J32 D34:J37 D39:J41 D43:J46 D48:J51 D53:J55">
    <cfRule type="expression" dxfId="111" priority="7">
      <formula>OR($D7=$P$7:$P$14)</formula>
    </cfRule>
  </conditionalFormatting>
  <conditionalFormatting sqref="C7:C57">
    <cfRule type="expression" dxfId="110" priority="6">
      <formula>OR(AND($D7=0,OR($D6=$P$7:$P$14)),AND($D8&gt;0,OR($D7=$P$7:$P$14)))</formula>
    </cfRule>
  </conditionalFormatting>
  <conditionalFormatting sqref="D7 D57 D9:D10 D12:D14 D16:D19 D21:D23 D25:D28 D30:D32 D34:D37 D39:D41 D43:D46 D48:D51 D53:D55">
    <cfRule type="expression" dxfId="109" priority="5">
      <formula>$D7=$D8</formula>
    </cfRule>
  </conditionalFormatting>
  <conditionalFormatting sqref="D56">
    <cfRule type="expression" dxfId="108" priority="4">
      <formula>OR($D56=$P$7:$P$14)</formula>
    </cfRule>
  </conditionalFormatting>
  <conditionalFormatting sqref="D56">
    <cfRule type="expression" dxfId="107" priority="3">
      <formula>$D56=$D57</formula>
    </cfRule>
  </conditionalFormatting>
  <conditionalFormatting sqref="D8">
    <cfRule type="expression" dxfId="106" priority="2">
      <formula>OR($D8=$P$7:$P$14)</formula>
    </cfRule>
  </conditionalFormatting>
  <conditionalFormatting sqref="D8">
    <cfRule type="expression" dxfId="105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6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기능'!D12</f>
        <v>27.96</v>
      </c>
      <c r="I3" s="10" t="s">
        <v>98</v>
      </c>
      <c r="J3" s="145">
        <f>'통계 및 응시자 수 입력 기능'!C12</f>
        <v>116333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114</v>
      </c>
      <c r="E4" s="302"/>
      <c r="F4" s="303"/>
      <c r="G4" s="147" t="s">
        <v>101</v>
      </c>
      <c r="H4" s="148">
        <f>'통계 및 응시자 수 입력 기능'!E12</f>
        <v>12.97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67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_xlfn.IFNA(VLOOKUP(D7,'202306'!$AP$5:$AS$55,4,FALSE),0)</f>
        <v>2977</v>
      </c>
      <c r="H7" s="158">
        <f>G7/J3</f>
        <v>2.5590331204387404E-2</v>
      </c>
      <c r="I7" s="159">
        <f>G7</f>
        <v>2977</v>
      </c>
      <c r="J7" s="160">
        <f>I7/J3</f>
        <v>2.5590331204387404E-2</v>
      </c>
      <c r="K7" s="14"/>
      <c r="M7" s="1"/>
      <c r="O7" s="1">
        <v>1</v>
      </c>
      <c r="P7" s="1">
        <f>'표준점수 등급컷 입력기능'!B28</f>
        <v>65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입력기능'!B29</f>
        <v>62</v>
      </c>
    </row>
    <row r="9" spans="1:16" ht="25" customHeight="1" x14ac:dyDescent="0.45">
      <c r="A9" s="4"/>
      <c r="B9" s="13"/>
      <c r="C9" s="154">
        <v>48</v>
      </c>
      <c r="D9" s="307">
        <f>ROUND(10*(C9-$H$3)/$H$4+50,0)</f>
        <v>65</v>
      </c>
      <c r="E9" s="307">
        <f t="shared" si="0"/>
        <v>1</v>
      </c>
      <c r="F9" s="309">
        <f>IF(I8=0,ROUND(100*(1-(I7+I9)/2/$J$3),0),ROUND(100*(1-(I8+I9)/2/$J$3),0))</f>
        <v>95</v>
      </c>
      <c r="G9" s="311">
        <f>_xlfn.IFNA(VLOOKUP(D9,'202306'!$AP$5:$AS$55,4,FALSE),0)</f>
        <v>4531</v>
      </c>
      <c r="H9" s="313">
        <f>G9/$J$3</f>
        <v>3.8948535669156646E-2</v>
      </c>
      <c r="I9" s="315">
        <f>SUM($G$7:G9)</f>
        <v>7508</v>
      </c>
      <c r="J9" s="317">
        <f>I9/$J$3</f>
        <v>6.4538866873544057E-2</v>
      </c>
      <c r="K9" s="14"/>
      <c r="M9" s="1"/>
      <c r="O9" s="1">
        <v>3</v>
      </c>
      <c r="P9" s="1">
        <f>'표준점수 등급컷 입력기능'!B30</f>
        <v>59</v>
      </c>
    </row>
    <row r="10" spans="1:16" ht="25" customHeight="1" x14ac:dyDescent="0.45">
      <c r="A10" s="4"/>
      <c r="B10" s="13"/>
      <c r="C10" s="161">
        <v>47</v>
      </c>
      <c r="D10" s="308"/>
      <c r="E10" s="308"/>
      <c r="F10" s="310"/>
      <c r="G10" s="312"/>
      <c r="H10" s="314"/>
      <c r="I10" s="316"/>
      <c r="J10" s="318"/>
      <c r="K10" s="14"/>
      <c r="M10" s="1"/>
      <c r="O10" s="1">
        <v>4</v>
      </c>
      <c r="P10" s="1">
        <f>'표준점수 등급컷 입력기능'!B31</f>
        <v>55</v>
      </c>
    </row>
    <row r="11" spans="1:16" ht="25" customHeight="1" x14ac:dyDescent="0.45">
      <c r="A11" s="4"/>
      <c r="B11" s="13"/>
      <c r="C11" s="154">
        <v>46</v>
      </c>
      <c r="D11" s="155">
        <f t="shared" ref="D11:D55" si="1">ROUND(10*(C11-$H$3)/$H$4+50,0)</f>
        <v>64</v>
      </c>
      <c r="E11" s="155">
        <f t="shared" si="0"/>
        <v>2</v>
      </c>
      <c r="F11" s="156">
        <f t="shared" ref="F11:F55" si="2">IF(I10=0,ROUND(100*(1-(I9+I11)/2/$J$3),0),ROUND(100*(1-(I10+I11)/2/$J$3),0))</f>
        <v>93</v>
      </c>
      <c r="G11" s="157">
        <f>IF(D11=D10,"",_xlfn.IFNA(VLOOKUP(D11,'202306'!$AP$5:$AS$55,4,FALSE),0))</f>
        <v>863</v>
      </c>
      <c r="H11" s="158">
        <f t="shared" ref="H11:H55" si="3">G11/$J$3</f>
        <v>7.4183593649265467E-3</v>
      </c>
      <c r="I11" s="165">
        <f>SUM($G$7:G11)</f>
        <v>8371</v>
      </c>
      <c r="J11" s="160">
        <f t="shared" ref="J11:J55" si="4">I11/$J$3</f>
        <v>7.1957226238470604E-2</v>
      </c>
      <c r="K11" s="14"/>
      <c r="M11" s="1"/>
      <c r="O11" s="1">
        <v>5</v>
      </c>
      <c r="P11" s="1">
        <f>'표준점수 등급컷 입력기능'!B32</f>
        <v>48</v>
      </c>
    </row>
    <row r="12" spans="1:16" ht="25" customHeight="1" x14ac:dyDescent="0.45">
      <c r="A12" s="4"/>
      <c r="B12" s="13"/>
      <c r="C12" s="161">
        <v>45</v>
      </c>
      <c r="D12" s="155">
        <f t="shared" si="1"/>
        <v>63</v>
      </c>
      <c r="E12" s="155">
        <f t="shared" si="0"/>
        <v>2</v>
      </c>
      <c r="F12" s="156">
        <f t="shared" si="2"/>
        <v>91</v>
      </c>
      <c r="G12" s="157">
        <f>IF(D12=D11,"",_xlfn.IFNA(VLOOKUP(D12,'202306'!$AP$5:$AS$55,4,FALSE),0))</f>
        <v>3617</v>
      </c>
      <c r="H12" s="158">
        <f t="shared" si="3"/>
        <v>3.1091779632606398E-2</v>
      </c>
      <c r="I12" s="165">
        <f>SUM($G$7:G12)</f>
        <v>11988</v>
      </c>
      <c r="J12" s="160">
        <f t="shared" si="4"/>
        <v>0.103049005871077</v>
      </c>
      <c r="K12" s="14"/>
      <c r="M12" s="1"/>
      <c r="O12" s="1">
        <v>6</v>
      </c>
      <c r="P12" s="1">
        <f>'표준점수 등급컷 입력기능'!B33</f>
        <v>40</v>
      </c>
    </row>
    <row r="13" spans="1:16" ht="25" customHeight="1" x14ac:dyDescent="0.45">
      <c r="A13" s="4"/>
      <c r="B13" s="13"/>
      <c r="C13" s="154">
        <v>44</v>
      </c>
      <c r="D13" s="307">
        <f t="shared" si="1"/>
        <v>62</v>
      </c>
      <c r="E13" s="307">
        <f t="shared" si="0"/>
        <v>2</v>
      </c>
      <c r="F13" s="309">
        <f t="shared" si="2"/>
        <v>88</v>
      </c>
      <c r="G13" s="311">
        <f>IF(D13=D12,"",_xlfn.IFNA(VLOOKUP(D13,'202306'!$AP$5:$AS$55,4,FALSE),0))</f>
        <v>4955</v>
      </c>
      <c r="H13" s="313">
        <f t="shared" si="3"/>
        <v>4.2593245252851727E-2</v>
      </c>
      <c r="I13" s="315">
        <f>SUM($G$7:G13)</f>
        <v>16943</v>
      </c>
      <c r="J13" s="317">
        <f t="shared" si="4"/>
        <v>0.14564225112392873</v>
      </c>
      <c r="K13" s="14"/>
      <c r="M13" s="1"/>
      <c r="O13" s="1">
        <v>7</v>
      </c>
      <c r="P13" s="1">
        <f>'표준점수 등급컷 입력기능'!B34</f>
        <v>36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입력기능'!B35</f>
        <v>35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61</v>
      </c>
      <c r="E15" s="155">
        <f t="shared" si="0"/>
        <v>3</v>
      </c>
      <c r="F15" s="156">
        <f t="shared" si="2"/>
        <v>84</v>
      </c>
      <c r="G15" s="157">
        <f>IF(D15=D14,"",_xlfn.IFNA(VLOOKUP(D15,'202306'!$AP$5:$AS$55,4,FALSE),0))</f>
        <v>3955</v>
      </c>
      <c r="H15" s="158">
        <f t="shared" si="3"/>
        <v>3.399723208375955E-2</v>
      </c>
      <c r="I15" s="165">
        <f>SUM($G$7:G15)</f>
        <v>20898</v>
      </c>
      <c r="J15" s="160">
        <f t="shared" si="4"/>
        <v>0.17963948320768827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60</v>
      </c>
      <c r="E16" s="155">
        <f t="shared" si="0"/>
        <v>3</v>
      </c>
      <c r="F16" s="156">
        <f t="shared" si="2"/>
        <v>81</v>
      </c>
      <c r="G16" s="157">
        <f>IF(D16=D15,"",_xlfn.IFNA(VLOOKUP(D16,'202306'!$AP$5:$AS$55,4,FALSE),0))</f>
        <v>2318</v>
      </c>
      <c r="H16" s="158">
        <f t="shared" si="3"/>
        <v>1.992555852595566E-2</v>
      </c>
      <c r="I16" s="165">
        <f>SUM($G$7:G16)</f>
        <v>23216</v>
      </c>
      <c r="J16" s="160">
        <f t="shared" si="4"/>
        <v>0.19956504173364395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7">
        <f t="shared" si="1"/>
        <v>59</v>
      </c>
      <c r="E17" s="307">
        <f t="shared" si="0"/>
        <v>3</v>
      </c>
      <c r="F17" s="309">
        <f t="shared" si="2"/>
        <v>77</v>
      </c>
      <c r="G17" s="311">
        <f>IF(D17=D16,"",_xlfn.IFNA(VLOOKUP(D17,'202306'!$AP$5:$AS$55,4,FALSE),0))</f>
        <v>7362</v>
      </c>
      <c r="H17" s="313">
        <f t="shared" si="3"/>
        <v>6.3283848950856592E-2</v>
      </c>
      <c r="I17" s="315">
        <f>SUM($G$7:G17)</f>
        <v>30578</v>
      </c>
      <c r="J17" s="317">
        <f t="shared" si="4"/>
        <v>0.26284889068450051</v>
      </c>
      <c r="K17" s="14"/>
      <c r="M17" s="1"/>
      <c r="P17" s="1">
        <f>H3*H4*J3*P7*IFERROR(IF(J57=1, 1, 0), 0)</f>
        <v>2742164016.7740002</v>
      </c>
    </row>
    <row r="18" spans="1:16" ht="25" customHeight="1" x14ac:dyDescent="0.45">
      <c r="A18" s="4"/>
      <c r="B18" s="13"/>
      <c r="C18" s="161">
        <v>39</v>
      </c>
      <c r="D18" s="308"/>
      <c r="E18" s="308"/>
      <c r="F18" s="310"/>
      <c r="G18" s="312"/>
      <c r="H18" s="314"/>
      <c r="I18" s="316"/>
      <c r="J18" s="318"/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58</v>
      </c>
      <c r="E19" s="155">
        <f t="shared" si="0"/>
        <v>4</v>
      </c>
      <c r="F19" s="156">
        <f t="shared" si="2"/>
        <v>72</v>
      </c>
      <c r="G19" s="157">
        <f>IF(D19=D18,"",_xlfn.IFNA(VLOOKUP(D19,'202306'!$AP$5:$AS$55,4,FALSE),0))</f>
        <v>3480</v>
      </c>
      <c r="H19" s="158">
        <f t="shared" si="3"/>
        <v>2.9914125828440771E-2</v>
      </c>
      <c r="I19" s="165">
        <f>SUM($G$7:G19)</f>
        <v>34058</v>
      </c>
      <c r="J19" s="160">
        <f t="shared" si="4"/>
        <v>0.29276301651294129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57</v>
      </c>
      <c r="E20" s="155">
        <f t="shared" si="0"/>
        <v>4</v>
      </c>
      <c r="F20" s="156">
        <f t="shared" si="2"/>
        <v>69</v>
      </c>
      <c r="G20" s="157">
        <f>IF(D20=D19,"",_xlfn.IFNA(VLOOKUP(D20,'202306'!$AP$5:$AS$55,4,FALSE),0))</f>
        <v>3612</v>
      </c>
      <c r="H20" s="158">
        <f t="shared" si="3"/>
        <v>3.1048799566760935E-2</v>
      </c>
      <c r="I20" s="165">
        <f>SUM($G$7:G20)</f>
        <v>37670</v>
      </c>
      <c r="J20" s="160">
        <f t="shared" si="4"/>
        <v>0.32381181607970222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56</v>
      </c>
      <c r="E21" s="176">
        <f t="shared" si="0"/>
        <v>4</v>
      </c>
      <c r="F21" s="156">
        <f t="shared" si="2"/>
        <v>66</v>
      </c>
      <c r="G21" s="157">
        <f>IF(D21=D20,"",_xlfn.IFNA(VLOOKUP(D21,'202306'!$AP$5:$AS$55,4,FALSE),0))</f>
        <v>2722</v>
      </c>
      <c r="H21" s="158">
        <f t="shared" si="3"/>
        <v>2.3398347846268902E-2</v>
      </c>
      <c r="I21" s="165">
        <f>SUM($G$7:G21)</f>
        <v>40392</v>
      </c>
      <c r="J21" s="160">
        <f t="shared" si="4"/>
        <v>0.34721016392597115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19">
        <f t="shared" si="1"/>
        <v>55</v>
      </c>
      <c r="E22" s="319">
        <f t="shared" si="0"/>
        <v>4</v>
      </c>
      <c r="F22" s="309">
        <f t="shared" si="2"/>
        <v>63</v>
      </c>
      <c r="G22" s="311">
        <f>IF(D22=D21,"",_xlfn.IFNA(VLOOKUP(D22,'202306'!$AP$5:$AS$55,4,FALSE),0))</f>
        <v>6274</v>
      </c>
      <c r="H22" s="313">
        <f t="shared" si="3"/>
        <v>5.3931386622884304E-2</v>
      </c>
      <c r="I22" s="315">
        <f>SUM($G$7:G22)</f>
        <v>46666</v>
      </c>
      <c r="J22" s="317">
        <f t="shared" si="4"/>
        <v>0.40114155054885542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20"/>
      <c r="E23" s="320"/>
      <c r="F23" s="310"/>
      <c r="G23" s="312"/>
      <c r="H23" s="314"/>
      <c r="I23" s="316"/>
      <c r="J23" s="318"/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54</v>
      </c>
      <c r="E24" s="176">
        <f t="shared" si="0"/>
        <v>5</v>
      </c>
      <c r="F24" s="156">
        <f t="shared" si="2"/>
        <v>59</v>
      </c>
      <c r="G24" s="157">
        <f>IF(D24=D23,"",_xlfn.IFNA(VLOOKUP(D24,'202306'!$AP$5:$AS$55,4,FALSE),0))</f>
        <v>3135</v>
      </c>
      <c r="H24" s="158">
        <f t="shared" si="3"/>
        <v>2.6948501285103968E-2</v>
      </c>
      <c r="I24" s="165">
        <f>SUM($G$7:G24)</f>
        <v>49801</v>
      </c>
      <c r="J24" s="160">
        <f t="shared" si="4"/>
        <v>0.42809005183395943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53</v>
      </c>
      <c r="E25" s="176">
        <f t="shared" si="0"/>
        <v>5</v>
      </c>
      <c r="F25" s="156">
        <f t="shared" si="2"/>
        <v>56</v>
      </c>
      <c r="G25" s="157">
        <f>IF(D25=D24,"",_xlfn.IFNA(VLOOKUP(D25,'202306'!$AP$5:$AS$55,4,FALSE),0))</f>
        <v>2995</v>
      </c>
      <c r="H25" s="158">
        <f t="shared" si="3"/>
        <v>2.5745059441431066E-2</v>
      </c>
      <c r="I25" s="165">
        <f>SUM($G$7:G25)</f>
        <v>52796</v>
      </c>
      <c r="J25" s="160">
        <f t="shared" si="4"/>
        <v>0.4538351112753905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19">
        <f t="shared" si="1"/>
        <v>52</v>
      </c>
      <c r="E26" s="319">
        <f t="shared" si="0"/>
        <v>5</v>
      </c>
      <c r="F26" s="309">
        <f t="shared" si="2"/>
        <v>52</v>
      </c>
      <c r="G26" s="311">
        <f>IF(D26=D25,"",_xlfn.IFNA(VLOOKUP(D26,'202306'!$AP$5:$AS$55,4,FALSE),0))</f>
        <v>5333</v>
      </c>
      <c r="H26" s="313">
        <f t="shared" si="3"/>
        <v>4.5842538230768566E-2</v>
      </c>
      <c r="I26" s="315">
        <f>SUM($G$7:G26)</f>
        <v>58129</v>
      </c>
      <c r="J26" s="317">
        <f t="shared" si="4"/>
        <v>0.49967764950615906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20"/>
      <c r="E27" s="320"/>
      <c r="F27" s="310"/>
      <c r="G27" s="312"/>
      <c r="H27" s="314"/>
      <c r="I27" s="316"/>
      <c r="J27" s="318"/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51</v>
      </c>
      <c r="E28" s="176">
        <f t="shared" si="0"/>
        <v>5</v>
      </c>
      <c r="F28" s="156">
        <f t="shared" si="2"/>
        <v>49</v>
      </c>
      <c r="G28" s="157">
        <f>IF(D28=D27,"",_xlfn.IFNA(VLOOKUP(D28,'202306'!$AP$5:$AS$55,4,FALSE),0))</f>
        <v>2319</v>
      </c>
      <c r="H28" s="158">
        <f t="shared" si="3"/>
        <v>1.9934154539124754E-2</v>
      </c>
      <c r="I28" s="165">
        <f>SUM($G$7:G28)</f>
        <v>60448</v>
      </c>
      <c r="J28" s="160">
        <f t="shared" si="4"/>
        <v>0.51961180404528384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50</v>
      </c>
      <c r="E29" s="176">
        <f t="shared" si="0"/>
        <v>5</v>
      </c>
      <c r="F29" s="156">
        <f t="shared" si="2"/>
        <v>47</v>
      </c>
      <c r="G29" s="157">
        <f>IF(D29=D28,"",_xlfn.IFNA(VLOOKUP(D29,'202306'!$AP$5:$AS$55,4,FALSE),0))</f>
        <v>2478</v>
      </c>
      <c r="H29" s="158">
        <f t="shared" si="3"/>
        <v>2.1300920633010409E-2</v>
      </c>
      <c r="I29" s="165">
        <f>SUM($G$7:G29)</f>
        <v>62926</v>
      </c>
      <c r="J29" s="160">
        <f t="shared" si="4"/>
        <v>0.54091272467829421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49</v>
      </c>
      <c r="E30" s="176">
        <f t="shared" si="0"/>
        <v>5</v>
      </c>
      <c r="F30" s="156">
        <f t="shared" si="2"/>
        <v>45</v>
      </c>
      <c r="G30" s="157">
        <f>IF(D30=D29,"",_xlfn.IFNA(VLOOKUP(D30,'202306'!$AP$5:$AS$55,4,FALSE),0))</f>
        <v>2445</v>
      </c>
      <c r="H30" s="158">
        <f t="shared" si="3"/>
        <v>2.101725219843037E-2</v>
      </c>
      <c r="I30" s="165">
        <f>SUM($G$7:G30)</f>
        <v>65371</v>
      </c>
      <c r="J30" s="160">
        <f t="shared" si="4"/>
        <v>0.56192997687672452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19">
        <f t="shared" si="1"/>
        <v>48</v>
      </c>
      <c r="E31" s="319">
        <f t="shared" si="0"/>
        <v>5</v>
      </c>
      <c r="F31" s="309">
        <f t="shared" si="2"/>
        <v>42</v>
      </c>
      <c r="G31" s="311">
        <f>IF(D31=D30,"",_xlfn.IFNA(VLOOKUP(D31,'202306'!$AP$5:$AS$55,4,FALSE),0))</f>
        <v>4604</v>
      </c>
      <c r="H31" s="313">
        <f t="shared" si="3"/>
        <v>3.9576044630500372E-2</v>
      </c>
      <c r="I31" s="315">
        <f>SUM($G$7:G31)</f>
        <v>69975</v>
      </c>
      <c r="J31" s="317">
        <f t="shared" si="4"/>
        <v>0.60150602150722499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20"/>
      <c r="E32" s="320"/>
      <c r="F32" s="310"/>
      <c r="G32" s="312"/>
      <c r="H32" s="314"/>
      <c r="I32" s="316"/>
      <c r="J32" s="318"/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47</v>
      </c>
      <c r="E33" s="176">
        <f t="shared" si="0"/>
        <v>6</v>
      </c>
      <c r="F33" s="156">
        <f t="shared" si="2"/>
        <v>39</v>
      </c>
      <c r="G33" s="157">
        <f>IF(D33=D32,"",_xlfn.IFNA(VLOOKUP(D33,'202306'!$AP$5:$AS$55,4,FALSE),0))</f>
        <v>2018</v>
      </c>
      <c r="H33" s="158">
        <f t="shared" si="3"/>
        <v>1.734675457522801E-2</v>
      </c>
      <c r="I33" s="165">
        <f>SUM($G$7:G33)</f>
        <v>71993</v>
      </c>
      <c r="J33" s="160">
        <f t="shared" si="4"/>
        <v>0.61885277608245293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46</v>
      </c>
      <c r="E34" s="176">
        <f t="shared" si="0"/>
        <v>6</v>
      </c>
      <c r="F34" s="156">
        <f t="shared" si="2"/>
        <v>37</v>
      </c>
      <c r="G34" s="157">
        <f>IF(D34=D33,"",_xlfn.IFNA(VLOOKUP(D34,'202306'!$AP$5:$AS$55,4,FALSE),0))</f>
        <v>2222</v>
      </c>
      <c r="H34" s="158">
        <f t="shared" si="3"/>
        <v>1.9100341261722813E-2</v>
      </c>
      <c r="I34" s="165">
        <f>SUM($G$7:G34)</f>
        <v>74215</v>
      </c>
      <c r="J34" s="160">
        <f t="shared" si="4"/>
        <v>0.63795311734417581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19">
        <f t="shared" si="1"/>
        <v>45</v>
      </c>
      <c r="E35" s="319">
        <f t="shared" si="0"/>
        <v>6</v>
      </c>
      <c r="F35" s="309">
        <f t="shared" si="2"/>
        <v>34</v>
      </c>
      <c r="G35" s="311">
        <f>IF(D35=D34,"",_xlfn.IFNA(VLOOKUP(D35,'202306'!$AP$5:$AS$55,4,FALSE),0))</f>
        <v>4150</v>
      </c>
      <c r="H35" s="313">
        <f t="shared" si="3"/>
        <v>3.5673454651732529E-2</v>
      </c>
      <c r="I35" s="315">
        <f>SUM($G$7:G35)</f>
        <v>78365</v>
      </c>
      <c r="J35" s="317">
        <f t="shared" si="4"/>
        <v>0.67362657199590825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20"/>
      <c r="E36" s="320"/>
      <c r="F36" s="310"/>
      <c r="G36" s="312"/>
      <c r="H36" s="314"/>
      <c r="I36" s="316"/>
      <c r="J36" s="318"/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44</v>
      </c>
      <c r="E37" s="176">
        <f t="shared" si="0"/>
        <v>6</v>
      </c>
      <c r="F37" s="156">
        <f t="shared" si="2"/>
        <v>32</v>
      </c>
      <c r="G37" s="157">
        <f>IF(D37=D36,"",_xlfn.IFNA(VLOOKUP(D37,'202306'!$AP$5:$AS$55,4,FALSE),0))</f>
        <v>2278</v>
      </c>
      <c r="H37" s="158">
        <f t="shared" si="3"/>
        <v>1.9581717999191974E-2</v>
      </c>
      <c r="I37" s="165">
        <f>SUM($G$7:G37)</f>
        <v>80643</v>
      </c>
      <c r="J37" s="160">
        <f t="shared" si="4"/>
        <v>0.69320828999510031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43</v>
      </c>
      <c r="E38" s="176">
        <f t="shared" si="0"/>
        <v>6</v>
      </c>
      <c r="F38" s="156">
        <f t="shared" si="2"/>
        <v>30</v>
      </c>
      <c r="G38" s="157">
        <f>IF(D38=D37,"",_xlfn.IFNA(VLOOKUP(D38,'202306'!$AP$5:$AS$55,4,FALSE),0))</f>
        <v>1978</v>
      </c>
      <c r="H38" s="158">
        <f t="shared" si="3"/>
        <v>1.7002914048464324E-2</v>
      </c>
      <c r="I38" s="165">
        <f>SUM($G$7:G38)</f>
        <v>82621</v>
      </c>
      <c r="J38" s="160">
        <f t="shared" si="4"/>
        <v>0.71021120404356464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319">
        <f t="shared" si="1"/>
        <v>42</v>
      </c>
      <c r="E39" s="319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309">
        <f t="shared" si="2"/>
        <v>27</v>
      </c>
      <c r="G39" s="311">
        <f>IF(D39=D38,"",_xlfn.IFNA(VLOOKUP(D39,'202306'!$AP$5:$AS$55,4,FALSE),0))</f>
        <v>4233</v>
      </c>
      <c r="H39" s="313">
        <f t="shared" si="3"/>
        <v>3.638692374476718E-2</v>
      </c>
      <c r="I39" s="315">
        <f>SUM($G$7:G39)</f>
        <v>86854</v>
      </c>
      <c r="J39" s="317">
        <f t="shared" si="4"/>
        <v>0.74659812778833179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20"/>
      <c r="E40" s="320"/>
      <c r="F40" s="310"/>
      <c r="G40" s="312"/>
      <c r="H40" s="314"/>
      <c r="I40" s="316"/>
      <c r="J40" s="318"/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41</v>
      </c>
      <c r="E41" s="176">
        <f t="shared" si="5"/>
        <v>6</v>
      </c>
      <c r="F41" s="156">
        <f t="shared" si="2"/>
        <v>24</v>
      </c>
      <c r="G41" s="157">
        <f>IF(D41=D40,"",_xlfn.IFNA(VLOOKUP(D41,'202306'!$AP$5:$AS$55,4,FALSE),0))</f>
        <v>2111</v>
      </c>
      <c r="H41" s="158">
        <f t="shared" si="3"/>
        <v>1.8146183799953582E-2</v>
      </c>
      <c r="I41" s="165">
        <f>SUM($G$7:G41)</f>
        <v>88965</v>
      </c>
      <c r="J41" s="160">
        <f t="shared" si="4"/>
        <v>0.76474431158828537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40</v>
      </c>
      <c r="E42" s="176">
        <f t="shared" si="5"/>
        <v>6</v>
      </c>
      <c r="F42" s="156">
        <f t="shared" si="2"/>
        <v>23</v>
      </c>
      <c r="G42" s="157">
        <f>IF(D42=D41,"",_xlfn.IFNA(VLOOKUP(D42,'202306'!$AP$5:$AS$55,4,FALSE),0))</f>
        <v>2376</v>
      </c>
      <c r="H42" s="158">
        <f t="shared" si="3"/>
        <v>2.0424127289763009E-2</v>
      </c>
      <c r="I42" s="165">
        <f>SUM($G$7:G42)</f>
        <v>91341</v>
      </c>
      <c r="J42" s="160">
        <f t="shared" si="4"/>
        <v>0.78516843887804832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39</v>
      </c>
      <c r="E43" s="176">
        <f t="shared" si="5"/>
        <v>7</v>
      </c>
      <c r="F43" s="156">
        <f t="shared" si="2"/>
        <v>21</v>
      </c>
      <c r="G43" s="157">
        <f>IF(D43=D42,"",_xlfn.IFNA(VLOOKUP(D43,'202306'!$AP$5:$AS$55,4,FALSE),0))</f>
        <v>1974</v>
      </c>
      <c r="H43" s="158">
        <f t="shared" si="3"/>
        <v>1.6968529995787955E-2</v>
      </c>
      <c r="I43" s="165">
        <f>SUM($G$7:G43)</f>
        <v>93315</v>
      </c>
      <c r="J43" s="160">
        <f t="shared" si="4"/>
        <v>0.80213696887383634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38</v>
      </c>
      <c r="E44" s="319">
        <f t="shared" si="5"/>
        <v>7</v>
      </c>
      <c r="F44" s="309">
        <f t="shared" si="2"/>
        <v>17</v>
      </c>
      <c r="G44" s="311">
        <f>IF(D44=D43,"",_xlfn.IFNA(VLOOKUP(D44,'202306'!$AP$5:$AS$55,4,FALSE),0))</f>
        <v>5652</v>
      </c>
      <c r="H44" s="313">
        <f t="shared" si="3"/>
        <v>4.8584666431708973E-2</v>
      </c>
      <c r="I44" s="315">
        <f>SUM($G$7:G44)</f>
        <v>98967</v>
      </c>
      <c r="J44" s="317">
        <f t="shared" si="4"/>
        <v>0.85072163530554534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37</v>
      </c>
      <c r="E46" s="176">
        <f t="shared" si="5"/>
        <v>7</v>
      </c>
      <c r="F46" s="156">
        <f t="shared" si="2"/>
        <v>14</v>
      </c>
      <c r="G46" s="157">
        <f>IF(D46=D45,"",_xlfn.IFNA(VLOOKUP(D46,'202306'!$AP$5:$AS$55,4,FALSE),0))</f>
        <v>2002</v>
      </c>
      <c r="H46" s="158">
        <f t="shared" si="3"/>
        <v>1.7209218364522536E-2</v>
      </c>
      <c r="I46" s="165">
        <f>SUM($G$7:G46)</f>
        <v>100969</v>
      </c>
      <c r="J46" s="160">
        <f t="shared" si="4"/>
        <v>0.86793085367006784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36</v>
      </c>
      <c r="E47" s="176">
        <f t="shared" si="5"/>
        <v>7</v>
      </c>
      <c r="F47" s="156">
        <f t="shared" si="2"/>
        <v>11</v>
      </c>
      <c r="G47" s="157">
        <f>IF(D47=D46,"",_xlfn.IFNA(VLOOKUP(D47,'202306'!$AP$5:$AS$55,4,FALSE),0))</f>
        <v>4443</v>
      </c>
      <c r="H47" s="158">
        <f t="shared" si="3"/>
        <v>3.8192086510276536E-2</v>
      </c>
      <c r="I47" s="165">
        <f>SUM($G$7:G47)</f>
        <v>105412</v>
      </c>
      <c r="J47" s="160">
        <f t="shared" si="4"/>
        <v>0.90612294018034434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319">
        <f t="shared" si="1"/>
        <v>35</v>
      </c>
      <c r="E48" s="319">
        <f t="shared" si="5"/>
        <v>8</v>
      </c>
      <c r="F48" s="309">
        <f t="shared" si="2"/>
        <v>7</v>
      </c>
      <c r="G48" s="311">
        <f>IF(D48=D47,"",_xlfn.IFNA(VLOOKUP(D48,'202306'!$AP$5:$AS$55,4,FALSE),0))</f>
        <v>6470</v>
      </c>
      <c r="H48" s="313">
        <f t="shared" si="3"/>
        <v>5.5616205204026374E-2</v>
      </c>
      <c r="I48" s="315">
        <f>SUM($G$7:G48)</f>
        <v>111882</v>
      </c>
      <c r="J48" s="317">
        <f t="shared" si="4"/>
        <v>0.96173914538437077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20"/>
      <c r="E49" s="320"/>
      <c r="F49" s="310"/>
      <c r="G49" s="312"/>
      <c r="H49" s="314"/>
      <c r="I49" s="316"/>
      <c r="J49" s="318"/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34</v>
      </c>
      <c r="E50" s="176">
        <f t="shared" si="5"/>
        <v>9</v>
      </c>
      <c r="F50" s="156">
        <f t="shared" si="2"/>
        <v>3</v>
      </c>
      <c r="G50" s="157">
        <f>IF(D50=D49,"",_xlfn.IFNA(VLOOKUP(D50,'202306'!$AP$5:$AS$55,4,FALSE),0))</f>
        <v>1170</v>
      </c>
      <c r="H50" s="158">
        <f t="shared" si="3"/>
        <v>1.0057335407837846E-2</v>
      </c>
      <c r="I50" s="165">
        <f>SUM($G$7:G50)</f>
        <v>113052</v>
      </c>
      <c r="J50" s="160">
        <f t="shared" si="4"/>
        <v>0.97179648079220859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33</v>
      </c>
      <c r="E51" s="176">
        <f t="shared" si="5"/>
        <v>9</v>
      </c>
      <c r="F51" s="156">
        <f t="shared" si="2"/>
        <v>2</v>
      </c>
      <c r="G51" s="157">
        <f>IF(D51=D50,"",_xlfn.IFNA(VLOOKUP(D51,'202306'!$AP$5:$AS$55,4,FALSE),0))</f>
        <v>1140</v>
      </c>
      <c r="H51" s="158">
        <f t="shared" si="3"/>
        <v>9.7994550127650792E-3</v>
      </c>
      <c r="I51" s="165">
        <f>SUM($G$7:G51)</f>
        <v>114192</v>
      </c>
      <c r="J51" s="160">
        <f t="shared" si="4"/>
        <v>0.98159593580497362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19">
        <f t="shared" si="1"/>
        <v>32</v>
      </c>
      <c r="E52" s="319">
        <f t="shared" si="5"/>
        <v>9</v>
      </c>
      <c r="F52" s="309">
        <f t="shared" si="2"/>
        <v>1</v>
      </c>
      <c r="G52" s="311">
        <f>IF(D52=D51,"",_xlfn.IFNA(VLOOKUP(D52,'202306'!$AP$5:$AS$55,4,FALSE),0))</f>
        <v>927</v>
      </c>
      <c r="H52" s="313">
        <f t="shared" si="3"/>
        <v>7.9685042077484464E-3</v>
      </c>
      <c r="I52" s="315">
        <f>SUM($G$7:G52)</f>
        <v>115119</v>
      </c>
      <c r="J52" s="317">
        <f t="shared" si="4"/>
        <v>0.98956444001272215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20"/>
      <c r="E53" s="320"/>
      <c r="F53" s="310"/>
      <c r="G53" s="312"/>
      <c r="H53" s="314"/>
      <c r="I53" s="316"/>
      <c r="J53" s="318"/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31</v>
      </c>
      <c r="E54" s="155">
        <f t="shared" si="5"/>
        <v>9</v>
      </c>
      <c r="F54" s="156">
        <f t="shared" si="2"/>
        <v>1</v>
      </c>
      <c r="G54" s="157">
        <f>IF(D54=D53,"",_xlfn.IFNA(VLOOKUP(D54,'202306'!$AP$5:$AS$55,4,FALSE),0))</f>
        <v>772</v>
      </c>
      <c r="H54" s="158">
        <f t="shared" si="3"/>
        <v>6.6361221665391587E-3</v>
      </c>
      <c r="I54" s="165">
        <f>SUM($G$7:G54)</f>
        <v>115891</v>
      </c>
      <c r="J54" s="160">
        <f t="shared" si="4"/>
        <v>0.99620056217926123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30</v>
      </c>
      <c r="E55" s="155">
        <f t="shared" si="5"/>
        <v>9</v>
      </c>
      <c r="F55" s="156">
        <f t="shared" si="2"/>
        <v>0</v>
      </c>
      <c r="G55" s="157">
        <f>IF(D55=D54,"",_xlfn.IFNA(VLOOKUP(D55,'202306'!$AP$5:$AS$55,4,FALSE),0))</f>
        <v>314</v>
      </c>
      <c r="H55" s="158">
        <f t="shared" si="3"/>
        <v>2.6991481350949428E-3</v>
      </c>
      <c r="I55" s="165">
        <f>SUM($G$7:G55)</f>
        <v>116205</v>
      </c>
      <c r="J55" s="160">
        <f t="shared" si="4"/>
        <v>0.9988997103143562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28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_xlfn.IFNA(VLOOKUP(D57,'202306'!$AP$5:$AS$55,4,FALSE),0)</f>
        <v>128</v>
      </c>
      <c r="H57" s="173">
        <f>G57/J3</f>
        <v>1.1002896856437984E-3</v>
      </c>
      <c r="I57" s="174">
        <f>SUM($G$7:G57)</f>
        <v>116333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81">
    <mergeCell ref="I48:I49"/>
    <mergeCell ref="J48:J49"/>
    <mergeCell ref="D52:D53"/>
    <mergeCell ref="E52:E53"/>
    <mergeCell ref="F52:F53"/>
    <mergeCell ref="G52:G53"/>
    <mergeCell ref="H52:H53"/>
    <mergeCell ref="I52:I53"/>
    <mergeCell ref="J52:J53"/>
    <mergeCell ref="D48:D49"/>
    <mergeCell ref="E48:E49"/>
    <mergeCell ref="F48:F49"/>
    <mergeCell ref="G48:G49"/>
    <mergeCell ref="H48:H49"/>
    <mergeCell ref="I39:I40"/>
    <mergeCell ref="J39:J40"/>
    <mergeCell ref="D44:D45"/>
    <mergeCell ref="E44:E45"/>
    <mergeCell ref="F44:F45"/>
    <mergeCell ref="G44:G45"/>
    <mergeCell ref="H44:H45"/>
    <mergeCell ref="I44:I45"/>
    <mergeCell ref="J44:J45"/>
    <mergeCell ref="D39:D40"/>
    <mergeCell ref="E39:E40"/>
    <mergeCell ref="F39:F40"/>
    <mergeCell ref="G39:G40"/>
    <mergeCell ref="H39:H40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2:I23"/>
    <mergeCell ref="J22:J23"/>
    <mergeCell ref="D26:D27"/>
    <mergeCell ref="E26:E27"/>
    <mergeCell ref="F26:F27"/>
    <mergeCell ref="G26:G27"/>
    <mergeCell ref="H26:H27"/>
    <mergeCell ref="I26:I27"/>
    <mergeCell ref="J26:J27"/>
    <mergeCell ref="D22:D23"/>
    <mergeCell ref="E22:E23"/>
    <mergeCell ref="F22:F23"/>
    <mergeCell ref="G22:G23"/>
    <mergeCell ref="H22:H23"/>
    <mergeCell ref="I13:I14"/>
    <mergeCell ref="J13:J14"/>
    <mergeCell ref="D17:D18"/>
    <mergeCell ref="E17:E18"/>
    <mergeCell ref="F17:F18"/>
    <mergeCell ref="G17:G18"/>
    <mergeCell ref="H17:H18"/>
    <mergeCell ref="I17:I18"/>
    <mergeCell ref="J17:J18"/>
    <mergeCell ref="D3:F3"/>
    <mergeCell ref="D4:F4"/>
    <mergeCell ref="D56:J56"/>
    <mergeCell ref="D8:J8"/>
    <mergeCell ref="D9:D10"/>
    <mergeCell ref="E9:E10"/>
    <mergeCell ref="F9:F10"/>
    <mergeCell ref="G9:G10"/>
    <mergeCell ref="H9:H10"/>
    <mergeCell ref="I9:I10"/>
    <mergeCell ref="J9:J10"/>
    <mergeCell ref="D13:D14"/>
    <mergeCell ref="E13:E14"/>
    <mergeCell ref="F13:F14"/>
    <mergeCell ref="G13:G14"/>
    <mergeCell ref="H13:H14"/>
  </mergeCells>
  <phoneticPr fontId="1" type="noConversion"/>
  <conditionalFormatting sqref="D7:J7 D57:J57 D9:J9 D11:J13 D15:J17 D19:J22 D24:J26 D28:J31 D33:J35 D37:J39 D41:J44 D46:J48 D50:J52 D54:J55">
    <cfRule type="expression" dxfId="104" priority="7">
      <formula>OR($D7=$P$7:$P$14)</formula>
    </cfRule>
  </conditionalFormatting>
  <conditionalFormatting sqref="C7:C57">
    <cfRule type="expression" dxfId="103" priority="6">
      <formula>OR(AND($D7=0,OR($D6=$P$7:$P$14)),AND($D8&gt;0,OR($D7=$P$7:$P$14)))</formula>
    </cfRule>
  </conditionalFormatting>
  <conditionalFormatting sqref="D7 D57 D9 D11:D13 D15:D17 D19:D22 D24:D26 D28:D31 D33:D35 D37:D39 D41:D44 D46:D48 D50:D52 D54:D55">
    <cfRule type="expression" dxfId="102" priority="5">
      <formula>$D7=$D8</formula>
    </cfRule>
  </conditionalFormatting>
  <conditionalFormatting sqref="D56">
    <cfRule type="expression" dxfId="101" priority="4">
      <formula>OR($D56=$P$7:$P$14)</formula>
    </cfRule>
  </conditionalFormatting>
  <conditionalFormatting sqref="D56">
    <cfRule type="expression" dxfId="100" priority="3">
      <formula>$D56=$D57</formula>
    </cfRule>
  </conditionalFormatting>
  <conditionalFormatting sqref="D8">
    <cfRule type="expression" dxfId="99" priority="2">
      <formula>OR($D8=$P$7:$P$14)</formula>
    </cfRule>
  </conditionalFormatting>
  <conditionalFormatting sqref="D8">
    <cfRule type="expression" dxfId="98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7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기능'!D13</f>
        <v>26.92</v>
      </c>
      <c r="I3" s="10" t="s">
        <v>98</v>
      </c>
      <c r="J3" s="145">
        <f>'통계 및 응시자 수 입력 기능'!C13</f>
        <v>52931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113</v>
      </c>
      <c r="E4" s="302"/>
      <c r="F4" s="303"/>
      <c r="G4" s="147" t="s">
        <v>101</v>
      </c>
      <c r="H4" s="148">
        <f>'통계 및 응시자 수 입력 기능'!E13</f>
        <v>13.4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67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_xlfn.IFNA(VLOOKUP(D7,'202306'!$AU$5:$AX$55,4,FALSE),0)</f>
        <v>1364</v>
      </c>
      <c r="H7" s="158">
        <f>G7/J3</f>
        <v>2.5769397895373223E-2</v>
      </c>
      <c r="I7" s="159">
        <f>G7</f>
        <v>1364</v>
      </c>
      <c r="J7" s="160">
        <f>I7/J3</f>
        <v>2.5769397895373223E-2</v>
      </c>
      <c r="K7" s="14"/>
      <c r="M7" s="1"/>
      <c r="O7" s="1">
        <v>1</v>
      </c>
      <c r="P7" s="1">
        <f>'표준점수 등급컷 입력기능'!B42</f>
        <v>66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입력기능'!B43</f>
        <v>63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66</v>
      </c>
      <c r="E9" s="155">
        <f t="shared" si="0"/>
        <v>1</v>
      </c>
      <c r="F9" s="156">
        <f>IF(I8=0,ROUND(100*(1-(I7+I9)/2/$J$3),0),ROUND(100*(1-(I8+I9)/2/$J$3),0))</f>
        <v>96</v>
      </c>
      <c r="G9" s="157">
        <f>_xlfn.IFNA(VLOOKUP(D9,'202306'!$AU$5:$AX$55,4,FALSE),0)</f>
        <v>1827</v>
      </c>
      <c r="H9" s="158">
        <f>G9/$J$3</f>
        <v>3.451663486425724E-2</v>
      </c>
      <c r="I9" s="165">
        <f>SUM($G$7:G9)</f>
        <v>3191</v>
      </c>
      <c r="J9" s="160">
        <f>I9/$J$3</f>
        <v>6.0286032759630459E-2</v>
      </c>
      <c r="K9" s="14"/>
      <c r="M9" s="1"/>
      <c r="O9" s="1">
        <v>3</v>
      </c>
      <c r="P9" s="1">
        <f>'표준점수 등급컷 입력기능'!B44</f>
        <v>60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65</v>
      </c>
      <c r="E10" s="155">
        <f t="shared" si="0"/>
        <v>2</v>
      </c>
      <c r="F10" s="156">
        <f>IF(I9=0,ROUND(100*(1-(I8+I10)/2/$J$3),0),ROUND(100*(1-(I9+I10)/2/$J$3),0))</f>
        <v>93</v>
      </c>
      <c r="G10" s="157">
        <f>IF(D10=D9,"",_xlfn.IFNA(VLOOKUP(D10,'202306'!$AU$5:$AX$55,4,FALSE),0))</f>
        <v>703</v>
      </c>
      <c r="H10" s="158">
        <f t="shared" ref="H10:H55" si="2">G10/$J$3</f>
        <v>1.3281441877160832E-2</v>
      </c>
      <c r="I10" s="165">
        <f>SUM($G$7:G10)</f>
        <v>3894</v>
      </c>
      <c r="J10" s="160">
        <f t="shared" ref="J10:J55" si="3">I10/$J$3</f>
        <v>7.3567474636791294E-2</v>
      </c>
      <c r="K10" s="14"/>
      <c r="M10" s="1"/>
      <c r="O10" s="1">
        <v>4</v>
      </c>
      <c r="P10" s="1">
        <f>'표준점수 등급컷 입력기능'!B45</f>
        <v>54</v>
      </c>
    </row>
    <row r="11" spans="1:16" ht="25" customHeight="1" x14ac:dyDescent="0.45">
      <c r="A11" s="4"/>
      <c r="B11" s="13"/>
      <c r="C11" s="154">
        <v>46</v>
      </c>
      <c r="D11" s="155">
        <f t="shared" si="1"/>
        <v>64</v>
      </c>
      <c r="E11" s="155">
        <f t="shared" si="0"/>
        <v>2</v>
      </c>
      <c r="F11" s="156">
        <f t="shared" ref="F11:F55" si="4">IF(I10=0,ROUND(100*(1-(I9+I11)/2/$J$3),0),ROUND(100*(1-(I10+I11)/2/$J$3),0))</f>
        <v>92</v>
      </c>
      <c r="G11" s="157">
        <f>IF(D11=D10,"",_xlfn.IFNA(VLOOKUP(D11,'202306'!$AU$5:$AX$55,4,FALSE),0))</f>
        <v>883</v>
      </c>
      <c r="H11" s="158">
        <f t="shared" si="2"/>
        <v>1.6682095558368443E-2</v>
      </c>
      <c r="I11" s="165">
        <f>SUM($G$7:G11)</f>
        <v>4777</v>
      </c>
      <c r="J11" s="160">
        <f t="shared" si="3"/>
        <v>9.0249570195159737E-2</v>
      </c>
      <c r="K11" s="14"/>
      <c r="M11" s="1"/>
      <c r="O11" s="1">
        <v>5</v>
      </c>
      <c r="P11" s="1">
        <f>'표준점수 등급컷 입력기능'!B46</f>
        <v>46</v>
      </c>
    </row>
    <row r="12" spans="1:16" ht="25" customHeight="1" x14ac:dyDescent="0.45">
      <c r="A12" s="4"/>
      <c r="B12" s="13"/>
      <c r="C12" s="161">
        <v>45</v>
      </c>
      <c r="D12" s="307">
        <f t="shared" si="1"/>
        <v>63</v>
      </c>
      <c r="E12" s="307">
        <f t="shared" si="0"/>
        <v>2</v>
      </c>
      <c r="F12" s="309">
        <f t="shared" si="4"/>
        <v>89</v>
      </c>
      <c r="G12" s="311">
        <f>IF(D12=D11,"",_xlfn.IFNA(VLOOKUP(D12,'202306'!$AU$5:$AX$55,4,FALSE),0))</f>
        <v>2354</v>
      </c>
      <c r="H12" s="313">
        <f t="shared" si="2"/>
        <v>4.4472993142015076E-2</v>
      </c>
      <c r="I12" s="315">
        <f>SUM($G$7:G12)</f>
        <v>7131</v>
      </c>
      <c r="J12" s="317">
        <f t="shared" si="3"/>
        <v>0.13472256333717481</v>
      </c>
      <c r="K12" s="14"/>
      <c r="M12" s="1"/>
      <c r="O12" s="1">
        <v>6</v>
      </c>
      <c r="P12" s="1">
        <f>'표준점수 등급컷 입력기능'!B47</f>
        <v>40</v>
      </c>
    </row>
    <row r="13" spans="1:16" ht="25" customHeight="1" x14ac:dyDescent="0.45">
      <c r="A13" s="4"/>
      <c r="B13" s="13"/>
      <c r="C13" s="154">
        <v>44</v>
      </c>
      <c r="D13" s="308"/>
      <c r="E13" s="308"/>
      <c r="F13" s="310"/>
      <c r="G13" s="312"/>
      <c r="H13" s="314"/>
      <c r="I13" s="316"/>
      <c r="J13" s="318"/>
      <c r="K13" s="14"/>
      <c r="M13" s="1"/>
      <c r="O13" s="1">
        <v>7</v>
      </c>
      <c r="P13" s="1">
        <f>'표준점수 등급컷 입력기능'!B48</f>
        <v>37</v>
      </c>
    </row>
    <row r="14" spans="1:16" ht="25" customHeight="1" x14ac:dyDescent="0.45">
      <c r="A14" s="4"/>
      <c r="B14" s="13"/>
      <c r="C14" s="167">
        <v>43</v>
      </c>
      <c r="D14" s="218">
        <f t="shared" si="1"/>
        <v>62</v>
      </c>
      <c r="E14" s="218">
        <f t="shared" si="0"/>
        <v>3</v>
      </c>
      <c r="F14" s="156">
        <f t="shared" si="4"/>
        <v>85</v>
      </c>
      <c r="G14" s="157">
        <f>IF(D14=D13,"",_xlfn.IFNA(VLOOKUP(D14,'202306'!$AU$5:$AX$55,4,FALSE),0))</f>
        <v>1502</v>
      </c>
      <c r="H14" s="158">
        <f t="shared" si="2"/>
        <v>2.837656571763239E-2</v>
      </c>
      <c r="I14" s="165">
        <f>SUM($G$7:G14)</f>
        <v>8633</v>
      </c>
      <c r="J14" s="160">
        <f t="shared" si="3"/>
        <v>0.1630991290548072</v>
      </c>
      <c r="K14" s="14"/>
      <c r="M14" s="1"/>
      <c r="O14" s="1">
        <v>8</v>
      </c>
      <c r="P14" s="1">
        <f>'표준점수 등급컷 입력기능'!B49</f>
        <v>35</v>
      </c>
    </row>
    <row r="15" spans="1:16" ht="25" customHeight="1" x14ac:dyDescent="0.45">
      <c r="A15" s="4"/>
      <c r="B15" s="13"/>
      <c r="C15" s="154">
        <v>42</v>
      </c>
      <c r="D15" s="307">
        <f t="shared" ref="D15" si="5">ROUND(10*(C15-$H$3)/$H$4+50,0)</f>
        <v>61</v>
      </c>
      <c r="E15" s="307">
        <f t="shared" si="0"/>
        <v>3</v>
      </c>
      <c r="F15" s="309">
        <f t="shared" si="4"/>
        <v>81</v>
      </c>
      <c r="G15" s="311">
        <f>IF(D15=D14,"",_xlfn.IFNA(VLOOKUP(D15,'202306'!$AU$5:$AX$55,4,FALSE),0))</f>
        <v>2319</v>
      </c>
      <c r="H15" s="313">
        <f t="shared" si="2"/>
        <v>4.3811754926224709E-2</v>
      </c>
      <c r="I15" s="315">
        <f>SUM($G$7:G15)</f>
        <v>10952</v>
      </c>
      <c r="J15" s="317">
        <f t="shared" si="3"/>
        <v>0.20691088398103191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308"/>
      <c r="E16" s="308"/>
      <c r="F16" s="310"/>
      <c r="G16" s="312"/>
      <c r="H16" s="314"/>
      <c r="I16" s="316"/>
      <c r="J16" s="318"/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60</v>
      </c>
      <c r="E17" s="155">
        <f t="shared" si="0"/>
        <v>3</v>
      </c>
      <c r="F17" s="156">
        <f t="shared" si="4"/>
        <v>78</v>
      </c>
      <c r="G17" s="157">
        <f>IF(D17=D16,"",_xlfn.IFNA(VLOOKUP(D17,'202306'!$AU$5:$AX$55,4,FALSE),0))</f>
        <v>1649</v>
      </c>
      <c r="H17" s="158">
        <f t="shared" si="2"/>
        <v>3.1153766223951936E-2</v>
      </c>
      <c r="I17" s="165">
        <f>SUM($G$7:G17)</f>
        <v>12601</v>
      </c>
      <c r="J17" s="160">
        <f t="shared" si="3"/>
        <v>0.23806465020498385</v>
      </c>
      <c r="K17" s="14"/>
      <c r="M17" s="1"/>
      <c r="P17" s="1">
        <f>H3*H4*J3*P7*IFERROR(IF(J57=1, 1, 0), 0)</f>
        <v>1260183788.688</v>
      </c>
    </row>
    <row r="18" spans="1:16" ht="25" customHeight="1" x14ac:dyDescent="0.45">
      <c r="A18" s="4"/>
      <c r="B18" s="13"/>
      <c r="C18" s="161">
        <v>39</v>
      </c>
      <c r="D18" s="155">
        <f t="shared" si="1"/>
        <v>59</v>
      </c>
      <c r="E18" s="155">
        <f t="shared" si="0"/>
        <v>4</v>
      </c>
      <c r="F18" s="156">
        <f t="shared" si="4"/>
        <v>75</v>
      </c>
      <c r="G18" s="157">
        <f>IF(D18=D17,"",_xlfn.IFNA(VLOOKUP(D18,'202306'!$AU$5:$AX$55,4,FALSE),0))</f>
        <v>1052</v>
      </c>
      <c r="H18" s="158">
        <f t="shared" si="2"/>
        <v>1.9874931514613364E-2</v>
      </c>
      <c r="I18" s="165">
        <f>SUM($G$7:G18)</f>
        <v>13653</v>
      </c>
      <c r="J18" s="160">
        <f t="shared" si="3"/>
        <v>0.25793958171959719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307">
        <f t="shared" si="1"/>
        <v>58</v>
      </c>
      <c r="E19" s="307">
        <f t="shared" si="0"/>
        <v>4</v>
      </c>
      <c r="F19" s="309">
        <f t="shared" si="4"/>
        <v>72</v>
      </c>
      <c r="G19" s="311">
        <f>IF(D19=D18,"",_xlfn.IFNA(VLOOKUP(D19,'202306'!$AU$5:$AX$55,4,FALSE),0))</f>
        <v>2658</v>
      </c>
      <c r="H19" s="313">
        <f t="shared" si="2"/>
        <v>5.0216319359165706E-2</v>
      </c>
      <c r="I19" s="315">
        <f>SUM($G$7:G19)</f>
        <v>16311</v>
      </c>
      <c r="J19" s="317">
        <f t="shared" si="3"/>
        <v>0.30815590107876289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308"/>
      <c r="E20" s="308"/>
      <c r="F20" s="310"/>
      <c r="G20" s="312"/>
      <c r="H20" s="314"/>
      <c r="I20" s="316"/>
      <c r="J20" s="318"/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57</v>
      </c>
      <c r="E21" s="176">
        <f t="shared" si="0"/>
        <v>4</v>
      </c>
      <c r="F21" s="156">
        <f t="shared" si="4"/>
        <v>68</v>
      </c>
      <c r="G21" s="157">
        <f>IF(D21=D20,"",_xlfn.IFNA(VLOOKUP(D21,'202306'!$AU$5:$AX$55,4,FALSE),0))</f>
        <v>876</v>
      </c>
      <c r="H21" s="158">
        <f t="shared" si="2"/>
        <v>1.6549847915210369E-2</v>
      </c>
      <c r="I21" s="165">
        <f>SUM($G$7:G21)</f>
        <v>17187</v>
      </c>
      <c r="J21" s="160">
        <f t="shared" si="3"/>
        <v>0.32470574899397331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56</v>
      </c>
      <c r="E22" s="176">
        <f t="shared" si="0"/>
        <v>4</v>
      </c>
      <c r="F22" s="156">
        <f t="shared" si="4"/>
        <v>66</v>
      </c>
      <c r="G22" s="157">
        <f>IF(D22=D21,"",_xlfn.IFNA(VLOOKUP(D22,'202306'!$AU$5:$AX$55,4,FALSE),0))</f>
        <v>1320</v>
      </c>
      <c r="H22" s="158">
        <f t="shared" si="2"/>
        <v>2.4938126995522471E-2</v>
      </c>
      <c r="I22" s="165">
        <f>SUM($G$7:G22)</f>
        <v>18507</v>
      </c>
      <c r="J22" s="160">
        <f t="shared" si="3"/>
        <v>0.34964387598949576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19">
        <f t="shared" si="1"/>
        <v>55</v>
      </c>
      <c r="E23" s="319">
        <f t="shared" si="0"/>
        <v>4</v>
      </c>
      <c r="F23" s="309">
        <f t="shared" si="4"/>
        <v>63</v>
      </c>
      <c r="G23" s="311">
        <f>IF(D23=D22,"",_xlfn.IFNA(VLOOKUP(D23,'202306'!$AU$5:$AX$55,4,FALSE),0))</f>
        <v>2049</v>
      </c>
      <c r="H23" s="313">
        <f t="shared" si="2"/>
        <v>3.8710774404413291E-2</v>
      </c>
      <c r="I23" s="315">
        <f>SUM($G$7:G23)</f>
        <v>20556</v>
      </c>
      <c r="J23" s="317">
        <f t="shared" si="3"/>
        <v>0.38835465039390904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320"/>
      <c r="E24" s="320"/>
      <c r="F24" s="310"/>
      <c r="G24" s="312"/>
      <c r="H24" s="314"/>
      <c r="I24" s="316"/>
      <c r="J24" s="318"/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54</v>
      </c>
      <c r="E25" s="176">
        <f t="shared" si="0"/>
        <v>4</v>
      </c>
      <c r="F25" s="156">
        <f t="shared" si="4"/>
        <v>60</v>
      </c>
      <c r="G25" s="157">
        <f>IF(D25=D24,"",_xlfn.IFNA(VLOOKUP(D25,'202306'!$AU$5:$AX$55,4,FALSE),0))</f>
        <v>1221</v>
      </c>
      <c r="H25" s="158">
        <f t="shared" si="2"/>
        <v>2.3067767470858286E-2</v>
      </c>
      <c r="I25" s="165">
        <f>SUM($G$7:G25)</f>
        <v>21777</v>
      </c>
      <c r="J25" s="160">
        <f t="shared" si="3"/>
        <v>0.41142241786476735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53</v>
      </c>
      <c r="E26" s="176">
        <f t="shared" si="0"/>
        <v>5</v>
      </c>
      <c r="F26" s="156">
        <f t="shared" si="4"/>
        <v>58</v>
      </c>
      <c r="G26" s="157">
        <f>IF(D26=D25,"",_xlfn.IFNA(VLOOKUP(D26,'202306'!$AU$5:$AX$55,4,FALSE),0))</f>
        <v>890</v>
      </c>
      <c r="H26" s="158">
        <f t="shared" si="2"/>
        <v>1.6814343201526517E-2</v>
      </c>
      <c r="I26" s="165">
        <f>SUM($G$7:G26)</f>
        <v>22667</v>
      </c>
      <c r="J26" s="160">
        <f t="shared" si="3"/>
        <v>0.42823676106629388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19">
        <f t="shared" si="1"/>
        <v>52</v>
      </c>
      <c r="E27" s="319">
        <f t="shared" si="0"/>
        <v>5</v>
      </c>
      <c r="F27" s="309">
        <f t="shared" si="4"/>
        <v>55</v>
      </c>
      <c r="G27" s="311">
        <f>IF(D27=D26,"",_xlfn.IFNA(VLOOKUP(D27,'202306'!$AU$5:$AX$55,4,FALSE),0))</f>
        <v>2161</v>
      </c>
      <c r="H27" s="313">
        <f t="shared" si="2"/>
        <v>4.0826736694942474E-2</v>
      </c>
      <c r="I27" s="315">
        <f>SUM($G$7:G27)</f>
        <v>24828</v>
      </c>
      <c r="J27" s="317">
        <f t="shared" si="3"/>
        <v>0.46906349776123635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320"/>
      <c r="E28" s="320"/>
      <c r="F28" s="310"/>
      <c r="G28" s="312"/>
      <c r="H28" s="314"/>
      <c r="I28" s="316"/>
      <c r="J28" s="318"/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51</v>
      </c>
      <c r="E29" s="176">
        <f t="shared" si="0"/>
        <v>5</v>
      </c>
      <c r="F29" s="156">
        <f t="shared" si="4"/>
        <v>52</v>
      </c>
      <c r="G29" s="157">
        <f>IF(D29=D28,"",_xlfn.IFNA(VLOOKUP(D29,'202306'!$AU$5:$AX$55,4,FALSE),0))</f>
        <v>927</v>
      </c>
      <c r="H29" s="158">
        <f t="shared" si="2"/>
        <v>1.7513366458219191E-2</v>
      </c>
      <c r="I29" s="165">
        <f>SUM($G$7:G29)</f>
        <v>25755</v>
      </c>
      <c r="J29" s="160">
        <f t="shared" si="3"/>
        <v>0.48657686421945551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50</v>
      </c>
      <c r="E30" s="176">
        <f t="shared" si="0"/>
        <v>5</v>
      </c>
      <c r="F30" s="156">
        <f t="shared" si="4"/>
        <v>50</v>
      </c>
      <c r="G30" s="157">
        <f>IF(D30=D29,"",_xlfn.IFNA(VLOOKUP(D30,'202306'!$AU$5:$AX$55,4,FALSE),0))</f>
        <v>1061</v>
      </c>
      <c r="H30" s="158">
        <f t="shared" si="2"/>
        <v>2.0044964198673746E-2</v>
      </c>
      <c r="I30" s="165">
        <f>SUM($G$7:G30)</f>
        <v>26816</v>
      </c>
      <c r="J30" s="160">
        <f t="shared" si="3"/>
        <v>0.50662182841812931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19">
        <f t="shared" si="1"/>
        <v>49</v>
      </c>
      <c r="E31" s="319">
        <f t="shared" si="0"/>
        <v>5</v>
      </c>
      <c r="F31" s="309">
        <f t="shared" si="4"/>
        <v>48</v>
      </c>
      <c r="G31" s="311">
        <f>IF(D31=D30,"",_xlfn.IFNA(VLOOKUP(D31,'202306'!$AU$5:$AX$55,4,FALSE),0))</f>
        <v>1886</v>
      </c>
      <c r="H31" s="313">
        <f t="shared" si="2"/>
        <v>3.5631293570875293E-2</v>
      </c>
      <c r="I31" s="315">
        <f>SUM($G$7:G31)</f>
        <v>28702</v>
      </c>
      <c r="J31" s="317">
        <f t="shared" si="3"/>
        <v>0.54225312198900455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20"/>
      <c r="E32" s="320"/>
      <c r="F32" s="310"/>
      <c r="G32" s="312"/>
      <c r="H32" s="314"/>
      <c r="I32" s="316"/>
      <c r="J32" s="318"/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48</v>
      </c>
      <c r="E33" s="176">
        <f t="shared" si="0"/>
        <v>5</v>
      </c>
      <c r="F33" s="156">
        <f t="shared" si="4"/>
        <v>45</v>
      </c>
      <c r="G33" s="157">
        <f>IF(D33=D32,"",_xlfn.IFNA(VLOOKUP(D33,'202306'!$AU$5:$AX$55,4,FALSE),0))</f>
        <v>1047</v>
      </c>
      <c r="H33" s="158">
        <f t="shared" si="2"/>
        <v>1.9780468912357598E-2</v>
      </c>
      <c r="I33" s="165">
        <f>SUM($G$7:G33)</f>
        <v>29749</v>
      </c>
      <c r="J33" s="160">
        <f t="shared" si="3"/>
        <v>0.56203359090136218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47</v>
      </c>
      <c r="E34" s="176">
        <f t="shared" si="0"/>
        <v>5</v>
      </c>
      <c r="F34" s="156">
        <f t="shared" si="4"/>
        <v>43</v>
      </c>
      <c r="G34" s="157">
        <f>IF(D34=D33,"",_xlfn.IFNA(VLOOKUP(D34,'202306'!$AU$5:$AX$55,4,FALSE),0))</f>
        <v>890</v>
      </c>
      <c r="H34" s="158">
        <f t="shared" si="2"/>
        <v>1.6814343201526517E-2</v>
      </c>
      <c r="I34" s="165">
        <f>SUM($G$7:G34)</f>
        <v>30639</v>
      </c>
      <c r="J34" s="160">
        <f t="shared" si="3"/>
        <v>0.57884793410288871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19">
        <f t="shared" si="1"/>
        <v>46</v>
      </c>
      <c r="E35" s="319">
        <f t="shared" si="0"/>
        <v>5</v>
      </c>
      <c r="F35" s="309">
        <f t="shared" si="4"/>
        <v>40</v>
      </c>
      <c r="G35" s="311">
        <f>IF(D35=D34,"",_xlfn.IFNA(VLOOKUP(D35,'202306'!$AU$5:$AX$55,4,FALSE),0))</f>
        <v>2082</v>
      </c>
      <c r="H35" s="313">
        <f t="shared" si="2"/>
        <v>3.9334227579301356E-2</v>
      </c>
      <c r="I35" s="315">
        <f>SUM($G$7:G35)</f>
        <v>32721</v>
      </c>
      <c r="J35" s="317">
        <f t="shared" si="3"/>
        <v>0.61818216168218998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20"/>
      <c r="E36" s="320"/>
      <c r="F36" s="310"/>
      <c r="G36" s="312"/>
      <c r="H36" s="314"/>
      <c r="I36" s="316"/>
      <c r="J36" s="318"/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45</v>
      </c>
      <c r="E37" s="176">
        <f t="shared" si="0"/>
        <v>6</v>
      </c>
      <c r="F37" s="156">
        <f t="shared" si="4"/>
        <v>37</v>
      </c>
      <c r="G37" s="157">
        <f>IF(D37=D36,"",_xlfn.IFNA(VLOOKUP(D37,'202306'!$AU$5:$AX$55,4,FALSE),0))</f>
        <v>1014</v>
      </c>
      <c r="H37" s="158">
        <f t="shared" si="2"/>
        <v>1.9157015737469536E-2</v>
      </c>
      <c r="I37" s="165">
        <f>SUM($G$7:G37)</f>
        <v>33735</v>
      </c>
      <c r="J37" s="160">
        <f t="shared" si="3"/>
        <v>0.63733917741965951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44</v>
      </c>
      <c r="E38" s="176">
        <f t="shared" si="0"/>
        <v>6</v>
      </c>
      <c r="F38" s="156">
        <f t="shared" si="4"/>
        <v>35</v>
      </c>
      <c r="G38" s="157">
        <f>IF(D38=D37,"",_xlfn.IFNA(VLOOKUP(D38,'202306'!$AU$5:$AX$55,4,FALSE),0))</f>
        <v>1171</v>
      </c>
      <c r="H38" s="158">
        <f t="shared" si="2"/>
        <v>2.2123141448300618E-2</v>
      </c>
      <c r="I38" s="165">
        <f>SUM($G$7:G38)</f>
        <v>34906</v>
      </c>
      <c r="J38" s="160">
        <f t="shared" si="3"/>
        <v>0.65946231886796014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319">
        <f t="shared" si="1"/>
        <v>43</v>
      </c>
      <c r="E39" s="319">
        <f t="shared" ref="E39:E57" si="6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309">
        <f t="shared" si="4"/>
        <v>32</v>
      </c>
      <c r="G39" s="311">
        <f>IF(D39=D38,"",_xlfn.IFNA(VLOOKUP(D39,'202306'!$AU$5:$AX$55,4,FALSE),0))</f>
        <v>2368</v>
      </c>
      <c r="H39" s="313">
        <f t="shared" si="2"/>
        <v>4.4737488428331224E-2</v>
      </c>
      <c r="I39" s="315">
        <f>SUM($G$7:G39)</f>
        <v>37274</v>
      </c>
      <c r="J39" s="317">
        <f t="shared" si="3"/>
        <v>0.70419980729629139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20"/>
      <c r="E40" s="320"/>
      <c r="F40" s="310"/>
      <c r="G40" s="312"/>
      <c r="H40" s="314"/>
      <c r="I40" s="316"/>
      <c r="J40" s="318"/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42</v>
      </c>
      <c r="E41" s="176">
        <f t="shared" si="6"/>
        <v>6</v>
      </c>
      <c r="F41" s="156">
        <f t="shared" si="4"/>
        <v>28</v>
      </c>
      <c r="G41" s="157">
        <f>IF(D41=D40,"",_xlfn.IFNA(VLOOKUP(D41,'202306'!$AU$5:$AX$55,4,FALSE),0))</f>
        <v>1201</v>
      </c>
      <c r="H41" s="158">
        <f t="shared" si="2"/>
        <v>2.2689917061835218E-2</v>
      </c>
      <c r="I41" s="165">
        <f>SUM($G$7:G41)</f>
        <v>38475</v>
      </c>
      <c r="J41" s="160">
        <f t="shared" si="3"/>
        <v>0.7268897243581266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41</v>
      </c>
      <c r="E42" s="176">
        <f t="shared" si="6"/>
        <v>6</v>
      </c>
      <c r="F42" s="156">
        <f t="shared" si="4"/>
        <v>26</v>
      </c>
      <c r="G42" s="157">
        <f>IF(D42=D41,"",_xlfn.IFNA(VLOOKUP(D42,'202306'!$AU$5:$AX$55,4,FALSE),0))</f>
        <v>1273</v>
      </c>
      <c r="H42" s="158">
        <f t="shared" si="2"/>
        <v>2.4050178534318262E-2</v>
      </c>
      <c r="I42" s="165">
        <f>SUM($G$7:G42)</f>
        <v>39748</v>
      </c>
      <c r="J42" s="160">
        <f t="shared" si="3"/>
        <v>0.75093990289244483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319">
        <f t="shared" si="1"/>
        <v>40</v>
      </c>
      <c r="E43" s="319">
        <f t="shared" si="6"/>
        <v>6</v>
      </c>
      <c r="F43" s="309">
        <f t="shared" si="4"/>
        <v>22</v>
      </c>
      <c r="G43" s="311">
        <f>IF(D43=D42,"",_xlfn.IFNA(VLOOKUP(D43,'202306'!$AU$5:$AX$55,4,FALSE),0))</f>
        <v>2739</v>
      </c>
      <c r="H43" s="313">
        <f t="shared" si="2"/>
        <v>5.1746613515709132E-2</v>
      </c>
      <c r="I43" s="315">
        <f>SUM($G$7:G43)</f>
        <v>42487</v>
      </c>
      <c r="J43" s="317">
        <f t="shared" si="3"/>
        <v>0.80268651640815403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20"/>
      <c r="E44" s="320"/>
      <c r="F44" s="310"/>
      <c r="G44" s="312"/>
      <c r="H44" s="314"/>
      <c r="I44" s="316"/>
      <c r="J44" s="318"/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39</v>
      </c>
      <c r="E45" s="176">
        <f t="shared" si="6"/>
        <v>7</v>
      </c>
      <c r="F45" s="156">
        <f t="shared" si="4"/>
        <v>18</v>
      </c>
      <c r="G45" s="157">
        <f>IF(D45=D44,"",_xlfn.IFNA(VLOOKUP(D45,'202306'!$AU$5:$AX$55,4,FALSE),0))</f>
        <v>1863</v>
      </c>
      <c r="H45" s="158">
        <f t="shared" si="2"/>
        <v>3.519676560049876E-2</v>
      </c>
      <c r="I45" s="165">
        <f>SUM($G$7:G45)</f>
        <v>44350</v>
      </c>
      <c r="J45" s="160">
        <f t="shared" si="3"/>
        <v>0.83788328200865281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38</v>
      </c>
      <c r="E46" s="176">
        <f t="shared" si="6"/>
        <v>7</v>
      </c>
      <c r="F46" s="156">
        <f t="shared" si="4"/>
        <v>15</v>
      </c>
      <c r="G46" s="157">
        <f>IF(D46=D45,"",_xlfn.IFNA(VLOOKUP(D46,'202306'!$AU$5:$AX$55,4,FALSE),0))</f>
        <v>1418</v>
      </c>
      <c r="H46" s="158">
        <f t="shared" si="2"/>
        <v>2.6789593999735503E-2</v>
      </c>
      <c r="I46" s="165">
        <f>SUM($G$7:G46)</f>
        <v>45768</v>
      </c>
      <c r="J46" s="160">
        <f t="shared" si="3"/>
        <v>0.86467287600838827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319">
        <f t="shared" si="1"/>
        <v>37</v>
      </c>
      <c r="E47" s="319">
        <f t="shared" si="6"/>
        <v>7</v>
      </c>
      <c r="F47" s="309">
        <f t="shared" si="4"/>
        <v>10</v>
      </c>
      <c r="G47" s="311">
        <f>IF(D47=D46,"",_xlfn.IFNA(VLOOKUP(D47,'202306'!$AU$5:$AX$55,4,FALSE),0))</f>
        <v>3621</v>
      </c>
      <c r="H47" s="313">
        <f t="shared" si="2"/>
        <v>6.8409816553626421E-2</v>
      </c>
      <c r="I47" s="315">
        <f>SUM($G$7:G47)</f>
        <v>49389</v>
      </c>
      <c r="J47" s="317">
        <f t="shared" si="3"/>
        <v>0.9330826925620147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320"/>
      <c r="E48" s="320"/>
      <c r="F48" s="310"/>
      <c r="G48" s="312"/>
      <c r="H48" s="314"/>
      <c r="I48" s="316"/>
      <c r="J48" s="318"/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36</v>
      </c>
      <c r="E49" s="176">
        <f t="shared" si="6"/>
        <v>8</v>
      </c>
      <c r="F49" s="156">
        <f t="shared" si="4"/>
        <v>6</v>
      </c>
      <c r="G49" s="157">
        <f>IF(D49=D48,"",_xlfn.IFNA(VLOOKUP(D49,'202306'!$AU$5:$AX$55,4,FALSE),0))</f>
        <v>923</v>
      </c>
      <c r="H49" s="158">
        <f t="shared" si="2"/>
        <v>1.7437796376414579E-2</v>
      </c>
      <c r="I49" s="165">
        <f>SUM($G$7:G49)</f>
        <v>50312</v>
      </c>
      <c r="J49" s="160">
        <f t="shared" si="3"/>
        <v>0.95052048893842933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35</v>
      </c>
      <c r="E50" s="176">
        <f t="shared" si="6"/>
        <v>8</v>
      </c>
      <c r="F50" s="156">
        <f t="shared" si="4"/>
        <v>4</v>
      </c>
      <c r="G50" s="157">
        <f>IF(D50=D49,"",_xlfn.IFNA(VLOOKUP(D50,'202306'!$AU$5:$AX$55,4,FALSE),0))</f>
        <v>887</v>
      </c>
      <c r="H50" s="158">
        <f t="shared" si="2"/>
        <v>1.6757665640173055E-2</v>
      </c>
      <c r="I50" s="165">
        <f>SUM($G$7:G50)</f>
        <v>51199</v>
      </c>
      <c r="J50" s="160">
        <f t="shared" si="3"/>
        <v>0.96727815457860233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319">
        <f t="shared" si="1"/>
        <v>34</v>
      </c>
      <c r="E51" s="319">
        <f t="shared" si="6"/>
        <v>9</v>
      </c>
      <c r="F51" s="309">
        <f t="shared" si="4"/>
        <v>2</v>
      </c>
      <c r="G51" s="311">
        <f>IF(D51=D50,"",_xlfn.IFNA(VLOOKUP(D51,'202306'!$AU$5:$AX$55,4,FALSE),0))</f>
        <v>946</v>
      </c>
      <c r="H51" s="313">
        <f t="shared" si="2"/>
        <v>1.7872324346791105E-2</v>
      </c>
      <c r="I51" s="315">
        <f>SUM($G$7:G51)</f>
        <v>52145</v>
      </c>
      <c r="J51" s="317">
        <f t="shared" si="3"/>
        <v>0.98515047892539342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20"/>
      <c r="E52" s="320"/>
      <c r="F52" s="310"/>
      <c r="G52" s="312"/>
      <c r="H52" s="314"/>
      <c r="I52" s="316"/>
      <c r="J52" s="318"/>
      <c r="K52" s="14"/>
      <c r="M52" s="1"/>
    </row>
    <row r="53" spans="1:13" ht="25" customHeight="1" x14ac:dyDescent="0.45">
      <c r="A53" s="4"/>
      <c r="B53" s="13"/>
      <c r="C53" s="166">
        <v>4</v>
      </c>
      <c r="D53" s="155">
        <f t="shared" si="1"/>
        <v>33</v>
      </c>
      <c r="E53" s="155">
        <f t="shared" si="6"/>
        <v>9</v>
      </c>
      <c r="F53" s="156">
        <f t="shared" si="4"/>
        <v>1</v>
      </c>
      <c r="G53" s="157">
        <f>IF(D53=D52,"",_xlfn.IFNA(VLOOKUP(D53,'202306'!$AU$5:$AX$55,4,FALSE),0))</f>
        <v>358</v>
      </c>
      <c r="H53" s="158">
        <f t="shared" si="2"/>
        <v>6.7635223215129128E-3</v>
      </c>
      <c r="I53" s="165">
        <f>SUM($G$7:G53)</f>
        <v>52503</v>
      </c>
      <c r="J53" s="160">
        <f t="shared" si="3"/>
        <v>0.99191400124690632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32</v>
      </c>
      <c r="E54" s="155">
        <f t="shared" si="6"/>
        <v>9</v>
      </c>
      <c r="F54" s="156">
        <f t="shared" si="4"/>
        <v>1</v>
      </c>
      <c r="G54" s="157">
        <f>IF(D54=D53,"",_xlfn.IFNA(VLOOKUP(D54,'202306'!$AU$5:$AX$55,4,FALSE),0))</f>
        <v>169</v>
      </c>
      <c r="H54" s="158">
        <f t="shared" si="2"/>
        <v>3.1928359562449224E-3</v>
      </c>
      <c r="I54" s="165">
        <f>SUM($G$7:G54)</f>
        <v>52672</v>
      </c>
      <c r="J54" s="160">
        <f t="shared" si="3"/>
        <v>0.9951068372031513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31</v>
      </c>
      <c r="E55" s="155">
        <f t="shared" si="6"/>
        <v>9</v>
      </c>
      <c r="F55" s="156">
        <f t="shared" si="4"/>
        <v>0</v>
      </c>
      <c r="G55" s="157">
        <f>IF(D55=D54,"",_xlfn.IFNA(VLOOKUP(D55,'202306'!$AU$5:$AX$55,4,FALSE),0))</f>
        <v>183</v>
      </c>
      <c r="H55" s="158">
        <f t="shared" si="2"/>
        <v>3.4573312425610699E-3</v>
      </c>
      <c r="I55" s="165">
        <f>SUM($G$7:G55)</f>
        <v>52855</v>
      </c>
      <c r="J55" s="160">
        <f t="shared" si="3"/>
        <v>0.99856416844571239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30</v>
      </c>
      <c r="E57" s="170">
        <f t="shared" si="6"/>
        <v>9</v>
      </c>
      <c r="F57" s="171">
        <f>IF(I55=0,ROUND(100*(1-(I54+I57)/2/$J$3),0),ROUND(100*(1-(I55+I57)/2/$J$3),0))</f>
        <v>0</v>
      </c>
      <c r="G57" s="172">
        <f>_xlfn.IFNA(VLOOKUP(D57,'202306'!$AU$5:$AX$55,4,FALSE),0)</f>
        <v>76</v>
      </c>
      <c r="H57" s="173">
        <f>G57/J3</f>
        <v>1.4358315542876575E-3</v>
      </c>
      <c r="I57" s="174">
        <f>SUM($G$7:G57)</f>
        <v>52931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81">
    <mergeCell ref="I47:I48"/>
    <mergeCell ref="J47:J48"/>
    <mergeCell ref="D51:D52"/>
    <mergeCell ref="E51:E52"/>
    <mergeCell ref="F51:F52"/>
    <mergeCell ref="G51:G52"/>
    <mergeCell ref="H51:H52"/>
    <mergeCell ref="I51:I52"/>
    <mergeCell ref="J51:J52"/>
    <mergeCell ref="D47:D48"/>
    <mergeCell ref="E47:E48"/>
    <mergeCell ref="F47:F48"/>
    <mergeCell ref="G47:G48"/>
    <mergeCell ref="H47:H48"/>
    <mergeCell ref="I39:I40"/>
    <mergeCell ref="J39:J40"/>
    <mergeCell ref="D43:D44"/>
    <mergeCell ref="E43:E44"/>
    <mergeCell ref="F43:F44"/>
    <mergeCell ref="G43:G44"/>
    <mergeCell ref="H43:H44"/>
    <mergeCell ref="I43:I44"/>
    <mergeCell ref="J43:J44"/>
    <mergeCell ref="D39:D40"/>
    <mergeCell ref="E39:E40"/>
    <mergeCell ref="F39:F40"/>
    <mergeCell ref="G39:G40"/>
    <mergeCell ref="H39:H40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23:I24"/>
    <mergeCell ref="J23:J24"/>
    <mergeCell ref="D27:D28"/>
    <mergeCell ref="E27:E28"/>
    <mergeCell ref="F27:F28"/>
    <mergeCell ref="G27:G28"/>
    <mergeCell ref="H27:H28"/>
    <mergeCell ref="I27:I28"/>
    <mergeCell ref="J27:J28"/>
    <mergeCell ref="D23:D24"/>
    <mergeCell ref="E23:E24"/>
    <mergeCell ref="F23:F24"/>
    <mergeCell ref="G23:G24"/>
    <mergeCell ref="H23:H24"/>
    <mergeCell ref="I15:I16"/>
    <mergeCell ref="J15:J16"/>
    <mergeCell ref="D19:D20"/>
    <mergeCell ref="E19:E20"/>
    <mergeCell ref="F19:F20"/>
    <mergeCell ref="G19:G20"/>
    <mergeCell ref="H19:H20"/>
    <mergeCell ref="I19:I20"/>
    <mergeCell ref="J19:J20"/>
    <mergeCell ref="D3:F3"/>
    <mergeCell ref="D4:F4"/>
    <mergeCell ref="D56:J56"/>
    <mergeCell ref="D8:J8"/>
    <mergeCell ref="D12:D13"/>
    <mergeCell ref="E12:E13"/>
    <mergeCell ref="F12:F13"/>
    <mergeCell ref="G12:G13"/>
    <mergeCell ref="H12:H13"/>
    <mergeCell ref="I12:I13"/>
    <mergeCell ref="J12:J13"/>
    <mergeCell ref="D15:D16"/>
    <mergeCell ref="E15:E16"/>
    <mergeCell ref="F15:F16"/>
    <mergeCell ref="G15:G16"/>
    <mergeCell ref="H15:H16"/>
  </mergeCells>
  <phoneticPr fontId="1" type="noConversion"/>
  <conditionalFormatting sqref="D7:J7 D57:J57 D9:J12 D14:J15 D17:J19 D21:J23 D25:J27 D29:J31 D33:J35 D37:J39 D41:J43 D45:J47 D49:J51 D53:J55">
    <cfRule type="expression" dxfId="97" priority="7">
      <formula>OR($D7=$P$7:$P$14)</formula>
    </cfRule>
  </conditionalFormatting>
  <conditionalFormatting sqref="C7:C57">
    <cfRule type="expression" dxfId="96" priority="6">
      <formula>OR(AND($D7=0,OR($D6=$P$7:$P$14)),AND($D8&gt;0,OR($D7=$P$7:$P$14)))</formula>
    </cfRule>
  </conditionalFormatting>
  <conditionalFormatting sqref="D7 D57 D9:D12 D14:D15 D17:D19 D21:D23 D25:D27 D29:D31 D33:D35 D37:D39 D41:D43 D45:D47 D49:D51 D53:D55">
    <cfRule type="expression" dxfId="95" priority="5">
      <formula>$D7=$D8</formula>
    </cfRule>
  </conditionalFormatting>
  <conditionalFormatting sqref="D56">
    <cfRule type="expression" dxfId="94" priority="4">
      <formula>OR($D56=$P$7:$P$14)</formula>
    </cfRule>
  </conditionalFormatting>
  <conditionalFormatting sqref="D56">
    <cfRule type="expression" dxfId="93" priority="3">
      <formula>$D56=$D57</formula>
    </cfRule>
  </conditionalFormatting>
  <conditionalFormatting sqref="D8">
    <cfRule type="expression" dxfId="92" priority="2">
      <formula>OR($D8=$P$7:$P$14)</formula>
    </cfRule>
  </conditionalFormatting>
  <conditionalFormatting sqref="D8">
    <cfRule type="expression" dxfId="91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18"/>
  <dimension ref="A1:P105"/>
  <sheetViews>
    <sheetView topLeftCell="B1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기능'!D14</f>
        <v>23</v>
      </c>
      <c r="I3" s="10" t="s">
        <v>98</v>
      </c>
      <c r="J3" s="145">
        <f>'통계 및 응시자 수 입력 기능'!C14</f>
        <v>62797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112</v>
      </c>
      <c r="E4" s="302"/>
      <c r="F4" s="303"/>
      <c r="G4" s="147" t="s">
        <v>101</v>
      </c>
      <c r="H4" s="148">
        <f>'통계 및 응시자 수 입력 기능'!E14</f>
        <v>10.79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75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_xlfn.IFNA(VLOOKUP(D7,'202306'!$AZ$5:$BC$55,4,FALSE),0)</f>
        <v>658</v>
      </c>
      <c r="H7" s="158">
        <f>G7/J3</f>
        <v>1.0478207557685876E-2</v>
      </c>
      <c r="I7" s="159">
        <f>G7</f>
        <v>658</v>
      </c>
      <c r="J7" s="160">
        <f>I7/J3</f>
        <v>1.0478207557685876E-2</v>
      </c>
      <c r="K7" s="14"/>
      <c r="M7" s="1"/>
      <c r="O7" s="1">
        <v>1</v>
      </c>
      <c r="P7" s="1">
        <f>'표준점수 등급컷 입력기능'!E42</f>
        <v>69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입력기능'!E43</f>
        <v>64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73</v>
      </c>
      <c r="E9" s="155">
        <f t="shared" si="0"/>
        <v>1</v>
      </c>
      <c r="F9" s="156">
        <f>IF(I8=0,ROUND(100*(1-(I7+I9)/2/$J$3),0),ROUND(100*(1-(I8+I9)/2/$J$3),0))</f>
        <v>99</v>
      </c>
      <c r="G9" s="157">
        <f>_xlfn.IFNA(VLOOKUP(D9,'202306'!$AZ$5:$BC$55,4,FALSE),0)</f>
        <v>124</v>
      </c>
      <c r="H9" s="158">
        <f>G9/$J$3</f>
        <v>1.9746166218131437E-3</v>
      </c>
      <c r="I9" s="165">
        <f>SUM($G$7:G9)</f>
        <v>782</v>
      </c>
      <c r="J9" s="160">
        <f>I9/$J$3</f>
        <v>1.2452824179499021E-2</v>
      </c>
      <c r="K9" s="14"/>
      <c r="M9" s="1"/>
      <c r="O9" s="1">
        <v>3</v>
      </c>
      <c r="P9" s="1">
        <f>'표준점수 등급컷 입력기능'!E44</f>
        <v>58</v>
      </c>
    </row>
    <row r="10" spans="1:16" ht="25" customHeight="1" x14ac:dyDescent="0.45">
      <c r="A10" s="4"/>
      <c r="B10" s="13"/>
      <c r="C10" s="161">
        <v>47</v>
      </c>
      <c r="D10" s="155">
        <f t="shared" ref="D10:D54" si="1">ROUND(10*(C10-$H$3)/$H$4+50,0)</f>
        <v>72</v>
      </c>
      <c r="E10" s="155">
        <f t="shared" si="0"/>
        <v>1</v>
      </c>
      <c r="F10" s="156">
        <f>IF(I9=0,ROUND(100*(1-(I8+I10)/2/$J$3),0),ROUND(100*(1-(I9+I10)/2/$J$3),0))</f>
        <v>98</v>
      </c>
      <c r="G10" s="157">
        <f>IF(D10=D9,"",_xlfn.IFNA(VLOOKUP(D10,'202306'!$AZ$5:$BC$55,4,FALSE),0))</f>
        <v>860</v>
      </c>
      <c r="H10" s="158">
        <f t="shared" ref="H10:H54" si="2">G10/$J$3</f>
        <v>1.369492173192987E-2</v>
      </c>
      <c r="I10" s="165">
        <f>SUM($G$7:G10)</f>
        <v>1642</v>
      </c>
      <c r="J10" s="160">
        <f t="shared" ref="J10:J54" si="3">I10/$J$3</f>
        <v>2.6147745911428891E-2</v>
      </c>
      <c r="K10" s="14"/>
      <c r="M10" s="1"/>
      <c r="O10" s="1">
        <v>4</v>
      </c>
      <c r="P10" s="1">
        <f>'표준점수 등급컷 입력기능'!E45</f>
        <v>52</v>
      </c>
    </row>
    <row r="11" spans="1:16" ht="25" customHeight="1" x14ac:dyDescent="0.45">
      <c r="A11" s="4"/>
      <c r="B11" s="13"/>
      <c r="C11" s="154">
        <v>46</v>
      </c>
      <c r="D11" s="155">
        <f t="shared" si="1"/>
        <v>71</v>
      </c>
      <c r="E11" s="155">
        <f t="shared" si="0"/>
        <v>1</v>
      </c>
      <c r="F11" s="156">
        <f t="shared" ref="F11:F54" si="4">IF(I10=0,ROUND(100*(1-(I9+I11)/2/$J$3),0),ROUND(100*(1-(I10+I11)/2/$J$3),0))</f>
        <v>97</v>
      </c>
      <c r="G11" s="157">
        <f>IF(D11=D10,"",_xlfn.IFNA(VLOOKUP(D11,'202306'!$AZ$5:$BC$55,4,FALSE),0))</f>
        <v>23</v>
      </c>
      <c r="H11" s="158">
        <f t="shared" si="2"/>
        <v>3.6625953469114766E-4</v>
      </c>
      <c r="I11" s="165">
        <f>SUM($G$7:G11)</f>
        <v>1665</v>
      </c>
      <c r="J11" s="160">
        <f t="shared" si="3"/>
        <v>2.6514005446120037E-2</v>
      </c>
      <c r="K11" s="14"/>
      <c r="M11" s="1"/>
      <c r="O11" s="1">
        <v>5</v>
      </c>
      <c r="P11" s="1">
        <f>'표준점수 등급컷 입력기능'!E46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70</v>
      </c>
      <c r="E12" s="155">
        <f t="shared" si="0"/>
        <v>1</v>
      </c>
      <c r="F12" s="156">
        <f t="shared" si="4"/>
        <v>97</v>
      </c>
      <c r="G12" s="157">
        <f>IF(D12=D11,"",_xlfn.IFNA(VLOOKUP(D12,'202306'!$AZ$5:$BC$55,4,FALSE),0))</f>
        <v>408</v>
      </c>
      <c r="H12" s="158">
        <f t="shared" si="2"/>
        <v>6.4971256588690542E-3</v>
      </c>
      <c r="I12" s="165">
        <f>SUM($G$7:G12)</f>
        <v>2073</v>
      </c>
      <c r="J12" s="160">
        <f t="shared" si="3"/>
        <v>3.3011131104989093E-2</v>
      </c>
      <c r="K12" s="14"/>
      <c r="M12" s="1"/>
      <c r="O12" s="1">
        <v>6</v>
      </c>
      <c r="P12" s="1">
        <f>'표준점수 등급컷 입력기능'!E47</f>
        <v>42</v>
      </c>
    </row>
    <row r="13" spans="1:16" ht="25" customHeight="1" x14ac:dyDescent="0.45">
      <c r="A13" s="4"/>
      <c r="B13" s="13"/>
      <c r="C13" s="154">
        <v>44</v>
      </c>
      <c r="D13" s="307">
        <f t="shared" si="1"/>
        <v>69</v>
      </c>
      <c r="E13" s="307">
        <f t="shared" si="0"/>
        <v>1</v>
      </c>
      <c r="F13" s="309">
        <f t="shared" si="4"/>
        <v>96</v>
      </c>
      <c r="G13" s="311">
        <f>IF(D13=D12,"",_xlfn.IFNA(VLOOKUP(D13,'202306'!$AZ$5:$BC$55,4,FALSE),0))</f>
        <v>1055</v>
      </c>
      <c r="H13" s="313">
        <f t="shared" si="2"/>
        <v>1.6800165613006991E-2</v>
      </c>
      <c r="I13" s="315">
        <f>SUM($G$7:G13)</f>
        <v>3128</v>
      </c>
      <c r="J13" s="317">
        <f t="shared" si="3"/>
        <v>4.9811296717996084E-2</v>
      </c>
      <c r="K13" s="14"/>
      <c r="M13" s="1"/>
      <c r="O13" s="1">
        <v>7</v>
      </c>
      <c r="P13" s="1">
        <f>'표준점수 등급컷 입력기능'!E48</f>
        <v>38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입력기능'!E49</f>
        <v>36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68</v>
      </c>
      <c r="E15" s="155">
        <f t="shared" si="0"/>
        <v>2</v>
      </c>
      <c r="F15" s="156">
        <f t="shared" si="4"/>
        <v>94</v>
      </c>
      <c r="G15" s="157">
        <f>IF(D15=D14,"",_xlfn.IFNA(VLOOKUP(D15,'202306'!$AZ$5:$BC$55,4,FALSE),0))</f>
        <v>945</v>
      </c>
      <c r="H15" s="158">
        <f t="shared" si="2"/>
        <v>1.5048489577527588E-2</v>
      </c>
      <c r="I15" s="165">
        <f>SUM($G$7:G15)</f>
        <v>4073</v>
      </c>
      <c r="J15" s="160">
        <f t="shared" si="3"/>
        <v>6.4859786295523678E-2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67</v>
      </c>
      <c r="E16" s="155">
        <f t="shared" si="0"/>
        <v>2</v>
      </c>
      <c r="F16" s="156">
        <f t="shared" si="4"/>
        <v>93</v>
      </c>
      <c r="G16" s="157">
        <f>IF(D16=D15,"",_xlfn.IFNA(VLOOKUP(D16,'202306'!$AZ$5:$BC$55,4,FALSE),0))</f>
        <v>992</v>
      </c>
      <c r="H16" s="158">
        <f t="shared" si="2"/>
        <v>1.579693297450515E-2</v>
      </c>
      <c r="I16" s="165">
        <f>SUM($G$7:G16)</f>
        <v>5065</v>
      </c>
      <c r="J16" s="160">
        <f t="shared" si="3"/>
        <v>8.065671927002882E-2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66</v>
      </c>
      <c r="E17" s="155">
        <f t="shared" si="0"/>
        <v>2</v>
      </c>
      <c r="F17" s="156">
        <f t="shared" si="4"/>
        <v>92</v>
      </c>
      <c r="G17" s="157">
        <f>IF(D17=D16,"",_xlfn.IFNA(VLOOKUP(D17,'202306'!$AZ$5:$BC$55,4,FALSE),0))</f>
        <v>437</v>
      </c>
      <c r="H17" s="158">
        <f t="shared" si="2"/>
        <v>6.9589311591318056E-3</v>
      </c>
      <c r="I17" s="165">
        <f>SUM($G$7:G17)</f>
        <v>5502</v>
      </c>
      <c r="J17" s="160">
        <f t="shared" si="3"/>
        <v>8.7615650429160627E-2</v>
      </c>
      <c r="K17" s="14"/>
      <c r="M17" s="1"/>
      <c r="P17" s="1">
        <f>H3*H4*J3*P7*IFERROR(IF(J57=1, 1, 0), 0)</f>
        <v>1075318872.8099999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65</v>
      </c>
      <c r="E18" s="155">
        <f t="shared" si="0"/>
        <v>2</v>
      </c>
      <c r="F18" s="156">
        <f t="shared" si="4"/>
        <v>90</v>
      </c>
      <c r="G18" s="157">
        <f>IF(D18=D17,"",_xlfn.IFNA(VLOOKUP(D18,'202306'!$AZ$5:$BC$55,4,FALSE),0))</f>
        <v>1257</v>
      </c>
      <c r="H18" s="158">
        <f t="shared" si="2"/>
        <v>2.0016879787250984E-2</v>
      </c>
      <c r="I18" s="165">
        <f>SUM($G$7:G18)</f>
        <v>6759</v>
      </c>
      <c r="J18" s="160">
        <f t="shared" si="3"/>
        <v>0.10763253021641161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64</v>
      </c>
      <c r="E19" s="155">
        <f t="shared" si="0"/>
        <v>2</v>
      </c>
      <c r="F19" s="156">
        <f t="shared" si="4"/>
        <v>89</v>
      </c>
      <c r="G19" s="157">
        <f>IF(D19=D18,"",_xlfn.IFNA(VLOOKUP(D19,'202306'!$AZ$5:$BC$55,4,FALSE),0))</f>
        <v>880</v>
      </c>
      <c r="H19" s="158">
        <f t="shared" si="2"/>
        <v>1.4013408283835216E-2</v>
      </c>
      <c r="I19" s="165">
        <f>SUM($G$7:G19)</f>
        <v>7639</v>
      </c>
      <c r="J19" s="160">
        <f t="shared" si="3"/>
        <v>0.12164593850024683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63</v>
      </c>
      <c r="E20" s="155">
        <f t="shared" si="0"/>
        <v>3</v>
      </c>
      <c r="F20" s="156">
        <f t="shared" si="4"/>
        <v>87</v>
      </c>
      <c r="G20" s="157">
        <f>IF(D20=D19,"",_xlfn.IFNA(VLOOKUP(D20,'202306'!$AZ$5:$BC$55,4,FALSE),0))</f>
        <v>918</v>
      </c>
      <c r="H20" s="158">
        <f t="shared" si="2"/>
        <v>1.4618532732455372E-2</v>
      </c>
      <c r="I20" s="165">
        <f>SUM($G$7:G20)</f>
        <v>8557</v>
      </c>
      <c r="J20" s="160">
        <f t="shared" si="3"/>
        <v>0.13626447123270219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62</v>
      </c>
      <c r="E21" s="176">
        <f t="shared" si="0"/>
        <v>3</v>
      </c>
      <c r="F21" s="156">
        <f t="shared" si="4"/>
        <v>85</v>
      </c>
      <c r="G21" s="157">
        <f>IF(D21=D20,"",_xlfn.IFNA(VLOOKUP(D21,'202306'!$AZ$5:$BC$55,4,FALSE),0))</f>
        <v>1323</v>
      </c>
      <c r="H21" s="158">
        <f t="shared" si="2"/>
        <v>2.1067885408538625E-2</v>
      </c>
      <c r="I21" s="165">
        <f>SUM($G$7:G21)</f>
        <v>9880</v>
      </c>
      <c r="J21" s="160">
        <f t="shared" si="3"/>
        <v>0.15733235664124082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61</v>
      </c>
      <c r="E22" s="176">
        <f t="shared" si="0"/>
        <v>3</v>
      </c>
      <c r="F22" s="156">
        <f t="shared" si="4"/>
        <v>84</v>
      </c>
      <c r="G22" s="157">
        <f>IF(D22=D21,"",_xlfn.IFNA(VLOOKUP(D22,'202306'!$AZ$5:$BC$55,4,FALSE),0))</f>
        <v>959</v>
      </c>
      <c r="H22" s="158">
        <f t="shared" si="2"/>
        <v>1.5271430163861332E-2</v>
      </c>
      <c r="I22" s="165">
        <f>SUM($G$7:G22)</f>
        <v>10839</v>
      </c>
      <c r="J22" s="160">
        <f t="shared" si="3"/>
        <v>0.17260378680510216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60</v>
      </c>
      <c r="E23" s="176">
        <f t="shared" si="0"/>
        <v>3</v>
      </c>
      <c r="F23" s="156">
        <f t="shared" si="4"/>
        <v>82</v>
      </c>
      <c r="G23" s="157">
        <f>IF(D23=D22,"",_xlfn.IFNA(VLOOKUP(D23,'202306'!$AZ$5:$BC$55,4,FALSE),0))</f>
        <v>1414</v>
      </c>
      <c r="H23" s="158">
        <f t="shared" si="2"/>
        <v>2.2516999219707949E-2</v>
      </c>
      <c r="I23" s="165">
        <f>SUM($G$7:G23)</f>
        <v>12253</v>
      </c>
      <c r="J23" s="160">
        <f t="shared" si="3"/>
        <v>0.19512078602481009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59</v>
      </c>
      <c r="E24" s="176">
        <f t="shared" si="0"/>
        <v>3</v>
      </c>
      <c r="F24" s="156">
        <f t="shared" si="4"/>
        <v>80</v>
      </c>
      <c r="G24" s="157">
        <f>IF(D24=D23,"",_xlfn.IFNA(VLOOKUP(D24,'202306'!$AZ$5:$BC$55,4,FALSE),0))</f>
        <v>1150</v>
      </c>
      <c r="H24" s="158">
        <f t="shared" si="2"/>
        <v>1.8312976734557382E-2</v>
      </c>
      <c r="I24" s="165">
        <f>SUM($G$7:G24)</f>
        <v>13403</v>
      </c>
      <c r="J24" s="160">
        <f t="shared" si="3"/>
        <v>0.21343376275936748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58</v>
      </c>
      <c r="E25" s="176">
        <f t="shared" si="0"/>
        <v>3</v>
      </c>
      <c r="F25" s="156">
        <f t="shared" si="4"/>
        <v>78</v>
      </c>
      <c r="G25" s="157">
        <f>IF(D25=D24,"",_xlfn.IFNA(VLOOKUP(D25,'202306'!$AZ$5:$BC$55,4,FALSE),0))</f>
        <v>1137</v>
      </c>
      <c r="H25" s="158">
        <f t="shared" si="2"/>
        <v>1.8105960475818909E-2</v>
      </c>
      <c r="I25" s="165">
        <f>SUM($G$7:G25)</f>
        <v>14540</v>
      </c>
      <c r="J25" s="160">
        <f t="shared" si="3"/>
        <v>0.2315397232351864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57</v>
      </c>
      <c r="E26" s="176">
        <f t="shared" si="0"/>
        <v>4</v>
      </c>
      <c r="F26" s="156">
        <f t="shared" si="4"/>
        <v>76</v>
      </c>
      <c r="G26" s="157">
        <f>IF(D26=D25,"",_xlfn.IFNA(VLOOKUP(D26,'202306'!$AZ$5:$BC$55,4,FALSE),0))</f>
        <v>1616</v>
      </c>
      <c r="H26" s="158">
        <f t="shared" si="2"/>
        <v>2.5733713393951939E-2</v>
      </c>
      <c r="I26" s="165">
        <f>SUM($G$7:G26)</f>
        <v>16156</v>
      </c>
      <c r="J26" s="160">
        <f t="shared" si="3"/>
        <v>0.25727343662913832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19">
        <f t="shared" si="1"/>
        <v>56</v>
      </c>
      <c r="E27" s="319">
        <f t="shared" si="0"/>
        <v>4</v>
      </c>
      <c r="F27" s="309">
        <f t="shared" si="4"/>
        <v>72</v>
      </c>
      <c r="G27" s="311">
        <f>IF(D27=D26,"",_xlfn.IFNA(VLOOKUP(D27,'202306'!$AZ$5:$BC$55,4,FALSE),0))</f>
        <v>2800</v>
      </c>
      <c r="H27" s="313">
        <f t="shared" si="2"/>
        <v>4.4588117266748412E-2</v>
      </c>
      <c r="I27" s="315">
        <f>SUM($G$7:G27)</f>
        <v>18956</v>
      </c>
      <c r="J27" s="317">
        <f t="shared" si="3"/>
        <v>0.30186155389588676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320"/>
      <c r="E28" s="320"/>
      <c r="F28" s="310"/>
      <c r="G28" s="312"/>
      <c r="H28" s="314"/>
      <c r="I28" s="316"/>
      <c r="J28" s="318"/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55</v>
      </c>
      <c r="E29" s="176">
        <f t="shared" si="0"/>
        <v>4</v>
      </c>
      <c r="F29" s="156">
        <f t="shared" si="4"/>
        <v>69</v>
      </c>
      <c r="G29" s="157">
        <f>IF(D29=D28,"",_xlfn.IFNA(VLOOKUP(D29,'202306'!$AZ$5:$BC$55,4,FALSE),0))</f>
        <v>1563</v>
      </c>
      <c r="H29" s="158">
        <f t="shared" si="2"/>
        <v>2.4889724031402775E-2</v>
      </c>
      <c r="I29" s="165">
        <f>SUM($G$7:G29)</f>
        <v>20519</v>
      </c>
      <c r="J29" s="160">
        <f t="shared" si="3"/>
        <v>0.32675127792728953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54</v>
      </c>
      <c r="E30" s="176">
        <f t="shared" si="0"/>
        <v>4</v>
      </c>
      <c r="F30" s="156">
        <f t="shared" si="4"/>
        <v>66</v>
      </c>
      <c r="G30" s="157">
        <f>IF(D30=D29,"",_xlfn.IFNA(VLOOKUP(D30,'202306'!$AZ$5:$BC$55,4,FALSE),0))</f>
        <v>1503</v>
      </c>
      <c r="H30" s="158">
        <f t="shared" si="2"/>
        <v>2.3934264375686735E-2</v>
      </c>
      <c r="I30" s="165">
        <f>SUM($G$7:G30)</f>
        <v>22022</v>
      </c>
      <c r="J30" s="160">
        <f t="shared" si="3"/>
        <v>0.35068554230297627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53</v>
      </c>
      <c r="E31" s="176">
        <f t="shared" si="0"/>
        <v>4</v>
      </c>
      <c r="F31" s="156">
        <f t="shared" si="4"/>
        <v>63</v>
      </c>
      <c r="G31" s="157">
        <f>IF(D31=D30,"",_xlfn.IFNA(VLOOKUP(D31,'202306'!$AZ$5:$BC$55,4,FALSE),0))</f>
        <v>1866</v>
      </c>
      <c r="H31" s="158">
        <f t="shared" si="2"/>
        <v>2.9714795292768763E-2</v>
      </c>
      <c r="I31" s="165">
        <f>SUM($G$7:G31)</f>
        <v>23888</v>
      </c>
      <c r="J31" s="160">
        <f t="shared" si="3"/>
        <v>0.38040033759574504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52</v>
      </c>
      <c r="E32" s="176">
        <f t="shared" si="0"/>
        <v>4</v>
      </c>
      <c r="F32" s="156">
        <f t="shared" si="4"/>
        <v>61</v>
      </c>
      <c r="G32" s="157">
        <f>IF(D32=D31,"",_xlfn.IFNA(VLOOKUP(D32,'202306'!$AZ$5:$BC$55,4,FALSE),0))</f>
        <v>1526</v>
      </c>
      <c r="H32" s="158">
        <f t="shared" si="2"/>
        <v>2.4300523910377885E-2</v>
      </c>
      <c r="I32" s="165">
        <f>SUM($G$7:G32)</f>
        <v>25414</v>
      </c>
      <c r="J32" s="160">
        <f t="shared" si="3"/>
        <v>0.40470086150612289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51</v>
      </c>
      <c r="E33" s="176">
        <f t="shared" si="0"/>
        <v>5</v>
      </c>
      <c r="F33" s="156">
        <f t="shared" si="4"/>
        <v>58</v>
      </c>
      <c r="G33" s="157">
        <f>IF(D33=D32,"",_xlfn.IFNA(VLOOKUP(D33,'202306'!$AZ$5:$BC$55,4,FALSE),0))</f>
        <v>1831</v>
      </c>
      <c r="H33" s="158">
        <f t="shared" si="2"/>
        <v>2.9157443826934408E-2</v>
      </c>
      <c r="I33" s="165">
        <f>SUM($G$7:G33)</f>
        <v>27245</v>
      </c>
      <c r="J33" s="160">
        <f t="shared" si="3"/>
        <v>0.4338583053330573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50</v>
      </c>
      <c r="E34" s="176">
        <f t="shared" si="0"/>
        <v>5</v>
      </c>
      <c r="F34" s="156">
        <f t="shared" si="4"/>
        <v>55</v>
      </c>
      <c r="G34" s="157">
        <f>IF(D34=D33,"",_xlfn.IFNA(VLOOKUP(D34,'202306'!$AZ$5:$BC$55,4,FALSE),0))</f>
        <v>1864</v>
      </c>
      <c r="H34" s="158">
        <f t="shared" si="2"/>
        <v>2.9682946637578228E-2</v>
      </c>
      <c r="I34" s="165">
        <f>SUM($G$7:G34)</f>
        <v>29109</v>
      </c>
      <c r="J34" s="160">
        <f t="shared" si="3"/>
        <v>0.46354125197063556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49</v>
      </c>
      <c r="E35" s="176">
        <f t="shared" si="0"/>
        <v>5</v>
      </c>
      <c r="F35" s="156">
        <f t="shared" si="4"/>
        <v>52</v>
      </c>
      <c r="G35" s="157">
        <f>IF(D35=D34,"",_xlfn.IFNA(VLOOKUP(D35,'202306'!$AZ$5:$BC$55,4,FALSE),0))</f>
        <v>1766</v>
      </c>
      <c r="H35" s="158">
        <f t="shared" si="2"/>
        <v>2.8122362533242035E-2</v>
      </c>
      <c r="I35" s="165">
        <f>SUM($G$7:G35)</f>
        <v>30875</v>
      </c>
      <c r="J35" s="160">
        <f t="shared" si="3"/>
        <v>0.49166361450387758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48</v>
      </c>
      <c r="E36" s="176">
        <f t="shared" si="0"/>
        <v>5</v>
      </c>
      <c r="F36" s="156">
        <f t="shared" si="4"/>
        <v>49</v>
      </c>
      <c r="G36" s="157">
        <f>IF(D36=D35,"",_xlfn.IFNA(VLOOKUP(D36,'202306'!$AZ$5:$BC$55,4,FALSE),0))</f>
        <v>2156</v>
      </c>
      <c r="H36" s="158">
        <f t="shared" si="2"/>
        <v>3.4332850295396275E-2</v>
      </c>
      <c r="I36" s="165">
        <f>SUM($G$7:G36)</f>
        <v>33031</v>
      </c>
      <c r="J36" s="160">
        <f t="shared" si="3"/>
        <v>0.52599646479927387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47</v>
      </c>
      <c r="E37" s="176">
        <f t="shared" si="0"/>
        <v>5</v>
      </c>
      <c r="F37" s="156">
        <f t="shared" si="4"/>
        <v>46</v>
      </c>
      <c r="G37" s="157">
        <f>IF(D37=D36,"",_xlfn.IFNA(VLOOKUP(D37,'202306'!$AZ$5:$BC$55,4,FALSE),0))</f>
        <v>1907</v>
      </c>
      <c r="H37" s="158">
        <f t="shared" si="2"/>
        <v>3.0367692724174722E-2</v>
      </c>
      <c r="I37" s="165">
        <f>SUM($G$7:G37)</f>
        <v>34938</v>
      </c>
      <c r="J37" s="160">
        <f t="shared" si="3"/>
        <v>0.55636415752344859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46</v>
      </c>
      <c r="E38" s="176">
        <f t="shared" si="0"/>
        <v>5</v>
      </c>
      <c r="F38" s="156">
        <f t="shared" si="4"/>
        <v>43</v>
      </c>
      <c r="G38" s="157">
        <f>IF(D38=D37,"",_xlfn.IFNA(VLOOKUP(D38,'202306'!$AZ$5:$BC$55,4,FALSE),0))</f>
        <v>2206</v>
      </c>
      <c r="H38" s="158">
        <f t="shared" si="2"/>
        <v>3.5129066675159644E-2</v>
      </c>
      <c r="I38" s="165">
        <f>SUM($G$7:G38)</f>
        <v>37144</v>
      </c>
      <c r="J38" s="160">
        <f t="shared" si="3"/>
        <v>0.59149322419860817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45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5</v>
      </c>
      <c r="F39" s="156">
        <f t="shared" si="4"/>
        <v>39</v>
      </c>
      <c r="G39" s="157">
        <f>IF(D39=D38,"",_xlfn.IFNA(VLOOKUP(D39,'202306'!$AZ$5:$BC$55,4,FALSE),0))</f>
        <v>2104</v>
      </c>
      <c r="H39" s="158">
        <f t="shared" si="2"/>
        <v>3.3504785260442378E-2</v>
      </c>
      <c r="I39" s="165">
        <f>SUM($G$7:G39)</f>
        <v>39248</v>
      </c>
      <c r="J39" s="160">
        <f t="shared" si="3"/>
        <v>0.6249980094590506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19">
        <f t="shared" si="1"/>
        <v>44</v>
      </c>
      <c r="E40" s="319">
        <f t="shared" si="5"/>
        <v>6</v>
      </c>
      <c r="F40" s="309">
        <f t="shared" si="4"/>
        <v>34</v>
      </c>
      <c r="G40" s="311">
        <f>IF(D40=D39,"",_xlfn.IFNA(VLOOKUP(D40,'202306'!$AZ$5:$BC$55,4,FALSE),0))</f>
        <v>4701</v>
      </c>
      <c r="H40" s="313">
        <f t="shared" si="2"/>
        <v>7.4860264025351536E-2</v>
      </c>
      <c r="I40" s="315">
        <f>SUM($G$7:G40)</f>
        <v>43949</v>
      </c>
      <c r="J40" s="317">
        <f t="shared" si="3"/>
        <v>0.6998582734844021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20"/>
      <c r="E41" s="320"/>
      <c r="F41" s="310"/>
      <c r="G41" s="312"/>
      <c r="H41" s="314"/>
      <c r="I41" s="316"/>
      <c r="J41" s="318"/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43</v>
      </c>
      <c r="E42" s="176">
        <f t="shared" si="5"/>
        <v>6</v>
      </c>
      <c r="F42" s="156">
        <f t="shared" si="4"/>
        <v>28</v>
      </c>
      <c r="G42" s="157">
        <f>IF(D42=D41,"",_xlfn.IFNA(VLOOKUP(D42,'202306'!$AZ$5:$BC$55,4,FALSE),0))</f>
        <v>2449</v>
      </c>
      <c r="H42" s="158">
        <f t="shared" si="2"/>
        <v>3.8998678280809593E-2</v>
      </c>
      <c r="I42" s="165">
        <f>SUM($G$7:G42)</f>
        <v>46398</v>
      </c>
      <c r="J42" s="160">
        <f t="shared" si="3"/>
        <v>0.73885695176521171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42</v>
      </c>
      <c r="E43" s="176">
        <f t="shared" si="5"/>
        <v>6</v>
      </c>
      <c r="F43" s="156">
        <f t="shared" si="4"/>
        <v>24</v>
      </c>
      <c r="G43" s="157">
        <f>IF(D43=D42,"",_xlfn.IFNA(VLOOKUP(D43,'202306'!$AZ$5:$BC$55,4,FALSE),0))</f>
        <v>2429</v>
      </c>
      <c r="H43" s="158">
        <f t="shared" si="2"/>
        <v>3.8680191728904245E-2</v>
      </c>
      <c r="I43" s="165">
        <f>SUM($G$7:G43)</f>
        <v>48827</v>
      </c>
      <c r="J43" s="160">
        <f t="shared" si="3"/>
        <v>0.77753714349411596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41</v>
      </c>
      <c r="E44" s="176">
        <f t="shared" si="5"/>
        <v>7</v>
      </c>
      <c r="F44" s="156">
        <f t="shared" si="4"/>
        <v>20</v>
      </c>
      <c r="G44" s="157">
        <f>IF(D44=D43,"",_xlfn.IFNA(VLOOKUP(D44,'202306'!$AZ$5:$BC$55,4,FALSE),0))</f>
        <v>2921</v>
      </c>
      <c r="H44" s="158">
        <f t="shared" si="2"/>
        <v>4.6514960905775754E-2</v>
      </c>
      <c r="I44" s="165">
        <f>SUM($G$7:G44)</f>
        <v>51748</v>
      </c>
      <c r="J44" s="160">
        <f t="shared" si="3"/>
        <v>0.82405210439989174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40</v>
      </c>
      <c r="E45" s="176">
        <f t="shared" si="5"/>
        <v>7</v>
      </c>
      <c r="F45" s="156">
        <f t="shared" si="4"/>
        <v>16</v>
      </c>
      <c r="G45" s="157">
        <f>IF(D45=D44,"",_xlfn.IFNA(VLOOKUP(D45,'202306'!$AZ$5:$BC$55,4,FALSE),0))</f>
        <v>2130</v>
      </c>
      <c r="H45" s="158">
        <f t="shared" si="2"/>
        <v>3.391881777791933E-2</v>
      </c>
      <c r="I45" s="165">
        <f>SUM($G$7:G45)</f>
        <v>53878</v>
      </c>
      <c r="J45" s="160">
        <f t="shared" si="3"/>
        <v>0.85797092217781101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39</v>
      </c>
      <c r="E46" s="176">
        <f t="shared" si="5"/>
        <v>7</v>
      </c>
      <c r="F46" s="156">
        <f t="shared" si="4"/>
        <v>13</v>
      </c>
      <c r="G46" s="157">
        <f>IF(D46=D45,"",_xlfn.IFNA(VLOOKUP(D46,'202306'!$AZ$5:$BC$55,4,FALSE),0))</f>
        <v>1699</v>
      </c>
      <c r="H46" s="158">
        <f t="shared" si="2"/>
        <v>2.7055432584359124E-2</v>
      </c>
      <c r="I46" s="165">
        <f>SUM($G$7:G46)</f>
        <v>55577</v>
      </c>
      <c r="J46" s="160">
        <f t="shared" si="3"/>
        <v>0.88502635476217018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38</v>
      </c>
      <c r="E47" s="176">
        <f t="shared" si="5"/>
        <v>7</v>
      </c>
      <c r="F47" s="156">
        <f t="shared" si="4"/>
        <v>10</v>
      </c>
      <c r="G47" s="157">
        <f>IF(D47=D46,"",_xlfn.IFNA(VLOOKUP(D47,'202306'!$AZ$5:$BC$55,4,FALSE),0))</f>
        <v>1889</v>
      </c>
      <c r="H47" s="158">
        <f t="shared" si="2"/>
        <v>3.0081054827459909E-2</v>
      </c>
      <c r="I47" s="165">
        <f>SUM($G$7:G47)</f>
        <v>57466</v>
      </c>
      <c r="J47" s="160">
        <f t="shared" si="3"/>
        <v>0.91510740958963011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37</v>
      </c>
      <c r="E48" s="176">
        <f t="shared" si="5"/>
        <v>8</v>
      </c>
      <c r="F48" s="156">
        <f t="shared" si="4"/>
        <v>7</v>
      </c>
      <c r="G48" s="157">
        <f>IF(D48=D47,"",_xlfn.IFNA(VLOOKUP(D48,'202306'!$AZ$5:$BC$55,4,FALSE),0))</f>
        <v>1565</v>
      </c>
      <c r="H48" s="158">
        <f t="shared" si="2"/>
        <v>2.4921572686593309E-2</v>
      </c>
      <c r="I48" s="165">
        <f>SUM($G$7:G48)</f>
        <v>59031</v>
      </c>
      <c r="J48" s="160">
        <f t="shared" si="3"/>
        <v>0.94002898227622333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36</v>
      </c>
      <c r="E49" s="176">
        <f t="shared" si="5"/>
        <v>8</v>
      </c>
      <c r="F49" s="156">
        <f t="shared" si="4"/>
        <v>5</v>
      </c>
      <c r="G49" s="157">
        <f>IF(D49=D48,"",_xlfn.IFNA(VLOOKUP(D49,'202306'!$AZ$5:$BC$55,4,FALSE),0))</f>
        <v>1456</v>
      </c>
      <c r="H49" s="158">
        <f t="shared" si="2"/>
        <v>2.3185820978709176E-2</v>
      </c>
      <c r="I49" s="165">
        <f>SUM($G$7:G49)</f>
        <v>60487</v>
      </c>
      <c r="J49" s="160">
        <f t="shared" si="3"/>
        <v>0.96321480325493258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35</v>
      </c>
      <c r="E50" s="176">
        <f t="shared" si="5"/>
        <v>9</v>
      </c>
      <c r="F50" s="156">
        <f t="shared" si="4"/>
        <v>3</v>
      </c>
      <c r="G50" s="157">
        <f>IF(D50=D49,"",_xlfn.IFNA(VLOOKUP(D50,'202306'!$AZ$5:$BC$55,4,FALSE),0))</f>
        <v>923</v>
      </c>
      <c r="H50" s="158">
        <f t="shared" si="2"/>
        <v>1.4698154370431709E-2</v>
      </c>
      <c r="I50" s="165">
        <f>SUM($G$7:G50)</f>
        <v>61410</v>
      </c>
      <c r="J50" s="160">
        <f t="shared" si="3"/>
        <v>0.97791295762536423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34</v>
      </c>
      <c r="E51" s="176">
        <f t="shared" si="5"/>
        <v>9</v>
      </c>
      <c r="F51" s="156">
        <f t="shared" si="4"/>
        <v>2</v>
      </c>
      <c r="G51" s="157">
        <f>IF(D51=D50,"",_xlfn.IFNA(VLOOKUP(D51,'202306'!$AZ$5:$BC$55,4,FALSE),0))</f>
        <v>465</v>
      </c>
      <c r="H51" s="158">
        <f t="shared" si="2"/>
        <v>7.4048123317992896E-3</v>
      </c>
      <c r="I51" s="165">
        <f>SUM($G$7:G51)</f>
        <v>61875</v>
      </c>
      <c r="J51" s="160">
        <f t="shared" si="3"/>
        <v>0.98531776995716358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33</v>
      </c>
      <c r="E52" s="176">
        <f t="shared" si="5"/>
        <v>9</v>
      </c>
      <c r="F52" s="156">
        <f t="shared" si="4"/>
        <v>1</v>
      </c>
      <c r="G52" s="157">
        <f>IF(D52=D51,"",_xlfn.IFNA(VLOOKUP(D52,'202306'!$AZ$5:$BC$55,4,FALSE),0))</f>
        <v>655</v>
      </c>
      <c r="H52" s="158">
        <f t="shared" si="2"/>
        <v>1.0430434574900074E-2</v>
      </c>
      <c r="I52" s="165">
        <f>SUM($G$7:G52)</f>
        <v>62530</v>
      </c>
      <c r="J52" s="160">
        <f t="shared" si="3"/>
        <v>0.99574820453206359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32</v>
      </c>
      <c r="E53" s="155">
        <f t="shared" si="5"/>
        <v>9</v>
      </c>
      <c r="F53" s="156">
        <f t="shared" si="4"/>
        <v>0</v>
      </c>
      <c r="G53" s="157">
        <f>IF(D53=D52,"",_xlfn.IFNA(VLOOKUP(D53,'202306'!$AZ$5:$BC$55,4,FALSE),0))</f>
        <v>82</v>
      </c>
      <c r="H53" s="158">
        <f t="shared" si="2"/>
        <v>1.3057948628119177E-3</v>
      </c>
      <c r="I53" s="165">
        <f>SUM($G$7:G53)</f>
        <v>62612</v>
      </c>
      <c r="J53" s="160">
        <f t="shared" si="3"/>
        <v>0.9970539993948756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307">
        <f t="shared" si="1"/>
        <v>31</v>
      </c>
      <c r="E54" s="307">
        <f t="shared" si="5"/>
        <v>9</v>
      </c>
      <c r="F54" s="309">
        <f t="shared" si="4"/>
        <v>0</v>
      </c>
      <c r="G54" s="311">
        <f>IF(D54=D53,"",_xlfn.IFNA(VLOOKUP(D54,'202306'!$AZ$5:$BC$55,4,FALSE),0))</f>
        <v>149</v>
      </c>
      <c r="H54" s="313">
        <f t="shared" si="2"/>
        <v>2.372724811694826E-3</v>
      </c>
      <c r="I54" s="315">
        <f>SUM($G$7:G54)</f>
        <v>62761</v>
      </c>
      <c r="J54" s="317">
        <f t="shared" si="3"/>
        <v>0.99942672420657042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308"/>
      <c r="E55" s="308"/>
      <c r="F55" s="310"/>
      <c r="G55" s="312"/>
      <c r="H55" s="314"/>
      <c r="I55" s="316"/>
      <c r="J55" s="318"/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29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_xlfn.IFNA(VLOOKUP(D57,'202306'!$AZ$5:$BC$55,4,FALSE),0)</f>
        <v>36</v>
      </c>
      <c r="H57" s="173">
        <f>G57/J3</f>
        <v>5.7327579342962239E-4</v>
      </c>
      <c r="I57" s="174">
        <f>SUM($G$7:G57)</f>
        <v>62797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32">
    <mergeCell ref="I54:I55"/>
    <mergeCell ref="J54:J55"/>
    <mergeCell ref="D54:D55"/>
    <mergeCell ref="E54:E55"/>
    <mergeCell ref="F54:F55"/>
    <mergeCell ref="G54:G55"/>
    <mergeCell ref="H54:H55"/>
    <mergeCell ref="I27:I28"/>
    <mergeCell ref="J27:J28"/>
    <mergeCell ref="D40:D41"/>
    <mergeCell ref="E40:E41"/>
    <mergeCell ref="F40:F41"/>
    <mergeCell ref="G40:G41"/>
    <mergeCell ref="H40:H41"/>
    <mergeCell ref="I40:I41"/>
    <mergeCell ref="J40:J41"/>
    <mergeCell ref="D3:F3"/>
    <mergeCell ref="D4:F4"/>
    <mergeCell ref="D56:J56"/>
    <mergeCell ref="D8:J8"/>
    <mergeCell ref="D13:D14"/>
    <mergeCell ref="E13:E14"/>
    <mergeCell ref="F13:F14"/>
    <mergeCell ref="G13:G14"/>
    <mergeCell ref="H13:H14"/>
    <mergeCell ref="I13:I14"/>
    <mergeCell ref="J13:J14"/>
    <mergeCell ref="D27:D28"/>
    <mergeCell ref="E27:E28"/>
    <mergeCell ref="F27:F28"/>
    <mergeCell ref="G27:G28"/>
    <mergeCell ref="H27:H28"/>
  </mergeCells>
  <phoneticPr fontId="1" type="noConversion"/>
  <conditionalFormatting sqref="D7:J7 D57:J57 D9:J13 D15:J27 D29:J40 D42:J54">
    <cfRule type="expression" dxfId="90" priority="7">
      <formula>OR($D7=$P$7:$P$14)</formula>
    </cfRule>
  </conditionalFormatting>
  <conditionalFormatting sqref="C7:C57">
    <cfRule type="expression" dxfId="89" priority="6">
      <formula>OR(AND($D7=0,OR($D6=$P$7:$P$14)),AND($D8&gt;0,OR($D7=$P$7:$P$14)))</formula>
    </cfRule>
  </conditionalFormatting>
  <conditionalFormatting sqref="D7 D57 D9:D13 D15:D27 D29:D40 D42:D54">
    <cfRule type="expression" dxfId="88" priority="5">
      <formula>$D7=$D8</formula>
    </cfRule>
  </conditionalFormatting>
  <conditionalFormatting sqref="D56">
    <cfRule type="expression" dxfId="87" priority="4">
      <formula>OR($D56=$P$7:$P$14)</formula>
    </cfRule>
  </conditionalFormatting>
  <conditionalFormatting sqref="D56">
    <cfRule type="expression" dxfId="86" priority="3">
      <formula>$D56=$D57</formula>
    </cfRule>
  </conditionalFormatting>
  <conditionalFormatting sqref="D8">
    <cfRule type="expression" dxfId="85" priority="2">
      <formula>OR($D8=$P$7:$P$14)</formula>
    </cfRule>
  </conditionalFormatting>
  <conditionalFormatting sqref="D8">
    <cfRule type="expression" dxfId="8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19"/>
  <dimension ref="A1:P113"/>
  <sheetViews>
    <sheetView topLeftCell="B1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기능'!D15</f>
        <v>27.93</v>
      </c>
      <c r="I3" s="10" t="s">
        <v>98</v>
      </c>
      <c r="J3" s="145">
        <f>'통계 및 응시자 수 입력 기능'!C15</f>
        <v>118860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100</v>
      </c>
      <c r="E4" s="302"/>
      <c r="F4" s="303"/>
      <c r="G4" s="147" t="s">
        <v>101</v>
      </c>
      <c r="H4" s="148">
        <f>'통계 및 응시자 수 입력 기능'!E15</f>
        <v>12.05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68</v>
      </c>
      <c r="E7" s="155">
        <f t="shared" ref="E7:E12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_xlfn.IFNA(VLOOKUP(D7,'202306'!$BE$5:$BH$55,4,FALSE),0)</f>
        <v>2788</v>
      </c>
      <c r="H7" s="158">
        <f>G7/J3</f>
        <v>2.3456166919064447E-2</v>
      </c>
      <c r="I7" s="159">
        <f>G7</f>
        <v>2788</v>
      </c>
      <c r="J7" s="160">
        <f>I7/J3</f>
        <v>2.3456166919064447E-2</v>
      </c>
      <c r="K7" s="14"/>
      <c r="M7" s="1"/>
      <c r="O7" s="1">
        <v>1</v>
      </c>
      <c r="P7" s="1">
        <f>'표준점수 등급컷 입력기능'!H42</f>
        <v>66</v>
      </c>
    </row>
    <row r="8" spans="1:16" ht="25" customHeight="1" x14ac:dyDescent="0.45">
      <c r="A8" s="4"/>
      <c r="B8" s="13"/>
      <c r="C8" s="161">
        <v>49</v>
      </c>
      <c r="D8" s="162" t="s">
        <v>21</v>
      </c>
      <c r="E8" s="163"/>
      <c r="F8" s="163"/>
      <c r="G8" s="163"/>
      <c r="H8" s="163"/>
      <c r="I8" s="163"/>
      <c r="J8" s="164"/>
      <c r="K8" s="14"/>
      <c r="M8" s="1"/>
      <c r="O8" s="1">
        <v>2</v>
      </c>
      <c r="P8" s="1">
        <f>'표준점수 등급컷 입력기능'!H43</f>
        <v>63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67</v>
      </c>
      <c r="E9" s="155">
        <f t="shared" si="0"/>
        <v>1</v>
      </c>
      <c r="F9" s="156">
        <f>IF(I8=0,ROUND(100*(1-(I7+I9)/2/$J$3),0),ROUND(100*(1-(I8+I9)/2/$J$3),0))</f>
        <v>97</v>
      </c>
      <c r="G9" s="157">
        <f>_xlfn.IFNA(VLOOKUP(D9,'202306'!$BE$5:$BH$55,4,FALSE),0)</f>
        <v>1042</v>
      </c>
      <c r="H9" s="158">
        <f>G9/$J$3</f>
        <v>8.7666161871108872E-3</v>
      </c>
      <c r="I9" s="165">
        <f>SUM($G$7:G9)</f>
        <v>3830</v>
      </c>
      <c r="J9" s="160">
        <f>I9/$J$3</f>
        <v>3.222278310617533E-2</v>
      </c>
      <c r="K9" s="14"/>
      <c r="M9" s="1"/>
      <c r="O9" s="1">
        <v>3</v>
      </c>
      <c r="P9" s="1">
        <f>'표준점수 등급컷 입력기능'!H44</f>
        <v>59</v>
      </c>
    </row>
    <row r="10" spans="1:16" ht="25" customHeight="1" x14ac:dyDescent="0.45">
      <c r="A10" s="4"/>
      <c r="B10" s="13"/>
      <c r="C10" s="161">
        <v>47</v>
      </c>
      <c r="D10" s="155">
        <f t="shared" ref="D10:D12" si="1">ROUND(10*(C10-$H$3)/$H$4+50,0)</f>
        <v>66</v>
      </c>
      <c r="E10" s="155">
        <f t="shared" si="0"/>
        <v>1</v>
      </c>
      <c r="F10" s="156">
        <f>IF(I9=0,ROUND(100*(1-(I8+I10)/2/$J$3),0),ROUND(100*(1-(I9+I10)/2/$J$3),0))</f>
        <v>95</v>
      </c>
      <c r="G10" s="157">
        <f>IF(D10=D9,"",_xlfn.IFNA(VLOOKUP(D10,'202306'!$BE$5:$BH$55,4,FALSE),0))</f>
        <v>3175</v>
      </c>
      <c r="H10" s="158">
        <f t="shared" ref="H10:H12" si="2">G10/$J$3</f>
        <v>2.6712098266868586E-2</v>
      </c>
      <c r="I10" s="165">
        <f>SUM($G$7:G10)</f>
        <v>7005</v>
      </c>
      <c r="J10" s="160">
        <f t="shared" ref="J10:J12" si="3">I10/$J$3</f>
        <v>5.8934881373043917E-2</v>
      </c>
      <c r="K10" s="14"/>
      <c r="M10" s="1"/>
      <c r="O10" s="1">
        <v>4</v>
      </c>
      <c r="P10" s="1">
        <f>'표준점수 등급컷 입력기능'!H45</f>
        <v>53</v>
      </c>
    </row>
    <row r="11" spans="1:16" ht="25" customHeight="1" x14ac:dyDescent="0.45">
      <c r="A11" s="4"/>
      <c r="B11" s="13"/>
      <c r="C11" s="154">
        <v>46</v>
      </c>
      <c r="D11" s="155">
        <f t="shared" si="1"/>
        <v>65</v>
      </c>
      <c r="E11" s="155">
        <f t="shared" si="0"/>
        <v>2</v>
      </c>
      <c r="F11" s="156">
        <f t="shared" ref="F11:F12" si="4">IF(I10=0,ROUND(100*(1-(I9+I11)/2/$J$3),0),ROUND(100*(1-(I10+I11)/2/$J$3),0))</f>
        <v>94</v>
      </c>
      <c r="G11" s="157">
        <f>IF(D11=D10,"",_xlfn.IFNA(VLOOKUP(D11,'202306'!$BE$5:$BH$55,4,FALSE),0))</f>
        <v>267</v>
      </c>
      <c r="H11" s="158">
        <f t="shared" si="2"/>
        <v>2.2463402322059566E-3</v>
      </c>
      <c r="I11" s="165">
        <f>SUM($G$7:G11)</f>
        <v>7272</v>
      </c>
      <c r="J11" s="160">
        <f t="shared" si="3"/>
        <v>6.1181221605249872E-2</v>
      </c>
      <c r="K11" s="14"/>
      <c r="M11" s="1"/>
      <c r="O11" s="1">
        <v>5</v>
      </c>
      <c r="P11" s="1">
        <f>'표준점수 등급컷 입력기능'!H46</f>
        <v>47</v>
      </c>
    </row>
    <row r="12" spans="1:16" ht="25" customHeight="1" x14ac:dyDescent="0.45">
      <c r="A12" s="4"/>
      <c r="B12" s="13"/>
      <c r="C12" s="161">
        <v>45</v>
      </c>
      <c r="D12" s="155">
        <f t="shared" si="1"/>
        <v>64</v>
      </c>
      <c r="E12" s="155">
        <f t="shared" si="0"/>
        <v>2</v>
      </c>
      <c r="F12" s="156">
        <f t="shared" si="4"/>
        <v>92</v>
      </c>
      <c r="G12" s="157">
        <f>IF(D12=D11,"",_xlfn.IFNA(VLOOKUP(D12,'202306'!$BE$5:$BH$55,4,FALSE),0))</f>
        <v>3796</v>
      </c>
      <c r="H12" s="158">
        <f t="shared" si="2"/>
        <v>3.1936732290089177E-2</v>
      </c>
      <c r="I12" s="165">
        <f>SUM($G$7:G12)</f>
        <v>11068</v>
      </c>
      <c r="J12" s="160">
        <f t="shared" si="3"/>
        <v>9.3117953895339056E-2</v>
      </c>
      <c r="K12" s="14"/>
      <c r="M12" s="1"/>
      <c r="O12" s="1">
        <v>6</v>
      </c>
      <c r="P12" s="1">
        <f>'표준점수 등급컷 입력기능'!H47</f>
        <v>41</v>
      </c>
    </row>
    <row r="13" spans="1:16" ht="25" customHeight="1" x14ac:dyDescent="0.45">
      <c r="A13" s="4"/>
      <c r="B13" s="13"/>
      <c r="C13" s="154">
        <v>44</v>
      </c>
      <c r="D13" s="307">
        <f t="shared" ref="D13:D51" si="5">ROUND(10*(C13-$H$3)/$H$4+50,0)</f>
        <v>63</v>
      </c>
      <c r="E13" s="307">
        <f t="shared" ref="E13:E51" si="6">IF(ROUND(D13,0)&gt;=$P$7,1,IF(ROUND(D13,0)&gt;=$P$8,2,IF(ROUND(D13,0)&gt;=$P$9,3,IF(ROUND(D13,0)&gt;=$P$10,4,IF(ROUND(D13,0)&gt;=$P$11,5,IF(ROUND(D13,0)&gt;=$P$12,6,IF(ROUND(D13,0)&gt;=$P$13,7,IF(ROUND(D13,0)&gt;=$P$14,8,9))))))))</f>
        <v>2</v>
      </c>
      <c r="F13" s="309">
        <f t="shared" ref="F13:F51" si="7">IF(I12=0,ROUND(100*(1-(I11+I13)/2/$J$3),0),ROUND(100*(1-(I12+I13)/2/$J$3),0))</f>
        <v>89</v>
      </c>
      <c r="G13" s="311">
        <f>IF(D13=D12,"",_xlfn.IFNA(VLOOKUP(D13,'202306'!$BE$5:$BH$55,4,FALSE),0))</f>
        <v>3779</v>
      </c>
      <c r="H13" s="313">
        <f t="shared" ref="H13:H51" si="8">G13/$J$3</f>
        <v>3.1793706882046108E-2</v>
      </c>
      <c r="I13" s="315">
        <f>SUM($G$7:G13)</f>
        <v>14847</v>
      </c>
      <c r="J13" s="317">
        <f t="shared" ref="J13:J51" si="9">I13/$J$3</f>
        <v>0.12491166077738516</v>
      </c>
      <c r="K13" s="14"/>
      <c r="M13" s="1"/>
      <c r="O13" s="1">
        <v>7</v>
      </c>
      <c r="P13" s="1">
        <f>'표준점수 등급컷 입력기능'!H48</f>
        <v>37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입력기능'!H49</f>
        <v>33</v>
      </c>
    </row>
    <row r="15" spans="1:16" ht="25" customHeight="1" x14ac:dyDescent="0.45">
      <c r="A15" s="4"/>
      <c r="B15" s="13"/>
      <c r="C15" s="154">
        <v>42</v>
      </c>
      <c r="D15" s="155">
        <f t="shared" si="5"/>
        <v>62</v>
      </c>
      <c r="E15" s="155">
        <f t="shared" si="6"/>
        <v>3</v>
      </c>
      <c r="F15" s="156">
        <f t="shared" si="7"/>
        <v>86</v>
      </c>
      <c r="G15" s="157">
        <f>IF(D15=D14,"",_xlfn.IFNA(VLOOKUP(D15,'202306'!$BE$5:$BH$55,4,FALSE),0))</f>
        <v>4667</v>
      </c>
      <c r="H15" s="158">
        <f t="shared" si="8"/>
        <v>3.9264681137472654E-2</v>
      </c>
      <c r="I15" s="165">
        <f>SUM($G$7:G15)</f>
        <v>19514</v>
      </c>
      <c r="J15" s="160">
        <f t="shared" si="9"/>
        <v>0.1641763419148578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5"/>
        <v>61</v>
      </c>
      <c r="E16" s="155">
        <f t="shared" si="6"/>
        <v>3</v>
      </c>
      <c r="F16" s="156">
        <f t="shared" si="7"/>
        <v>83</v>
      </c>
      <c r="G16" s="157">
        <f>IF(D16=D15,"",_xlfn.IFNA(VLOOKUP(D16,'202306'!$BE$5:$BH$55,4,FALSE),0))</f>
        <v>1692</v>
      </c>
      <c r="H16" s="158">
        <f t="shared" si="8"/>
        <v>1.4235234729934376E-2</v>
      </c>
      <c r="I16" s="165">
        <f>SUM($G$7:G16)</f>
        <v>21206</v>
      </c>
      <c r="J16" s="160">
        <f t="shared" si="9"/>
        <v>0.17841157664479218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5"/>
        <v>60</v>
      </c>
      <c r="E17" s="155">
        <f t="shared" si="6"/>
        <v>3</v>
      </c>
      <c r="F17" s="156">
        <f t="shared" si="7"/>
        <v>81</v>
      </c>
      <c r="G17" s="157">
        <f>IF(D17=D16,"",_xlfn.IFNA(VLOOKUP(D17,'202306'!$BE$5:$BH$55,4,FALSE),0))</f>
        <v>3211</v>
      </c>
      <c r="H17" s="158">
        <f t="shared" si="8"/>
        <v>2.7014975601548041E-2</v>
      </c>
      <c r="I17" s="165">
        <f>SUM($G$7:G17)</f>
        <v>24417</v>
      </c>
      <c r="J17" s="160">
        <f t="shared" si="9"/>
        <v>0.20542655224634024</v>
      </c>
      <c r="K17" s="14"/>
      <c r="M17" s="1"/>
      <c r="P17" s="1">
        <f>H3*H4*J3*P7*IFERROR(IF(J57=1, 1, 0), 0)</f>
        <v>2640204968.9400001</v>
      </c>
    </row>
    <row r="18" spans="1:16" ht="25" customHeight="1" x14ac:dyDescent="0.45">
      <c r="A18" s="4"/>
      <c r="B18" s="13"/>
      <c r="C18" s="161">
        <v>39</v>
      </c>
      <c r="D18" s="155">
        <f t="shared" si="5"/>
        <v>59</v>
      </c>
      <c r="E18" s="155">
        <f t="shared" si="6"/>
        <v>3</v>
      </c>
      <c r="F18" s="156">
        <f t="shared" si="7"/>
        <v>78</v>
      </c>
      <c r="G18" s="157">
        <f>IF(D18=D17,"",_xlfn.IFNA(VLOOKUP(D18,'202306'!$BE$5:$BH$55,4,FALSE),0))</f>
        <v>3845</v>
      </c>
      <c r="H18" s="158">
        <f t="shared" si="8"/>
        <v>3.2348981995625102E-2</v>
      </c>
      <c r="I18" s="165">
        <f>SUM($G$7:G18)</f>
        <v>28262</v>
      </c>
      <c r="J18" s="160">
        <f t="shared" si="9"/>
        <v>0.23777553424196535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307">
        <f t="shared" si="5"/>
        <v>58</v>
      </c>
      <c r="E19" s="307">
        <f t="shared" si="6"/>
        <v>4</v>
      </c>
      <c r="F19" s="309">
        <f t="shared" si="7"/>
        <v>74</v>
      </c>
      <c r="G19" s="311">
        <f>IF(D19=D18,"",_xlfn.IFNA(VLOOKUP(D19,'202306'!$BE$5:$BH$55,4,FALSE),0))</f>
        <v>5965</v>
      </c>
      <c r="H19" s="313">
        <f t="shared" si="8"/>
        <v>5.0185091704526334E-2</v>
      </c>
      <c r="I19" s="315">
        <f>SUM($G$7:G19)</f>
        <v>34227</v>
      </c>
      <c r="J19" s="317">
        <f t="shared" si="9"/>
        <v>0.28796062594649169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308"/>
      <c r="E20" s="308"/>
      <c r="F20" s="310"/>
      <c r="G20" s="312"/>
      <c r="H20" s="314"/>
      <c r="I20" s="316"/>
      <c r="J20" s="318"/>
      <c r="K20" s="14"/>
      <c r="M20" s="1"/>
    </row>
    <row r="21" spans="1:16" ht="25" customHeight="1" x14ac:dyDescent="0.45">
      <c r="A21" s="4"/>
      <c r="B21" s="13"/>
      <c r="C21" s="166">
        <v>36</v>
      </c>
      <c r="D21" s="155">
        <f t="shared" si="5"/>
        <v>57</v>
      </c>
      <c r="E21" s="155">
        <f t="shared" si="6"/>
        <v>4</v>
      </c>
      <c r="F21" s="156">
        <f t="shared" si="7"/>
        <v>70</v>
      </c>
      <c r="G21" s="157">
        <f>IF(D21=D20,"",_xlfn.IFNA(VLOOKUP(D21,'202306'!$BE$5:$BH$55,4,FALSE),0))</f>
        <v>3000</v>
      </c>
      <c r="H21" s="158">
        <f t="shared" si="8"/>
        <v>2.523977788995457E-2</v>
      </c>
      <c r="I21" s="165">
        <f>SUM($G$7:G21)</f>
        <v>37227</v>
      </c>
      <c r="J21" s="160">
        <f t="shared" si="9"/>
        <v>0.31320040383644626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55">
        <f t="shared" si="5"/>
        <v>56</v>
      </c>
      <c r="E22" s="155">
        <f t="shared" si="6"/>
        <v>4</v>
      </c>
      <c r="F22" s="156">
        <f t="shared" si="7"/>
        <v>67</v>
      </c>
      <c r="G22" s="157">
        <f>IF(D22=D21,"",_xlfn.IFNA(VLOOKUP(D22,'202306'!$BE$5:$BH$55,4,FALSE),0))</f>
        <v>2815</v>
      </c>
      <c r="H22" s="158">
        <f t="shared" si="8"/>
        <v>2.3683324920074036E-2</v>
      </c>
      <c r="I22" s="165">
        <f>SUM($G$7:G22)</f>
        <v>40042</v>
      </c>
      <c r="J22" s="160">
        <f t="shared" si="9"/>
        <v>0.33688372875652028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55">
        <f t="shared" si="5"/>
        <v>55</v>
      </c>
      <c r="E23" s="155">
        <f t="shared" si="6"/>
        <v>4</v>
      </c>
      <c r="F23" s="156">
        <f t="shared" si="7"/>
        <v>65</v>
      </c>
      <c r="G23" s="157">
        <f>IF(D23=D22,"",_xlfn.IFNA(VLOOKUP(D23,'202306'!$BE$5:$BH$55,4,FALSE),0))</f>
        <v>3631</v>
      </c>
      <c r="H23" s="158">
        <f t="shared" si="8"/>
        <v>3.0548544506141678E-2</v>
      </c>
      <c r="I23" s="165">
        <f>SUM($G$7:G23)</f>
        <v>43673</v>
      </c>
      <c r="J23" s="160">
        <f t="shared" si="9"/>
        <v>0.36743227326266198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55">
        <f t="shared" si="5"/>
        <v>54</v>
      </c>
      <c r="E24" s="155">
        <f t="shared" si="6"/>
        <v>4</v>
      </c>
      <c r="F24" s="156">
        <f t="shared" si="7"/>
        <v>62</v>
      </c>
      <c r="G24" s="157">
        <f>IF(D24=D23,"",_xlfn.IFNA(VLOOKUP(D24,'202306'!$BE$5:$BH$55,4,FALSE),0))</f>
        <v>2624</v>
      </c>
      <c r="H24" s="158">
        <f t="shared" si="8"/>
        <v>2.2076392394413596E-2</v>
      </c>
      <c r="I24" s="165">
        <f>SUM($G$7:G24)</f>
        <v>46297</v>
      </c>
      <c r="J24" s="160">
        <f t="shared" si="9"/>
        <v>0.38950866565707554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307">
        <f t="shared" si="5"/>
        <v>53</v>
      </c>
      <c r="E25" s="307">
        <f t="shared" si="6"/>
        <v>4</v>
      </c>
      <c r="F25" s="309">
        <f t="shared" si="7"/>
        <v>58</v>
      </c>
      <c r="G25" s="311">
        <f>IF(D25=D24,"",_xlfn.IFNA(VLOOKUP(D25,'202306'!$BE$5:$BH$55,4,FALSE),0))</f>
        <v>6103</v>
      </c>
      <c r="H25" s="313">
        <f t="shared" si="8"/>
        <v>5.1346121487464244E-2</v>
      </c>
      <c r="I25" s="315">
        <f>SUM($G$7:G25)</f>
        <v>52400</v>
      </c>
      <c r="J25" s="317">
        <f t="shared" si="9"/>
        <v>0.44085478714453979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08"/>
      <c r="E26" s="308"/>
      <c r="F26" s="310"/>
      <c r="G26" s="312"/>
      <c r="H26" s="314"/>
      <c r="I26" s="316"/>
      <c r="J26" s="318"/>
      <c r="K26" s="14"/>
      <c r="M26" s="1"/>
    </row>
    <row r="27" spans="1:16" ht="25" customHeight="1" x14ac:dyDescent="0.45">
      <c r="A27" s="4"/>
      <c r="B27" s="13"/>
      <c r="C27" s="166">
        <v>30</v>
      </c>
      <c r="D27" s="155">
        <f t="shared" si="5"/>
        <v>52</v>
      </c>
      <c r="E27" s="155">
        <f t="shared" si="6"/>
        <v>5</v>
      </c>
      <c r="F27" s="156">
        <f t="shared" si="7"/>
        <v>55</v>
      </c>
      <c r="G27" s="157">
        <f>IF(D27=D26,"",_xlfn.IFNA(VLOOKUP(D27,'202306'!$BE$5:$BH$55,4,FALSE),0))</f>
        <v>2785</v>
      </c>
      <c r="H27" s="158">
        <f t="shared" si="8"/>
        <v>2.3430927141174489E-2</v>
      </c>
      <c r="I27" s="165">
        <f>SUM($G$7:G27)</f>
        <v>55185</v>
      </c>
      <c r="J27" s="160">
        <f t="shared" si="9"/>
        <v>0.4642857142857143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55">
        <f t="shared" si="5"/>
        <v>51</v>
      </c>
      <c r="E28" s="155">
        <f t="shared" si="6"/>
        <v>5</v>
      </c>
      <c r="F28" s="156">
        <f t="shared" si="7"/>
        <v>52</v>
      </c>
      <c r="G28" s="157">
        <f>IF(D28=D27,"",_xlfn.IFNA(VLOOKUP(D28,'202306'!$BE$5:$BH$55,4,FALSE),0))</f>
        <v>3051</v>
      </c>
      <c r="H28" s="158">
        <f t="shared" si="8"/>
        <v>2.5668854114083796E-2</v>
      </c>
      <c r="I28" s="165">
        <f>SUM($G$7:G28)</f>
        <v>58236</v>
      </c>
      <c r="J28" s="160">
        <f t="shared" si="9"/>
        <v>0.48995456839979806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55">
        <f t="shared" si="5"/>
        <v>50</v>
      </c>
      <c r="E29" s="155">
        <f t="shared" si="6"/>
        <v>5</v>
      </c>
      <c r="F29" s="156">
        <f t="shared" si="7"/>
        <v>50</v>
      </c>
      <c r="G29" s="157">
        <f>IF(D29=D28,"",_xlfn.IFNA(VLOOKUP(D29,'202306'!$BE$5:$BH$55,4,FALSE),0))</f>
        <v>2654</v>
      </c>
      <c r="H29" s="158">
        <f t="shared" si="8"/>
        <v>2.2328790173313143E-2</v>
      </c>
      <c r="I29" s="165">
        <f>SUM($G$7:G29)</f>
        <v>60890</v>
      </c>
      <c r="J29" s="160">
        <f t="shared" si="9"/>
        <v>0.51228335857311125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55">
        <f t="shared" si="5"/>
        <v>49</v>
      </c>
      <c r="E30" s="155">
        <f t="shared" si="6"/>
        <v>5</v>
      </c>
      <c r="F30" s="156">
        <f t="shared" si="7"/>
        <v>48</v>
      </c>
      <c r="G30" s="157">
        <f>IF(D30=D29,"",_xlfn.IFNA(VLOOKUP(D30,'202306'!$BE$5:$BH$55,4,FALSE),0))</f>
        <v>3023</v>
      </c>
      <c r="H30" s="158">
        <f t="shared" si="8"/>
        <v>2.5433282853777554E-2</v>
      </c>
      <c r="I30" s="165">
        <f>SUM($G$7:G30)</f>
        <v>63913</v>
      </c>
      <c r="J30" s="160">
        <f t="shared" si="9"/>
        <v>0.5377166414268888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07">
        <f t="shared" si="5"/>
        <v>48</v>
      </c>
      <c r="E31" s="307">
        <f t="shared" si="6"/>
        <v>5</v>
      </c>
      <c r="F31" s="309">
        <f t="shared" si="7"/>
        <v>44</v>
      </c>
      <c r="G31" s="311">
        <f>IF(D31=D30,"",_xlfn.IFNA(VLOOKUP(D31,'202306'!$BE$5:$BH$55,4,FALSE),0))</f>
        <v>5717</v>
      </c>
      <c r="H31" s="313">
        <f t="shared" si="8"/>
        <v>4.8098603398956753E-2</v>
      </c>
      <c r="I31" s="315">
        <f>SUM($G$7:G31)</f>
        <v>69630</v>
      </c>
      <c r="J31" s="317">
        <f t="shared" si="9"/>
        <v>0.58581524482584557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08"/>
      <c r="E32" s="308"/>
      <c r="F32" s="310"/>
      <c r="G32" s="312"/>
      <c r="H32" s="314"/>
      <c r="I32" s="316"/>
      <c r="J32" s="318"/>
      <c r="K32" s="14"/>
      <c r="M32" s="1"/>
    </row>
    <row r="33" spans="1:13" ht="25" customHeight="1" x14ac:dyDescent="0.45">
      <c r="A33" s="4"/>
      <c r="B33" s="13"/>
      <c r="C33" s="166">
        <v>24</v>
      </c>
      <c r="D33" s="155">
        <f t="shared" si="5"/>
        <v>47</v>
      </c>
      <c r="E33" s="155">
        <f t="shared" si="6"/>
        <v>5</v>
      </c>
      <c r="F33" s="156">
        <f t="shared" si="7"/>
        <v>40</v>
      </c>
      <c r="G33" s="157">
        <f>IF(D33=D32,"",_xlfn.IFNA(VLOOKUP(D33,'202306'!$BE$5:$BH$55,4,FALSE),0))</f>
        <v>2858</v>
      </c>
      <c r="H33" s="158">
        <f t="shared" si="8"/>
        <v>2.404509506983005E-2</v>
      </c>
      <c r="I33" s="165">
        <f>SUM($G$7:G33)</f>
        <v>72488</v>
      </c>
      <c r="J33" s="160">
        <f t="shared" si="9"/>
        <v>0.60986033989567556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55">
        <f t="shared" si="5"/>
        <v>46</v>
      </c>
      <c r="E34" s="155">
        <f t="shared" si="6"/>
        <v>6</v>
      </c>
      <c r="F34" s="156">
        <f t="shared" si="7"/>
        <v>38</v>
      </c>
      <c r="G34" s="157">
        <f>IF(D34=D33,"",_xlfn.IFNA(VLOOKUP(D34,'202306'!$BE$5:$BH$55,4,FALSE),0))</f>
        <v>2881</v>
      </c>
      <c r="H34" s="158">
        <f t="shared" si="8"/>
        <v>2.4238600033653038E-2</v>
      </c>
      <c r="I34" s="165">
        <f>SUM($G$7:G34)</f>
        <v>75369</v>
      </c>
      <c r="J34" s="160">
        <f t="shared" si="9"/>
        <v>0.63409893992932864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55">
        <f t="shared" si="5"/>
        <v>45</v>
      </c>
      <c r="E35" s="155">
        <f t="shared" si="6"/>
        <v>6</v>
      </c>
      <c r="F35" s="156">
        <f t="shared" si="7"/>
        <v>35</v>
      </c>
      <c r="G35" s="157">
        <f>IF(D35=D34,"",_xlfn.IFNA(VLOOKUP(D35,'202306'!$BE$5:$BH$55,4,FALSE),0))</f>
        <v>3120</v>
      </c>
      <c r="H35" s="158">
        <f t="shared" si="8"/>
        <v>2.6249369005552751E-2</v>
      </c>
      <c r="I35" s="165">
        <f>SUM($G$7:G35)</f>
        <v>78489</v>
      </c>
      <c r="J35" s="160">
        <f t="shared" si="9"/>
        <v>0.66034830893488139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55">
        <f t="shared" si="5"/>
        <v>44</v>
      </c>
      <c r="E36" s="155">
        <f t="shared" si="6"/>
        <v>6</v>
      </c>
      <c r="F36" s="156">
        <f t="shared" si="7"/>
        <v>33</v>
      </c>
      <c r="G36" s="157">
        <f>IF(D36=D35,"",_xlfn.IFNA(VLOOKUP(D36,'202306'!$BE$5:$BH$55,4,FALSE),0))</f>
        <v>2906</v>
      </c>
      <c r="H36" s="158">
        <f t="shared" si="8"/>
        <v>2.4448931516069326E-2</v>
      </c>
      <c r="I36" s="165">
        <f>SUM($G$7:G36)</f>
        <v>81395</v>
      </c>
      <c r="J36" s="160">
        <f t="shared" si="9"/>
        <v>0.68479724045095069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07">
        <f t="shared" si="5"/>
        <v>43</v>
      </c>
      <c r="E37" s="307">
        <f t="shared" si="6"/>
        <v>6</v>
      </c>
      <c r="F37" s="309">
        <f t="shared" si="7"/>
        <v>29</v>
      </c>
      <c r="G37" s="311">
        <f>IF(D37=D36,"",_xlfn.IFNA(VLOOKUP(D37,'202306'!$BE$5:$BH$55,4,FALSE),0))</f>
        <v>6058</v>
      </c>
      <c r="H37" s="313">
        <f t="shared" si="8"/>
        <v>5.0967524819114922E-2</v>
      </c>
      <c r="I37" s="315">
        <f>SUM($G$7:G37)</f>
        <v>87453</v>
      </c>
      <c r="J37" s="317">
        <f t="shared" si="9"/>
        <v>0.73576476527006562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308"/>
      <c r="E38" s="308"/>
      <c r="F38" s="310"/>
      <c r="G38" s="312"/>
      <c r="H38" s="314"/>
      <c r="I38" s="316"/>
      <c r="J38" s="318"/>
      <c r="K38" s="14"/>
      <c r="M38" s="1"/>
    </row>
    <row r="39" spans="1:13" ht="25" customHeight="1" x14ac:dyDescent="0.45">
      <c r="A39" s="4"/>
      <c r="B39" s="13"/>
      <c r="C39" s="166">
        <v>18</v>
      </c>
      <c r="D39" s="155">
        <f t="shared" si="5"/>
        <v>42</v>
      </c>
      <c r="E39" s="155">
        <f t="shared" si="6"/>
        <v>6</v>
      </c>
      <c r="F39" s="156">
        <f t="shared" si="7"/>
        <v>25</v>
      </c>
      <c r="G39" s="157">
        <f>IF(D39=D38,"",_xlfn.IFNA(VLOOKUP(D39,'202306'!$BE$5:$BH$55,4,FALSE),0))</f>
        <v>2950</v>
      </c>
      <c r="H39" s="158">
        <f t="shared" si="8"/>
        <v>2.4819114925121993E-2</v>
      </c>
      <c r="I39" s="165">
        <f>SUM($G$7:G39)</f>
        <v>90403</v>
      </c>
      <c r="J39" s="160">
        <f t="shared" si="9"/>
        <v>0.76058388019518763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55">
        <f t="shared" si="5"/>
        <v>41</v>
      </c>
      <c r="E40" s="155">
        <f t="shared" si="6"/>
        <v>6</v>
      </c>
      <c r="F40" s="156">
        <f t="shared" si="7"/>
        <v>23</v>
      </c>
      <c r="G40" s="157">
        <f>IF(D40=D39,"",_xlfn.IFNA(VLOOKUP(D40,'202306'!$BE$5:$BH$55,4,FALSE),0))</f>
        <v>3003</v>
      </c>
      <c r="H40" s="158">
        <f t="shared" si="8"/>
        <v>2.5265017667844523E-2</v>
      </c>
      <c r="I40" s="165">
        <f>SUM($G$7:G40)</f>
        <v>93406</v>
      </c>
      <c r="J40" s="160">
        <f t="shared" si="9"/>
        <v>0.78584889786303214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55">
        <f t="shared" si="5"/>
        <v>40</v>
      </c>
      <c r="E41" s="155">
        <f t="shared" si="6"/>
        <v>7</v>
      </c>
      <c r="F41" s="156">
        <f t="shared" si="7"/>
        <v>20</v>
      </c>
      <c r="G41" s="157">
        <f>IF(D41=D40,"",_xlfn.IFNA(VLOOKUP(D41,'202306'!$BE$5:$BH$55,4,FALSE),0))</f>
        <v>2726</v>
      </c>
      <c r="H41" s="158">
        <f t="shared" si="8"/>
        <v>2.2934544842672051E-2</v>
      </c>
      <c r="I41" s="165">
        <f>SUM($G$7:G41)</f>
        <v>96132</v>
      </c>
      <c r="J41" s="160">
        <f t="shared" si="9"/>
        <v>0.80878344270570424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55">
        <f t="shared" si="5"/>
        <v>39</v>
      </c>
      <c r="E42" s="155">
        <f t="shared" si="6"/>
        <v>7</v>
      </c>
      <c r="F42" s="156">
        <f t="shared" si="7"/>
        <v>18</v>
      </c>
      <c r="G42" s="157">
        <f>IF(D42=D41,"",_xlfn.IFNA(VLOOKUP(D42,'202306'!$BE$5:$BH$55,4,FALSE),0))</f>
        <v>2820</v>
      </c>
      <c r="H42" s="158">
        <f t="shared" si="8"/>
        <v>2.3725391216557295E-2</v>
      </c>
      <c r="I42" s="165">
        <f>SUM($G$7:G42)</f>
        <v>98952</v>
      </c>
      <c r="J42" s="160">
        <f t="shared" si="9"/>
        <v>0.83250883392226149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307">
        <f t="shared" si="5"/>
        <v>38</v>
      </c>
      <c r="E43" s="307">
        <f t="shared" si="6"/>
        <v>7</v>
      </c>
      <c r="F43" s="309">
        <f t="shared" si="7"/>
        <v>15</v>
      </c>
      <c r="G43" s="311">
        <f>IF(D43=D42,"",_xlfn.IFNA(VLOOKUP(D43,'202306'!$BE$5:$BH$55,4,FALSE),0))</f>
        <v>5038</v>
      </c>
      <c r="H43" s="313">
        <f t="shared" si="8"/>
        <v>4.2386000336530373E-2</v>
      </c>
      <c r="I43" s="315">
        <f>SUM($G$7:G43)</f>
        <v>103990</v>
      </c>
      <c r="J43" s="317">
        <f t="shared" si="9"/>
        <v>0.87489483425879189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08"/>
      <c r="E44" s="308"/>
      <c r="F44" s="310"/>
      <c r="G44" s="312"/>
      <c r="H44" s="314"/>
      <c r="I44" s="316"/>
      <c r="J44" s="318"/>
      <c r="K44" s="14"/>
      <c r="M44" s="1"/>
    </row>
    <row r="45" spans="1:13" ht="25" customHeight="1" x14ac:dyDescent="0.45">
      <c r="A45" s="4"/>
      <c r="B45" s="13"/>
      <c r="C45" s="166">
        <v>12</v>
      </c>
      <c r="D45" s="155">
        <f t="shared" si="5"/>
        <v>37</v>
      </c>
      <c r="E45" s="155">
        <f t="shared" si="6"/>
        <v>7</v>
      </c>
      <c r="F45" s="156">
        <f t="shared" si="7"/>
        <v>11</v>
      </c>
      <c r="G45" s="157">
        <f>IF(D45=D44,"",_xlfn.IFNA(VLOOKUP(D45,'202306'!$BE$5:$BH$55,4,FALSE),0))</f>
        <v>4195</v>
      </c>
      <c r="H45" s="158">
        <f t="shared" si="8"/>
        <v>3.5293622749453135E-2</v>
      </c>
      <c r="I45" s="165">
        <f>SUM($G$7:G45)</f>
        <v>108185</v>
      </c>
      <c r="J45" s="160">
        <f t="shared" si="9"/>
        <v>0.91018845700824502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55">
        <f t="shared" si="5"/>
        <v>36</v>
      </c>
      <c r="E46" s="155">
        <f t="shared" si="6"/>
        <v>8</v>
      </c>
      <c r="F46" s="156">
        <f t="shared" si="7"/>
        <v>8</v>
      </c>
      <c r="G46" s="157">
        <f>IF(D46=D45,"",_xlfn.IFNA(VLOOKUP(D46,'202306'!$BE$5:$BH$55,4,FALSE),0))</f>
        <v>2220</v>
      </c>
      <c r="H46" s="158">
        <f t="shared" si="8"/>
        <v>1.867743563856638E-2</v>
      </c>
      <c r="I46" s="165">
        <f>SUM($G$7:G46)</f>
        <v>110405</v>
      </c>
      <c r="J46" s="160">
        <f t="shared" si="9"/>
        <v>0.92886589264681141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55">
        <f t="shared" si="5"/>
        <v>35</v>
      </c>
      <c r="E47" s="155">
        <f t="shared" si="6"/>
        <v>8</v>
      </c>
      <c r="F47" s="156">
        <f t="shared" si="7"/>
        <v>6</v>
      </c>
      <c r="G47" s="157">
        <f>IF(D47=D46,"",_xlfn.IFNA(VLOOKUP(D47,'202306'!$BE$5:$BH$55,4,FALSE),0))</f>
        <v>1916</v>
      </c>
      <c r="H47" s="158">
        <f t="shared" si="8"/>
        <v>1.6119804812384318E-2</v>
      </c>
      <c r="I47" s="165">
        <f>SUM($G$7:G47)</f>
        <v>112321</v>
      </c>
      <c r="J47" s="160">
        <f t="shared" si="9"/>
        <v>0.94498569745919569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55">
        <f t="shared" si="5"/>
        <v>34</v>
      </c>
      <c r="E48" s="155">
        <f t="shared" si="6"/>
        <v>8</v>
      </c>
      <c r="F48" s="156">
        <f t="shared" si="7"/>
        <v>5</v>
      </c>
      <c r="G48" s="157">
        <f>IF(D48=D47,"",_xlfn.IFNA(VLOOKUP(D48,'202306'!$BE$5:$BH$55,4,FALSE),0))</f>
        <v>1332</v>
      </c>
      <c r="H48" s="158">
        <f t="shared" si="8"/>
        <v>1.1206461383139828E-2</v>
      </c>
      <c r="I48" s="165">
        <f>SUM($G$7:G48)</f>
        <v>113653</v>
      </c>
      <c r="J48" s="160">
        <f t="shared" si="9"/>
        <v>0.95619215884233555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07">
        <f t="shared" si="5"/>
        <v>33</v>
      </c>
      <c r="E49" s="307">
        <f t="shared" si="6"/>
        <v>8</v>
      </c>
      <c r="F49" s="309">
        <f t="shared" si="7"/>
        <v>3</v>
      </c>
      <c r="G49" s="311">
        <f>IF(D49=D48,"",_xlfn.IFNA(VLOOKUP(D49,'202306'!$BE$5:$BH$55,4,FALSE),0))</f>
        <v>3189</v>
      </c>
      <c r="H49" s="313">
        <f t="shared" si="8"/>
        <v>2.6829883897021706E-2</v>
      </c>
      <c r="I49" s="315">
        <f>SUM($G$7:G49)</f>
        <v>116842</v>
      </c>
      <c r="J49" s="317">
        <f t="shared" si="9"/>
        <v>0.98302204273935723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308"/>
      <c r="E50" s="308"/>
      <c r="F50" s="310"/>
      <c r="G50" s="312"/>
      <c r="H50" s="314"/>
      <c r="I50" s="316"/>
      <c r="J50" s="318"/>
      <c r="K50" s="14"/>
      <c r="M50" s="1"/>
    </row>
    <row r="51" spans="1:13" ht="25" customHeight="1" x14ac:dyDescent="0.45">
      <c r="A51" s="4"/>
      <c r="B51" s="13"/>
      <c r="C51" s="166">
        <v>6</v>
      </c>
      <c r="D51" s="155">
        <f t="shared" si="5"/>
        <v>32</v>
      </c>
      <c r="E51" s="155">
        <f t="shared" si="6"/>
        <v>9</v>
      </c>
      <c r="F51" s="156">
        <f t="shared" si="7"/>
        <v>1</v>
      </c>
      <c r="G51" s="157">
        <f>IF(D51=D50,"",_xlfn.IFNA(VLOOKUP(D51,'202306'!$BE$5:$BH$55,4,FALSE),0))</f>
        <v>530</v>
      </c>
      <c r="H51" s="158">
        <f t="shared" si="8"/>
        <v>4.4590274272253072E-3</v>
      </c>
      <c r="I51" s="165">
        <f>SUM($G$7:G51)</f>
        <v>117372</v>
      </c>
      <c r="J51" s="160">
        <f t="shared" si="9"/>
        <v>0.98748107016658249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55">
        <f t="shared" ref="D52:D55" si="10">ROUND(10*(C52-$H$3)/$H$4+50,0)</f>
        <v>31</v>
      </c>
      <c r="E52" s="155">
        <f t="shared" ref="E52:E55" si="11">IF(ROUND(D52,0)&gt;=$P$7,1,IF(ROUND(D52,0)&gt;=$P$8,2,IF(ROUND(D52,0)&gt;=$P$9,3,IF(ROUND(D52,0)&gt;=$P$10,4,IF(ROUND(D52,0)&gt;=$P$11,5,IF(ROUND(D52,0)&gt;=$P$12,6,IF(ROUND(D52,0)&gt;=$P$13,7,IF(ROUND(D52,0)&gt;=$P$14,8,9))))))))</f>
        <v>9</v>
      </c>
      <c r="F52" s="156">
        <f t="shared" ref="F52:F55" si="12">IF(I51=0,ROUND(100*(1-(I50+I52)/2/$J$3),0),ROUND(100*(1-(I51+I52)/2/$J$3),0))</f>
        <v>1</v>
      </c>
      <c r="G52" s="157">
        <f>IF(D52=D51,"",_xlfn.IFNA(VLOOKUP(D52,'202306'!$BE$5:$BH$55,4,FALSE),0))</f>
        <v>690</v>
      </c>
      <c r="H52" s="158">
        <f t="shared" ref="H52:H55" si="13">G52/$J$3</f>
        <v>5.8051489146895511E-3</v>
      </c>
      <c r="I52" s="165">
        <f>SUM($G$7:G52)</f>
        <v>118062</v>
      </c>
      <c r="J52" s="160">
        <f t="shared" ref="J52:J55" si="14">I52/$J$3</f>
        <v>0.99328621908127213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0"/>
        <v>30</v>
      </c>
      <c r="E53" s="155">
        <f t="shared" si="11"/>
        <v>9</v>
      </c>
      <c r="F53" s="156">
        <f t="shared" si="12"/>
        <v>1</v>
      </c>
      <c r="G53" s="157">
        <f>IF(D53=D52,"",_xlfn.IFNA(VLOOKUP(D53,'202306'!$BE$5:$BH$55,4,FALSE),0))</f>
        <v>333</v>
      </c>
      <c r="H53" s="158">
        <f t="shared" si="13"/>
        <v>2.801615345784957E-3</v>
      </c>
      <c r="I53" s="165">
        <f>SUM($G$7:G53)</f>
        <v>118395</v>
      </c>
      <c r="J53" s="160">
        <f t="shared" si="14"/>
        <v>0.99608783442705706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0"/>
        <v>29</v>
      </c>
      <c r="E54" s="155">
        <f t="shared" si="11"/>
        <v>9</v>
      </c>
      <c r="F54" s="156">
        <f t="shared" si="12"/>
        <v>0</v>
      </c>
      <c r="G54" s="157">
        <f>IF(D54=D53,"",_xlfn.IFNA(VLOOKUP(D54,'202306'!$BE$5:$BH$55,4,FALSE),0))</f>
        <v>176</v>
      </c>
      <c r="H54" s="158">
        <f t="shared" si="13"/>
        <v>1.4807336362106681E-3</v>
      </c>
      <c r="I54" s="165">
        <f>SUM($G$7:G54)</f>
        <v>118571</v>
      </c>
      <c r="J54" s="160">
        <f t="shared" si="14"/>
        <v>0.99756856806326766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0"/>
        <v>28</v>
      </c>
      <c r="E55" s="155">
        <f t="shared" si="11"/>
        <v>9</v>
      </c>
      <c r="F55" s="156">
        <f t="shared" si="12"/>
        <v>0</v>
      </c>
      <c r="G55" s="157">
        <f>IF(D55=D54,"",_xlfn.IFNA(VLOOKUP(D55,'202306'!$BE$5:$BH$55,4,FALSE),0))</f>
        <v>196</v>
      </c>
      <c r="H55" s="158">
        <f t="shared" si="13"/>
        <v>1.6489988221436984E-3</v>
      </c>
      <c r="I55" s="165">
        <f>SUM($G$7:G55)</f>
        <v>118767</v>
      </c>
      <c r="J55" s="160">
        <f t="shared" si="14"/>
        <v>0.99921756688541141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162" t="s">
        <v>21</v>
      </c>
      <c r="E56" s="163"/>
      <c r="F56" s="163"/>
      <c r="G56" s="163"/>
      <c r="H56" s="163"/>
      <c r="I56" s="163"/>
      <c r="J56" s="164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27</v>
      </c>
      <c r="E57" s="170">
        <f t="shared" ref="E57" si="15">IF(ROUND(D57,0)&gt;=$P$7,1,IF(ROUND(D57,0)&gt;=$P$8,2,IF(ROUND(D57,0)&gt;=$P$9,3,IF(ROUND(D57,0)&gt;=$P$10,4,IF(ROUND(D57,0)&gt;=$P$11,5,IF(ROUND(D57,0)&gt;=$P$12,6,IF(ROUND(D57,0)&gt;=$P$13,7,IF(ROUND(D57,0)&gt;=$P$14,8,9))))))))</f>
        <v>9</v>
      </c>
      <c r="F57" s="171">
        <f>IF(I55=0,ROUND(100*(1-(I54+I57)/2/$J$3),0),ROUND(100*(1-(I55+I57)/2/$J$3),0))</f>
        <v>0</v>
      </c>
      <c r="G57" s="172">
        <f>_xlfn.IFNA(VLOOKUP(D57,'202306'!$BE$5:$BH$55,4,FALSE),0)</f>
        <v>93</v>
      </c>
      <c r="H57" s="173">
        <f>G57/J3</f>
        <v>7.8243311458859157E-4</v>
      </c>
      <c r="I57" s="174">
        <f>SUM($G$7:G57)</f>
        <v>118860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D61">
        <v>50</v>
      </c>
      <c r="E61" s="142">
        <f>IF(G7="", 0, G7)</f>
        <v>2788</v>
      </c>
      <c r="F61">
        <f>D61*E61</f>
        <v>139400</v>
      </c>
      <c r="M61" s="1"/>
    </row>
    <row r="62" spans="1:13" x14ac:dyDescent="0.45">
      <c r="D62">
        <v>49</v>
      </c>
      <c r="E62" s="142">
        <f t="shared" ref="E62:E111" si="16">IF(G8="", 0, G8)</f>
        <v>0</v>
      </c>
      <c r="F62">
        <f t="shared" ref="F62:F111" si="17">D62*E62</f>
        <v>0</v>
      </c>
      <c r="M62" s="1"/>
    </row>
    <row r="63" spans="1:13" x14ac:dyDescent="0.45">
      <c r="D63">
        <f>IF(E63=0, D62-0.5, IF(E64=0, D62-1.5, D62-1))</f>
        <v>48</v>
      </c>
      <c r="E63" s="142">
        <f t="shared" si="16"/>
        <v>1042</v>
      </c>
      <c r="F63">
        <f t="shared" si="17"/>
        <v>50016</v>
      </c>
      <c r="M63" s="1"/>
    </row>
    <row r="64" spans="1:13" x14ac:dyDescent="0.45">
      <c r="D64">
        <f t="shared" ref="D64:D108" si="18">IF(E64=0, D63-0.5, IF(E65=0, D63-1.5, D63-1))</f>
        <v>47</v>
      </c>
      <c r="E64" s="142">
        <f t="shared" si="16"/>
        <v>3175</v>
      </c>
      <c r="F64">
        <f t="shared" si="17"/>
        <v>149225</v>
      </c>
      <c r="M64" s="1"/>
    </row>
    <row r="65" spans="4:13" x14ac:dyDescent="0.45">
      <c r="D65">
        <f t="shared" si="18"/>
        <v>46</v>
      </c>
      <c r="E65" s="142">
        <f t="shared" si="16"/>
        <v>267</v>
      </c>
      <c r="F65">
        <f t="shared" si="17"/>
        <v>12282</v>
      </c>
      <c r="M65" s="1"/>
    </row>
    <row r="66" spans="4:13" x14ac:dyDescent="0.45">
      <c r="D66">
        <f t="shared" si="18"/>
        <v>45</v>
      </c>
      <c r="E66" s="142">
        <f t="shared" si="16"/>
        <v>3796</v>
      </c>
      <c r="F66">
        <f t="shared" si="17"/>
        <v>170820</v>
      </c>
      <c r="M66" s="1"/>
    </row>
    <row r="67" spans="4:13" x14ac:dyDescent="0.45">
      <c r="D67">
        <f t="shared" si="18"/>
        <v>43.5</v>
      </c>
      <c r="E67" s="142">
        <f t="shared" si="16"/>
        <v>3779</v>
      </c>
      <c r="F67">
        <f t="shared" si="17"/>
        <v>164386.5</v>
      </c>
      <c r="M67" s="1"/>
    </row>
    <row r="68" spans="4:13" x14ac:dyDescent="0.45">
      <c r="D68">
        <f t="shared" si="18"/>
        <v>43</v>
      </c>
      <c r="E68" s="142">
        <f t="shared" si="16"/>
        <v>0</v>
      </c>
      <c r="F68">
        <f t="shared" si="17"/>
        <v>0</v>
      </c>
      <c r="M68" s="1"/>
    </row>
    <row r="69" spans="4:13" x14ac:dyDescent="0.45">
      <c r="D69">
        <f t="shared" si="18"/>
        <v>42</v>
      </c>
      <c r="E69" s="142">
        <f t="shared" si="16"/>
        <v>4667</v>
      </c>
      <c r="F69">
        <f t="shared" si="17"/>
        <v>196014</v>
      </c>
      <c r="M69" s="1"/>
    </row>
    <row r="70" spans="4:13" x14ac:dyDescent="0.45">
      <c r="D70">
        <f t="shared" si="18"/>
        <v>41</v>
      </c>
      <c r="E70" s="142">
        <f t="shared" si="16"/>
        <v>1692</v>
      </c>
      <c r="F70">
        <f t="shared" si="17"/>
        <v>69372</v>
      </c>
      <c r="M70" s="1"/>
    </row>
    <row r="71" spans="4:13" x14ac:dyDescent="0.45">
      <c r="D71">
        <f t="shared" si="18"/>
        <v>40</v>
      </c>
      <c r="E71" s="142">
        <f t="shared" si="16"/>
        <v>3211</v>
      </c>
      <c r="F71">
        <f t="shared" si="17"/>
        <v>128440</v>
      </c>
      <c r="M71" s="1"/>
    </row>
    <row r="72" spans="4:13" x14ac:dyDescent="0.45">
      <c r="D72">
        <f t="shared" si="18"/>
        <v>39</v>
      </c>
      <c r="E72" s="142">
        <f t="shared" si="16"/>
        <v>3845</v>
      </c>
      <c r="F72">
        <f t="shared" si="17"/>
        <v>149955</v>
      </c>
      <c r="M72" s="1"/>
    </row>
    <row r="73" spans="4:13" x14ac:dyDescent="0.45">
      <c r="D73">
        <f t="shared" si="18"/>
        <v>37.5</v>
      </c>
      <c r="E73" s="142">
        <f t="shared" si="16"/>
        <v>5965</v>
      </c>
      <c r="F73">
        <f t="shared" si="17"/>
        <v>223687.5</v>
      </c>
      <c r="M73" s="1"/>
    </row>
    <row r="74" spans="4:13" x14ac:dyDescent="0.45">
      <c r="D74">
        <f t="shared" si="18"/>
        <v>37</v>
      </c>
      <c r="E74" s="142">
        <f t="shared" si="16"/>
        <v>0</v>
      </c>
      <c r="F74">
        <f t="shared" si="17"/>
        <v>0</v>
      </c>
      <c r="M74" s="1"/>
    </row>
    <row r="75" spans="4:13" x14ac:dyDescent="0.45">
      <c r="D75">
        <f t="shared" si="18"/>
        <v>36</v>
      </c>
      <c r="E75" s="142">
        <f t="shared" si="16"/>
        <v>3000</v>
      </c>
      <c r="F75">
        <f t="shared" si="17"/>
        <v>108000</v>
      </c>
      <c r="M75" s="1"/>
    </row>
    <row r="76" spans="4:13" x14ac:dyDescent="0.45">
      <c r="D76">
        <f t="shared" si="18"/>
        <v>35</v>
      </c>
      <c r="E76" s="142">
        <f t="shared" si="16"/>
        <v>2815</v>
      </c>
      <c r="F76">
        <f t="shared" si="17"/>
        <v>98525</v>
      </c>
      <c r="M76" s="1"/>
    </row>
    <row r="77" spans="4:13" x14ac:dyDescent="0.45">
      <c r="D77">
        <f t="shared" si="18"/>
        <v>34</v>
      </c>
      <c r="E77" s="142">
        <f t="shared" si="16"/>
        <v>3631</v>
      </c>
      <c r="F77">
        <f t="shared" si="17"/>
        <v>123454</v>
      </c>
      <c r="M77" s="1"/>
    </row>
    <row r="78" spans="4:13" x14ac:dyDescent="0.45">
      <c r="D78">
        <f t="shared" si="18"/>
        <v>33</v>
      </c>
      <c r="E78" s="142">
        <f t="shared" si="16"/>
        <v>2624</v>
      </c>
      <c r="F78">
        <f t="shared" si="17"/>
        <v>86592</v>
      </c>
      <c r="M78" s="1"/>
    </row>
    <row r="79" spans="4:13" x14ac:dyDescent="0.45">
      <c r="D79">
        <f t="shared" si="18"/>
        <v>31.5</v>
      </c>
      <c r="E79" s="142">
        <f t="shared" si="16"/>
        <v>6103</v>
      </c>
      <c r="F79">
        <f t="shared" si="17"/>
        <v>192244.5</v>
      </c>
      <c r="M79" s="1"/>
    </row>
    <row r="80" spans="4:13" x14ac:dyDescent="0.45">
      <c r="D80">
        <f t="shared" si="18"/>
        <v>31</v>
      </c>
      <c r="E80" s="142">
        <f t="shared" si="16"/>
        <v>0</v>
      </c>
      <c r="F80">
        <f t="shared" si="17"/>
        <v>0</v>
      </c>
      <c r="M80" s="1"/>
    </row>
    <row r="81" spans="4:13" x14ac:dyDescent="0.45">
      <c r="D81">
        <f t="shared" si="18"/>
        <v>30</v>
      </c>
      <c r="E81" s="142">
        <f t="shared" si="16"/>
        <v>2785</v>
      </c>
      <c r="F81">
        <f t="shared" si="17"/>
        <v>83550</v>
      </c>
      <c r="M81" s="1"/>
    </row>
    <row r="82" spans="4:13" x14ac:dyDescent="0.45">
      <c r="D82">
        <f t="shared" si="18"/>
        <v>29</v>
      </c>
      <c r="E82" s="142">
        <f t="shared" si="16"/>
        <v>3051</v>
      </c>
      <c r="F82">
        <f t="shared" si="17"/>
        <v>88479</v>
      </c>
      <c r="M82" s="1"/>
    </row>
    <row r="83" spans="4:13" x14ac:dyDescent="0.45">
      <c r="D83">
        <f t="shared" si="18"/>
        <v>28</v>
      </c>
      <c r="E83" s="142">
        <f t="shared" si="16"/>
        <v>2654</v>
      </c>
      <c r="F83">
        <f t="shared" si="17"/>
        <v>74312</v>
      </c>
      <c r="M83" s="1"/>
    </row>
    <row r="84" spans="4:13" x14ac:dyDescent="0.45">
      <c r="D84">
        <f t="shared" si="18"/>
        <v>27</v>
      </c>
      <c r="E84" s="142">
        <f t="shared" si="16"/>
        <v>3023</v>
      </c>
      <c r="F84">
        <f t="shared" si="17"/>
        <v>81621</v>
      </c>
      <c r="M84" s="1"/>
    </row>
    <row r="85" spans="4:13" x14ac:dyDescent="0.45">
      <c r="D85">
        <f t="shared" si="18"/>
        <v>25.5</v>
      </c>
      <c r="E85" s="142">
        <f t="shared" si="16"/>
        <v>5717</v>
      </c>
      <c r="F85">
        <f t="shared" si="17"/>
        <v>145783.5</v>
      </c>
      <c r="M85" s="1"/>
    </row>
    <row r="86" spans="4:13" x14ac:dyDescent="0.45">
      <c r="D86">
        <f t="shared" si="18"/>
        <v>25</v>
      </c>
      <c r="E86" s="142">
        <f t="shared" si="16"/>
        <v>0</v>
      </c>
      <c r="F86">
        <f t="shared" si="17"/>
        <v>0</v>
      </c>
      <c r="M86" s="1"/>
    </row>
    <row r="87" spans="4:13" x14ac:dyDescent="0.45">
      <c r="D87">
        <f t="shared" si="18"/>
        <v>24</v>
      </c>
      <c r="E87" s="142">
        <f t="shared" si="16"/>
        <v>2858</v>
      </c>
      <c r="F87">
        <f t="shared" si="17"/>
        <v>68592</v>
      </c>
      <c r="M87" s="1"/>
    </row>
    <row r="88" spans="4:13" x14ac:dyDescent="0.45">
      <c r="D88">
        <f t="shared" si="18"/>
        <v>23</v>
      </c>
      <c r="E88" s="142">
        <f t="shared" si="16"/>
        <v>2881</v>
      </c>
      <c r="F88">
        <f t="shared" si="17"/>
        <v>66263</v>
      </c>
      <c r="M88" s="1"/>
    </row>
    <row r="89" spans="4:13" x14ac:dyDescent="0.45">
      <c r="D89">
        <f t="shared" si="18"/>
        <v>22</v>
      </c>
      <c r="E89" s="142">
        <f t="shared" si="16"/>
        <v>3120</v>
      </c>
      <c r="F89">
        <f t="shared" si="17"/>
        <v>68640</v>
      </c>
      <c r="M89" s="1"/>
    </row>
    <row r="90" spans="4:13" x14ac:dyDescent="0.45">
      <c r="D90">
        <f t="shared" si="18"/>
        <v>21</v>
      </c>
      <c r="E90" s="142">
        <f t="shared" si="16"/>
        <v>2906</v>
      </c>
      <c r="F90">
        <f t="shared" si="17"/>
        <v>61026</v>
      </c>
      <c r="M90" s="1"/>
    </row>
    <row r="91" spans="4:13" x14ac:dyDescent="0.45">
      <c r="D91">
        <f t="shared" si="18"/>
        <v>19.5</v>
      </c>
      <c r="E91" s="142">
        <f t="shared" si="16"/>
        <v>6058</v>
      </c>
      <c r="F91">
        <f t="shared" si="17"/>
        <v>118131</v>
      </c>
      <c r="M91" s="1"/>
    </row>
    <row r="92" spans="4:13" x14ac:dyDescent="0.45">
      <c r="D92">
        <f t="shared" si="18"/>
        <v>19</v>
      </c>
      <c r="E92" s="142">
        <f t="shared" si="16"/>
        <v>0</v>
      </c>
      <c r="F92">
        <f t="shared" si="17"/>
        <v>0</v>
      </c>
      <c r="M92" s="1"/>
    </row>
    <row r="93" spans="4:13" x14ac:dyDescent="0.45">
      <c r="D93">
        <f t="shared" si="18"/>
        <v>18</v>
      </c>
      <c r="E93" s="142">
        <f t="shared" si="16"/>
        <v>2950</v>
      </c>
      <c r="F93">
        <f t="shared" si="17"/>
        <v>53100</v>
      </c>
      <c r="M93" s="1"/>
    </row>
    <row r="94" spans="4:13" x14ac:dyDescent="0.45">
      <c r="D94">
        <f t="shared" si="18"/>
        <v>17</v>
      </c>
      <c r="E94" s="142">
        <f t="shared" si="16"/>
        <v>3003</v>
      </c>
      <c r="F94">
        <f t="shared" si="17"/>
        <v>51051</v>
      </c>
      <c r="M94" s="1"/>
    </row>
    <row r="95" spans="4:13" x14ac:dyDescent="0.45">
      <c r="D95">
        <f t="shared" si="18"/>
        <v>16</v>
      </c>
      <c r="E95" s="142">
        <f t="shared" si="16"/>
        <v>2726</v>
      </c>
      <c r="F95">
        <f t="shared" si="17"/>
        <v>43616</v>
      </c>
      <c r="M95" s="1"/>
    </row>
    <row r="96" spans="4:13" x14ac:dyDescent="0.45">
      <c r="D96">
        <f t="shared" si="18"/>
        <v>15</v>
      </c>
      <c r="E96" s="142">
        <f t="shared" si="16"/>
        <v>2820</v>
      </c>
      <c r="F96">
        <f t="shared" si="17"/>
        <v>42300</v>
      </c>
      <c r="M96" s="1"/>
    </row>
    <row r="97" spans="4:13" x14ac:dyDescent="0.45">
      <c r="D97">
        <f t="shared" si="18"/>
        <v>13.5</v>
      </c>
      <c r="E97" s="142">
        <f t="shared" si="16"/>
        <v>5038</v>
      </c>
      <c r="F97">
        <f t="shared" si="17"/>
        <v>68013</v>
      </c>
      <c r="M97" s="1"/>
    </row>
    <row r="98" spans="4:13" x14ac:dyDescent="0.45">
      <c r="D98">
        <f t="shared" si="18"/>
        <v>13</v>
      </c>
      <c r="E98" s="142">
        <f t="shared" si="16"/>
        <v>0</v>
      </c>
      <c r="F98">
        <f t="shared" si="17"/>
        <v>0</v>
      </c>
      <c r="M98" s="1"/>
    </row>
    <row r="99" spans="4:13" x14ac:dyDescent="0.45">
      <c r="D99">
        <f t="shared" si="18"/>
        <v>12</v>
      </c>
      <c r="E99" s="142">
        <f t="shared" si="16"/>
        <v>4195</v>
      </c>
      <c r="F99">
        <f t="shared" si="17"/>
        <v>50340</v>
      </c>
      <c r="M99" s="1"/>
    </row>
    <row r="100" spans="4:13" x14ac:dyDescent="0.45">
      <c r="D100">
        <f t="shared" si="18"/>
        <v>11</v>
      </c>
      <c r="E100" s="142">
        <f t="shared" si="16"/>
        <v>2220</v>
      </c>
      <c r="F100">
        <f t="shared" si="17"/>
        <v>24420</v>
      </c>
      <c r="M100" s="1"/>
    </row>
    <row r="101" spans="4:13" x14ac:dyDescent="0.45">
      <c r="D101">
        <f t="shared" si="18"/>
        <v>10</v>
      </c>
      <c r="E101" s="142">
        <f t="shared" si="16"/>
        <v>1916</v>
      </c>
      <c r="F101">
        <f t="shared" si="17"/>
        <v>19160</v>
      </c>
      <c r="M101" s="1"/>
    </row>
    <row r="102" spans="4:13" x14ac:dyDescent="0.45">
      <c r="D102">
        <f t="shared" si="18"/>
        <v>9</v>
      </c>
      <c r="E102" s="142">
        <f t="shared" si="16"/>
        <v>1332</v>
      </c>
      <c r="F102">
        <f t="shared" si="17"/>
        <v>11988</v>
      </c>
      <c r="M102" s="1"/>
    </row>
    <row r="103" spans="4:13" x14ac:dyDescent="0.45">
      <c r="D103">
        <f t="shared" si="18"/>
        <v>7.5</v>
      </c>
      <c r="E103" s="142">
        <f t="shared" si="16"/>
        <v>3189</v>
      </c>
      <c r="F103">
        <f t="shared" si="17"/>
        <v>23917.5</v>
      </c>
      <c r="M103" s="1"/>
    </row>
    <row r="104" spans="4:13" x14ac:dyDescent="0.45">
      <c r="D104">
        <f t="shared" si="18"/>
        <v>7</v>
      </c>
      <c r="E104" s="142">
        <f t="shared" si="16"/>
        <v>0</v>
      </c>
      <c r="F104">
        <f t="shared" si="17"/>
        <v>0</v>
      </c>
      <c r="M104" s="1"/>
    </row>
    <row r="105" spans="4:13" x14ac:dyDescent="0.45">
      <c r="D105">
        <f t="shared" si="18"/>
        <v>6</v>
      </c>
      <c r="E105" s="142">
        <f t="shared" si="16"/>
        <v>530</v>
      </c>
      <c r="F105">
        <f t="shared" si="17"/>
        <v>3180</v>
      </c>
      <c r="M105" s="1"/>
    </row>
    <row r="106" spans="4:13" x14ac:dyDescent="0.45">
      <c r="D106">
        <f t="shared" si="18"/>
        <v>5</v>
      </c>
      <c r="E106" s="142">
        <f t="shared" si="16"/>
        <v>690</v>
      </c>
      <c r="F106">
        <f t="shared" si="17"/>
        <v>3450</v>
      </c>
    </row>
    <row r="107" spans="4:13" x14ac:dyDescent="0.45">
      <c r="D107">
        <f t="shared" si="18"/>
        <v>4</v>
      </c>
      <c r="E107" s="142">
        <f t="shared" si="16"/>
        <v>333</v>
      </c>
      <c r="F107">
        <f t="shared" si="17"/>
        <v>1332</v>
      </c>
    </row>
    <row r="108" spans="4:13" x14ac:dyDescent="0.45">
      <c r="D108">
        <f t="shared" si="18"/>
        <v>3</v>
      </c>
      <c r="E108" s="142">
        <f t="shared" si="16"/>
        <v>176</v>
      </c>
      <c r="F108">
        <f t="shared" si="17"/>
        <v>528</v>
      </c>
    </row>
    <row r="109" spans="4:13" x14ac:dyDescent="0.45">
      <c r="D109">
        <v>2</v>
      </c>
      <c r="E109" s="142">
        <f t="shared" si="16"/>
        <v>196</v>
      </c>
      <c r="F109">
        <f t="shared" si="17"/>
        <v>392</v>
      </c>
    </row>
    <row r="110" spans="4:13" x14ac:dyDescent="0.45">
      <c r="D110">
        <v>1</v>
      </c>
      <c r="E110" s="142">
        <f t="shared" si="16"/>
        <v>0</v>
      </c>
      <c r="F110">
        <f t="shared" si="17"/>
        <v>0</v>
      </c>
    </row>
    <row r="111" spans="4:13" x14ac:dyDescent="0.45">
      <c r="D111">
        <v>0</v>
      </c>
      <c r="E111" s="142">
        <f t="shared" si="16"/>
        <v>93</v>
      </c>
      <c r="F111">
        <f t="shared" si="17"/>
        <v>0</v>
      </c>
    </row>
    <row r="113" spans="6:6" x14ac:dyDescent="0.45">
      <c r="F113">
        <f>SUM(F61:F111)/I57</f>
        <v>27.894989904088845</v>
      </c>
    </row>
  </sheetData>
  <mergeCells count="51">
    <mergeCell ref="G13:G14"/>
    <mergeCell ref="H13:H14"/>
    <mergeCell ref="I13:I14"/>
    <mergeCell ref="J13:J14"/>
    <mergeCell ref="I43:I44"/>
    <mergeCell ref="J43:J44"/>
    <mergeCell ref="D49:D50"/>
    <mergeCell ref="E49:E50"/>
    <mergeCell ref="F49:F50"/>
    <mergeCell ref="G49:G50"/>
    <mergeCell ref="H49:H50"/>
    <mergeCell ref="I49:I50"/>
    <mergeCell ref="J49:J50"/>
    <mergeCell ref="D43:D44"/>
    <mergeCell ref="E43:E44"/>
    <mergeCell ref="F43:F44"/>
    <mergeCell ref="G43:G44"/>
    <mergeCell ref="H43:H44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I19:I20"/>
    <mergeCell ref="J19:J20"/>
    <mergeCell ref="D25:D26"/>
    <mergeCell ref="E25:E26"/>
    <mergeCell ref="F25:F26"/>
    <mergeCell ref="G25:G26"/>
    <mergeCell ref="H25:H26"/>
    <mergeCell ref="I25:I26"/>
    <mergeCell ref="J25:J26"/>
    <mergeCell ref="G19:G20"/>
    <mergeCell ref="H19:H20"/>
    <mergeCell ref="D3:F3"/>
    <mergeCell ref="D4:F4"/>
    <mergeCell ref="D19:D20"/>
    <mergeCell ref="E19:E20"/>
    <mergeCell ref="F19:F20"/>
    <mergeCell ref="D13:D14"/>
    <mergeCell ref="E13:E14"/>
    <mergeCell ref="F13:F14"/>
  </mergeCells>
  <phoneticPr fontId="1" type="noConversion"/>
  <conditionalFormatting sqref="D7:J7 D57:J57 D9:J13 D15:J19 D21:J25 D27:J31 D33:J37 D39:J43 D45:J49 D51:J55">
    <cfRule type="expression" dxfId="83" priority="7">
      <formula>OR($D7=$P$7:$P$14)</formula>
    </cfRule>
  </conditionalFormatting>
  <conditionalFormatting sqref="C7:C57">
    <cfRule type="expression" dxfId="82" priority="6">
      <formula>OR(AND($D7=0,OR($D6=$P$7:$P$14)),AND($D8&gt;0,OR($D7=$P$7:$P$14)))</formula>
    </cfRule>
  </conditionalFormatting>
  <conditionalFormatting sqref="D7 D57 D9:D13 D15:D19 D21:D25 D27:D31 D33:D37 D39:D43 D45:D49 D51:D55">
    <cfRule type="expression" dxfId="81" priority="5">
      <formula>$D7=$D8</formula>
    </cfRule>
  </conditionalFormatting>
  <conditionalFormatting sqref="D56">
    <cfRule type="expression" dxfId="80" priority="4">
      <formula>OR($D56=$P$7:$P$14)</formula>
    </cfRule>
  </conditionalFormatting>
  <conditionalFormatting sqref="D56">
    <cfRule type="expression" dxfId="79" priority="3">
      <formula>$D56=$D57</formula>
    </cfRule>
  </conditionalFormatting>
  <conditionalFormatting sqref="D8">
    <cfRule type="expression" dxfId="78" priority="2">
      <formula>OR($D8=$P$7:$P$14)</formula>
    </cfRule>
  </conditionalFormatting>
  <conditionalFormatting sqref="D8">
    <cfRule type="expression" dxfId="7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0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기능'!D16</f>
        <v>25.51</v>
      </c>
      <c r="I3" s="10" t="s">
        <v>98</v>
      </c>
      <c r="J3" s="145">
        <f>'통계 및 응시자 수 입력 기능'!C16</f>
        <v>116228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111</v>
      </c>
      <c r="E4" s="302"/>
      <c r="F4" s="303"/>
      <c r="G4" s="147" t="s">
        <v>101</v>
      </c>
      <c r="H4" s="148">
        <f>'통계 및 응시자 수 입력 기능'!E16</f>
        <v>12.5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70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_xlfn.IFNA(VLOOKUP(D7,'202306'!$BJ$5:$BM$55,4,FALSE),0)</f>
        <v>2474</v>
      </c>
      <c r="H7" s="158">
        <f>G7/J3</f>
        <v>2.1285748700829405E-2</v>
      </c>
      <c r="I7" s="159">
        <f>G7</f>
        <v>2474</v>
      </c>
      <c r="J7" s="160">
        <f>I7/J3</f>
        <v>2.1285748700829405E-2</v>
      </c>
      <c r="K7" s="14"/>
      <c r="M7" s="1"/>
      <c r="O7" s="1">
        <v>1</v>
      </c>
      <c r="P7" s="1">
        <f>'표준점수 등급컷 입력기능'!K42</f>
        <v>67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입력기능'!K43</f>
        <v>64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68</v>
      </c>
      <c r="E9" s="155">
        <f t="shared" si="0"/>
        <v>1</v>
      </c>
      <c r="F9" s="156">
        <f>IF(I8=0,ROUND(100*(1-(I7+I9)/2/$J$3),0),ROUND(100*(1-(I8+I9)/2/$J$3),0))</f>
        <v>97</v>
      </c>
      <c r="G9" s="157">
        <f>_xlfn.IFNA(VLOOKUP(D9,'202306'!$BJ$5:$BM$55,4,FALSE),0)</f>
        <v>1944</v>
      </c>
      <c r="H9" s="158">
        <f>G9/$J$3</f>
        <v>1.6725745947620194E-2</v>
      </c>
      <c r="I9" s="165">
        <f>SUM($G$7:G9)</f>
        <v>4418</v>
      </c>
      <c r="J9" s="160">
        <f>I9/$J$3</f>
        <v>3.8011494648449599E-2</v>
      </c>
      <c r="K9" s="14"/>
      <c r="M9" s="1"/>
      <c r="O9" s="1">
        <v>3</v>
      </c>
      <c r="P9" s="1">
        <f>'표준점수 등급컷 입력기능'!K44</f>
        <v>59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67</v>
      </c>
      <c r="E10" s="155">
        <f t="shared" si="0"/>
        <v>1</v>
      </c>
      <c r="F10" s="156">
        <f>IF(I9=0,ROUND(100*(1-(I8+I10)/2/$J$3),0),ROUND(100*(1-(I9+I10)/2/$J$3),0))</f>
        <v>95</v>
      </c>
      <c r="G10" s="157">
        <f>IF(D10=D9,"",_xlfn.IFNA(VLOOKUP(D10,'202306'!$BJ$5:$BM$55,4,FALSE),0))</f>
        <v>2405</v>
      </c>
      <c r="H10" s="158">
        <f t="shared" ref="H10:H55" si="2">G10/$J$3</f>
        <v>2.0692087965034241E-2</v>
      </c>
      <c r="I10" s="165">
        <f>SUM($G$7:G10)</f>
        <v>6823</v>
      </c>
      <c r="J10" s="160">
        <f t="shared" ref="J10:J55" si="3">I10/$J$3</f>
        <v>5.8703582613483844E-2</v>
      </c>
      <c r="K10" s="14"/>
      <c r="M10" s="1"/>
      <c r="O10" s="1">
        <v>4</v>
      </c>
      <c r="P10" s="1">
        <f>'표준점수 등급컷 입력기능'!K45</f>
        <v>52</v>
      </c>
    </row>
    <row r="11" spans="1:16" ht="25" customHeight="1" x14ac:dyDescent="0.45">
      <c r="A11" s="4"/>
      <c r="B11" s="13"/>
      <c r="C11" s="154">
        <v>46</v>
      </c>
      <c r="D11" s="307">
        <f t="shared" si="1"/>
        <v>66</v>
      </c>
      <c r="E11" s="307">
        <f t="shared" si="0"/>
        <v>2</v>
      </c>
      <c r="F11" s="309">
        <f t="shared" ref="F11:F55" si="4">IF(I10=0,ROUND(100*(1-(I9+I11)/2/$J$3),0),ROUND(100*(1-(I10+I11)/2/$J$3),0))</f>
        <v>92</v>
      </c>
      <c r="G11" s="311">
        <f>IF(D11=D10,"",_xlfn.IFNA(VLOOKUP(D11,'202306'!$BJ$5:$BM$55,4,FALSE),0))</f>
        <v>4004</v>
      </c>
      <c r="H11" s="313">
        <f t="shared" si="2"/>
        <v>3.4449530233678631E-2</v>
      </c>
      <c r="I11" s="315">
        <f>SUM($G$7:G11)</f>
        <v>10827</v>
      </c>
      <c r="J11" s="317">
        <f t="shared" si="3"/>
        <v>9.3153112847162475E-2</v>
      </c>
      <c r="K11" s="14"/>
      <c r="M11" s="1"/>
      <c r="O11" s="1">
        <v>5</v>
      </c>
      <c r="P11" s="1">
        <f>'표준점수 등급컷 입력기능'!K46</f>
        <v>46</v>
      </c>
    </row>
    <row r="12" spans="1:16" ht="25" customHeight="1" x14ac:dyDescent="0.45">
      <c r="A12" s="4"/>
      <c r="B12" s="13"/>
      <c r="C12" s="161">
        <v>45</v>
      </c>
      <c r="D12" s="308"/>
      <c r="E12" s="308"/>
      <c r="F12" s="310"/>
      <c r="G12" s="312"/>
      <c r="H12" s="314"/>
      <c r="I12" s="316"/>
      <c r="J12" s="318"/>
      <c r="K12" s="14"/>
      <c r="M12" s="1"/>
      <c r="O12" s="1">
        <v>6</v>
      </c>
      <c r="P12" s="1">
        <f>'표준점수 등급컷 입력기능'!K47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1"/>
        <v>65</v>
      </c>
      <c r="E13" s="155">
        <f t="shared" si="0"/>
        <v>2</v>
      </c>
      <c r="F13" s="156">
        <f t="shared" si="4"/>
        <v>90</v>
      </c>
      <c r="G13" s="157">
        <f>IF(D13=D12,"",_xlfn.IFNA(VLOOKUP(D13,'202306'!$BJ$5:$BM$55,4,FALSE),0))</f>
        <v>1752</v>
      </c>
      <c r="H13" s="158">
        <f t="shared" si="2"/>
        <v>1.5073820421929311E-2</v>
      </c>
      <c r="I13" s="165">
        <f>SUM($G$7:G13)</f>
        <v>12579</v>
      </c>
      <c r="J13" s="160">
        <f t="shared" si="3"/>
        <v>0.10822693326909179</v>
      </c>
      <c r="K13" s="14"/>
      <c r="M13" s="1"/>
      <c r="O13" s="1">
        <v>7</v>
      </c>
      <c r="P13" s="1">
        <f>'표준점수 등급컷 입력기능'!K48</f>
        <v>38</v>
      </c>
    </row>
    <row r="14" spans="1:16" ht="25" customHeight="1" x14ac:dyDescent="0.45">
      <c r="A14" s="4"/>
      <c r="B14" s="13"/>
      <c r="C14" s="161">
        <v>43</v>
      </c>
      <c r="D14" s="155">
        <f t="shared" si="1"/>
        <v>64</v>
      </c>
      <c r="E14" s="155">
        <f t="shared" si="0"/>
        <v>2</v>
      </c>
      <c r="F14" s="156">
        <f t="shared" si="4"/>
        <v>88</v>
      </c>
      <c r="G14" s="157">
        <f>IF(D14=D13,"",_xlfn.IFNA(VLOOKUP(D14,'202306'!$BJ$5:$BM$55,4,FALSE),0))</f>
        <v>2010</v>
      </c>
      <c r="H14" s="158">
        <f t="shared" si="2"/>
        <v>1.7293595347076435E-2</v>
      </c>
      <c r="I14" s="165">
        <f>SUM($G$7:G14)</f>
        <v>14589</v>
      </c>
      <c r="J14" s="160">
        <f t="shared" si="3"/>
        <v>0.12552052861616822</v>
      </c>
      <c r="K14" s="14"/>
      <c r="M14" s="1"/>
      <c r="O14" s="1">
        <v>8</v>
      </c>
      <c r="P14" s="1">
        <f>'표준점수 등급컷 입력기능'!K49</f>
        <v>35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63</v>
      </c>
      <c r="E15" s="155">
        <f t="shared" si="0"/>
        <v>3</v>
      </c>
      <c r="F15" s="156">
        <f t="shared" si="4"/>
        <v>86</v>
      </c>
      <c r="G15" s="157">
        <f>IF(D15=D14,"",_xlfn.IFNA(VLOOKUP(D15,'202306'!$BJ$5:$BM$55,4,FALSE),0))</f>
        <v>3039</v>
      </c>
      <c r="H15" s="158">
        <f t="shared" si="2"/>
        <v>2.6146883711326015E-2</v>
      </c>
      <c r="I15" s="165">
        <f>SUM($G$7:G15)</f>
        <v>17628</v>
      </c>
      <c r="J15" s="160">
        <f t="shared" si="3"/>
        <v>0.15166741232749423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307">
        <f t="shared" si="1"/>
        <v>62</v>
      </c>
      <c r="E16" s="307">
        <f t="shared" si="0"/>
        <v>3</v>
      </c>
      <c r="F16" s="309">
        <f t="shared" si="4"/>
        <v>83</v>
      </c>
      <c r="G16" s="311">
        <f>IF(D16=D15,"",_xlfn.IFNA(VLOOKUP(D16,'202306'!$BJ$5:$BM$55,4,FALSE),0))</f>
        <v>4273</v>
      </c>
      <c r="H16" s="313">
        <f t="shared" si="2"/>
        <v>3.67639467254018E-2</v>
      </c>
      <c r="I16" s="315">
        <f>SUM($G$7:G16)</f>
        <v>21901</v>
      </c>
      <c r="J16" s="317">
        <f t="shared" si="3"/>
        <v>0.18843135905289604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8"/>
      <c r="E17" s="308"/>
      <c r="F17" s="310"/>
      <c r="G17" s="312"/>
      <c r="H17" s="314"/>
      <c r="I17" s="316"/>
      <c r="J17" s="318"/>
      <c r="K17" s="14"/>
      <c r="M17" s="1"/>
      <c r="P17" s="1">
        <f>H3*H4*J3*P7*IFERROR(IF(J57=1, 1, 0), 0)</f>
        <v>2483167634.5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61</v>
      </c>
      <c r="E18" s="155">
        <f t="shared" si="0"/>
        <v>3</v>
      </c>
      <c r="F18" s="156">
        <f t="shared" si="4"/>
        <v>80</v>
      </c>
      <c r="G18" s="157">
        <f>IF(D18=D17,"",_xlfn.IFNA(VLOOKUP(D18,'202306'!$BJ$5:$BM$55,4,FALSE),0))</f>
        <v>2308</v>
      </c>
      <c r="H18" s="158">
        <f t="shared" si="2"/>
        <v>1.9857521423409161E-2</v>
      </c>
      <c r="I18" s="165">
        <f>SUM($G$7:G18)</f>
        <v>24209</v>
      </c>
      <c r="J18" s="160">
        <f t="shared" si="3"/>
        <v>0.2082888804763052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60</v>
      </c>
      <c r="E19" s="155">
        <f t="shared" si="0"/>
        <v>3</v>
      </c>
      <c r="F19" s="156">
        <f t="shared" si="4"/>
        <v>78</v>
      </c>
      <c r="G19" s="157">
        <f>IF(D19=D18,"",_xlfn.IFNA(VLOOKUP(D19,'202306'!$BJ$5:$BM$55,4,FALSE),0))</f>
        <v>1917</v>
      </c>
      <c r="H19" s="158">
        <f t="shared" si="2"/>
        <v>1.6493443920569915E-2</v>
      </c>
      <c r="I19" s="165">
        <f>SUM($G$7:G19)</f>
        <v>26126</v>
      </c>
      <c r="J19" s="160">
        <f t="shared" si="3"/>
        <v>0.22478232439687509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59</v>
      </c>
      <c r="E20" s="155">
        <f t="shared" si="0"/>
        <v>3</v>
      </c>
      <c r="F20" s="156">
        <f t="shared" si="4"/>
        <v>76</v>
      </c>
      <c r="G20" s="157">
        <f>IF(D20=D19,"",_xlfn.IFNA(VLOOKUP(D20,'202306'!$BJ$5:$BM$55,4,FALSE),0))</f>
        <v>2565</v>
      </c>
      <c r="H20" s="158">
        <f t="shared" si="2"/>
        <v>2.2068692569776647E-2</v>
      </c>
      <c r="I20" s="165">
        <f>SUM($G$7:G20)</f>
        <v>28691</v>
      </c>
      <c r="J20" s="160">
        <f t="shared" si="3"/>
        <v>0.24685101696665177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319">
        <f t="shared" si="1"/>
        <v>58</v>
      </c>
      <c r="E21" s="319">
        <f t="shared" si="0"/>
        <v>4</v>
      </c>
      <c r="F21" s="309">
        <f t="shared" si="4"/>
        <v>73</v>
      </c>
      <c r="G21" s="311">
        <f>IF(D21=D20,"",_xlfn.IFNA(VLOOKUP(D21,'202306'!$BJ$5:$BM$55,4,FALSE),0))</f>
        <v>4325</v>
      </c>
      <c r="H21" s="313">
        <f t="shared" si="2"/>
        <v>3.7211343221943076E-2</v>
      </c>
      <c r="I21" s="315">
        <f>SUM($G$7:G21)</f>
        <v>33016</v>
      </c>
      <c r="J21" s="317">
        <f t="shared" si="3"/>
        <v>0.28406236018859482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20"/>
      <c r="E22" s="320"/>
      <c r="F22" s="310"/>
      <c r="G22" s="312"/>
      <c r="H22" s="314"/>
      <c r="I22" s="316"/>
      <c r="J22" s="318"/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57</v>
      </c>
      <c r="E23" s="176">
        <f t="shared" si="0"/>
        <v>4</v>
      </c>
      <c r="F23" s="156">
        <f t="shared" si="4"/>
        <v>71</v>
      </c>
      <c r="G23" s="157">
        <f>IF(D23=D22,"",_xlfn.IFNA(VLOOKUP(D23,'202306'!$BJ$5:$BM$55,4,FALSE),0))</f>
        <v>2162</v>
      </c>
      <c r="H23" s="158">
        <f t="shared" si="2"/>
        <v>1.8601369721581718E-2</v>
      </c>
      <c r="I23" s="165">
        <f>SUM($G$7:G23)</f>
        <v>35178</v>
      </c>
      <c r="J23" s="160">
        <f t="shared" si="3"/>
        <v>0.30266372991017654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56</v>
      </c>
      <c r="E24" s="176">
        <f t="shared" si="0"/>
        <v>4</v>
      </c>
      <c r="F24" s="156">
        <f t="shared" si="4"/>
        <v>69</v>
      </c>
      <c r="G24" s="157">
        <f>IF(D24=D23,"",_xlfn.IFNA(VLOOKUP(D24,'202306'!$BJ$5:$BM$55,4,FALSE),0))</f>
        <v>2047</v>
      </c>
      <c r="H24" s="158">
        <f t="shared" si="2"/>
        <v>1.7611935161923116E-2</v>
      </c>
      <c r="I24" s="165">
        <f>SUM($G$7:G24)</f>
        <v>37225</v>
      </c>
      <c r="J24" s="160">
        <f t="shared" si="3"/>
        <v>0.32027566507209965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55</v>
      </c>
      <c r="E25" s="176">
        <f t="shared" si="0"/>
        <v>4</v>
      </c>
      <c r="F25" s="156">
        <f t="shared" si="4"/>
        <v>67</v>
      </c>
      <c r="G25" s="157">
        <f>IF(D25=D24,"",_xlfn.IFNA(VLOOKUP(D25,'202306'!$BJ$5:$BM$55,4,FALSE),0))</f>
        <v>2330</v>
      </c>
      <c r="H25" s="158">
        <f t="shared" si="2"/>
        <v>2.0046804556561243E-2</v>
      </c>
      <c r="I25" s="165">
        <f>SUM($G$7:G25)</f>
        <v>39555</v>
      </c>
      <c r="J25" s="160">
        <f t="shared" si="3"/>
        <v>0.34032246962866092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19">
        <f t="shared" si="1"/>
        <v>54</v>
      </c>
      <c r="E26" s="319">
        <f t="shared" si="0"/>
        <v>4</v>
      </c>
      <c r="F26" s="309">
        <f t="shared" si="4"/>
        <v>64</v>
      </c>
      <c r="G26" s="311">
        <f>IF(D26=D25,"",_xlfn.IFNA(VLOOKUP(D26,'202306'!$BJ$5:$BM$55,4,FALSE),0))</f>
        <v>4240</v>
      </c>
      <c r="H26" s="313">
        <f t="shared" si="2"/>
        <v>3.6480022025673679E-2</v>
      </c>
      <c r="I26" s="315">
        <f>SUM($G$7:G26)</f>
        <v>43795</v>
      </c>
      <c r="J26" s="317">
        <f t="shared" si="3"/>
        <v>0.3768024916543346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20"/>
      <c r="E27" s="320"/>
      <c r="F27" s="310"/>
      <c r="G27" s="312"/>
      <c r="H27" s="314"/>
      <c r="I27" s="316"/>
      <c r="J27" s="318"/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53</v>
      </c>
      <c r="E28" s="176">
        <f t="shared" si="0"/>
        <v>4</v>
      </c>
      <c r="F28" s="156">
        <f t="shared" si="4"/>
        <v>61</v>
      </c>
      <c r="G28" s="157">
        <f>IF(D28=D27,"",_xlfn.IFNA(VLOOKUP(D28,'202306'!$BJ$5:$BM$55,4,FALSE),0))</f>
        <v>2183</v>
      </c>
      <c r="H28" s="158">
        <f t="shared" si="2"/>
        <v>1.8782049075954158E-2</v>
      </c>
      <c r="I28" s="165">
        <f>SUM($G$7:G28)</f>
        <v>45978</v>
      </c>
      <c r="J28" s="160">
        <f t="shared" si="3"/>
        <v>0.39558454073028876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52</v>
      </c>
      <c r="E29" s="176">
        <f t="shared" si="0"/>
        <v>4</v>
      </c>
      <c r="F29" s="156">
        <f t="shared" si="4"/>
        <v>60</v>
      </c>
      <c r="G29" s="157">
        <f>IF(D29=D28,"",_xlfn.IFNA(VLOOKUP(D29,'202306'!$BJ$5:$BM$55,4,FALSE),0))</f>
        <v>2159</v>
      </c>
      <c r="H29" s="158">
        <f t="shared" si="2"/>
        <v>1.8575558385242798E-2</v>
      </c>
      <c r="I29" s="165">
        <f>SUM($G$7:G29)</f>
        <v>48137</v>
      </c>
      <c r="J29" s="160">
        <f t="shared" si="3"/>
        <v>0.41416009911553153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51</v>
      </c>
      <c r="E30" s="176">
        <f t="shared" si="0"/>
        <v>5</v>
      </c>
      <c r="F30" s="156">
        <f t="shared" si="4"/>
        <v>58</v>
      </c>
      <c r="G30" s="157">
        <f>IF(D30=D29,"",_xlfn.IFNA(VLOOKUP(D30,'202306'!$BJ$5:$BM$55,4,FALSE),0))</f>
        <v>2477</v>
      </c>
      <c r="H30" s="158">
        <f t="shared" si="2"/>
        <v>2.1311560037168324E-2</v>
      </c>
      <c r="I30" s="165">
        <f>SUM($G$7:G30)</f>
        <v>50614</v>
      </c>
      <c r="J30" s="160">
        <f t="shared" si="3"/>
        <v>0.43547165915269986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19">
        <f t="shared" si="1"/>
        <v>50</v>
      </c>
      <c r="E31" s="319">
        <f t="shared" si="0"/>
        <v>5</v>
      </c>
      <c r="F31" s="309">
        <f t="shared" si="4"/>
        <v>54</v>
      </c>
      <c r="G31" s="311">
        <f>IF(D31=D30,"",_xlfn.IFNA(VLOOKUP(D31,'202306'!$BJ$5:$BM$55,4,FALSE),0))</f>
        <v>4871</v>
      </c>
      <c r="H31" s="313">
        <f t="shared" si="2"/>
        <v>4.1909006435626527E-2</v>
      </c>
      <c r="I31" s="315">
        <f>SUM($G$7:G31)</f>
        <v>55485</v>
      </c>
      <c r="J31" s="317">
        <f t="shared" si="3"/>
        <v>0.47738066558832637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20"/>
      <c r="E32" s="320"/>
      <c r="F32" s="310"/>
      <c r="G32" s="312"/>
      <c r="H32" s="314"/>
      <c r="I32" s="316"/>
      <c r="J32" s="318"/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49</v>
      </c>
      <c r="E33" s="176">
        <f t="shared" si="0"/>
        <v>5</v>
      </c>
      <c r="F33" s="156">
        <f t="shared" si="4"/>
        <v>51</v>
      </c>
      <c r="G33" s="157">
        <f>IF(D33=D32,"",_xlfn.IFNA(VLOOKUP(D33,'202306'!$BJ$5:$BM$55,4,FALSE),0))</f>
        <v>2645</v>
      </c>
      <c r="H33" s="158">
        <f t="shared" si="2"/>
        <v>2.2756994872147846E-2</v>
      </c>
      <c r="I33" s="165">
        <f>SUM($G$7:G33)</f>
        <v>58130</v>
      </c>
      <c r="J33" s="160">
        <f t="shared" si="3"/>
        <v>0.50013766046047425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48</v>
      </c>
      <c r="E34" s="176">
        <f t="shared" si="0"/>
        <v>5</v>
      </c>
      <c r="F34" s="156">
        <f t="shared" si="4"/>
        <v>49</v>
      </c>
      <c r="G34" s="157">
        <f>IF(D34=D33,"",_xlfn.IFNA(VLOOKUP(D34,'202306'!$BJ$5:$BM$55,4,FALSE),0))</f>
        <v>2655</v>
      </c>
      <c r="H34" s="158">
        <f t="shared" si="2"/>
        <v>2.2843032659944248E-2</v>
      </c>
      <c r="I34" s="165">
        <f>SUM($G$7:G34)</f>
        <v>60785</v>
      </c>
      <c r="J34" s="160">
        <f t="shared" si="3"/>
        <v>0.5229806931204185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47</v>
      </c>
      <c r="E35" s="176">
        <f t="shared" si="0"/>
        <v>5</v>
      </c>
      <c r="F35" s="156">
        <f t="shared" si="4"/>
        <v>46</v>
      </c>
      <c r="G35" s="157">
        <f>IF(D35=D34,"",_xlfn.IFNA(VLOOKUP(D35,'202306'!$BJ$5:$BM$55,4,FALSE),0))</f>
        <v>3155</v>
      </c>
      <c r="H35" s="158">
        <f t="shared" si="2"/>
        <v>2.7144922049764257E-2</v>
      </c>
      <c r="I35" s="165">
        <f>SUM($G$7:G35)</f>
        <v>63940</v>
      </c>
      <c r="J35" s="160">
        <f t="shared" si="3"/>
        <v>0.55012561517018277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19">
        <f t="shared" si="1"/>
        <v>46</v>
      </c>
      <c r="E36" s="319">
        <f t="shared" si="0"/>
        <v>5</v>
      </c>
      <c r="F36" s="309">
        <f t="shared" si="4"/>
        <v>42</v>
      </c>
      <c r="G36" s="311">
        <f>IF(D36=D35,"",_xlfn.IFNA(VLOOKUP(D36,'202306'!$BJ$5:$BM$55,4,FALSE),0))</f>
        <v>6470</v>
      </c>
      <c r="H36" s="313">
        <f t="shared" si="2"/>
        <v>5.5666448704270913E-2</v>
      </c>
      <c r="I36" s="315">
        <f>SUM($G$7:G36)</f>
        <v>70410</v>
      </c>
      <c r="J36" s="317">
        <f t="shared" si="3"/>
        <v>0.60579206387445361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20"/>
      <c r="E37" s="320"/>
      <c r="F37" s="310"/>
      <c r="G37" s="312"/>
      <c r="H37" s="314"/>
      <c r="I37" s="316"/>
      <c r="J37" s="318"/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45</v>
      </c>
      <c r="E38" s="176">
        <f t="shared" si="0"/>
        <v>6</v>
      </c>
      <c r="F38" s="156">
        <f t="shared" si="4"/>
        <v>38</v>
      </c>
      <c r="G38" s="157">
        <f>IF(D38=D37,"",_xlfn.IFNA(VLOOKUP(D38,'202306'!$BJ$5:$BM$55,4,FALSE),0))</f>
        <v>3573</v>
      </c>
      <c r="H38" s="158">
        <f t="shared" si="2"/>
        <v>3.0741301579653785E-2</v>
      </c>
      <c r="I38" s="165">
        <f>SUM($G$7:G38)</f>
        <v>73983</v>
      </c>
      <c r="J38" s="160">
        <f t="shared" si="3"/>
        <v>0.63653336545410744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44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6</v>
      </c>
      <c r="F39" s="156">
        <f t="shared" si="4"/>
        <v>35</v>
      </c>
      <c r="G39" s="157">
        <f>IF(D39=D38,"",_xlfn.IFNA(VLOOKUP(D39,'202306'!$BJ$5:$BM$55,4,FALSE),0))</f>
        <v>3375</v>
      </c>
      <c r="H39" s="158">
        <f t="shared" si="2"/>
        <v>2.9037753381285062E-2</v>
      </c>
      <c r="I39" s="165">
        <f>SUM($G$7:G39)</f>
        <v>77358</v>
      </c>
      <c r="J39" s="160">
        <f t="shared" si="3"/>
        <v>0.66557111883539255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43</v>
      </c>
      <c r="E40" s="176">
        <f t="shared" si="5"/>
        <v>6</v>
      </c>
      <c r="F40" s="156">
        <f t="shared" si="4"/>
        <v>32</v>
      </c>
      <c r="G40" s="157">
        <f>IF(D40=D39,"",_xlfn.IFNA(VLOOKUP(D40,'202306'!$BJ$5:$BM$55,4,FALSE),0))</f>
        <v>4115</v>
      </c>
      <c r="H40" s="158">
        <f t="shared" si="2"/>
        <v>3.5404549678218676E-2</v>
      </c>
      <c r="I40" s="165">
        <f>SUM($G$7:G40)</f>
        <v>81473</v>
      </c>
      <c r="J40" s="160">
        <f t="shared" si="3"/>
        <v>0.70097566851361115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19">
        <f t="shared" si="1"/>
        <v>42</v>
      </c>
      <c r="E41" s="319">
        <f t="shared" si="5"/>
        <v>6</v>
      </c>
      <c r="F41" s="309">
        <f t="shared" si="4"/>
        <v>26</v>
      </c>
      <c r="G41" s="311">
        <f>IF(D41=D40,"",_xlfn.IFNA(VLOOKUP(D41,'202306'!$BJ$5:$BM$55,4,FALSE),0))</f>
        <v>9273</v>
      </c>
      <c r="H41" s="313">
        <f t="shared" si="2"/>
        <v>7.9782840623601886E-2</v>
      </c>
      <c r="I41" s="315">
        <f>SUM($G$7:G41)</f>
        <v>90746</v>
      </c>
      <c r="J41" s="317">
        <f t="shared" si="3"/>
        <v>0.78075850913721312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320"/>
      <c r="E42" s="320"/>
      <c r="F42" s="310"/>
      <c r="G42" s="312"/>
      <c r="H42" s="314"/>
      <c r="I42" s="316"/>
      <c r="J42" s="318"/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41</v>
      </c>
      <c r="E43" s="176">
        <f t="shared" si="5"/>
        <v>7</v>
      </c>
      <c r="F43" s="156">
        <f t="shared" si="4"/>
        <v>20</v>
      </c>
      <c r="G43" s="157">
        <f>IF(D43=D42,"",_xlfn.IFNA(VLOOKUP(D43,'202306'!$BJ$5:$BM$55,4,FALSE),0))</f>
        <v>3720</v>
      </c>
      <c r="H43" s="158">
        <f t="shared" si="2"/>
        <v>3.2006057060260863E-2</v>
      </c>
      <c r="I43" s="165">
        <f>SUM($G$7:G43)</f>
        <v>94466</v>
      </c>
      <c r="J43" s="160">
        <f t="shared" si="3"/>
        <v>0.81276456619747395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40</v>
      </c>
      <c r="E44" s="176">
        <f t="shared" si="5"/>
        <v>7</v>
      </c>
      <c r="F44" s="156">
        <f t="shared" si="4"/>
        <v>17</v>
      </c>
      <c r="G44" s="157">
        <f>IF(D44=D43,"",_xlfn.IFNA(VLOOKUP(D44,'202306'!$BJ$5:$BM$55,4,FALSE),0))</f>
        <v>3176</v>
      </c>
      <c r="H44" s="158">
        <f t="shared" si="2"/>
        <v>2.7325601404136698E-2</v>
      </c>
      <c r="I44" s="165">
        <f>SUM($G$7:G44)</f>
        <v>97642</v>
      </c>
      <c r="J44" s="160">
        <f t="shared" si="3"/>
        <v>0.84009016760161059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39</v>
      </c>
      <c r="E45" s="176">
        <f t="shared" si="5"/>
        <v>7</v>
      </c>
      <c r="F45" s="156">
        <f t="shared" si="4"/>
        <v>14</v>
      </c>
      <c r="G45" s="157">
        <f>IF(D45=D44,"",_xlfn.IFNA(VLOOKUP(D45,'202306'!$BJ$5:$BM$55,4,FALSE),0))</f>
        <v>3540</v>
      </c>
      <c r="H45" s="158">
        <f t="shared" si="2"/>
        <v>3.0457376879925665E-2</v>
      </c>
      <c r="I45" s="165">
        <f>SUM($G$7:G45)</f>
        <v>101182</v>
      </c>
      <c r="J45" s="160">
        <f t="shared" si="3"/>
        <v>0.87054754448153626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319">
        <f t="shared" si="1"/>
        <v>38</v>
      </c>
      <c r="E46" s="319">
        <f t="shared" si="5"/>
        <v>7</v>
      </c>
      <c r="F46" s="309">
        <f t="shared" si="4"/>
        <v>11</v>
      </c>
      <c r="G46" s="311">
        <f>IF(D46=D45,"",_xlfn.IFNA(VLOOKUP(D46,'202306'!$BJ$5:$BM$55,4,FALSE),0))</f>
        <v>5670</v>
      </c>
      <c r="H46" s="313">
        <f t="shared" si="2"/>
        <v>4.8783425680558899E-2</v>
      </c>
      <c r="I46" s="315">
        <f>SUM($G$7:G46)</f>
        <v>106852</v>
      </c>
      <c r="J46" s="317">
        <f t="shared" si="3"/>
        <v>0.9193309701620952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320"/>
      <c r="E47" s="320"/>
      <c r="F47" s="310"/>
      <c r="G47" s="312"/>
      <c r="H47" s="314"/>
      <c r="I47" s="316"/>
      <c r="J47" s="318"/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37</v>
      </c>
      <c r="E48" s="176">
        <f t="shared" si="5"/>
        <v>8</v>
      </c>
      <c r="F48" s="156">
        <f t="shared" si="4"/>
        <v>7</v>
      </c>
      <c r="G48" s="157">
        <f>IF(D48=D47,"",_xlfn.IFNA(VLOOKUP(D48,'202306'!$BJ$5:$BM$55,4,FALSE),0))</f>
        <v>2332</v>
      </c>
      <c r="H48" s="158">
        <f t="shared" si="2"/>
        <v>2.0064012114120521E-2</v>
      </c>
      <c r="I48" s="165">
        <f>SUM($G$7:G48)</f>
        <v>109184</v>
      </c>
      <c r="J48" s="160">
        <f t="shared" si="3"/>
        <v>0.93939498227621576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36</v>
      </c>
      <c r="E49" s="176">
        <f t="shared" si="5"/>
        <v>8</v>
      </c>
      <c r="F49" s="156">
        <f t="shared" si="4"/>
        <v>5</v>
      </c>
      <c r="G49" s="157">
        <f>IF(D49=D48,"",_xlfn.IFNA(VLOOKUP(D49,'202306'!$BJ$5:$BM$55,4,FALSE),0))</f>
        <v>1399</v>
      </c>
      <c r="H49" s="158">
        <f t="shared" si="2"/>
        <v>1.2036686512716385E-2</v>
      </c>
      <c r="I49" s="165">
        <f>SUM($G$7:G49)</f>
        <v>110583</v>
      </c>
      <c r="J49" s="160">
        <f t="shared" si="3"/>
        <v>0.95143166878893215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35</v>
      </c>
      <c r="E50" s="176">
        <f t="shared" si="5"/>
        <v>8</v>
      </c>
      <c r="F50" s="156">
        <f t="shared" si="4"/>
        <v>4</v>
      </c>
      <c r="G50" s="157">
        <f>IF(D50=D49,"",_xlfn.IFNA(VLOOKUP(D50,'202306'!$BJ$5:$BM$55,4,FALSE),0))</f>
        <v>3006</v>
      </c>
      <c r="H50" s="158">
        <f t="shared" si="2"/>
        <v>2.5862959011597894E-2</v>
      </c>
      <c r="I50" s="165">
        <f>SUM($G$7:G50)</f>
        <v>113589</v>
      </c>
      <c r="J50" s="160">
        <f t="shared" si="3"/>
        <v>0.97729462780053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319">
        <f t="shared" si="1"/>
        <v>34</v>
      </c>
      <c r="E51" s="319">
        <f t="shared" si="5"/>
        <v>9</v>
      </c>
      <c r="F51" s="309">
        <f t="shared" si="4"/>
        <v>2</v>
      </c>
      <c r="G51" s="311">
        <f>IF(D51=D50,"",_xlfn.IFNA(VLOOKUP(D51,'202306'!$BJ$5:$BM$55,4,FALSE),0))</f>
        <v>1583</v>
      </c>
      <c r="H51" s="313">
        <f t="shared" si="2"/>
        <v>1.3619781808170148E-2</v>
      </c>
      <c r="I51" s="315">
        <f>SUM($G$7:G51)</f>
        <v>115172</v>
      </c>
      <c r="J51" s="317">
        <f t="shared" si="3"/>
        <v>0.99091440960870014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20"/>
      <c r="E52" s="320"/>
      <c r="F52" s="310"/>
      <c r="G52" s="312"/>
      <c r="H52" s="314"/>
      <c r="I52" s="316"/>
      <c r="J52" s="318"/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33</v>
      </c>
      <c r="E53" s="155">
        <f t="shared" si="5"/>
        <v>9</v>
      </c>
      <c r="F53" s="156">
        <f t="shared" si="4"/>
        <v>1</v>
      </c>
      <c r="G53" s="157">
        <f>IF(D53=D52,"",_xlfn.IFNA(VLOOKUP(D53,'202306'!$BJ$5:$BM$55,4,FALSE),0))</f>
        <v>494</v>
      </c>
      <c r="H53" s="158">
        <f t="shared" si="2"/>
        <v>4.2502667171421685E-3</v>
      </c>
      <c r="I53" s="165">
        <f>SUM($G$7:G53)</f>
        <v>115666</v>
      </c>
      <c r="J53" s="160">
        <f t="shared" si="3"/>
        <v>0.99516467632584227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32</v>
      </c>
      <c r="E54" s="155">
        <f t="shared" si="5"/>
        <v>9</v>
      </c>
      <c r="F54" s="156">
        <f t="shared" si="4"/>
        <v>0</v>
      </c>
      <c r="G54" s="157">
        <f>IF(D54=D53,"",_xlfn.IFNA(VLOOKUP(D54,'202306'!$BJ$5:$BM$55,4,FALSE),0))</f>
        <v>187</v>
      </c>
      <c r="H54" s="158">
        <f t="shared" si="2"/>
        <v>1.6089066317926833E-3</v>
      </c>
      <c r="I54" s="165">
        <f>SUM($G$7:G54)</f>
        <v>115853</v>
      </c>
      <c r="J54" s="160">
        <f t="shared" si="3"/>
        <v>0.99677358295763496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31</v>
      </c>
      <c r="E55" s="155">
        <f t="shared" si="5"/>
        <v>9</v>
      </c>
      <c r="F55" s="156">
        <f t="shared" si="4"/>
        <v>0</v>
      </c>
      <c r="G55" s="157">
        <f>IF(D55=D54,"",_xlfn.IFNA(VLOOKUP(D55,'202306'!$BJ$5:$BM$55,4,FALSE),0))</f>
        <v>275</v>
      </c>
      <c r="H55" s="158">
        <f t="shared" si="2"/>
        <v>2.3660391644010049E-3</v>
      </c>
      <c r="I55" s="165">
        <f>SUM($G$7:G55)</f>
        <v>116128</v>
      </c>
      <c r="J55" s="160">
        <f t="shared" si="3"/>
        <v>0.999139622122036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30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_xlfn.IFNA(VLOOKUP(D57,'202306'!$BJ$5:$BM$55,4,FALSE),0)</f>
        <v>100</v>
      </c>
      <c r="H57" s="173">
        <f>G57/J3</f>
        <v>8.603778779640018E-4</v>
      </c>
      <c r="I57" s="174">
        <f>SUM($G$7:G57)</f>
        <v>116228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67">
    <mergeCell ref="I46:I47"/>
    <mergeCell ref="J46:J47"/>
    <mergeCell ref="D51:D52"/>
    <mergeCell ref="E51:E52"/>
    <mergeCell ref="F51:F52"/>
    <mergeCell ref="G51:G52"/>
    <mergeCell ref="H51:H52"/>
    <mergeCell ref="I51:I52"/>
    <mergeCell ref="J51:J52"/>
    <mergeCell ref="D46:D47"/>
    <mergeCell ref="E46:E47"/>
    <mergeCell ref="F46:F47"/>
    <mergeCell ref="G46:G47"/>
    <mergeCell ref="H46:H47"/>
    <mergeCell ref="I36:I37"/>
    <mergeCell ref="J36:J37"/>
    <mergeCell ref="D41:D42"/>
    <mergeCell ref="E41:E42"/>
    <mergeCell ref="F41:F42"/>
    <mergeCell ref="G41:G42"/>
    <mergeCell ref="H41:H42"/>
    <mergeCell ref="I41:I42"/>
    <mergeCell ref="J41:J42"/>
    <mergeCell ref="D36:D37"/>
    <mergeCell ref="E36:E37"/>
    <mergeCell ref="F36:F37"/>
    <mergeCell ref="G36:G37"/>
    <mergeCell ref="H36:H37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6:I17"/>
    <mergeCell ref="J16:J17"/>
    <mergeCell ref="D21:D22"/>
    <mergeCell ref="E21:E22"/>
    <mergeCell ref="F21:F22"/>
    <mergeCell ref="G21:G22"/>
    <mergeCell ref="H21:H22"/>
    <mergeCell ref="I21:I22"/>
    <mergeCell ref="J21:J22"/>
    <mergeCell ref="D3:F3"/>
    <mergeCell ref="D4:F4"/>
    <mergeCell ref="D56:J56"/>
    <mergeCell ref="D8:J8"/>
    <mergeCell ref="D11:D12"/>
    <mergeCell ref="E11:E12"/>
    <mergeCell ref="F11:F12"/>
    <mergeCell ref="G11:G12"/>
    <mergeCell ref="H11:H12"/>
    <mergeCell ref="I11:I12"/>
    <mergeCell ref="J11:J12"/>
    <mergeCell ref="D16:D17"/>
    <mergeCell ref="E16:E17"/>
    <mergeCell ref="F16:F17"/>
    <mergeCell ref="G16:G17"/>
    <mergeCell ref="H16:H17"/>
  </mergeCells>
  <phoneticPr fontId="1" type="noConversion"/>
  <conditionalFormatting sqref="D7:J7 D57:J57 D9:J11 D13:J16 D18:J21 D23:J26 D28:J31 D33:J36 D38:J41 D43:J46 D48:J51 D53:J55">
    <cfRule type="expression" dxfId="76" priority="7">
      <formula>OR($D7=$P$7:$P$14)</formula>
    </cfRule>
  </conditionalFormatting>
  <conditionalFormatting sqref="C7:C57">
    <cfRule type="expression" dxfId="75" priority="6">
      <formula>OR(AND($D7=0,OR($D6=$P$7:$P$14)),AND($D8&gt;0,OR($D7=$P$7:$P$14)))</formula>
    </cfRule>
  </conditionalFormatting>
  <conditionalFormatting sqref="D7 D57 D9:D11 D13:D16 D18:D21 D23:D26 D28:D31 D33:D36 D38:D41 D43:D46 D48:D51 D53:D55">
    <cfRule type="expression" dxfId="74" priority="5">
      <formula>$D7=$D8</formula>
    </cfRule>
  </conditionalFormatting>
  <conditionalFormatting sqref="D56">
    <cfRule type="expression" dxfId="73" priority="4">
      <formula>OR($D56=$P$7:$P$14)</formula>
    </cfRule>
  </conditionalFormatting>
  <conditionalFormatting sqref="D56">
    <cfRule type="expression" dxfId="72" priority="3">
      <formula>$D56=$D57</formula>
    </cfRule>
  </conditionalFormatting>
  <conditionalFormatting sqref="D8">
    <cfRule type="expression" dxfId="71" priority="2">
      <formula>OR($D8=$P$7:$P$14)</formula>
    </cfRule>
  </conditionalFormatting>
  <conditionalFormatting sqref="D8">
    <cfRule type="expression" dxfId="7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923B-7A19-4B91-AD84-8A6CA73CC59F}">
  <sheetPr codeName="Sheet3"/>
  <dimension ref="A1:P105"/>
  <sheetViews>
    <sheetView topLeftCell="B2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기능'!D17</f>
        <v>16.760000000000002</v>
      </c>
      <c r="I3" s="10" t="s">
        <v>98</v>
      </c>
      <c r="J3" s="145">
        <f>'통계 및 응시자 수 입력 기능'!C17</f>
        <v>3982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110</v>
      </c>
      <c r="E4" s="302"/>
      <c r="F4" s="303"/>
      <c r="G4" s="147" t="s">
        <v>101</v>
      </c>
      <c r="H4" s="148">
        <f>'통계 및 응시자 수 입력 기능'!E17</f>
        <v>11.17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80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_xlfn.IFNA(VLOOKUP(D7,'202306'!$BO$5:$BR$55,4,FALSE),0)</f>
        <v>15</v>
      </c>
      <c r="H7" s="158">
        <f>G7/J3</f>
        <v>3.7669512807634357E-3</v>
      </c>
      <c r="I7" s="159">
        <f>G7</f>
        <v>15</v>
      </c>
      <c r="J7" s="160">
        <f>I7/J3</f>
        <v>3.7669512807634357E-3</v>
      </c>
      <c r="K7" s="14"/>
      <c r="M7" s="1"/>
      <c r="O7" s="1">
        <v>1</v>
      </c>
      <c r="P7" s="1">
        <f>'표준점수 등급컷 입력기능'!B54</f>
        <v>73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입력기능'!B55</f>
        <v>66</v>
      </c>
    </row>
    <row r="9" spans="1:16" ht="25" customHeight="1" x14ac:dyDescent="0.45">
      <c r="A9" s="4"/>
      <c r="B9" s="13"/>
      <c r="C9" s="154">
        <v>48</v>
      </c>
      <c r="D9" s="155">
        <f t="shared" ref="D9:D55" si="1">ROUND(10*(C9-$H$3)/$H$4+50,0)</f>
        <v>78</v>
      </c>
      <c r="E9" s="155">
        <f t="shared" si="0"/>
        <v>1</v>
      </c>
      <c r="F9" s="156">
        <f>IF(I8=0,ROUND(100*(1-(I7+I9)/2/$J$3),0),ROUND(100*(1-(I8+I9)/2/$J$3),0))</f>
        <v>99</v>
      </c>
      <c r="G9" s="157">
        <f>_xlfn.IFNA(VLOOKUP(D9,'202306'!$BO$5:$BR$55,4,FALSE),0)</f>
        <v>24</v>
      </c>
      <c r="H9" s="158">
        <f>G9/$J$3</f>
        <v>6.0271220492214969E-3</v>
      </c>
      <c r="I9" s="165">
        <f>SUM($G$7:G9)</f>
        <v>39</v>
      </c>
      <c r="J9" s="160">
        <f>I9/$J$3</f>
        <v>9.7940733299849321E-3</v>
      </c>
      <c r="K9" s="14"/>
      <c r="M9" s="1"/>
      <c r="O9" s="1">
        <v>3</v>
      </c>
      <c r="P9" s="1">
        <f>'표준점수 등급컷 입력기능'!B56</f>
        <v>56</v>
      </c>
    </row>
    <row r="10" spans="1:16" ht="25" customHeight="1" x14ac:dyDescent="0.45">
      <c r="A10" s="4"/>
      <c r="B10" s="13"/>
      <c r="C10" s="161">
        <v>47</v>
      </c>
      <c r="D10" s="155">
        <f t="shared" si="1"/>
        <v>77</v>
      </c>
      <c r="E10" s="155">
        <f t="shared" si="0"/>
        <v>1</v>
      </c>
      <c r="F10" s="156">
        <f>IF(I9=0,ROUND(100*(1-(I8+I10)/2/$J$3),0),ROUND(100*(1-(I9+I10)/2/$J$3),0))</f>
        <v>99</v>
      </c>
      <c r="G10" s="157">
        <f>IF(D10=D9,"",_xlfn.IFNA(VLOOKUP(D10,'202306'!$BO$5:$BR$55,4,FALSE),0))</f>
        <v>15</v>
      </c>
      <c r="H10" s="158">
        <f t="shared" ref="H10:H55" si="2">G10/$J$3</f>
        <v>3.7669512807634357E-3</v>
      </c>
      <c r="I10" s="165">
        <f>SUM($G$7:G10)</f>
        <v>54</v>
      </c>
      <c r="J10" s="160">
        <f t="shared" ref="J10:J55" si="3">I10/$J$3</f>
        <v>1.3561024610748368E-2</v>
      </c>
      <c r="K10" s="14"/>
      <c r="M10" s="1"/>
      <c r="O10" s="1">
        <v>4</v>
      </c>
      <c r="P10" s="1">
        <f>'표준점수 등급컷 입력기능'!B57</f>
        <v>48</v>
      </c>
    </row>
    <row r="11" spans="1:16" ht="25" customHeight="1" x14ac:dyDescent="0.45">
      <c r="A11" s="4"/>
      <c r="B11" s="13"/>
      <c r="C11" s="154">
        <v>46</v>
      </c>
      <c r="D11" s="155">
        <f t="shared" si="1"/>
        <v>76</v>
      </c>
      <c r="E11" s="155">
        <f t="shared" si="0"/>
        <v>1</v>
      </c>
      <c r="F11" s="156">
        <f t="shared" ref="F11:F55" si="4">IF(I10=0,ROUND(100*(1-(I9+I11)/2/$J$3),0),ROUND(100*(1-(I10+I11)/2/$J$3),0))</f>
        <v>99</v>
      </c>
      <c r="G11" s="157">
        <f>IF(D11=D10,"",_xlfn.IFNA(VLOOKUP(D11,'202306'!$BO$5:$BR$55,4,FALSE),0))</f>
        <v>10</v>
      </c>
      <c r="H11" s="158">
        <f t="shared" si="2"/>
        <v>2.5113008538422904E-3</v>
      </c>
      <c r="I11" s="165">
        <f>SUM($G$7:G11)</f>
        <v>64</v>
      </c>
      <c r="J11" s="160">
        <f t="shared" si="3"/>
        <v>1.6072325464590659E-2</v>
      </c>
      <c r="K11" s="14"/>
      <c r="M11" s="1"/>
      <c r="O11" s="1">
        <v>5</v>
      </c>
      <c r="P11" s="1">
        <f>'표준점수 등급컷 입력기능'!B58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75</v>
      </c>
      <c r="E12" s="155">
        <f t="shared" si="0"/>
        <v>1</v>
      </c>
      <c r="F12" s="156">
        <f t="shared" si="4"/>
        <v>98</v>
      </c>
      <c r="G12" s="157">
        <f>IF(D12=D11,"",_xlfn.IFNA(VLOOKUP(D12,'202306'!$BO$5:$BR$55,4,FALSE),0))</f>
        <v>41</v>
      </c>
      <c r="H12" s="158">
        <f t="shared" si="2"/>
        <v>1.029633350075339E-2</v>
      </c>
      <c r="I12" s="165">
        <f>SUM($G$7:G12)</f>
        <v>105</v>
      </c>
      <c r="J12" s="160">
        <f t="shared" si="3"/>
        <v>2.6368658965344047E-2</v>
      </c>
      <c r="K12" s="14"/>
      <c r="M12" s="1"/>
      <c r="O12" s="1">
        <v>6</v>
      </c>
      <c r="P12" s="1">
        <f>'표준점수 등급컷 입력기능'!B59</f>
        <v>43</v>
      </c>
    </row>
    <row r="13" spans="1:16" ht="25" customHeight="1" x14ac:dyDescent="0.45">
      <c r="A13" s="4"/>
      <c r="B13" s="13"/>
      <c r="C13" s="154">
        <v>44</v>
      </c>
      <c r="D13" s="155">
        <f t="shared" si="1"/>
        <v>74</v>
      </c>
      <c r="E13" s="155">
        <f t="shared" si="0"/>
        <v>1</v>
      </c>
      <c r="F13" s="156">
        <f t="shared" si="4"/>
        <v>97</v>
      </c>
      <c r="G13" s="157">
        <f>IF(D13=D12,"",_xlfn.IFNA(VLOOKUP(D13,'202306'!$BO$5:$BR$55,4,FALSE),0))</f>
        <v>16</v>
      </c>
      <c r="H13" s="158">
        <f t="shared" si="2"/>
        <v>4.0180813661476649E-3</v>
      </c>
      <c r="I13" s="165">
        <f>SUM($G$7:G13)</f>
        <v>121</v>
      </c>
      <c r="J13" s="160">
        <f t="shared" si="3"/>
        <v>3.0386740331491711E-2</v>
      </c>
      <c r="K13" s="14"/>
      <c r="M13" s="1"/>
      <c r="O13" s="1">
        <v>7</v>
      </c>
      <c r="P13" s="1">
        <f>'표준점수 등급컷 입력기능'!B60</f>
        <v>41</v>
      </c>
    </row>
    <row r="14" spans="1:16" ht="25" customHeight="1" x14ac:dyDescent="0.45">
      <c r="A14" s="4"/>
      <c r="B14" s="13"/>
      <c r="C14" s="161">
        <v>43</v>
      </c>
      <c r="D14" s="307">
        <f t="shared" si="1"/>
        <v>73</v>
      </c>
      <c r="E14" s="307">
        <f t="shared" si="0"/>
        <v>1</v>
      </c>
      <c r="F14" s="309">
        <f t="shared" si="4"/>
        <v>96</v>
      </c>
      <c r="G14" s="311">
        <f>IF(D14=D13,"",_xlfn.IFNA(VLOOKUP(D14,'202306'!$BO$5:$BR$55,4,FALSE),0))</f>
        <v>91</v>
      </c>
      <c r="H14" s="313">
        <f t="shared" si="2"/>
        <v>2.2852837769964843E-2</v>
      </c>
      <c r="I14" s="315">
        <f>SUM($G$7:G14)</f>
        <v>212</v>
      </c>
      <c r="J14" s="317">
        <f t="shared" si="3"/>
        <v>5.3239578101456554E-2</v>
      </c>
      <c r="K14" s="14"/>
      <c r="M14" s="1"/>
      <c r="O14" s="1">
        <v>8</v>
      </c>
      <c r="P14" s="1">
        <f>'표준점수 등급컷 입력기능'!B61</f>
        <v>39</v>
      </c>
    </row>
    <row r="15" spans="1:16" ht="25" customHeight="1" x14ac:dyDescent="0.45">
      <c r="A15" s="4"/>
      <c r="B15" s="13"/>
      <c r="C15" s="154">
        <v>42</v>
      </c>
      <c r="D15" s="308"/>
      <c r="E15" s="308"/>
      <c r="F15" s="310"/>
      <c r="G15" s="312"/>
      <c r="H15" s="314"/>
      <c r="I15" s="316"/>
      <c r="J15" s="318"/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72</v>
      </c>
      <c r="E16" s="155">
        <f t="shared" si="0"/>
        <v>2</v>
      </c>
      <c r="F16" s="156">
        <f t="shared" si="4"/>
        <v>94</v>
      </c>
      <c r="G16" s="157">
        <f>IF(D16=D15,"",_xlfn.IFNA(VLOOKUP(D16,'202306'!$BO$5:$BR$55,4,FALSE),0))</f>
        <v>25</v>
      </c>
      <c r="H16" s="158">
        <f t="shared" si="2"/>
        <v>6.2782521346057257E-3</v>
      </c>
      <c r="I16" s="165">
        <f>SUM($G$7:G16)</f>
        <v>237</v>
      </c>
      <c r="J16" s="160">
        <f t="shared" si="3"/>
        <v>5.9517830236062282E-2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71</v>
      </c>
      <c r="E17" s="155">
        <f t="shared" si="0"/>
        <v>2</v>
      </c>
      <c r="F17" s="156">
        <f t="shared" si="4"/>
        <v>93</v>
      </c>
      <c r="G17" s="157">
        <f>IF(D17=D16,"",_xlfn.IFNA(VLOOKUP(D17,'202306'!$BO$5:$BR$55,4,FALSE),0))</f>
        <v>49</v>
      </c>
      <c r="H17" s="158">
        <f t="shared" si="2"/>
        <v>1.2305374183827222E-2</v>
      </c>
      <c r="I17" s="165">
        <f>SUM($G$7:G17)</f>
        <v>286</v>
      </c>
      <c r="J17" s="160">
        <f t="shared" si="3"/>
        <v>7.18232044198895E-2</v>
      </c>
      <c r="K17" s="14"/>
      <c r="M17" s="1"/>
      <c r="P17" s="1">
        <f>H3*H4*J3*P7*IFERROR(IF(J57=1, 1, 0), 0)</f>
        <v>54419093.511200003</v>
      </c>
    </row>
    <row r="18" spans="1:16" ht="25" customHeight="1" x14ac:dyDescent="0.45">
      <c r="A18" s="4"/>
      <c r="B18" s="13"/>
      <c r="C18" s="161">
        <v>39</v>
      </c>
      <c r="D18" s="155">
        <f t="shared" si="1"/>
        <v>70</v>
      </c>
      <c r="E18" s="155">
        <f t="shared" si="0"/>
        <v>2</v>
      </c>
      <c r="F18" s="156">
        <f t="shared" si="4"/>
        <v>92</v>
      </c>
      <c r="G18" s="157">
        <f>IF(D18=D17,"",_xlfn.IFNA(VLOOKUP(D18,'202306'!$BO$5:$BR$55,4,FALSE),0))</f>
        <v>35</v>
      </c>
      <c r="H18" s="158">
        <f t="shared" si="2"/>
        <v>8.7895529884480152E-3</v>
      </c>
      <c r="I18" s="165">
        <f>SUM($G$7:G18)</f>
        <v>321</v>
      </c>
      <c r="J18" s="160">
        <f t="shared" si="3"/>
        <v>8.0612757408337524E-2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69</v>
      </c>
      <c r="E19" s="155">
        <f t="shared" si="0"/>
        <v>2</v>
      </c>
      <c r="F19" s="156">
        <f t="shared" si="4"/>
        <v>92</v>
      </c>
      <c r="G19" s="157">
        <f>IF(D19=D18,"",_xlfn.IFNA(VLOOKUP(D19,'202306'!$BO$5:$BR$55,4,FALSE),0))</f>
        <v>33</v>
      </c>
      <c r="H19" s="158">
        <f t="shared" si="2"/>
        <v>8.2872928176795577E-3</v>
      </c>
      <c r="I19" s="165">
        <f>SUM($G$7:G19)</f>
        <v>354</v>
      </c>
      <c r="J19" s="160">
        <f t="shared" si="3"/>
        <v>8.8900050226017074E-2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68</v>
      </c>
      <c r="E20" s="155">
        <f t="shared" si="0"/>
        <v>2</v>
      </c>
      <c r="F20" s="156">
        <f t="shared" si="4"/>
        <v>91</v>
      </c>
      <c r="G20" s="157">
        <f>IF(D20=D19,"",_xlfn.IFNA(VLOOKUP(D20,'202306'!$BO$5:$BR$55,4,FALSE),0))</f>
        <v>39</v>
      </c>
      <c r="H20" s="158">
        <f t="shared" si="2"/>
        <v>9.7940733299849321E-3</v>
      </c>
      <c r="I20" s="165">
        <f>SUM($G$7:G20)</f>
        <v>393</v>
      </c>
      <c r="J20" s="160">
        <f t="shared" si="3"/>
        <v>9.8694123556002003E-2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67</v>
      </c>
      <c r="E21" s="176">
        <f t="shared" si="0"/>
        <v>2</v>
      </c>
      <c r="F21" s="156">
        <f t="shared" si="4"/>
        <v>90</v>
      </c>
      <c r="G21" s="157">
        <f>IF(D21=D20,"",_xlfn.IFNA(VLOOKUP(D21,'202306'!$BO$5:$BR$55,4,FALSE),0))</f>
        <v>40</v>
      </c>
      <c r="H21" s="158">
        <f t="shared" si="2"/>
        <v>1.0045203415369162E-2</v>
      </c>
      <c r="I21" s="165">
        <f>SUM($G$7:G21)</f>
        <v>433</v>
      </c>
      <c r="J21" s="160">
        <f t="shared" si="3"/>
        <v>0.10873932697137118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66</v>
      </c>
      <c r="E22" s="176">
        <f t="shared" si="0"/>
        <v>2</v>
      </c>
      <c r="F22" s="156">
        <f t="shared" si="4"/>
        <v>89</v>
      </c>
      <c r="G22" s="157">
        <f>IF(D22=D21,"",_xlfn.IFNA(VLOOKUP(D22,'202306'!$BO$5:$BR$55,4,FALSE),0))</f>
        <v>40</v>
      </c>
      <c r="H22" s="158">
        <f t="shared" si="2"/>
        <v>1.0045203415369162E-2</v>
      </c>
      <c r="I22" s="165">
        <f>SUM($G$7:G22)</f>
        <v>473</v>
      </c>
      <c r="J22" s="160">
        <f t="shared" si="3"/>
        <v>0.11878453038674033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19">
        <f t="shared" si="1"/>
        <v>65</v>
      </c>
      <c r="E23" s="319">
        <f t="shared" si="0"/>
        <v>3</v>
      </c>
      <c r="F23" s="309">
        <f t="shared" si="4"/>
        <v>87</v>
      </c>
      <c r="G23" s="311">
        <f>IF(D23=D22,"",_xlfn.IFNA(VLOOKUP(D23,'202306'!$BO$5:$BR$55,4,FALSE),0))</f>
        <v>65</v>
      </c>
      <c r="H23" s="313">
        <f t="shared" si="2"/>
        <v>1.6323455549974886E-2</v>
      </c>
      <c r="I23" s="315">
        <f>SUM($G$7:G23)</f>
        <v>538</v>
      </c>
      <c r="J23" s="317">
        <f t="shared" si="3"/>
        <v>0.13510798593671522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320"/>
      <c r="E24" s="320"/>
      <c r="F24" s="310"/>
      <c r="G24" s="312"/>
      <c r="H24" s="314"/>
      <c r="I24" s="316"/>
      <c r="J24" s="318"/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64</v>
      </c>
      <c r="E25" s="176">
        <f t="shared" si="0"/>
        <v>3</v>
      </c>
      <c r="F25" s="156">
        <f t="shared" si="4"/>
        <v>86</v>
      </c>
      <c r="G25" s="157">
        <f>IF(D25=D24,"",_xlfn.IFNA(VLOOKUP(D25,'202306'!$BO$5:$BR$55,4,FALSE),0))</f>
        <v>47</v>
      </c>
      <c r="H25" s="158">
        <f t="shared" si="2"/>
        <v>1.1803114013058764E-2</v>
      </c>
      <c r="I25" s="165">
        <f>SUM($G$7:G25)</f>
        <v>585</v>
      </c>
      <c r="J25" s="160">
        <f t="shared" si="3"/>
        <v>0.14691109994977397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63</v>
      </c>
      <c r="E26" s="176">
        <f t="shared" si="0"/>
        <v>3</v>
      </c>
      <c r="F26" s="156">
        <f t="shared" si="4"/>
        <v>85</v>
      </c>
      <c r="G26" s="157">
        <f>IF(D26=D25,"",_xlfn.IFNA(VLOOKUP(D26,'202306'!$BO$5:$BR$55,4,FALSE),0))</f>
        <v>27</v>
      </c>
      <c r="H26" s="158">
        <f t="shared" si="2"/>
        <v>6.7805123053741841E-3</v>
      </c>
      <c r="I26" s="165">
        <f>SUM($G$7:G26)</f>
        <v>612</v>
      </c>
      <c r="J26" s="160">
        <f t="shared" si="3"/>
        <v>0.15369161225514816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62</v>
      </c>
      <c r="E27" s="176">
        <f t="shared" si="0"/>
        <v>3</v>
      </c>
      <c r="F27" s="156">
        <f t="shared" si="4"/>
        <v>84</v>
      </c>
      <c r="G27" s="157">
        <f>IF(D27=D26,"",_xlfn.IFNA(VLOOKUP(D27,'202306'!$BO$5:$BR$55,4,FALSE),0))</f>
        <v>38</v>
      </c>
      <c r="H27" s="158">
        <f t="shared" si="2"/>
        <v>9.5429432446007025E-3</v>
      </c>
      <c r="I27" s="165">
        <f>SUM($G$7:G27)</f>
        <v>650</v>
      </c>
      <c r="J27" s="160">
        <f t="shared" si="3"/>
        <v>0.16323455549974886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61</v>
      </c>
      <c r="E28" s="176">
        <f t="shared" si="0"/>
        <v>3</v>
      </c>
      <c r="F28" s="156">
        <f t="shared" si="4"/>
        <v>83</v>
      </c>
      <c r="G28" s="157">
        <f>IF(D28=D27,"",_xlfn.IFNA(VLOOKUP(D28,'202306'!$BO$5:$BR$55,4,FALSE),0))</f>
        <v>34</v>
      </c>
      <c r="H28" s="158">
        <f t="shared" si="2"/>
        <v>8.5384229030637873E-3</v>
      </c>
      <c r="I28" s="165">
        <f>SUM($G$7:G28)</f>
        <v>684</v>
      </c>
      <c r="J28" s="160">
        <f t="shared" si="3"/>
        <v>0.17177297840281266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60</v>
      </c>
      <c r="E29" s="176">
        <f t="shared" si="0"/>
        <v>3</v>
      </c>
      <c r="F29" s="156">
        <f t="shared" si="4"/>
        <v>82</v>
      </c>
      <c r="G29" s="157">
        <f>IF(D29=D28,"",_xlfn.IFNA(VLOOKUP(D29,'202306'!$BO$5:$BR$55,4,FALSE),0))</f>
        <v>30</v>
      </c>
      <c r="H29" s="158">
        <f t="shared" si="2"/>
        <v>7.5339025615268713E-3</v>
      </c>
      <c r="I29" s="165">
        <f>SUM($G$7:G29)</f>
        <v>714</v>
      </c>
      <c r="J29" s="160">
        <f t="shared" si="3"/>
        <v>0.17930688096433953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59</v>
      </c>
      <c r="E30" s="176">
        <f t="shared" si="0"/>
        <v>3</v>
      </c>
      <c r="F30" s="156">
        <f t="shared" si="4"/>
        <v>82</v>
      </c>
      <c r="G30" s="157">
        <f>IF(D30=D29,"",_xlfn.IFNA(VLOOKUP(D30,'202306'!$BO$5:$BR$55,4,FALSE),0))</f>
        <v>34</v>
      </c>
      <c r="H30" s="158">
        <f t="shared" si="2"/>
        <v>8.5384229030637873E-3</v>
      </c>
      <c r="I30" s="165">
        <f>SUM($G$7:G30)</f>
        <v>748</v>
      </c>
      <c r="J30" s="160">
        <f t="shared" si="3"/>
        <v>0.18784530386740331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58</v>
      </c>
      <c r="E31" s="176">
        <f t="shared" si="0"/>
        <v>3</v>
      </c>
      <c r="F31" s="156">
        <f t="shared" si="4"/>
        <v>81</v>
      </c>
      <c r="G31" s="157">
        <f>IF(D31=D30,"",_xlfn.IFNA(VLOOKUP(D31,'202306'!$BO$5:$BR$55,4,FALSE),0))</f>
        <v>33</v>
      </c>
      <c r="H31" s="158">
        <f t="shared" si="2"/>
        <v>8.2872928176795577E-3</v>
      </c>
      <c r="I31" s="165">
        <f>SUM($G$7:G31)</f>
        <v>781</v>
      </c>
      <c r="J31" s="160">
        <f t="shared" si="3"/>
        <v>0.19613259668508287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57</v>
      </c>
      <c r="E32" s="176">
        <f t="shared" si="0"/>
        <v>3</v>
      </c>
      <c r="F32" s="156">
        <f t="shared" si="4"/>
        <v>80</v>
      </c>
      <c r="G32" s="157">
        <f>IF(D32=D31,"",_xlfn.IFNA(VLOOKUP(D32,'202306'!$BO$5:$BR$55,4,FALSE),0))</f>
        <v>48</v>
      </c>
      <c r="H32" s="158">
        <f t="shared" si="2"/>
        <v>1.2054244098442994E-2</v>
      </c>
      <c r="I32" s="165">
        <f>SUM($G$7:G32)</f>
        <v>829</v>
      </c>
      <c r="J32" s="160">
        <f t="shared" si="3"/>
        <v>0.20818684078352587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319">
        <f t="shared" si="1"/>
        <v>56</v>
      </c>
      <c r="E33" s="319">
        <f t="shared" si="0"/>
        <v>3</v>
      </c>
      <c r="F33" s="309">
        <f t="shared" si="4"/>
        <v>78</v>
      </c>
      <c r="G33" s="311">
        <f>IF(D33=D32,"",_xlfn.IFNA(VLOOKUP(D33,'202306'!$BO$5:$BR$55,4,FALSE),0))</f>
        <v>104</v>
      </c>
      <c r="H33" s="313">
        <f t="shared" si="2"/>
        <v>2.6117528879959818E-2</v>
      </c>
      <c r="I33" s="315">
        <f>SUM($G$7:G33)</f>
        <v>933</v>
      </c>
      <c r="J33" s="317">
        <f t="shared" si="3"/>
        <v>0.2343043696634857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320"/>
      <c r="E34" s="320"/>
      <c r="F34" s="310"/>
      <c r="G34" s="312"/>
      <c r="H34" s="314"/>
      <c r="I34" s="316"/>
      <c r="J34" s="318"/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55</v>
      </c>
      <c r="E35" s="176">
        <f t="shared" si="0"/>
        <v>4</v>
      </c>
      <c r="F35" s="156">
        <f t="shared" si="4"/>
        <v>76</v>
      </c>
      <c r="G35" s="157">
        <f>IF(D35=D34,"",_xlfn.IFNA(VLOOKUP(D35,'202306'!$BO$5:$BR$55,4,FALSE),0))</f>
        <v>53</v>
      </c>
      <c r="H35" s="158">
        <f t="shared" si="2"/>
        <v>1.3309894525364139E-2</v>
      </c>
      <c r="I35" s="165">
        <f>SUM($G$7:G35)</f>
        <v>986</v>
      </c>
      <c r="J35" s="160">
        <f t="shared" si="3"/>
        <v>0.24761426418884983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54</v>
      </c>
      <c r="E36" s="176">
        <f t="shared" si="0"/>
        <v>4</v>
      </c>
      <c r="F36" s="156">
        <f t="shared" si="4"/>
        <v>75</v>
      </c>
      <c r="G36" s="157">
        <f>IF(D36=D35,"",_xlfn.IFNA(VLOOKUP(D36,'202306'!$BO$5:$BR$55,4,FALSE),0))</f>
        <v>51</v>
      </c>
      <c r="H36" s="158">
        <f t="shared" si="2"/>
        <v>1.2807634354595681E-2</v>
      </c>
      <c r="I36" s="165">
        <f>SUM($G$7:G36)</f>
        <v>1037</v>
      </c>
      <c r="J36" s="160">
        <f t="shared" si="3"/>
        <v>0.2604218985434455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53</v>
      </c>
      <c r="E37" s="176">
        <f t="shared" si="0"/>
        <v>4</v>
      </c>
      <c r="F37" s="156">
        <f t="shared" si="4"/>
        <v>73</v>
      </c>
      <c r="G37" s="157">
        <f>IF(D37=D36,"",_xlfn.IFNA(VLOOKUP(D37,'202306'!$BO$5:$BR$55,4,FALSE),0))</f>
        <v>61</v>
      </c>
      <c r="H37" s="158">
        <f t="shared" si="2"/>
        <v>1.5318935208437971E-2</v>
      </c>
      <c r="I37" s="165">
        <f>SUM($G$7:G37)</f>
        <v>1098</v>
      </c>
      <c r="J37" s="160">
        <f t="shared" si="3"/>
        <v>0.27574083375188346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52</v>
      </c>
      <c r="E38" s="176">
        <f t="shared" si="0"/>
        <v>4</v>
      </c>
      <c r="F38" s="156">
        <f t="shared" si="4"/>
        <v>72</v>
      </c>
      <c r="G38" s="157">
        <f>IF(D38=D37,"",_xlfn.IFNA(VLOOKUP(D38,'202306'!$BO$5:$BR$55,4,FALSE),0))</f>
        <v>64</v>
      </c>
      <c r="H38" s="158">
        <f t="shared" si="2"/>
        <v>1.6072325464590659E-2</v>
      </c>
      <c r="I38" s="165">
        <f>SUM($G$7:G38)</f>
        <v>1162</v>
      </c>
      <c r="J38" s="160">
        <f t="shared" si="3"/>
        <v>0.29181315921647416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51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4</v>
      </c>
      <c r="F39" s="156">
        <f t="shared" si="4"/>
        <v>70</v>
      </c>
      <c r="G39" s="157">
        <f>IF(D39=D38,"",_xlfn.IFNA(VLOOKUP(D39,'202306'!$BO$5:$BR$55,4,FALSE),0))</f>
        <v>98</v>
      </c>
      <c r="H39" s="158">
        <f t="shared" si="2"/>
        <v>2.4610748367654443E-2</v>
      </c>
      <c r="I39" s="165">
        <f>SUM($G$7:G39)</f>
        <v>1260</v>
      </c>
      <c r="J39" s="160">
        <f t="shared" si="3"/>
        <v>0.31642390758412858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50</v>
      </c>
      <c r="E40" s="176">
        <f t="shared" si="5"/>
        <v>4</v>
      </c>
      <c r="F40" s="156">
        <f t="shared" si="4"/>
        <v>67</v>
      </c>
      <c r="G40" s="157">
        <f>IF(D40=D39,"",_xlfn.IFNA(VLOOKUP(D40,'202306'!$BO$5:$BR$55,4,FALSE),0))</f>
        <v>104</v>
      </c>
      <c r="H40" s="158">
        <f t="shared" si="2"/>
        <v>2.6117528879959818E-2</v>
      </c>
      <c r="I40" s="165">
        <f>SUM($G$7:G40)</f>
        <v>1364</v>
      </c>
      <c r="J40" s="160">
        <f t="shared" si="3"/>
        <v>0.34254143646408841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49</v>
      </c>
      <c r="E41" s="176">
        <f t="shared" si="5"/>
        <v>4</v>
      </c>
      <c r="F41" s="156">
        <f t="shared" si="4"/>
        <v>64</v>
      </c>
      <c r="G41" s="157">
        <f>IF(D41=D40,"",_xlfn.IFNA(VLOOKUP(D41,'202306'!$BO$5:$BR$55,4,FALSE),0))</f>
        <v>111</v>
      </c>
      <c r="H41" s="158">
        <f t="shared" si="2"/>
        <v>2.7875439477649422E-2</v>
      </c>
      <c r="I41" s="165">
        <f>SUM($G$7:G41)</f>
        <v>1475</v>
      </c>
      <c r="J41" s="160">
        <f t="shared" si="3"/>
        <v>0.37041687594173783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319">
        <f t="shared" si="1"/>
        <v>48</v>
      </c>
      <c r="E42" s="319">
        <f t="shared" si="5"/>
        <v>4</v>
      </c>
      <c r="F42" s="309">
        <f t="shared" si="4"/>
        <v>59</v>
      </c>
      <c r="G42" s="311">
        <f>IF(D42=D41,"",_xlfn.IFNA(VLOOKUP(D42,'202306'!$BO$5:$BR$55,4,FALSE),0))</f>
        <v>309</v>
      </c>
      <c r="H42" s="313">
        <f t="shared" si="2"/>
        <v>7.7599196383726768E-2</v>
      </c>
      <c r="I42" s="315">
        <f>SUM($G$7:G42)</f>
        <v>1784</v>
      </c>
      <c r="J42" s="317">
        <f t="shared" si="3"/>
        <v>0.44801607232546459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320"/>
      <c r="E43" s="320"/>
      <c r="F43" s="310"/>
      <c r="G43" s="312"/>
      <c r="H43" s="314"/>
      <c r="I43" s="316"/>
      <c r="J43" s="318"/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47</v>
      </c>
      <c r="E44" s="176">
        <f t="shared" si="5"/>
        <v>5</v>
      </c>
      <c r="F44" s="156">
        <f t="shared" si="4"/>
        <v>53</v>
      </c>
      <c r="G44" s="157">
        <f>IF(D44=D43,"",_xlfn.IFNA(VLOOKUP(D44,'202306'!$BO$5:$BR$55,4,FALSE),0))</f>
        <v>207</v>
      </c>
      <c r="H44" s="158">
        <f t="shared" si="2"/>
        <v>5.1983927674535406E-2</v>
      </c>
      <c r="I44" s="165">
        <f>SUM($G$7:G44)</f>
        <v>1991</v>
      </c>
      <c r="J44" s="160">
        <f t="shared" si="3"/>
        <v>0.5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46</v>
      </c>
      <c r="E45" s="176">
        <f t="shared" si="5"/>
        <v>5</v>
      </c>
      <c r="F45" s="156">
        <f t="shared" si="4"/>
        <v>46</v>
      </c>
      <c r="G45" s="157">
        <f>IF(D45=D44,"",_xlfn.IFNA(VLOOKUP(D45,'202306'!$BO$5:$BR$55,4,FALSE),0))</f>
        <v>291</v>
      </c>
      <c r="H45" s="158">
        <f t="shared" si="2"/>
        <v>7.3078854846810648E-2</v>
      </c>
      <c r="I45" s="165">
        <f>SUM($G$7:G45)</f>
        <v>2282</v>
      </c>
      <c r="J45" s="160">
        <f t="shared" si="3"/>
        <v>0.57307885484681065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45</v>
      </c>
      <c r="E46" s="176">
        <f t="shared" si="5"/>
        <v>5</v>
      </c>
      <c r="F46" s="156">
        <f t="shared" si="4"/>
        <v>40</v>
      </c>
      <c r="G46" s="157">
        <f>IF(D46=D45,"",_xlfn.IFNA(VLOOKUP(D46,'202306'!$BO$5:$BR$55,4,FALSE),0))</f>
        <v>177</v>
      </c>
      <c r="H46" s="158">
        <f t="shared" si="2"/>
        <v>4.4450025113008537E-2</v>
      </c>
      <c r="I46" s="165">
        <f>SUM($G$7:G46)</f>
        <v>2459</v>
      </c>
      <c r="J46" s="160">
        <f t="shared" si="3"/>
        <v>0.6175288799598192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44</v>
      </c>
      <c r="E47" s="176">
        <f t="shared" si="5"/>
        <v>6</v>
      </c>
      <c r="F47" s="156">
        <f t="shared" si="4"/>
        <v>35</v>
      </c>
      <c r="G47" s="157">
        <f>IF(D47=D46,"",_xlfn.IFNA(VLOOKUP(D47,'202306'!$BO$5:$BR$55,4,FALSE),0))</f>
        <v>222</v>
      </c>
      <c r="H47" s="158">
        <f t="shared" si="2"/>
        <v>5.5750878955298844E-2</v>
      </c>
      <c r="I47" s="165">
        <f>SUM($G$7:G47)</f>
        <v>2681</v>
      </c>
      <c r="J47" s="160">
        <f t="shared" si="3"/>
        <v>0.67327975891511804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43</v>
      </c>
      <c r="E48" s="176">
        <f t="shared" si="5"/>
        <v>6</v>
      </c>
      <c r="F48" s="156">
        <f t="shared" si="4"/>
        <v>25</v>
      </c>
      <c r="G48" s="157">
        <f>IF(D48=D47,"",_xlfn.IFNA(VLOOKUP(D48,'202306'!$BO$5:$BR$55,4,FALSE),0))</f>
        <v>611</v>
      </c>
      <c r="H48" s="158">
        <f t="shared" si="2"/>
        <v>0.15344048216976394</v>
      </c>
      <c r="I48" s="165">
        <f>SUM($G$7:G48)</f>
        <v>3292</v>
      </c>
      <c r="J48" s="160">
        <f t="shared" si="3"/>
        <v>0.82672024108488196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42</v>
      </c>
      <c r="E49" s="176">
        <f t="shared" si="5"/>
        <v>7</v>
      </c>
      <c r="F49" s="156">
        <f t="shared" si="4"/>
        <v>15</v>
      </c>
      <c r="G49" s="157">
        <f>IF(D49=D48,"",_xlfn.IFNA(VLOOKUP(D49,'202306'!$BO$5:$BR$55,4,FALSE),0))</f>
        <v>201</v>
      </c>
      <c r="H49" s="158">
        <f t="shared" si="2"/>
        <v>5.0477147162230035E-2</v>
      </c>
      <c r="I49" s="165">
        <f>SUM($G$7:G49)</f>
        <v>3493</v>
      </c>
      <c r="J49" s="160">
        <f t="shared" si="3"/>
        <v>0.87719738824711202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41</v>
      </c>
      <c r="E50" s="176">
        <f t="shared" si="5"/>
        <v>7</v>
      </c>
      <c r="F50" s="156">
        <f t="shared" si="4"/>
        <v>10</v>
      </c>
      <c r="G50" s="157">
        <f>IF(D50=D49,"",_xlfn.IFNA(VLOOKUP(D50,'202306'!$BO$5:$BR$55,4,FALSE),0))</f>
        <v>170</v>
      </c>
      <c r="H50" s="158">
        <f t="shared" si="2"/>
        <v>4.2692114515318937E-2</v>
      </c>
      <c r="I50" s="165">
        <f>SUM($G$7:G50)</f>
        <v>3663</v>
      </c>
      <c r="J50" s="160">
        <f t="shared" si="3"/>
        <v>0.91988950276243098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40</v>
      </c>
      <c r="E51" s="176">
        <f t="shared" si="5"/>
        <v>8</v>
      </c>
      <c r="F51" s="156">
        <f t="shared" si="4"/>
        <v>7</v>
      </c>
      <c r="G51" s="157">
        <f>IF(D51=D50,"",_xlfn.IFNA(VLOOKUP(D51,'202306'!$BO$5:$BR$55,4,FALSE),0))</f>
        <v>89</v>
      </c>
      <c r="H51" s="158">
        <f t="shared" si="2"/>
        <v>2.2350577599196383E-2</v>
      </c>
      <c r="I51" s="165">
        <f>SUM($G$7:G51)</f>
        <v>3752</v>
      </c>
      <c r="J51" s="160">
        <f t="shared" si="3"/>
        <v>0.94224008036162732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19">
        <f t="shared" si="1"/>
        <v>39</v>
      </c>
      <c r="E52" s="319">
        <f t="shared" si="5"/>
        <v>8</v>
      </c>
      <c r="F52" s="309">
        <f t="shared" si="4"/>
        <v>4</v>
      </c>
      <c r="G52" s="311">
        <f>IF(D52=D51,"",_xlfn.IFNA(VLOOKUP(D52,'202306'!$BO$5:$BR$55,4,FALSE),0))</f>
        <v>158</v>
      </c>
      <c r="H52" s="313">
        <f t="shared" si="2"/>
        <v>3.9678553490708188E-2</v>
      </c>
      <c r="I52" s="315">
        <f>SUM($G$7:G52)</f>
        <v>3910</v>
      </c>
      <c r="J52" s="317">
        <f t="shared" si="3"/>
        <v>0.98191863385233547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20"/>
      <c r="E53" s="320"/>
      <c r="F53" s="310"/>
      <c r="G53" s="312"/>
      <c r="H53" s="314"/>
      <c r="I53" s="316"/>
      <c r="J53" s="318"/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38</v>
      </c>
      <c r="E54" s="155">
        <f t="shared" si="5"/>
        <v>9</v>
      </c>
      <c r="F54" s="156">
        <f t="shared" si="4"/>
        <v>1</v>
      </c>
      <c r="G54" s="157">
        <f>IF(D54=D53,"",_xlfn.IFNA(VLOOKUP(D54,'202306'!$BO$5:$BR$55,4,FALSE),0))</f>
        <v>35</v>
      </c>
      <c r="H54" s="158">
        <f t="shared" si="2"/>
        <v>8.7895529884480152E-3</v>
      </c>
      <c r="I54" s="165">
        <f>SUM($G$7:G54)</f>
        <v>3945</v>
      </c>
      <c r="J54" s="160">
        <f t="shared" si="3"/>
        <v>0.99070818684078354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37</v>
      </c>
      <c r="E55" s="155">
        <f t="shared" si="5"/>
        <v>9</v>
      </c>
      <c r="F55" s="156">
        <f t="shared" si="4"/>
        <v>1</v>
      </c>
      <c r="G55" s="157">
        <f>IF(D55=D54,"",_xlfn.IFNA(VLOOKUP(D55,'202306'!$BO$5:$BR$55,4,FALSE),0))</f>
        <v>23</v>
      </c>
      <c r="H55" s="158">
        <f t="shared" si="2"/>
        <v>5.7759919638372681E-3</v>
      </c>
      <c r="I55" s="165">
        <f>SUM($G$7:G55)</f>
        <v>3968</v>
      </c>
      <c r="J55" s="160">
        <f t="shared" si="3"/>
        <v>0.99648417880462081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35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_xlfn.IFNA(VLOOKUP(D57,'202306'!$BO$5:$BR$55,4,FALSE),0)</f>
        <v>14</v>
      </c>
      <c r="H57" s="173">
        <f>G57/J3</f>
        <v>3.5158211953792064E-3</v>
      </c>
      <c r="I57" s="174">
        <f>SUM($G$7:G57)</f>
        <v>3982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39">
    <mergeCell ref="I42:I43"/>
    <mergeCell ref="J42:J43"/>
    <mergeCell ref="D52:D53"/>
    <mergeCell ref="E52:E53"/>
    <mergeCell ref="F52:F53"/>
    <mergeCell ref="G52:G53"/>
    <mergeCell ref="H52:H53"/>
    <mergeCell ref="I52:I53"/>
    <mergeCell ref="J52:J53"/>
    <mergeCell ref="D42:D43"/>
    <mergeCell ref="E42:E43"/>
    <mergeCell ref="F42:F43"/>
    <mergeCell ref="G42:G43"/>
    <mergeCell ref="H42:H43"/>
    <mergeCell ref="I23:I24"/>
    <mergeCell ref="J23:J24"/>
    <mergeCell ref="D33:D34"/>
    <mergeCell ref="E33:E34"/>
    <mergeCell ref="F33:F34"/>
    <mergeCell ref="G33:G34"/>
    <mergeCell ref="H33:H34"/>
    <mergeCell ref="I33:I34"/>
    <mergeCell ref="J33:J34"/>
    <mergeCell ref="D3:F3"/>
    <mergeCell ref="D4:F4"/>
    <mergeCell ref="D56:J56"/>
    <mergeCell ref="D8:J8"/>
    <mergeCell ref="D14:D15"/>
    <mergeCell ref="E14:E15"/>
    <mergeCell ref="F14:F15"/>
    <mergeCell ref="G14:G15"/>
    <mergeCell ref="H14:H15"/>
    <mergeCell ref="I14:I15"/>
    <mergeCell ref="J14:J15"/>
    <mergeCell ref="D23:D24"/>
    <mergeCell ref="E23:E24"/>
    <mergeCell ref="F23:F24"/>
    <mergeCell ref="G23:G24"/>
    <mergeCell ref="H23:H24"/>
  </mergeCells>
  <phoneticPr fontId="1" type="noConversion"/>
  <conditionalFormatting sqref="D7:J7 D57:J57 D9:J14 D16:J23 D25:J33 D35:J42 D44:J52 D54:J55">
    <cfRule type="expression" dxfId="69" priority="7">
      <formula>OR($D7=$P$7:$P$14)</formula>
    </cfRule>
  </conditionalFormatting>
  <conditionalFormatting sqref="C7:C57">
    <cfRule type="expression" dxfId="68" priority="6">
      <formula>OR(AND($D7=0,OR($D6=$P$7:$P$14)),AND($D8&gt;0,OR($D7=$P$7:$P$14)))</formula>
    </cfRule>
  </conditionalFormatting>
  <conditionalFormatting sqref="D7 D57 D9:D14 D16:D23 D25:D33 D35:D42 D44:D52 D54:D55">
    <cfRule type="expression" dxfId="67" priority="5">
      <formula>$D7=$D8</formula>
    </cfRule>
  </conditionalFormatting>
  <conditionalFormatting sqref="D56">
    <cfRule type="expression" dxfId="66" priority="4">
      <formula>OR($D56=$P$7:$P$14)</formula>
    </cfRule>
  </conditionalFormatting>
  <conditionalFormatting sqref="D56">
    <cfRule type="expression" dxfId="65" priority="3">
      <formula>$D56=$D57</formula>
    </cfRule>
  </conditionalFormatting>
  <conditionalFormatting sqref="D8">
    <cfRule type="expression" dxfId="64" priority="2">
      <formula>OR($D8=$P$7:$P$14)</formula>
    </cfRule>
  </conditionalFormatting>
  <conditionalFormatting sqref="D8">
    <cfRule type="expression" dxfId="63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37FA2-CA5F-4B74-A3E2-5593BA66EC8C}">
  <sheetPr codeName="Sheet21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기능'!D18</f>
        <v>18.2</v>
      </c>
      <c r="I3" s="10" t="s">
        <v>98</v>
      </c>
      <c r="J3" s="145">
        <f>'통계 및 응시자 수 입력 기능'!C18</f>
        <v>4510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109</v>
      </c>
      <c r="E4" s="302"/>
      <c r="F4" s="303"/>
      <c r="G4" s="147" t="s">
        <v>101</v>
      </c>
      <c r="H4" s="148">
        <f>'통계 및 응시자 수 입력 기능'!E18</f>
        <v>11.5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78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_xlfn.IFNA(VLOOKUP(D7,'202306'!$BT$5:$BW$55,4,FALSE),0)</f>
        <v>31</v>
      </c>
      <c r="H7" s="158">
        <f>G7/J3</f>
        <v>6.8736141906873618E-3</v>
      </c>
      <c r="I7" s="159">
        <f>G7</f>
        <v>31</v>
      </c>
      <c r="J7" s="160">
        <f>I7/J3</f>
        <v>6.8736141906873618E-3</v>
      </c>
      <c r="K7" s="14"/>
      <c r="M7" s="1"/>
      <c r="O7" s="1">
        <v>1</v>
      </c>
      <c r="P7" s="1">
        <f>'표준점수 등급컷 입력기능'!E54</f>
        <v>72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입력기능'!E55</f>
        <v>65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76</v>
      </c>
      <c r="E9" s="155">
        <f t="shared" si="0"/>
        <v>1</v>
      </c>
      <c r="F9" s="156">
        <f>IF(I8=0,ROUND(100*(1-(I7+I9)/2/$J$3),0),ROUND(100*(1-(I8+I9)/2/$J$3),0))</f>
        <v>99</v>
      </c>
      <c r="G9" s="157">
        <f>_xlfn.IFNA(VLOOKUP(D9,'202306'!$BT$5:$BW$55,4,FALSE),0)</f>
        <v>16</v>
      </c>
      <c r="H9" s="158">
        <f>G9/$J$3</f>
        <v>3.5476718403547672E-3</v>
      </c>
      <c r="I9" s="165">
        <f>SUM($G$7:G9)</f>
        <v>47</v>
      </c>
      <c r="J9" s="160">
        <f>I9/$J$3</f>
        <v>1.0421286031042129E-2</v>
      </c>
      <c r="K9" s="14"/>
      <c r="M9" s="1"/>
      <c r="O9" s="1">
        <v>3</v>
      </c>
      <c r="P9" s="1">
        <f>'표준점수 등급컷 입력기능'!E56</f>
        <v>58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75</v>
      </c>
      <c r="E10" s="155">
        <f t="shared" si="0"/>
        <v>1</v>
      </c>
      <c r="F10" s="156">
        <f>IF(I9=0,ROUND(100*(1-(I8+I10)/2/$J$3),0),ROUND(100*(1-(I9+I10)/2/$J$3),0))</f>
        <v>99</v>
      </c>
      <c r="G10" s="157">
        <f>IF(D10=D9,"",_xlfn.IFNA(VLOOKUP(D10,'202306'!$BT$5:$BW$55,4,FALSE),0))</f>
        <v>35</v>
      </c>
      <c r="H10" s="158">
        <f t="shared" ref="H10:H55" si="2">G10/$J$3</f>
        <v>7.7605321507760536E-3</v>
      </c>
      <c r="I10" s="165">
        <f>SUM($G$7:G10)</f>
        <v>82</v>
      </c>
      <c r="J10" s="160">
        <f t="shared" ref="J10:J55" si="3">I10/$J$3</f>
        <v>1.8181818181818181E-2</v>
      </c>
      <c r="K10" s="14"/>
      <c r="M10" s="1"/>
      <c r="O10" s="1">
        <v>4</v>
      </c>
      <c r="P10" s="1">
        <f>'표준점수 등급컷 입력기능'!E57</f>
        <v>49</v>
      </c>
    </row>
    <row r="11" spans="1:16" ht="25" customHeight="1" x14ac:dyDescent="0.45">
      <c r="A11" s="4"/>
      <c r="B11" s="13"/>
      <c r="C11" s="154">
        <v>46</v>
      </c>
      <c r="D11" s="155">
        <f t="shared" si="1"/>
        <v>74</v>
      </c>
      <c r="E11" s="155">
        <f t="shared" si="0"/>
        <v>1</v>
      </c>
      <c r="F11" s="156">
        <f t="shared" ref="F11:F55" si="4">IF(I10=0,ROUND(100*(1-(I9+I11)/2/$J$3),0),ROUND(100*(1-(I10+I11)/2/$J$3),0))</f>
        <v>98</v>
      </c>
      <c r="G11" s="157">
        <f>IF(D11=D10,"",_xlfn.IFNA(VLOOKUP(D11,'202306'!$BT$5:$BW$55,4,FALSE),0))</f>
        <v>7</v>
      </c>
      <c r="H11" s="158">
        <f t="shared" si="2"/>
        <v>1.5521064301552106E-3</v>
      </c>
      <c r="I11" s="165">
        <f>SUM($G$7:G11)</f>
        <v>89</v>
      </c>
      <c r="J11" s="160">
        <f t="shared" si="3"/>
        <v>1.9733924611973392E-2</v>
      </c>
      <c r="K11" s="14"/>
      <c r="M11" s="1"/>
      <c r="O11" s="1">
        <v>5</v>
      </c>
      <c r="P11" s="1">
        <f>'표준점수 등급컷 입력기능'!E58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73</v>
      </c>
      <c r="E12" s="155">
        <f t="shared" si="0"/>
        <v>1</v>
      </c>
      <c r="F12" s="156">
        <f t="shared" si="4"/>
        <v>98</v>
      </c>
      <c r="G12" s="157">
        <f>IF(D12=D11,"",_xlfn.IFNA(VLOOKUP(D12,'202306'!$BT$5:$BW$55,4,FALSE),0))</f>
        <v>47</v>
      </c>
      <c r="H12" s="158">
        <f t="shared" si="2"/>
        <v>1.0421286031042129E-2</v>
      </c>
      <c r="I12" s="165">
        <f>SUM($G$7:G12)</f>
        <v>136</v>
      </c>
      <c r="J12" s="160">
        <f t="shared" si="3"/>
        <v>3.0155210643015521E-2</v>
      </c>
      <c r="K12" s="14"/>
      <c r="M12" s="1"/>
      <c r="O12" s="1">
        <v>6</v>
      </c>
      <c r="P12" s="1">
        <f>'표준점수 등급컷 입력기능'!E59</f>
        <v>43</v>
      </c>
    </row>
    <row r="13" spans="1:16" ht="25" customHeight="1" x14ac:dyDescent="0.45">
      <c r="A13" s="4"/>
      <c r="B13" s="13"/>
      <c r="C13" s="154">
        <v>44</v>
      </c>
      <c r="D13" s="307">
        <f t="shared" si="1"/>
        <v>72</v>
      </c>
      <c r="E13" s="307">
        <f t="shared" si="0"/>
        <v>1</v>
      </c>
      <c r="F13" s="309">
        <f t="shared" si="4"/>
        <v>96</v>
      </c>
      <c r="G13" s="311">
        <f>IF(D13=D12,"",_xlfn.IFNA(VLOOKUP(D13,'202306'!$BT$5:$BW$55,4,FALSE),0))</f>
        <v>45</v>
      </c>
      <c r="H13" s="313">
        <f t="shared" si="2"/>
        <v>9.9778270509977823E-3</v>
      </c>
      <c r="I13" s="315">
        <f>SUM($G$7:G13)</f>
        <v>181</v>
      </c>
      <c r="J13" s="317">
        <f t="shared" si="3"/>
        <v>4.0133037694013302E-2</v>
      </c>
      <c r="K13" s="14"/>
      <c r="M13" s="1"/>
      <c r="O13" s="1">
        <v>7</v>
      </c>
      <c r="P13" s="1">
        <f>'표준점수 등급컷 입력기능'!E60</f>
        <v>40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입력기능'!E61</f>
        <v>39</v>
      </c>
    </row>
    <row r="15" spans="1:16" ht="25" customHeight="1" x14ac:dyDescent="0.45">
      <c r="A15" s="4"/>
      <c r="B15" s="13"/>
      <c r="C15" s="154">
        <v>42</v>
      </c>
      <c r="D15" s="155">
        <f t="shared" si="1"/>
        <v>71</v>
      </c>
      <c r="E15" s="155">
        <f t="shared" si="0"/>
        <v>2</v>
      </c>
      <c r="F15" s="156">
        <f t="shared" si="4"/>
        <v>95</v>
      </c>
      <c r="G15" s="157">
        <f>IF(D15=D14,"",_xlfn.IFNA(VLOOKUP(D15,'202306'!$BT$5:$BW$55,4,FALSE),0))</f>
        <v>48</v>
      </c>
      <c r="H15" s="158">
        <f t="shared" si="2"/>
        <v>1.0643015521064302E-2</v>
      </c>
      <c r="I15" s="165">
        <f>SUM($G$7:G15)</f>
        <v>229</v>
      </c>
      <c r="J15" s="160">
        <f t="shared" si="3"/>
        <v>5.0776053215077603E-2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70</v>
      </c>
      <c r="E16" s="155">
        <f t="shared" si="0"/>
        <v>2</v>
      </c>
      <c r="F16" s="156">
        <f t="shared" si="4"/>
        <v>95</v>
      </c>
      <c r="G16" s="157">
        <f>IF(D16=D15,"",_xlfn.IFNA(VLOOKUP(D16,'202306'!$BT$5:$BW$55,4,FALSE),0))</f>
        <v>32</v>
      </c>
      <c r="H16" s="158">
        <f t="shared" si="2"/>
        <v>7.0953436807095344E-3</v>
      </c>
      <c r="I16" s="165">
        <f>SUM($G$7:G16)</f>
        <v>261</v>
      </c>
      <c r="J16" s="160">
        <f t="shared" si="3"/>
        <v>5.7871396895787137E-2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69</v>
      </c>
      <c r="E17" s="155">
        <f t="shared" si="0"/>
        <v>2</v>
      </c>
      <c r="F17" s="156">
        <f t="shared" si="4"/>
        <v>94</v>
      </c>
      <c r="G17" s="157">
        <f>IF(D17=D16,"",_xlfn.IFNA(VLOOKUP(D17,'202306'!$BT$5:$BW$55,4,FALSE),0))</f>
        <v>48</v>
      </c>
      <c r="H17" s="158">
        <f t="shared" si="2"/>
        <v>1.0643015521064302E-2</v>
      </c>
      <c r="I17" s="165">
        <f>SUM($G$7:G17)</f>
        <v>309</v>
      </c>
      <c r="J17" s="160">
        <f t="shared" si="3"/>
        <v>6.8514412416851439E-2</v>
      </c>
      <c r="K17" s="14"/>
      <c r="M17" s="1"/>
      <c r="P17" s="1">
        <f>H3*H4*J3*P7*IFERROR(IF(J57=1, 1, 0), 0)</f>
        <v>67963895.999999985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68</v>
      </c>
      <c r="E18" s="155">
        <f t="shared" si="0"/>
        <v>2</v>
      </c>
      <c r="F18" s="156">
        <f t="shared" si="4"/>
        <v>92</v>
      </c>
      <c r="G18" s="157">
        <f>IF(D18=D17,"",_xlfn.IFNA(VLOOKUP(D18,'202306'!$BT$5:$BW$55,4,FALSE),0))</f>
        <v>64</v>
      </c>
      <c r="H18" s="158">
        <f t="shared" si="2"/>
        <v>1.4190687361419069E-2</v>
      </c>
      <c r="I18" s="165">
        <f>SUM($G$7:G18)</f>
        <v>373</v>
      </c>
      <c r="J18" s="160">
        <f t="shared" si="3"/>
        <v>8.2705099778270508E-2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67</v>
      </c>
      <c r="E19" s="155">
        <f t="shared" si="0"/>
        <v>2</v>
      </c>
      <c r="F19" s="156">
        <f t="shared" si="4"/>
        <v>91</v>
      </c>
      <c r="G19" s="157">
        <f>IF(D19=D18,"",_xlfn.IFNA(VLOOKUP(D19,'202306'!$BT$5:$BW$55,4,FALSE),0))</f>
        <v>47</v>
      </c>
      <c r="H19" s="158">
        <f t="shared" si="2"/>
        <v>1.0421286031042129E-2</v>
      </c>
      <c r="I19" s="165">
        <f>SUM($G$7:G19)</f>
        <v>420</v>
      </c>
      <c r="J19" s="160">
        <f t="shared" si="3"/>
        <v>9.3126385809312637E-2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66</v>
      </c>
      <c r="E20" s="155">
        <f t="shared" si="0"/>
        <v>2</v>
      </c>
      <c r="F20" s="156">
        <f t="shared" si="4"/>
        <v>90</v>
      </c>
      <c r="G20" s="157">
        <f>IF(D20=D19,"",_xlfn.IFNA(VLOOKUP(D20,'202306'!$BT$5:$BW$55,4,FALSE),0))</f>
        <v>63</v>
      </c>
      <c r="H20" s="158">
        <f t="shared" si="2"/>
        <v>1.3968957871396896E-2</v>
      </c>
      <c r="I20" s="165">
        <f>SUM($G$7:G20)</f>
        <v>483</v>
      </c>
      <c r="J20" s="160">
        <f t="shared" si="3"/>
        <v>0.10709534368070954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319">
        <f t="shared" si="1"/>
        <v>65</v>
      </c>
      <c r="E21" s="319">
        <f t="shared" si="0"/>
        <v>2</v>
      </c>
      <c r="F21" s="309">
        <f t="shared" si="4"/>
        <v>88</v>
      </c>
      <c r="G21" s="311">
        <f>IF(D21=D20,"",_xlfn.IFNA(VLOOKUP(D21,'202306'!$BT$5:$BW$55,4,FALSE),0))</f>
        <v>106</v>
      </c>
      <c r="H21" s="313">
        <f t="shared" si="2"/>
        <v>2.3503325942350332E-2</v>
      </c>
      <c r="I21" s="315">
        <f>SUM($G$7:G21)</f>
        <v>589</v>
      </c>
      <c r="J21" s="317">
        <f t="shared" si="3"/>
        <v>0.13059866962305985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20"/>
      <c r="E22" s="320"/>
      <c r="F22" s="310"/>
      <c r="G22" s="312"/>
      <c r="H22" s="314"/>
      <c r="I22" s="316"/>
      <c r="J22" s="318"/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64</v>
      </c>
      <c r="E23" s="176">
        <f t="shared" si="0"/>
        <v>3</v>
      </c>
      <c r="F23" s="156">
        <f t="shared" si="4"/>
        <v>86</v>
      </c>
      <c r="G23" s="157">
        <f>IF(D23=D22,"",_xlfn.IFNA(VLOOKUP(D23,'202306'!$BT$5:$BW$55,4,FALSE),0))</f>
        <v>59</v>
      </c>
      <c r="H23" s="158">
        <f t="shared" si="2"/>
        <v>1.3082039911308204E-2</v>
      </c>
      <c r="I23" s="165">
        <f>SUM($G$7:G23)</f>
        <v>648</v>
      </c>
      <c r="J23" s="160">
        <f t="shared" si="3"/>
        <v>0.14368070953436807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63</v>
      </c>
      <c r="E24" s="176">
        <f t="shared" si="0"/>
        <v>3</v>
      </c>
      <c r="F24" s="156">
        <f t="shared" si="4"/>
        <v>85</v>
      </c>
      <c r="G24" s="157">
        <f>IF(D24=D23,"",_xlfn.IFNA(VLOOKUP(D24,'202306'!$BT$5:$BW$55,4,FALSE),0))</f>
        <v>56</v>
      </c>
      <c r="H24" s="158">
        <f t="shared" si="2"/>
        <v>1.2416851441241685E-2</v>
      </c>
      <c r="I24" s="165">
        <f>SUM($G$7:G24)</f>
        <v>704</v>
      </c>
      <c r="J24" s="160">
        <f t="shared" si="3"/>
        <v>0.15609756097560976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62</v>
      </c>
      <c r="E25" s="176">
        <f t="shared" si="0"/>
        <v>3</v>
      </c>
      <c r="F25" s="156">
        <f t="shared" si="4"/>
        <v>84</v>
      </c>
      <c r="G25" s="157">
        <f>IF(D25=D24,"",_xlfn.IFNA(VLOOKUP(D25,'202306'!$BT$5:$BW$55,4,FALSE),0))</f>
        <v>80</v>
      </c>
      <c r="H25" s="158">
        <f t="shared" si="2"/>
        <v>1.7738359201773836E-2</v>
      </c>
      <c r="I25" s="165">
        <f>SUM($G$7:G25)</f>
        <v>784</v>
      </c>
      <c r="J25" s="160">
        <f t="shared" si="3"/>
        <v>0.17383592017738358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61</v>
      </c>
      <c r="E26" s="176">
        <f t="shared" si="0"/>
        <v>3</v>
      </c>
      <c r="F26" s="156">
        <f t="shared" si="4"/>
        <v>82</v>
      </c>
      <c r="G26" s="157">
        <f>IF(D26=D25,"",_xlfn.IFNA(VLOOKUP(D26,'202306'!$BT$5:$BW$55,4,FALSE),0))</f>
        <v>43</v>
      </c>
      <c r="H26" s="158">
        <f t="shared" si="2"/>
        <v>9.5343680709534372E-3</v>
      </c>
      <c r="I26" s="165">
        <f>SUM($G$7:G26)</f>
        <v>827</v>
      </c>
      <c r="J26" s="160">
        <f t="shared" si="3"/>
        <v>0.18337028824833704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60</v>
      </c>
      <c r="E27" s="176">
        <f t="shared" si="0"/>
        <v>3</v>
      </c>
      <c r="F27" s="156">
        <f t="shared" si="4"/>
        <v>81</v>
      </c>
      <c r="G27" s="157">
        <f>IF(D27=D26,"",_xlfn.IFNA(VLOOKUP(D27,'202306'!$BT$5:$BW$55,4,FALSE),0))</f>
        <v>65</v>
      </c>
      <c r="H27" s="158">
        <f t="shared" si="2"/>
        <v>1.4412416851441241E-2</v>
      </c>
      <c r="I27" s="165">
        <f>SUM($G$7:G27)</f>
        <v>892</v>
      </c>
      <c r="J27" s="160">
        <f t="shared" si="3"/>
        <v>0.19778270509977827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319">
        <f t="shared" si="1"/>
        <v>59</v>
      </c>
      <c r="E28" s="319">
        <f t="shared" si="0"/>
        <v>3</v>
      </c>
      <c r="F28" s="309">
        <f t="shared" si="4"/>
        <v>79</v>
      </c>
      <c r="G28" s="311">
        <f>IF(D28=D27,"",_xlfn.IFNA(VLOOKUP(D28,'202306'!$BT$5:$BW$55,4,FALSE),0))</f>
        <v>103</v>
      </c>
      <c r="H28" s="313">
        <f t="shared" si="2"/>
        <v>2.2838137472283814E-2</v>
      </c>
      <c r="I28" s="315">
        <f>SUM($G$7:G28)</f>
        <v>995</v>
      </c>
      <c r="J28" s="317">
        <f t="shared" si="3"/>
        <v>0.22062084257206208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20"/>
      <c r="E29" s="320"/>
      <c r="F29" s="310"/>
      <c r="G29" s="312"/>
      <c r="H29" s="314"/>
      <c r="I29" s="316"/>
      <c r="J29" s="318"/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58</v>
      </c>
      <c r="E30" s="176">
        <f t="shared" si="0"/>
        <v>3</v>
      </c>
      <c r="F30" s="156">
        <f t="shared" si="4"/>
        <v>77</v>
      </c>
      <c r="G30" s="157">
        <f>IF(D30=D29,"",_xlfn.IFNA(VLOOKUP(D30,'202306'!$BT$5:$BW$55,4,FALSE),0))</f>
        <v>75</v>
      </c>
      <c r="H30" s="158">
        <f t="shared" si="2"/>
        <v>1.662971175166297E-2</v>
      </c>
      <c r="I30" s="165">
        <f>SUM($G$7:G30)</f>
        <v>1070</v>
      </c>
      <c r="J30" s="160">
        <f t="shared" si="3"/>
        <v>0.23725055432372505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57</v>
      </c>
      <c r="E31" s="176">
        <f t="shared" si="0"/>
        <v>4</v>
      </c>
      <c r="F31" s="156">
        <f t="shared" si="4"/>
        <v>76</v>
      </c>
      <c r="G31" s="157">
        <f>IF(D31=D30,"",_xlfn.IFNA(VLOOKUP(D31,'202306'!$BT$5:$BW$55,4,FALSE),0))</f>
        <v>48</v>
      </c>
      <c r="H31" s="158">
        <f t="shared" si="2"/>
        <v>1.0643015521064302E-2</v>
      </c>
      <c r="I31" s="165">
        <f>SUM($G$7:G31)</f>
        <v>1118</v>
      </c>
      <c r="J31" s="160">
        <f t="shared" si="3"/>
        <v>0.24789356984478936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56</v>
      </c>
      <c r="E32" s="176">
        <f t="shared" si="0"/>
        <v>4</v>
      </c>
      <c r="F32" s="156">
        <f t="shared" si="4"/>
        <v>74</v>
      </c>
      <c r="G32" s="157">
        <f>IF(D32=D31,"",_xlfn.IFNA(VLOOKUP(D32,'202306'!$BT$5:$BW$55,4,FALSE),0))</f>
        <v>75</v>
      </c>
      <c r="H32" s="158">
        <f t="shared" si="2"/>
        <v>1.662971175166297E-2</v>
      </c>
      <c r="I32" s="165">
        <f>SUM($G$7:G32)</f>
        <v>1193</v>
      </c>
      <c r="J32" s="160">
        <f t="shared" si="3"/>
        <v>0.26452328159645233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55</v>
      </c>
      <c r="E33" s="176">
        <f t="shared" si="0"/>
        <v>4</v>
      </c>
      <c r="F33" s="156">
        <f t="shared" si="4"/>
        <v>73</v>
      </c>
      <c r="G33" s="157">
        <f>IF(D33=D32,"",_xlfn.IFNA(VLOOKUP(D33,'202306'!$BT$5:$BW$55,4,FALSE),0))</f>
        <v>56</v>
      </c>
      <c r="H33" s="158">
        <f t="shared" si="2"/>
        <v>1.2416851441241685E-2</v>
      </c>
      <c r="I33" s="165">
        <f>SUM($G$7:G33)</f>
        <v>1249</v>
      </c>
      <c r="J33" s="160">
        <f t="shared" si="3"/>
        <v>0.27694013303769399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54</v>
      </c>
      <c r="E34" s="176">
        <f t="shared" si="0"/>
        <v>4</v>
      </c>
      <c r="F34" s="156">
        <f t="shared" si="4"/>
        <v>72</v>
      </c>
      <c r="G34" s="157">
        <f>IF(D34=D33,"",_xlfn.IFNA(VLOOKUP(D34,'202306'!$BT$5:$BW$55,4,FALSE),0))</f>
        <v>71</v>
      </c>
      <c r="H34" s="158">
        <f t="shared" si="2"/>
        <v>1.574279379157428E-2</v>
      </c>
      <c r="I34" s="165">
        <f>SUM($G$7:G34)</f>
        <v>1320</v>
      </c>
      <c r="J34" s="160">
        <f t="shared" si="3"/>
        <v>0.29268292682926828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53</v>
      </c>
      <c r="E35" s="176">
        <f t="shared" si="0"/>
        <v>4</v>
      </c>
      <c r="F35" s="156">
        <f t="shared" si="4"/>
        <v>70</v>
      </c>
      <c r="G35" s="157">
        <f>IF(D35=D34,"",_xlfn.IFNA(VLOOKUP(D35,'202306'!$BT$5:$BW$55,4,FALSE),0))</f>
        <v>74</v>
      </c>
      <c r="H35" s="158">
        <f t="shared" si="2"/>
        <v>1.6407982261640797E-2</v>
      </c>
      <c r="I35" s="165">
        <f>SUM($G$7:G35)</f>
        <v>1394</v>
      </c>
      <c r="J35" s="160">
        <f t="shared" si="3"/>
        <v>0.30909090909090908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19">
        <f t="shared" si="1"/>
        <v>52</v>
      </c>
      <c r="E36" s="319">
        <f t="shared" si="0"/>
        <v>4</v>
      </c>
      <c r="F36" s="309">
        <f t="shared" si="4"/>
        <v>67</v>
      </c>
      <c r="G36" s="311">
        <f>IF(D36=D35,"",_xlfn.IFNA(VLOOKUP(D36,'202306'!$BT$5:$BW$55,4,FALSE),0))</f>
        <v>154</v>
      </c>
      <c r="H36" s="313">
        <f t="shared" si="2"/>
        <v>3.4146341463414637E-2</v>
      </c>
      <c r="I36" s="315">
        <f>SUM($G$7:G36)</f>
        <v>1548</v>
      </c>
      <c r="J36" s="317">
        <f t="shared" si="3"/>
        <v>0.34323725055432375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320"/>
      <c r="E37" s="320"/>
      <c r="F37" s="310"/>
      <c r="G37" s="312"/>
      <c r="H37" s="314"/>
      <c r="I37" s="316"/>
      <c r="J37" s="318"/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51</v>
      </c>
      <c r="E38" s="176">
        <f t="shared" si="0"/>
        <v>4</v>
      </c>
      <c r="F38" s="156">
        <f t="shared" si="4"/>
        <v>65</v>
      </c>
      <c r="G38" s="157">
        <f>IF(D38=D37,"",_xlfn.IFNA(VLOOKUP(D38,'202306'!$BT$5:$BW$55,4,FALSE),0))</f>
        <v>88</v>
      </c>
      <c r="H38" s="158">
        <f t="shared" si="2"/>
        <v>1.9512195121951219E-2</v>
      </c>
      <c r="I38" s="165">
        <f>SUM($G$7:G38)</f>
        <v>1636</v>
      </c>
      <c r="J38" s="160">
        <f t="shared" si="3"/>
        <v>0.36274944567627493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50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4</v>
      </c>
      <c r="F39" s="156">
        <f t="shared" si="4"/>
        <v>62</v>
      </c>
      <c r="G39" s="157">
        <f>IF(D39=D38,"",_xlfn.IFNA(VLOOKUP(D39,'202306'!$BT$5:$BW$55,4,FALSE),0))</f>
        <v>115</v>
      </c>
      <c r="H39" s="158">
        <f t="shared" si="2"/>
        <v>2.5498891352549888E-2</v>
      </c>
      <c r="I39" s="165">
        <f>SUM($G$7:G39)</f>
        <v>1751</v>
      </c>
      <c r="J39" s="160">
        <f t="shared" si="3"/>
        <v>0.38824833702882483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49</v>
      </c>
      <c r="E40" s="176">
        <f t="shared" si="5"/>
        <v>4</v>
      </c>
      <c r="F40" s="156">
        <f t="shared" si="4"/>
        <v>60</v>
      </c>
      <c r="G40" s="157">
        <f>IF(D40=D39,"",_xlfn.IFNA(VLOOKUP(D40,'202306'!$BT$5:$BW$55,4,FALSE),0))</f>
        <v>104</v>
      </c>
      <c r="H40" s="158">
        <f t="shared" si="2"/>
        <v>2.3059866962305987E-2</v>
      </c>
      <c r="I40" s="165">
        <f>SUM($G$7:G40)</f>
        <v>1855</v>
      </c>
      <c r="J40" s="160">
        <f t="shared" si="3"/>
        <v>0.41130820399113083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48</v>
      </c>
      <c r="E41" s="176">
        <f t="shared" si="5"/>
        <v>5</v>
      </c>
      <c r="F41" s="156">
        <f t="shared" si="4"/>
        <v>57</v>
      </c>
      <c r="G41" s="157">
        <f>IF(D41=D40,"",_xlfn.IFNA(VLOOKUP(D41,'202306'!$BT$5:$BW$55,4,FALSE),0))</f>
        <v>147</v>
      </c>
      <c r="H41" s="158">
        <f t="shared" si="2"/>
        <v>3.2594235033259422E-2</v>
      </c>
      <c r="I41" s="165">
        <f>SUM($G$7:G41)</f>
        <v>2002</v>
      </c>
      <c r="J41" s="160">
        <f t="shared" si="3"/>
        <v>0.44390243902439025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47</v>
      </c>
      <c r="E42" s="176">
        <f t="shared" si="5"/>
        <v>5</v>
      </c>
      <c r="F42" s="156">
        <f t="shared" si="4"/>
        <v>54</v>
      </c>
      <c r="G42" s="157">
        <f>IF(D42=D41,"",_xlfn.IFNA(VLOOKUP(D42,'202306'!$BT$5:$BW$55,4,FALSE),0))</f>
        <v>142</v>
      </c>
      <c r="H42" s="158">
        <f t="shared" si="2"/>
        <v>3.148558758314856E-2</v>
      </c>
      <c r="I42" s="165">
        <f>SUM($G$7:G42)</f>
        <v>2144</v>
      </c>
      <c r="J42" s="160">
        <f t="shared" si="3"/>
        <v>0.47538802660753882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46</v>
      </c>
      <c r="E43" s="176">
        <f t="shared" si="5"/>
        <v>5</v>
      </c>
      <c r="F43" s="156">
        <f t="shared" si="4"/>
        <v>51</v>
      </c>
      <c r="G43" s="157">
        <f>IF(D43=D42,"",_xlfn.IFNA(VLOOKUP(D43,'202306'!$BT$5:$BW$55,4,FALSE),0))</f>
        <v>146</v>
      </c>
      <c r="H43" s="158">
        <f t="shared" si="2"/>
        <v>3.237250554323725E-2</v>
      </c>
      <c r="I43" s="165">
        <f>SUM($G$7:G43)</f>
        <v>2290</v>
      </c>
      <c r="J43" s="160">
        <f t="shared" si="3"/>
        <v>0.5077605321507761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45</v>
      </c>
      <c r="E44" s="319">
        <f t="shared" si="5"/>
        <v>5</v>
      </c>
      <c r="F44" s="309">
        <f t="shared" si="4"/>
        <v>44</v>
      </c>
      <c r="G44" s="311">
        <f>IF(D44=D43,"",_xlfn.IFNA(VLOOKUP(D44,'202306'!$BT$5:$BW$55,4,FALSE),0))</f>
        <v>510</v>
      </c>
      <c r="H44" s="313">
        <f t="shared" si="2"/>
        <v>0.1130820399113082</v>
      </c>
      <c r="I44" s="315">
        <f>SUM($G$7:G44)</f>
        <v>2800</v>
      </c>
      <c r="J44" s="317">
        <f t="shared" si="3"/>
        <v>0.62084257206208426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44</v>
      </c>
      <c r="E46" s="176">
        <f t="shared" si="5"/>
        <v>6</v>
      </c>
      <c r="F46" s="156">
        <f t="shared" si="4"/>
        <v>36</v>
      </c>
      <c r="G46" s="157">
        <f>IF(D46=D45,"",_xlfn.IFNA(VLOOKUP(D46,'202306'!$BT$5:$BW$55,4,FALSE),0))</f>
        <v>188</v>
      </c>
      <c r="H46" s="158">
        <f t="shared" si="2"/>
        <v>4.1685144124168516E-2</v>
      </c>
      <c r="I46" s="165">
        <f>SUM($G$7:G46)</f>
        <v>2988</v>
      </c>
      <c r="J46" s="160">
        <f t="shared" si="3"/>
        <v>0.66252771618625272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43</v>
      </c>
      <c r="E47" s="176">
        <f t="shared" si="5"/>
        <v>6</v>
      </c>
      <c r="F47" s="156">
        <f t="shared" si="4"/>
        <v>27</v>
      </c>
      <c r="G47" s="157">
        <f>IF(D47=D46,"",_xlfn.IFNA(VLOOKUP(D47,'202306'!$BT$5:$BW$55,4,FALSE),0))</f>
        <v>596</v>
      </c>
      <c r="H47" s="158">
        <f t="shared" si="2"/>
        <v>0.13215077605321507</v>
      </c>
      <c r="I47" s="165">
        <f>SUM($G$7:G47)</f>
        <v>3584</v>
      </c>
      <c r="J47" s="160">
        <f t="shared" si="3"/>
        <v>0.79467849223946785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42</v>
      </c>
      <c r="E48" s="176">
        <f t="shared" si="5"/>
        <v>7</v>
      </c>
      <c r="F48" s="156">
        <f t="shared" si="4"/>
        <v>19</v>
      </c>
      <c r="G48" s="157">
        <f>IF(D48=D47,"",_xlfn.IFNA(VLOOKUP(D48,'202306'!$BT$5:$BW$55,4,FALSE),0))</f>
        <v>177</v>
      </c>
      <c r="H48" s="158">
        <f t="shared" si="2"/>
        <v>3.9246119733924612E-2</v>
      </c>
      <c r="I48" s="165">
        <f>SUM($G$7:G48)</f>
        <v>3761</v>
      </c>
      <c r="J48" s="160">
        <f t="shared" si="3"/>
        <v>0.83392461197339252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41</v>
      </c>
      <c r="E49" s="176">
        <f t="shared" si="5"/>
        <v>7</v>
      </c>
      <c r="F49" s="156">
        <f t="shared" si="4"/>
        <v>14</v>
      </c>
      <c r="G49" s="157">
        <f>IF(D49=D48,"",_xlfn.IFNA(VLOOKUP(D49,'202306'!$BT$5:$BW$55,4,FALSE),0))</f>
        <v>220</v>
      </c>
      <c r="H49" s="158">
        <f t="shared" si="2"/>
        <v>4.878048780487805E-2</v>
      </c>
      <c r="I49" s="165">
        <f>SUM($G$7:G49)</f>
        <v>3981</v>
      </c>
      <c r="J49" s="160">
        <f t="shared" si="3"/>
        <v>0.8827050997782705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40</v>
      </c>
      <c r="E50" s="176">
        <f t="shared" si="5"/>
        <v>7</v>
      </c>
      <c r="F50" s="156">
        <f t="shared" si="4"/>
        <v>10</v>
      </c>
      <c r="G50" s="157">
        <f>IF(D50=D49,"",_xlfn.IFNA(VLOOKUP(D50,'202306'!$BT$5:$BW$55,4,FALSE),0))</f>
        <v>185</v>
      </c>
      <c r="H50" s="158">
        <f t="shared" si="2"/>
        <v>4.1019955654101999E-2</v>
      </c>
      <c r="I50" s="165">
        <f>SUM($G$7:G50)</f>
        <v>4166</v>
      </c>
      <c r="J50" s="160">
        <f t="shared" si="3"/>
        <v>0.92372505543237249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319">
        <f t="shared" si="1"/>
        <v>39</v>
      </c>
      <c r="E51" s="319">
        <f t="shared" si="5"/>
        <v>8</v>
      </c>
      <c r="F51" s="309">
        <f t="shared" si="4"/>
        <v>6</v>
      </c>
      <c r="G51" s="311">
        <f>IF(D51=D50,"",_xlfn.IFNA(VLOOKUP(D51,'202306'!$BT$5:$BW$55,4,FALSE),0))</f>
        <v>187</v>
      </c>
      <c r="H51" s="313">
        <f t="shared" si="2"/>
        <v>4.1463414634146344E-2</v>
      </c>
      <c r="I51" s="315">
        <f>SUM($G$7:G51)</f>
        <v>4353</v>
      </c>
      <c r="J51" s="317">
        <f t="shared" si="3"/>
        <v>0.96518847006651887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320"/>
      <c r="E52" s="320"/>
      <c r="F52" s="310"/>
      <c r="G52" s="312"/>
      <c r="H52" s="314"/>
      <c r="I52" s="316"/>
      <c r="J52" s="318"/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38</v>
      </c>
      <c r="E53" s="155">
        <f t="shared" si="5"/>
        <v>9</v>
      </c>
      <c r="F53" s="156">
        <f t="shared" si="4"/>
        <v>3</v>
      </c>
      <c r="G53" s="157">
        <f>IF(D53=D52,"",_xlfn.IFNA(VLOOKUP(D53,'202306'!$BT$5:$BW$55,4,FALSE),0))</f>
        <v>58</v>
      </c>
      <c r="H53" s="158">
        <f t="shared" si="2"/>
        <v>1.2860310421286032E-2</v>
      </c>
      <c r="I53" s="165">
        <f>SUM($G$7:G53)</f>
        <v>4411</v>
      </c>
      <c r="J53" s="160">
        <f t="shared" si="3"/>
        <v>0.97804878048780486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37</v>
      </c>
      <c r="E54" s="155">
        <f t="shared" si="5"/>
        <v>9</v>
      </c>
      <c r="F54" s="156">
        <f t="shared" si="4"/>
        <v>2</v>
      </c>
      <c r="G54" s="157">
        <f>IF(D54=D53,"",_xlfn.IFNA(VLOOKUP(D54,'202306'!$BT$5:$BW$55,4,FALSE),0))</f>
        <v>35</v>
      </c>
      <c r="H54" s="158">
        <f t="shared" si="2"/>
        <v>7.7605321507760536E-3</v>
      </c>
      <c r="I54" s="165">
        <f>SUM($G$7:G54)</f>
        <v>4446</v>
      </c>
      <c r="J54" s="160">
        <f t="shared" si="3"/>
        <v>0.98580931263858096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36</v>
      </c>
      <c r="E55" s="155">
        <f t="shared" si="5"/>
        <v>9</v>
      </c>
      <c r="F55" s="156">
        <f t="shared" si="4"/>
        <v>1</v>
      </c>
      <c r="G55" s="157">
        <f>IF(D55=D54,"",_xlfn.IFNA(VLOOKUP(D55,'202306'!$BT$5:$BW$55,4,FALSE),0))</f>
        <v>47</v>
      </c>
      <c r="H55" s="158">
        <f t="shared" si="2"/>
        <v>1.0421286031042129E-2</v>
      </c>
      <c r="I55" s="165">
        <f>SUM($G$7:G55)</f>
        <v>4493</v>
      </c>
      <c r="J55" s="160">
        <f t="shared" si="3"/>
        <v>0.99623059866962305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34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_xlfn.IFNA(VLOOKUP(D57,'202306'!$BT$5:$BW$55,4,FALSE),0)</f>
        <v>17</v>
      </c>
      <c r="H57" s="173">
        <f>G57/J3</f>
        <v>3.7694013303769401E-3</v>
      </c>
      <c r="I57" s="174">
        <f>SUM($G$7:G57)</f>
        <v>4510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46">
    <mergeCell ref="I51:I52"/>
    <mergeCell ref="J51:J52"/>
    <mergeCell ref="D51:D52"/>
    <mergeCell ref="E51:E52"/>
    <mergeCell ref="F51:F52"/>
    <mergeCell ref="G51:G52"/>
    <mergeCell ref="H51:H52"/>
    <mergeCell ref="I36:I37"/>
    <mergeCell ref="J36:J37"/>
    <mergeCell ref="D44:D45"/>
    <mergeCell ref="E44:E45"/>
    <mergeCell ref="F44:F45"/>
    <mergeCell ref="G44:G45"/>
    <mergeCell ref="H44:H45"/>
    <mergeCell ref="I44:I45"/>
    <mergeCell ref="J44:J45"/>
    <mergeCell ref="D36:D37"/>
    <mergeCell ref="E36:E37"/>
    <mergeCell ref="F36:F37"/>
    <mergeCell ref="G36:G37"/>
    <mergeCell ref="H36:H37"/>
    <mergeCell ref="I21:I22"/>
    <mergeCell ref="J21:J22"/>
    <mergeCell ref="D28:D29"/>
    <mergeCell ref="E28:E29"/>
    <mergeCell ref="F28:F29"/>
    <mergeCell ref="G28:G29"/>
    <mergeCell ref="H28:H29"/>
    <mergeCell ref="I28:I29"/>
    <mergeCell ref="J28:J29"/>
    <mergeCell ref="D3:F3"/>
    <mergeCell ref="D4:F4"/>
    <mergeCell ref="D56:J56"/>
    <mergeCell ref="D8:J8"/>
    <mergeCell ref="D13:D14"/>
    <mergeCell ref="E13:E14"/>
    <mergeCell ref="F13:F14"/>
    <mergeCell ref="G13:G14"/>
    <mergeCell ref="H13:H14"/>
    <mergeCell ref="I13:I14"/>
    <mergeCell ref="J13:J14"/>
    <mergeCell ref="D21:D22"/>
    <mergeCell ref="E21:E22"/>
    <mergeCell ref="F21:F22"/>
    <mergeCell ref="G21:G22"/>
    <mergeCell ref="H21:H22"/>
  </mergeCells>
  <phoneticPr fontId="1" type="noConversion"/>
  <conditionalFormatting sqref="D7:J7 D57:J57 D9:J13 D15:J21 D23:J28 D30:J36 D38:J44 D46:J51 D53:J55">
    <cfRule type="expression" dxfId="62" priority="7">
      <formula>OR($D7=$P$7:$P$14)</formula>
    </cfRule>
  </conditionalFormatting>
  <conditionalFormatting sqref="C7:C57">
    <cfRule type="expression" dxfId="61" priority="6">
      <formula>OR(AND($D7=0,OR($D6=$P$7:$P$14)),AND($D8&gt;0,OR($D7=$P$7:$P$14)))</formula>
    </cfRule>
  </conditionalFormatting>
  <conditionalFormatting sqref="D7 D57 D9:D13 D15:D21 D23:D28 D30:D36 D38:D44 D46:D51 D53:D55">
    <cfRule type="expression" dxfId="60" priority="5">
      <formula>$D7=$D8</formula>
    </cfRule>
  </conditionalFormatting>
  <conditionalFormatting sqref="D56">
    <cfRule type="expression" dxfId="59" priority="4">
      <formula>OR($D56=$P$7:$P$14)</formula>
    </cfRule>
  </conditionalFormatting>
  <conditionalFormatting sqref="D56">
    <cfRule type="expression" dxfId="58" priority="3">
      <formula>$D56=$D57</formula>
    </cfRule>
  </conditionalFormatting>
  <conditionalFormatting sqref="D8">
    <cfRule type="expression" dxfId="57" priority="2">
      <formula>OR($D8=$P$7:$P$14)</formula>
    </cfRule>
  </conditionalFormatting>
  <conditionalFormatting sqref="D8">
    <cfRule type="expression" dxfId="56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0495-449F-4BC5-BA70-35C2DCD72EF8}">
  <sheetPr codeName="Sheet22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기능'!D19</f>
        <v>17.649999999999999</v>
      </c>
      <c r="I3" s="10" t="s">
        <v>98</v>
      </c>
      <c r="J3" s="145">
        <f>'통계 및 응시자 수 입력 기능'!C19</f>
        <v>7943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108</v>
      </c>
      <c r="E4" s="302"/>
      <c r="F4" s="303"/>
      <c r="G4" s="147" t="s">
        <v>101</v>
      </c>
      <c r="H4" s="148">
        <f>'통계 및 응시자 수 입력 기능'!E19</f>
        <v>12.88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75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_xlfn.IFNA(VLOOKUP(D7,'202306'!$BY$5:$CB$55,4,FALSE),0)</f>
        <v>139</v>
      </c>
      <c r="H7" s="158">
        <f>G7/J3</f>
        <v>1.7499685257459398E-2</v>
      </c>
      <c r="I7" s="159">
        <f>G7</f>
        <v>139</v>
      </c>
      <c r="J7" s="160">
        <f>I7/J3</f>
        <v>1.7499685257459398E-2</v>
      </c>
      <c r="K7" s="14"/>
      <c r="M7" s="1"/>
      <c r="O7" s="1">
        <v>1</v>
      </c>
      <c r="P7" s="1">
        <f>'표준점수 등급컷 입력기능'!H54</f>
        <v>73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입력기능'!H55</f>
        <v>67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74</v>
      </c>
      <c r="E9" s="155">
        <f t="shared" si="0"/>
        <v>1</v>
      </c>
      <c r="F9" s="156">
        <f>IF(I8=0,ROUND(100*(1-(I7+I9)/2/$J$3),0),ROUND(100*(1-(I8+I9)/2/$J$3),0))</f>
        <v>98</v>
      </c>
      <c r="G9" s="157">
        <f>_xlfn.IFNA(VLOOKUP(D9,'202306'!$BY$5:$CB$55,4,FALSE),0)</f>
        <v>78</v>
      </c>
      <c r="H9" s="158">
        <f>G9/$J$3</f>
        <v>9.8199672667757774E-3</v>
      </c>
      <c r="I9" s="165">
        <f>SUM($G$7:G9)</f>
        <v>217</v>
      </c>
      <c r="J9" s="160">
        <f>I9/$J$3</f>
        <v>2.7319652524235176E-2</v>
      </c>
      <c r="K9" s="14"/>
      <c r="M9" s="1"/>
      <c r="O9" s="1">
        <v>3</v>
      </c>
      <c r="P9" s="1">
        <f>'표준점수 등급컷 입력기능'!H56</f>
        <v>56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73</v>
      </c>
      <c r="E10" s="155">
        <f t="shared" si="0"/>
        <v>1</v>
      </c>
      <c r="F10" s="156">
        <f>IF(I9=0,ROUND(100*(1-(I8+I10)/2/$J$3),0),ROUND(100*(1-(I9+I10)/2/$J$3),0))</f>
        <v>97</v>
      </c>
      <c r="G10" s="157">
        <f>IF(D10=D9,"",_xlfn.IFNA(VLOOKUP(D10,'202306'!$BY$5:$CB$55,4,FALSE),0))</f>
        <v>110</v>
      </c>
      <c r="H10" s="158">
        <f t="shared" ref="H10:H55" si="2">G10/$J$3</f>
        <v>1.384867178647866E-2</v>
      </c>
      <c r="I10" s="165">
        <f>SUM($G$7:G10)</f>
        <v>327</v>
      </c>
      <c r="J10" s="160">
        <f t="shared" ref="J10:J55" si="3">I10/$J$3</f>
        <v>4.1168324310713836E-2</v>
      </c>
      <c r="K10" s="14"/>
      <c r="M10" s="1"/>
      <c r="O10" s="1">
        <v>4</v>
      </c>
      <c r="P10" s="1">
        <f>'표준점수 등급컷 입력기능'!H57</f>
        <v>48</v>
      </c>
    </row>
    <row r="11" spans="1:16" ht="25" customHeight="1" x14ac:dyDescent="0.45">
      <c r="A11" s="4"/>
      <c r="B11" s="13"/>
      <c r="C11" s="154">
        <v>46</v>
      </c>
      <c r="D11" s="155">
        <f t="shared" si="1"/>
        <v>72</v>
      </c>
      <c r="E11" s="155">
        <f t="shared" si="0"/>
        <v>2</v>
      </c>
      <c r="F11" s="156">
        <f t="shared" ref="F11:F55" si="4">IF(I10=0,ROUND(100*(1-(I9+I11)/2/$J$3),0),ROUND(100*(1-(I10+I11)/2/$J$3),0))</f>
        <v>96</v>
      </c>
      <c r="G11" s="157">
        <f>IF(D11=D10,"",_xlfn.IFNA(VLOOKUP(D11,'202306'!$BY$5:$CB$55,4,FALSE),0))</f>
        <v>20</v>
      </c>
      <c r="H11" s="158">
        <f t="shared" si="2"/>
        <v>2.517940324814302E-3</v>
      </c>
      <c r="I11" s="165">
        <f>SUM($G$7:G11)</f>
        <v>347</v>
      </c>
      <c r="J11" s="160">
        <f t="shared" si="3"/>
        <v>4.3686264635528139E-2</v>
      </c>
      <c r="K11" s="14"/>
      <c r="M11" s="1"/>
      <c r="O11" s="1">
        <v>5</v>
      </c>
      <c r="P11" s="1">
        <f>'표준점수 등급컷 입력기능'!H58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71</v>
      </c>
      <c r="E12" s="155">
        <f t="shared" si="0"/>
        <v>2</v>
      </c>
      <c r="F12" s="156">
        <f t="shared" si="4"/>
        <v>95</v>
      </c>
      <c r="G12" s="157">
        <f>IF(D12=D11,"",_xlfn.IFNA(VLOOKUP(D12,'202306'!$BY$5:$CB$55,4,FALSE),0))</f>
        <v>154</v>
      </c>
      <c r="H12" s="158">
        <f t="shared" si="2"/>
        <v>1.9388140501070125E-2</v>
      </c>
      <c r="I12" s="165">
        <f>SUM($G$7:G12)</f>
        <v>501</v>
      </c>
      <c r="J12" s="160">
        <f t="shared" si="3"/>
        <v>6.3074405136598261E-2</v>
      </c>
      <c r="K12" s="14"/>
      <c r="M12" s="1"/>
      <c r="O12" s="1">
        <v>6</v>
      </c>
      <c r="P12" s="1">
        <f>'표준점수 등급컷 입력기능'!H59</f>
        <v>43</v>
      </c>
    </row>
    <row r="13" spans="1:16" ht="25" customHeight="1" x14ac:dyDescent="0.45">
      <c r="A13" s="4"/>
      <c r="B13" s="13"/>
      <c r="C13" s="154">
        <v>44</v>
      </c>
      <c r="D13" s="307">
        <f t="shared" si="1"/>
        <v>70</v>
      </c>
      <c r="E13" s="307">
        <f t="shared" si="0"/>
        <v>2</v>
      </c>
      <c r="F13" s="309">
        <f t="shared" si="4"/>
        <v>93</v>
      </c>
      <c r="G13" s="311">
        <f>IF(D13=D12,"",_xlfn.IFNA(VLOOKUP(D13,'202306'!$BY$5:$CB$55,4,FALSE),0))</f>
        <v>152</v>
      </c>
      <c r="H13" s="313">
        <f t="shared" si="2"/>
        <v>1.9136346468588694E-2</v>
      </c>
      <c r="I13" s="315">
        <f>SUM($G$7:G13)</f>
        <v>653</v>
      </c>
      <c r="J13" s="317">
        <f t="shared" si="3"/>
        <v>8.2210751605186955E-2</v>
      </c>
      <c r="K13" s="14"/>
      <c r="M13" s="1"/>
      <c r="O13" s="1">
        <v>7</v>
      </c>
      <c r="P13" s="1">
        <f>'표준점수 등급컷 입력기능'!H60</f>
        <v>41</v>
      </c>
    </row>
    <row r="14" spans="1:16" ht="25" customHeight="1" x14ac:dyDescent="0.45">
      <c r="A14" s="4"/>
      <c r="B14" s="13"/>
      <c r="C14" s="161">
        <v>43</v>
      </c>
      <c r="D14" s="308"/>
      <c r="E14" s="308"/>
      <c r="F14" s="310"/>
      <c r="G14" s="312"/>
      <c r="H14" s="314"/>
      <c r="I14" s="316"/>
      <c r="J14" s="318"/>
      <c r="K14" s="14"/>
      <c r="M14" s="1"/>
      <c r="O14" s="1">
        <v>8</v>
      </c>
      <c r="P14" s="1">
        <f>'표준점수 등급컷 입력기능'!H61</f>
        <v>40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69</v>
      </c>
      <c r="E15" s="155">
        <f t="shared" si="0"/>
        <v>2</v>
      </c>
      <c r="F15" s="156">
        <f t="shared" si="4"/>
        <v>91</v>
      </c>
      <c r="G15" s="157">
        <f>IF(D15=D14,"",_xlfn.IFNA(VLOOKUP(D15,'202306'!$BY$5:$CB$55,4,FALSE),0))</f>
        <v>137</v>
      </c>
      <c r="H15" s="158">
        <f t="shared" si="2"/>
        <v>1.7247891224977968E-2</v>
      </c>
      <c r="I15" s="165">
        <f>SUM($G$7:G15)</f>
        <v>790</v>
      </c>
      <c r="J15" s="160">
        <f t="shared" si="3"/>
        <v>9.9458642830164923E-2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68</v>
      </c>
      <c r="E16" s="155">
        <f t="shared" si="0"/>
        <v>2</v>
      </c>
      <c r="F16" s="156">
        <f t="shared" si="4"/>
        <v>90</v>
      </c>
      <c r="G16" s="157">
        <f>IF(D16=D15,"",_xlfn.IFNA(VLOOKUP(D16,'202306'!$BY$5:$CB$55,4,FALSE),0))</f>
        <v>69</v>
      </c>
      <c r="H16" s="158">
        <f t="shared" si="2"/>
        <v>8.6868941206093408E-3</v>
      </c>
      <c r="I16" s="165">
        <f>SUM($G$7:G16)</f>
        <v>859</v>
      </c>
      <c r="J16" s="160">
        <f t="shared" si="3"/>
        <v>0.10814553695077427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7">
        <f t="shared" si="1"/>
        <v>67</v>
      </c>
      <c r="E17" s="307">
        <f t="shared" si="0"/>
        <v>2</v>
      </c>
      <c r="F17" s="309">
        <f t="shared" si="4"/>
        <v>88</v>
      </c>
      <c r="G17" s="311">
        <f>IF(D17=D16,"",_xlfn.IFNA(VLOOKUP(D17,'202306'!$BY$5:$CB$55,4,FALSE),0))</f>
        <v>172</v>
      </c>
      <c r="H17" s="313">
        <f t="shared" si="2"/>
        <v>2.1654286793402998E-2</v>
      </c>
      <c r="I17" s="315">
        <f>SUM($G$7:G17)</f>
        <v>1031</v>
      </c>
      <c r="J17" s="317">
        <f t="shared" si="3"/>
        <v>0.12979982374417726</v>
      </c>
      <c r="K17" s="14"/>
      <c r="M17" s="1"/>
      <c r="P17" s="1">
        <f>H3*H4*J3*P7*IFERROR(IF(J57=1, 1, 0), 0)</f>
        <v>131815959.54799999</v>
      </c>
    </row>
    <row r="18" spans="1:16" ht="25" customHeight="1" x14ac:dyDescent="0.45">
      <c r="A18" s="4"/>
      <c r="B18" s="13"/>
      <c r="C18" s="161">
        <v>39</v>
      </c>
      <c r="D18" s="308"/>
      <c r="E18" s="308"/>
      <c r="F18" s="310"/>
      <c r="G18" s="312"/>
      <c r="H18" s="314"/>
      <c r="I18" s="316"/>
      <c r="J18" s="318"/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66</v>
      </c>
      <c r="E19" s="155">
        <f t="shared" si="0"/>
        <v>3</v>
      </c>
      <c r="F19" s="156">
        <f t="shared" si="4"/>
        <v>87</v>
      </c>
      <c r="G19" s="157">
        <f>IF(D19=D18,"",_xlfn.IFNA(VLOOKUP(D19,'202306'!$BY$5:$CB$55,4,FALSE),0))</f>
        <v>56</v>
      </c>
      <c r="H19" s="158">
        <f t="shared" si="2"/>
        <v>7.0502329094800451E-3</v>
      </c>
      <c r="I19" s="165">
        <f>SUM($G$7:G19)</f>
        <v>1087</v>
      </c>
      <c r="J19" s="160">
        <f t="shared" si="3"/>
        <v>0.13685005665365732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65</v>
      </c>
      <c r="E20" s="155">
        <f t="shared" si="0"/>
        <v>3</v>
      </c>
      <c r="F20" s="156">
        <f t="shared" si="4"/>
        <v>86</v>
      </c>
      <c r="G20" s="157">
        <f>IF(D20=D19,"",_xlfn.IFNA(VLOOKUP(D20,'202306'!$BY$5:$CB$55,4,FALSE),0))</f>
        <v>83</v>
      </c>
      <c r="H20" s="158">
        <f t="shared" si="2"/>
        <v>1.0449452347979353E-2</v>
      </c>
      <c r="I20" s="165">
        <f>SUM($G$7:G20)</f>
        <v>1170</v>
      </c>
      <c r="J20" s="160">
        <f t="shared" si="3"/>
        <v>0.14729950900163666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64</v>
      </c>
      <c r="E21" s="176">
        <f t="shared" si="0"/>
        <v>3</v>
      </c>
      <c r="F21" s="156">
        <f t="shared" si="4"/>
        <v>85</v>
      </c>
      <c r="G21" s="157">
        <f>IF(D21=D20,"",_xlfn.IFNA(VLOOKUP(D21,'202306'!$BY$5:$CB$55,4,FALSE),0))</f>
        <v>58</v>
      </c>
      <c r="H21" s="158">
        <f t="shared" si="2"/>
        <v>7.3020269419614755E-3</v>
      </c>
      <c r="I21" s="165">
        <f>SUM($G$7:G21)</f>
        <v>1228</v>
      </c>
      <c r="J21" s="160">
        <f t="shared" si="3"/>
        <v>0.15460153594359813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319">
        <f t="shared" si="1"/>
        <v>63</v>
      </c>
      <c r="E22" s="319">
        <f t="shared" si="0"/>
        <v>3</v>
      </c>
      <c r="F22" s="309">
        <f t="shared" si="4"/>
        <v>84</v>
      </c>
      <c r="G22" s="311">
        <f>IF(D22=D21,"",_xlfn.IFNA(VLOOKUP(D22,'202306'!$BY$5:$CB$55,4,FALSE),0))</f>
        <v>125</v>
      </c>
      <c r="H22" s="313">
        <f t="shared" si="2"/>
        <v>1.5737127030089386E-2</v>
      </c>
      <c r="I22" s="315">
        <f>SUM($G$7:G22)</f>
        <v>1353</v>
      </c>
      <c r="J22" s="317">
        <f t="shared" si="3"/>
        <v>0.17033866297368752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320"/>
      <c r="E23" s="320"/>
      <c r="F23" s="310"/>
      <c r="G23" s="312"/>
      <c r="H23" s="314"/>
      <c r="I23" s="316"/>
      <c r="J23" s="318"/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62</v>
      </c>
      <c r="E24" s="176">
        <f t="shared" si="0"/>
        <v>3</v>
      </c>
      <c r="F24" s="156">
        <f t="shared" si="4"/>
        <v>83</v>
      </c>
      <c r="G24" s="157">
        <f>IF(D24=D23,"",_xlfn.IFNA(VLOOKUP(D24,'202306'!$BY$5:$CB$55,4,FALSE),0))</f>
        <v>47</v>
      </c>
      <c r="H24" s="158">
        <f t="shared" si="2"/>
        <v>5.9171597633136093E-3</v>
      </c>
      <c r="I24" s="165">
        <f>SUM($G$7:G24)</f>
        <v>1400</v>
      </c>
      <c r="J24" s="160">
        <f t="shared" si="3"/>
        <v>0.17625582273700113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61</v>
      </c>
      <c r="E25" s="176">
        <f t="shared" si="0"/>
        <v>3</v>
      </c>
      <c r="F25" s="156">
        <f t="shared" si="4"/>
        <v>82</v>
      </c>
      <c r="G25" s="157">
        <f>IF(D25=D24,"",_xlfn.IFNA(VLOOKUP(D25,'202306'!$BY$5:$CB$55,4,FALSE),0))</f>
        <v>63</v>
      </c>
      <c r="H25" s="158">
        <f t="shared" si="2"/>
        <v>7.9315120231650514E-3</v>
      </c>
      <c r="I25" s="165">
        <f>SUM($G$7:G25)</f>
        <v>1463</v>
      </c>
      <c r="J25" s="160">
        <f t="shared" si="3"/>
        <v>0.18418733476016619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19">
        <f t="shared" si="1"/>
        <v>60</v>
      </c>
      <c r="E26" s="319">
        <f t="shared" si="0"/>
        <v>3</v>
      </c>
      <c r="F26" s="309">
        <f t="shared" si="4"/>
        <v>81</v>
      </c>
      <c r="G26" s="311">
        <f>IF(D26=D25,"",_xlfn.IFNA(VLOOKUP(D26,'202306'!$BY$5:$CB$55,4,FALSE),0))</f>
        <v>102</v>
      </c>
      <c r="H26" s="313">
        <f t="shared" si="2"/>
        <v>1.284149565655294E-2</v>
      </c>
      <c r="I26" s="315">
        <f>SUM($G$7:G26)</f>
        <v>1565</v>
      </c>
      <c r="J26" s="317">
        <f t="shared" si="3"/>
        <v>0.19702883041671912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320"/>
      <c r="E27" s="320"/>
      <c r="F27" s="310"/>
      <c r="G27" s="312"/>
      <c r="H27" s="314"/>
      <c r="I27" s="316"/>
      <c r="J27" s="318"/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59</v>
      </c>
      <c r="E28" s="176">
        <f t="shared" si="0"/>
        <v>3</v>
      </c>
      <c r="F28" s="156">
        <f t="shared" si="4"/>
        <v>80</v>
      </c>
      <c r="G28" s="157">
        <f>IF(D28=D27,"",_xlfn.IFNA(VLOOKUP(D28,'202306'!$BY$5:$CB$55,4,FALSE),0))</f>
        <v>48</v>
      </c>
      <c r="H28" s="158">
        <f t="shared" si="2"/>
        <v>6.0430567795543245E-3</v>
      </c>
      <c r="I28" s="165">
        <f>SUM($G$7:G28)</f>
        <v>1613</v>
      </c>
      <c r="J28" s="160">
        <f t="shared" si="3"/>
        <v>0.20307188719627345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58</v>
      </c>
      <c r="E29" s="176">
        <f t="shared" si="0"/>
        <v>3</v>
      </c>
      <c r="F29" s="156">
        <f t="shared" si="4"/>
        <v>79</v>
      </c>
      <c r="G29" s="157">
        <f>IF(D29=D28,"",_xlfn.IFNA(VLOOKUP(D29,'202306'!$BY$5:$CB$55,4,FALSE),0))</f>
        <v>55</v>
      </c>
      <c r="H29" s="158">
        <f t="shared" si="2"/>
        <v>6.9243358932393299E-3</v>
      </c>
      <c r="I29" s="165">
        <f>SUM($G$7:G29)</f>
        <v>1668</v>
      </c>
      <c r="J29" s="160">
        <f t="shared" si="3"/>
        <v>0.20999622308951277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57</v>
      </c>
      <c r="E30" s="176">
        <f t="shared" si="0"/>
        <v>3</v>
      </c>
      <c r="F30" s="156">
        <f t="shared" si="4"/>
        <v>79</v>
      </c>
      <c r="G30" s="157">
        <f>IF(D30=D29,"",_xlfn.IFNA(VLOOKUP(D30,'202306'!$BY$5:$CB$55,4,FALSE),0))</f>
        <v>58</v>
      </c>
      <c r="H30" s="158">
        <f t="shared" si="2"/>
        <v>7.3020269419614755E-3</v>
      </c>
      <c r="I30" s="165">
        <f>SUM($G$7:G30)</f>
        <v>1726</v>
      </c>
      <c r="J30" s="160">
        <f t="shared" si="3"/>
        <v>0.21729825003147427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319">
        <f t="shared" si="1"/>
        <v>56</v>
      </c>
      <c r="E31" s="319">
        <f t="shared" si="0"/>
        <v>3</v>
      </c>
      <c r="F31" s="309">
        <f t="shared" si="4"/>
        <v>77</v>
      </c>
      <c r="G31" s="311">
        <f>IF(D31=D30,"",_xlfn.IFNA(VLOOKUP(D31,'202306'!$BY$5:$CB$55,4,FALSE),0))</f>
        <v>127</v>
      </c>
      <c r="H31" s="313">
        <f t="shared" si="2"/>
        <v>1.5988921062570816E-2</v>
      </c>
      <c r="I31" s="315">
        <f>SUM($G$7:G31)</f>
        <v>1853</v>
      </c>
      <c r="J31" s="317">
        <f t="shared" si="3"/>
        <v>0.23328717109404506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320"/>
      <c r="E32" s="320"/>
      <c r="F32" s="310"/>
      <c r="G32" s="312"/>
      <c r="H32" s="314"/>
      <c r="I32" s="316"/>
      <c r="J32" s="318"/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55</v>
      </c>
      <c r="E33" s="176">
        <f t="shared" si="0"/>
        <v>4</v>
      </c>
      <c r="F33" s="156">
        <f t="shared" si="4"/>
        <v>76</v>
      </c>
      <c r="G33" s="157">
        <f>IF(D33=D32,"",_xlfn.IFNA(VLOOKUP(D33,'202306'!$BY$5:$CB$55,4,FALSE),0))</f>
        <v>71</v>
      </c>
      <c r="H33" s="158">
        <f t="shared" si="2"/>
        <v>8.9386881530907712E-3</v>
      </c>
      <c r="I33" s="165">
        <f>SUM($G$7:G33)</f>
        <v>1924</v>
      </c>
      <c r="J33" s="160">
        <f t="shared" si="3"/>
        <v>0.24222585924713586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54</v>
      </c>
      <c r="E34" s="176">
        <f t="shared" si="0"/>
        <v>4</v>
      </c>
      <c r="F34" s="156">
        <f t="shared" si="4"/>
        <v>75</v>
      </c>
      <c r="G34" s="157">
        <f>IF(D34=D33,"",_xlfn.IFNA(VLOOKUP(D34,'202306'!$BY$5:$CB$55,4,FALSE),0))</f>
        <v>84</v>
      </c>
      <c r="H34" s="158">
        <f t="shared" si="2"/>
        <v>1.0575349364220069E-2</v>
      </c>
      <c r="I34" s="165">
        <f>SUM($G$7:G34)</f>
        <v>2008</v>
      </c>
      <c r="J34" s="160">
        <f t="shared" si="3"/>
        <v>0.25280120861135591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319">
        <f t="shared" si="1"/>
        <v>53</v>
      </c>
      <c r="E35" s="319">
        <f t="shared" si="0"/>
        <v>4</v>
      </c>
      <c r="F35" s="309">
        <f t="shared" si="4"/>
        <v>73</v>
      </c>
      <c r="G35" s="311">
        <f>IF(D35=D34,"",_xlfn.IFNA(VLOOKUP(D35,'202306'!$BY$5:$CB$55,4,FALSE),0))</f>
        <v>216</v>
      </c>
      <c r="H35" s="313">
        <f t="shared" si="2"/>
        <v>2.7193755507994459E-2</v>
      </c>
      <c r="I35" s="315">
        <f>SUM($G$7:G35)</f>
        <v>2224</v>
      </c>
      <c r="J35" s="317">
        <f t="shared" si="3"/>
        <v>0.27999496411935038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320"/>
      <c r="E36" s="320"/>
      <c r="F36" s="310"/>
      <c r="G36" s="312"/>
      <c r="H36" s="314"/>
      <c r="I36" s="316"/>
      <c r="J36" s="318"/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52</v>
      </c>
      <c r="E37" s="176">
        <f t="shared" si="0"/>
        <v>4</v>
      </c>
      <c r="F37" s="156">
        <f t="shared" si="4"/>
        <v>71</v>
      </c>
      <c r="G37" s="157">
        <f>IF(D37=D36,"",_xlfn.IFNA(VLOOKUP(D37,'202306'!$BY$5:$CB$55,4,FALSE),0))</f>
        <v>114</v>
      </c>
      <c r="H37" s="158">
        <f t="shared" si="2"/>
        <v>1.4352259851441521E-2</v>
      </c>
      <c r="I37" s="165">
        <f>SUM($G$7:G37)</f>
        <v>2338</v>
      </c>
      <c r="J37" s="160">
        <f t="shared" si="3"/>
        <v>0.29434722397079188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51</v>
      </c>
      <c r="E38" s="176">
        <f t="shared" si="0"/>
        <v>4</v>
      </c>
      <c r="F38" s="156">
        <f t="shared" si="4"/>
        <v>70</v>
      </c>
      <c r="G38" s="157">
        <f>IF(D38=D37,"",_xlfn.IFNA(VLOOKUP(D38,'202306'!$BY$5:$CB$55,4,FALSE),0))</f>
        <v>148</v>
      </c>
      <c r="H38" s="158">
        <f t="shared" si="2"/>
        <v>1.8632758403625833E-2</v>
      </c>
      <c r="I38" s="165">
        <f>SUM($G$7:G38)</f>
        <v>2486</v>
      </c>
      <c r="J38" s="160">
        <f t="shared" si="3"/>
        <v>0.31297998237441771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50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4</v>
      </c>
      <c r="F39" s="156">
        <f t="shared" si="4"/>
        <v>68</v>
      </c>
      <c r="G39" s="157">
        <f>IF(D39=D38,"",_xlfn.IFNA(VLOOKUP(D39,'202306'!$BY$5:$CB$55,4,FALSE),0))</f>
        <v>179</v>
      </c>
      <c r="H39" s="158">
        <f t="shared" si="2"/>
        <v>2.2535565907088002E-2</v>
      </c>
      <c r="I39" s="165">
        <f>SUM($G$7:G39)</f>
        <v>2665</v>
      </c>
      <c r="J39" s="160">
        <f t="shared" si="3"/>
        <v>0.3355155482815057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319">
        <f t="shared" si="1"/>
        <v>49</v>
      </c>
      <c r="E40" s="319">
        <f t="shared" si="5"/>
        <v>4</v>
      </c>
      <c r="F40" s="309">
        <f t="shared" si="4"/>
        <v>64</v>
      </c>
      <c r="G40" s="311">
        <f>IF(D40=D39,"",_xlfn.IFNA(VLOOKUP(D40,'202306'!$BY$5:$CB$55,4,FALSE),0))</f>
        <v>428</v>
      </c>
      <c r="H40" s="313">
        <f t="shared" si="2"/>
        <v>5.3883922951026057E-2</v>
      </c>
      <c r="I40" s="315">
        <f>SUM($G$7:G40)</f>
        <v>3093</v>
      </c>
      <c r="J40" s="317">
        <f t="shared" si="3"/>
        <v>0.38939947123253177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320"/>
      <c r="E41" s="320"/>
      <c r="F41" s="310"/>
      <c r="G41" s="312"/>
      <c r="H41" s="314"/>
      <c r="I41" s="316"/>
      <c r="J41" s="318"/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48</v>
      </c>
      <c r="E42" s="176">
        <f t="shared" si="5"/>
        <v>4</v>
      </c>
      <c r="F42" s="156">
        <f t="shared" si="4"/>
        <v>59</v>
      </c>
      <c r="G42" s="157">
        <f>IF(D42=D41,"",_xlfn.IFNA(VLOOKUP(D42,'202306'!$BY$5:$CB$55,4,FALSE),0))</f>
        <v>254</v>
      </c>
      <c r="H42" s="158">
        <f t="shared" si="2"/>
        <v>3.1977842125141633E-2</v>
      </c>
      <c r="I42" s="165">
        <f>SUM($G$7:G42)</f>
        <v>3347</v>
      </c>
      <c r="J42" s="160">
        <f t="shared" si="3"/>
        <v>0.42137731335767342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47</v>
      </c>
      <c r="E43" s="176">
        <f t="shared" si="5"/>
        <v>5</v>
      </c>
      <c r="F43" s="156">
        <f t="shared" si="4"/>
        <v>56</v>
      </c>
      <c r="G43" s="157">
        <f>IF(D43=D42,"",_xlfn.IFNA(VLOOKUP(D43,'202306'!$BY$5:$CB$55,4,FALSE),0))</f>
        <v>323</v>
      </c>
      <c r="H43" s="158">
        <f t="shared" si="2"/>
        <v>4.0664736245750975E-2</v>
      </c>
      <c r="I43" s="165">
        <f>SUM($G$7:G43)</f>
        <v>3670</v>
      </c>
      <c r="J43" s="160">
        <f t="shared" si="3"/>
        <v>0.46204204960342438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319">
        <f t="shared" si="1"/>
        <v>46</v>
      </c>
      <c r="E44" s="319">
        <f t="shared" si="5"/>
        <v>5</v>
      </c>
      <c r="F44" s="309">
        <f t="shared" si="4"/>
        <v>49</v>
      </c>
      <c r="G44" s="311">
        <f>IF(D44=D43,"",_xlfn.IFNA(VLOOKUP(D44,'202306'!$BY$5:$CB$55,4,FALSE),0))</f>
        <v>723</v>
      </c>
      <c r="H44" s="313">
        <f t="shared" si="2"/>
        <v>9.1023542742037014E-2</v>
      </c>
      <c r="I44" s="315">
        <f>SUM($G$7:G44)</f>
        <v>4393</v>
      </c>
      <c r="J44" s="317">
        <f t="shared" si="3"/>
        <v>0.55306559234546138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320"/>
      <c r="E45" s="320"/>
      <c r="F45" s="310"/>
      <c r="G45" s="312"/>
      <c r="H45" s="314"/>
      <c r="I45" s="316"/>
      <c r="J45" s="318"/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45</v>
      </c>
      <c r="E46" s="176">
        <f t="shared" si="5"/>
        <v>5</v>
      </c>
      <c r="F46" s="156">
        <f t="shared" si="4"/>
        <v>41</v>
      </c>
      <c r="G46" s="157">
        <f>IF(D46=D45,"",_xlfn.IFNA(VLOOKUP(D46,'202306'!$BY$5:$CB$55,4,FALSE),0))</f>
        <v>539</v>
      </c>
      <c r="H46" s="158">
        <f t="shared" si="2"/>
        <v>6.7858491753745434E-2</v>
      </c>
      <c r="I46" s="165">
        <f>SUM($G$7:G46)</f>
        <v>4932</v>
      </c>
      <c r="J46" s="160">
        <f t="shared" si="3"/>
        <v>0.62092408409920685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44</v>
      </c>
      <c r="E47" s="176">
        <f t="shared" si="5"/>
        <v>6</v>
      </c>
      <c r="F47" s="156">
        <f t="shared" si="4"/>
        <v>36</v>
      </c>
      <c r="G47" s="157">
        <f>IF(D47=D46,"",_xlfn.IFNA(VLOOKUP(D47,'202306'!$BY$5:$CB$55,4,FALSE),0))</f>
        <v>381</v>
      </c>
      <c r="H47" s="158">
        <f t="shared" si="2"/>
        <v>4.7966763187712452E-2</v>
      </c>
      <c r="I47" s="165">
        <f>SUM($G$7:G47)</f>
        <v>5313</v>
      </c>
      <c r="J47" s="160">
        <f t="shared" si="3"/>
        <v>0.66889084728691928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319">
        <f t="shared" si="1"/>
        <v>43</v>
      </c>
      <c r="E48" s="319">
        <f t="shared" si="5"/>
        <v>6</v>
      </c>
      <c r="F48" s="309">
        <f t="shared" si="4"/>
        <v>27</v>
      </c>
      <c r="G48" s="311">
        <f>IF(D48=D47,"",_xlfn.IFNA(VLOOKUP(D48,'202306'!$BY$5:$CB$55,4,FALSE),0))</f>
        <v>939</v>
      </c>
      <c r="H48" s="313">
        <f t="shared" si="2"/>
        <v>0.11821729825003148</v>
      </c>
      <c r="I48" s="315">
        <f>SUM($G$7:G48)</f>
        <v>6252</v>
      </c>
      <c r="J48" s="317">
        <f t="shared" si="3"/>
        <v>0.78710814553695074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320"/>
      <c r="E49" s="320"/>
      <c r="F49" s="310"/>
      <c r="G49" s="312"/>
      <c r="H49" s="314"/>
      <c r="I49" s="316"/>
      <c r="J49" s="318"/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42</v>
      </c>
      <c r="E50" s="176">
        <f t="shared" si="5"/>
        <v>7</v>
      </c>
      <c r="F50" s="156">
        <f t="shared" si="4"/>
        <v>17</v>
      </c>
      <c r="G50" s="157">
        <f>IF(D50=D49,"",_xlfn.IFNA(VLOOKUP(D50,'202306'!$BY$5:$CB$55,4,FALSE),0))</f>
        <v>677</v>
      </c>
      <c r="H50" s="158">
        <f t="shared" si="2"/>
        <v>8.5232279994964119E-2</v>
      </c>
      <c r="I50" s="165">
        <f>SUM($G$7:G50)</f>
        <v>6929</v>
      </c>
      <c r="J50" s="160">
        <f t="shared" si="3"/>
        <v>0.87234042553191493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41</v>
      </c>
      <c r="E51" s="176">
        <f t="shared" si="5"/>
        <v>7</v>
      </c>
      <c r="F51" s="156">
        <f t="shared" si="4"/>
        <v>10</v>
      </c>
      <c r="G51" s="157">
        <f>IF(D51=D50,"",_xlfn.IFNA(VLOOKUP(D51,'202306'!$BY$5:$CB$55,4,FALSE),0))</f>
        <v>502</v>
      </c>
      <c r="H51" s="158">
        <f t="shared" si="2"/>
        <v>6.3200302152838977E-2</v>
      </c>
      <c r="I51" s="165">
        <f>SUM($G$7:G51)</f>
        <v>7431</v>
      </c>
      <c r="J51" s="160">
        <f t="shared" si="3"/>
        <v>0.93554072768475383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40</v>
      </c>
      <c r="E52" s="176">
        <f t="shared" si="5"/>
        <v>8</v>
      </c>
      <c r="F52" s="156">
        <f t="shared" si="4"/>
        <v>5</v>
      </c>
      <c r="G52" s="157">
        <f>IF(D52=D51,"",_xlfn.IFNA(VLOOKUP(D52,'202306'!$BY$5:$CB$55,4,FALSE),0))</f>
        <v>210</v>
      </c>
      <c r="H52" s="158">
        <f t="shared" si="2"/>
        <v>2.6438373410550171E-2</v>
      </c>
      <c r="I52" s="165">
        <f>SUM($G$7:G52)</f>
        <v>7641</v>
      </c>
      <c r="J52" s="160">
        <f t="shared" si="3"/>
        <v>0.96197910109530405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307">
        <f t="shared" si="1"/>
        <v>39</v>
      </c>
      <c r="E53" s="307">
        <f t="shared" si="5"/>
        <v>9</v>
      </c>
      <c r="F53" s="309">
        <f t="shared" si="4"/>
        <v>3</v>
      </c>
      <c r="G53" s="311">
        <f>IF(D53=D52,"",_xlfn.IFNA(VLOOKUP(D53,'202306'!$BY$5:$CB$55,4,FALSE),0))</f>
        <v>206</v>
      </c>
      <c r="H53" s="313">
        <f t="shared" si="2"/>
        <v>2.5934785345587311E-2</v>
      </c>
      <c r="I53" s="315">
        <f>SUM($G$7:G53)</f>
        <v>7847</v>
      </c>
      <c r="J53" s="317">
        <f t="shared" si="3"/>
        <v>0.9879138864408914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308"/>
      <c r="E54" s="308"/>
      <c r="F54" s="310"/>
      <c r="G54" s="312"/>
      <c r="H54" s="314"/>
      <c r="I54" s="316"/>
      <c r="J54" s="318"/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38</v>
      </c>
      <c r="E55" s="155">
        <f t="shared" si="5"/>
        <v>9</v>
      </c>
      <c r="F55" s="156">
        <f t="shared" si="4"/>
        <v>1</v>
      </c>
      <c r="G55" s="157">
        <f>IF(D55=D54,"",_xlfn.IFNA(VLOOKUP(D55,'202306'!$BY$5:$CB$55,4,FALSE),0))</f>
        <v>76</v>
      </c>
      <c r="H55" s="158">
        <f t="shared" si="2"/>
        <v>9.5681732342943471E-3</v>
      </c>
      <c r="I55" s="165">
        <f>SUM($G$7:G55)</f>
        <v>7923</v>
      </c>
      <c r="J55" s="160">
        <f t="shared" si="3"/>
        <v>0.99748205967518566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36</v>
      </c>
      <c r="E57" s="170">
        <f t="shared" si="5"/>
        <v>9</v>
      </c>
      <c r="F57" s="171">
        <f>IF(I55=0,ROUND(100*(1-(I54+I57)/2/$J$3),0),ROUND(100*(1-(I55+I57)/2/$J$3),0))</f>
        <v>0</v>
      </c>
      <c r="G57" s="172">
        <f>_xlfn.IFNA(VLOOKUP(D57,'202306'!$BY$5:$CB$55,4,FALSE),0)</f>
        <v>20</v>
      </c>
      <c r="H57" s="173">
        <f>G57/J3</f>
        <v>2.517940324814302E-3</v>
      </c>
      <c r="I57" s="174">
        <f>SUM($G$7:G57)</f>
        <v>7943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74">
    <mergeCell ref="I53:I54"/>
    <mergeCell ref="J53:J54"/>
    <mergeCell ref="D53:D54"/>
    <mergeCell ref="E53:E54"/>
    <mergeCell ref="F53:F54"/>
    <mergeCell ref="G53:G54"/>
    <mergeCell ref="H53:H54"/>
    <mergeCell ref="I44:I45"/>
    <mergeCell ref="J44:J45"/>
    <mergeCell ref="D48:D49"/>
    <mergeCell ref="E48:E49"/>
    <mergeCell ref="F48:F49"/>
    <mergeCell ref="G48:G49"/>
    <mergeCell ref="H48:H49"/>
    <mergeCell ref="I48:I49"/>
    <mergeCell ref="J48:J49"/>
    <mergeCell ref="D44:D45"/>
    <mergeCell ref="E44:E45"/>
    <mergeCell ref="F44:F45"/>
    <mergeCell ref="G44:G45"/>
    <mergeCell ref="H44:H45"/>
    <mergeCell ref="I35:I36"/>
    <mergeCell ref="J35:J36"/>
    <mergeCell ref="D40:D41"/>
    <mergeCell ref="E40:E41"/>
    <mergeCell ref="F40:F41"/>
    <mergeCell ref="G40:G41"/>
    <mergeCell ref="H40:H41"/>
    <mergeCell ref="I40:I41"/>
    <mergeCell ref="J40:J41"/>
    <mergeCell ref="D35:D36"/>
    <mergeCell ref="E35:E36"/>
    <mergeCell ref="F35:F36"/>
    <mergeCell ref="G35:G36"/>
    <mergeCell ref="H35:H36"/>
    <mergeCell ref="I26:I27"/>
    <mergeCell ref="J26:J27"/>
    <mergeCell ref="D31:D32"/>
    <mergeCell ref="E31:E32"/>
    <mergeCell ref="F31:F32"/>
    <mergeCell ref="G31:G32"/>
    <mergeCell ref="H31:H32"/>
    <mergeCell ref="I31:I32"/>
    <mergeCell ref="J31:J32"/>
    <mergeCell ref="D26:D27"/>
    <mergeCell ref="E26:E27"/>
    <mergeCell ref="F26:F27"/>
    <mergeCell ref="G26:G27"/>
    <mergeCell ref="H26:H27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3:F3"/>
    <mergeCell ref="D4:F4"/>
    <mergeCell ref="D56:J56"/>
    <mergeCell ref="D8:J8"/>
    <mergeCell ref="D13:D14"/>
    <mergeCell ref="E13:E14"/>
    <mergeCell ref="F13:F14"/>
    <mergeCell ref="G13:G14"/>
    <mergeCell ref="H13:H14"/>
    <mergeCell ref="I13:I14"/>
    <mergeCell ref="J13:J14"/>
    <mergeCell ref="D17:D18"/>
    <mergeCell ref="E17:E18"/>
    <mergeCell ref="F17:F18"/>
    <mergeCell ref="G17:G18"/>
    <mergeCell ref="H17:H18"/>
  </mergeCells>
  <phoneticPr fontId="1" type="noConversion"/>
  <conditionalFormatting sqref="D7:J7 D57:J57 D9:J13 D15:J17 D19:J22 D24:J26 D28:J31 D33:J35 D37:J40 D42:J44 D46:J48 D50:J53 D55:J55">
    <cfRule type="expression" dxfId="55" priority="7">
      <formula>OR($D7=$P$7:$P$14)</formula>
    </cfRule>
  </conditionalFormatting>
  <conditionalFormatting sqref="C7:C57">
    <cfRule type="expression" dxfId="54" priority="6">
      <formula>OR(AND($D7=0,OR($D6=$P$7:$P$14)),AND($D8&gt;0,OR($D7=$P$7:$P$14)))</formula>
    </cfRule>
  </conditionalFormatting>
  <conditionalFormatting sqref="D7 D57 D9:D13 D15:D17 D19:D22 D24:D26 D28:D31 D33:D35 D37:D40 D42:D44 D46:D48 D50:D53 D55">
    <cfRule type="expression" dxfId="53" priority="5">
      <formula>$D7=$D8</formula>
    </cfRule>
  </conditionalFormatting>
  <conditionalFormatting sqref="D56">
    <cfRule type="expression" dxfId="52" priority="4">
      <formula>OR($D56=$P$7:$P$14)</formula>
    </cfRule>
  </conditionalFormatting>
  <conditionalFormatting sqref="D56">
    <cfRule type="expression" dxfId="51" priority="3">
      <formula>$D56=$D57</formula>
    </cfRule>
  </conditionalFormatting>
  <conditionalFormatting sqref="D8">
    <cfRule type="expression" dxfId="50" priority="2">
      <formula>OR($D8=$P$7:$P$14)</formula>
    </cfRule>
  </conditionalFormatting>
  <conditionalFormatting sqref="D8">
    <cfRule type="expression" dxfId="49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E5791-467D-444A-9581-5BC8EAF50717}">
  <sheetPr codeName="Sheet23"/>
  <dimension ref="A1:P105"/>
  <sheetViews>
    <sheetView topLeftCell="B1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기능'!D20</f>
        <v>17.669788760462335</v>
      </c>
      <c r="I3" s="10" t="s">
        <v>98</v>
      </c>
      <c r="J3" s="145">
        <f>'통계 및 응시자 수 입력 기능'!C20</f>
        <v>5018</v>
      </c>
      <c r="K3" s="14"/>
    </row>
    <row r="4" spans="1:16" ht="25" customHeight="1" thickBot="1" x14ac:dyDescent="0.5">
      <c r="A4" s="4"/>
      <c r="B4" s="13"/>
      <c r="C4" s="146" t="s">
        <v>99</v>
      </c>
      <c r="D4" s="301" t="s">
        <v>107</v>
      </c>
      <c r="E4" s="302"/>
      <c r="F4" s="303"/>
      <c r="G4" s="147" t="s">
        <v>101</v>
      </c>
      <c r="H4" s="148">
        <f>'통계 및 응시자 수 입력 기능'!E20</f>
        <v>9.1734519131680017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85</v>
      </c>
      <c r="E7" s="155">
        <f t="shared" ref="E7:E38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_xlfn.IFNA(VLOOKUP(D7,'202306'!$CD$5:$CG$55,4,FALSE),0)</f>
        <v>2</v>
      </c>
      <c r="H7" s="158">
        <f>G7/J3</f>
        <v>3.9856516540454366E-4</v>
      </c>
      <c r="I7" s="159">
        <f>G7</f>
        <v>2</v>
      </c>
      <c r="J7" s="160">
        <f>I7/J3</f>
        <v>3.9856516540454366E-4</v>
      </c>
      <c r="K7" s="14"/>
      <c r="M7" s="1"/>
      <c r="O7" s="1">
        <v>1</v>
      </c>
      <c r="P7" s="1">
        <f>'표준점수 등급컷 입력기능'!K54</f>
        <v>73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입력기능'!K55</f>
        <v>66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83</v>
      </c>
      <c r="E9" s="155">
        <f t="shared" si="0"/>
        <v>1</v>
      </c>
      <c r="F9" s="156">
        <f>IF(I8=0,ROUND(100*(1-(I7+I9)/2/$J$3),0),ROUND(100*(1-(I8+I9)/2/$J$3),0))</f>
        <v>100</v>
      </c>
      <c r="G9" s="157">
        <f>_xlfn.IFNA(VLOOKUP(D9,'202306'!$CD$5:$CG$55,4,FALSE),0)</f>
        <v>6</v>
      </c>
      <c r="H9" s="158">
        <f>G9/$J$3</f>
        <v>1.1956954962136308E-3</v>
      </c>
      <c r="I9" s="165">
        <f>SUM($G$7:G9)</f>
        <v>8</v>
      </c>
      <c r="J9" s="160">
        <f>I9/$J$3</f>
        <v>1.5942606616181746E-3</v>
      </c>
      <c r="K9" s="14"/>
      <c r="M9" s="1"/>
      <c r="O9" s="1">
        <v>3</v>
      </c>
      <c r="P9" s="1">
        <f>'표준점수 등급컷 입력기능'!K56</f>
        <v>55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82</v>
      </c>
      <c r="E10" s="155">
        <f t="shared" si="0"/>
        <v>1</v>
      </c>
      <c r="F10" s="156">
        <f>IF(I9=0,ROUND(100*(1-(I8+I10)/2/$J$3),0),ROUND(100*(1-(I9+I10)/2/$J$3),0))</f>
        <v>100</v>
      </c>
      <c r="G10" s="157">
        <f>IF(D10=D9,"",_xlfn.IFNA(VLOOKUP(D10,'202306'!$CD$5:$CG$55,4,FALSE),0))</f>
        <v>9</v>
      </c>
      <c r="H10" s="158">
        <f t="shared" ref="H10:H55" si="2">G10/$J$3</f>
        <v>1.7935432443204463E-3</v>
      </c>
      <c r="I10" s="165">
        <f>SUM($G$7:G10)</f>
        <v>17</v>
      </c>
      <c r="J10" s="160">
        <f t="shared" ref="J10:J55" si="3">I10/$J$3</f>
        <v>3.387803905938621E-3</v>
      </c>
      <c r="K10" s="14"/>
      <c r="M10" s="1"/>
      <c r="O10" s="1">
        <v>4</v>
      </c>
      <c r="P10" s="1">
        <f>'표준점수 등급컷 입력기능'!K57</f>
        <v>49</v>
      </c>
    </row>
    <row r="11" spans="1:16" ht="25" customHeight="1" x14ac:dyDescent="0.45">
      <c r="A11" s="4"/>
      <c r="B11" s="13"/>
      <c r="C11" s="154">
        <v>46</v>
      </c>
      <c r="D11" s="155">
        <f t="shared" si="1"/>
        <v>81</v>
      </c>
      <c r="E11" s="155">
        <f t="shared" si="0"/>
        <v>1</v>
      </c>
      <c r="F11" s="156">
        <f t="shared" ref="F11:F55" si="4">IF(I10=0,ROUND(100*(1-(I9+I11)/2/$J$3),0),ROUND(100*(1-(I10+I11)/2/$J$3),0))</f>
        <v>100</v>
      </c>
      <c r="G11" s="157">
        <f>IF(D11=D10,"",_xlfn.IFNA(VLOOKUP(D11,'202306'!$CD$5:$CG$55,4,FALSE),0))</f>
        <v>0</v>
      </c>
      <c r="H11" s="158">
        <f t="shared" si="2"/>
        <v>0</v>
      </c>
      <c r="I11" s="165">
        <f>SUM($G$7:G11)</f>
        <v>17</v>
      </c>
      <c r="J11" s="160">
        <f t="shared" si="3"/>
        <v>3.387803905938621E-3</v>
      </c>
      <c r="K11" s="14"/>
      <c r="M11" s="1"/>
      <c r="O11" s="1">
        <v>5</v>
      </c>
      <c r="P11" s="1">
        <f>'표준점수 등급컷 입력기능'!K58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80</v>
      </c>
      <c r="E12" s="155">
        <f t="shared" si="0"/>
        <v>1</v>
      </c>
      <c r="F12" s="156">
        <f t="shared" si="4"/>
        <v>99</v>
      </c>
      <c r="G12" s="157">
        <f>IF(D12=D11,"",_xlfn.IFNA(VLOOKUP(D12,'202306'!$CD$5:$CG$55,4,FALSE),0))</f>
        <v>21</v>
      </c>
      <c r="H12" s="158">
        <f t="shared" si="2"/>
        <v>4.1849342367477086E-3</v>
      </c>
      <c r="I12" s="165">
        <f>SUM($G$7:G12)</f>
        <v>38</v>
      </c>
      <c r="J12" s="160">
        <f t="shared" si="3"/>
        <v>7.5727381426863296E-3</v>
      </c>
      <c r="K12" s="14"/>
      <c r="M12" s="1"/>
      <c r="O12" s="1">
        <v>6</v>
      </c>
      <c r="P12" s="1">
        <f>'표준점수 등급컷 입력기능'!K59</f>
        <v>44</v>
      </c>
    </row>
    <row r="13" spans="1:16" ht="25" customHeight="1" x14ac:dyDescent="0.45">
      <c r="A13" s="4"/>
      <c r="B13" s="13"/>
      <c r="C13" s="154">
        <v>44</v>
      </c>
      <c r="D13" s="155">
        <f t="shared" si="1"/>
        <v>79</v>
      </c>
      <c r="E13" s="155">
        <f t="shared" si="0"/>
        <v>1</v>
      </c>
      <c r="F13" s="156">
        <f t="shared" si="4"/>
        <v>99</v>
      </c>
      <c r="G13" s="157">
        <f>IF(D13=D12,"",_xlfn.IFNA(VLOOKUP(D13,'202306'!$CD$5:$CG$55,4,FALSE),0))</f>
        <v>26</v>
      </c>
      <c r="H13" s="158">
        <f t="shared" si="2"/>
        <v>5.1813471502590676E-3</v>
      </c>
      <c r="I13" s="165">
        <f>SUM($G$7:G13)</f>
        <v>64</v>
      </c>
      <c r="J13" s="160">
        <f t="shared" si="3"/>
        <v>1.2754085292945397E-2</v>
      </c>
      <c r="K13" s="14"/>
      <c r="M13" s="1"/>
      <c r="O13" s="1">
        <v>7</v>
      </c>
      <c r="P13" s="1">
        <f>'표준점수 등급컷 입력기능'!K60</f>
        <v>41</v>
      </c>
    </row>
    <row r="14" spans="1:16" ht="25" customHeight="1" x14ac:dyDescent="0.45">
      <c r="A14" s="4"/>
      <c r="B14" s="13"/>
      <c r="C14" s="161">
        <v>43</v>
      </c>
      <c r="D14" s="155">
        <f t="shared" si="1"/>
        <v>78</v>
      </c>
      <c r="E14" s="155">
        <f t="shared" si="0"/>
        <v>1</v>
      </c>
      <c r="F14" s="156">
        <f t="shared" si="4"/>
        <v>99</v>
      </c>
      <c r="G14" s="157">
        <f>IF(D14=D13,"",_xlfn.IFNA(VLOOKUP(D14,'202306'!$CD$5:$CG$55,4,FALSE),0))</f>
        <v>13</v>
      </c>
      <c r="H14" s="158">
        <f t="shared" si="2"/>
        <v>2.5906735751295338E-3</v>
      </c>
      <c r="I14" s="165">
        <f>SUM($G$7:G14)</f>
        <v>77</v>
      </c>
      <c r="J14" s="160">
        <f t="shared" si="3"/>
        <v>1.534475886807493E-2</v>
      </c>
      <c r="K14" s="14"/>
      <c r="M14" s="1"/>
      <c r="O14" s="1">
        <v>8</v>
      </c>
      <c r="P14" s="1">
        <f>'표준점수 등급컷 입력기능'!K61</f>
        <v>38</v>
      </c>
    </row>
    <row r="15" spans="1:16" ht="25" customHeight="1" x14ac:dyDescent="0.45">
      <c r="A15" s="4"/>
      <c r="B15" s="13"/>
      <c r="C15" s="154">
        <v>42</v>
      </c>
      <c r="D15" s="155">
        <f t="shared" si="1"/>
        <v>77</v>
      </c>
      <c r="E15" s="155">
        <f t="shared" si="0"/>
        <v>1</v>
      </c>
      <c r="F15" s="156">
        <f t="shared" si="4"/>
        <v>98</v>
      </c>
      <c r="G15" s="157">
        <f>IF(D15=D14,"",_xlfn.IFNA(VLOOKUP(D15,'202306'!$CD$5:$CG$55,4,FALSE),0))</f>
        <v>46</v>
      </c>
      <c r="H15" s="158">
        <f t="shared" si="2"/>
        <v>9.1669988043045041E-3</v>
      </c>
      <c r="I15" s="165">
        <f>SUM($G$7:G15)</f>
        <v>123</v>
      </c>
      <c r="J15" s="160">
        <f t="shared" si="3"/>
        <v>2.4511757672379435E-2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75</v>
      </c>
      <c r="E16" s="155">
        <f t="shared" si="0"/>
        <v>1</v>
      </c>
      <c r="F16" s="156">
        <f t="shared" si="4"/>
        <v>97</v>
      </c>
      <c r="G16" s="157">
        <f>IF(D16=D15,"",_xlfn.IFNA(VLOOKUP(D16,'202306'!$CD$5:$CG$55,4,FALSE),0))</f>
        <v>32</v>
      </c>
      <c r="H16" s="158">
        <f t="shared" si="2"/>
        <v>6.3770426464726986E-3</v>
      </c>
      <c r="I16" s="165">
        <f>SUM($G$7:G16)</f>
        <v>155</v>
      </c>
      <c r="J16" s="160">
        <f t="shared" si="3"/>
        <v>3.0888800318852133E-2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74</v>
      </c>
      <c r="E17" s="155">
        <f t="shared" si="0"/>
        <v>1</v>
      </c>
      <c r="F17" s="156">
        <f t="shared" si="4"/>
        <v>97</v>
      </c>
      <c r="G17" s="157">
        <f>IF(D17=D16,"",_xlfn.IFNA(VLOOKUP(D17,'202306'!$CD$5:$CG$55,4,FALSE),0))</f>
        <v>39</v>
      </c>
      <c r="H17" s="158">
        <f t="shared" si="2"/>
        <v>7.7720207253886009E-3</v>
      </c>
      <c r="I17" s="165">
        <f>SUM($G$7:G17)</f>
        <v>194</v>
      </c>
      <c r="J17" s="160">
        <f t="shared" si="3"/>
        <v>3.8660821044240734E-2</v>
      </c>
      <c r="K17" s="14"/>
      <c r="M17" s="1"/>
      <c r="P17" s="1">
        <f>H3*H4*J3*P7*IFERROR(IF(J57=1, 1, 0), 0)</f>
        <v>59376919.637295306</v>
      </c>
    </row>
    <row r="18" spans="1:16" ht="25" customHeight="1" x14ac:dyDescent="0.45">
      <c r="A18" s="4"/>
      <c r="B18" s="13"/>
      <c r="C18" s="161">
        <v>39</v>
      </c>
      <c r="D18" s="155">
        <f t="shared" si="1"/>
        <v>73</v>
      </c>
      <c r="E18" s="155">
        <f t="shared" si="0"/>
        <v>1</v>
      </c>
      <c r="F18" s="156">
        <f t="shared" si="4"/>
        <v>96</v>
      </c>
      <c r="G18" s="157">
        <f>IF(D18=D17,"",_xlfn.IFNA(VLOOKUP(D18,'202306'!$CD$5:$CG$55,4,FALSE),0))</f>
        <v>49</v>
      </c>
      <c r="H18" s="158">
        <f t="shared" si="2"/>
        <v>9.7648465524113187E-3</v>
      </c>
      <c r="I18" s="165">
        <f>SUM($G$7:G18)</f>
        <v>243</v>
      </c>
      <c r="J18" s="160">
        <f t="shared" si="3"/>
        <v>4.8425667596652053E-2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72</v>
      </c>
      <c r="E19" s="155">
        <f t="shared" si="0"/>
        <v>2</v>
      </c>
      <c r="F19" s="156">
        <f t="shared" si="4"/>
        <v>95</v>
      </c>
      <c r="G19" s="157">
        <f>IF(D19=D18,"",_xlfn.IFNA(VLOOKUP(D19,'202306'!$CD$5:$CG$55,4,FALSE),0))</f>
        <v>30</v>
      </c>
      <c r="H19" s="158">
        <f t="shared" si="2"/>
        <v>5.9784774810681543E-3</v>
      </c>
      <c r="I19" s="165">
        <f>SUM($G$7:G19)</f>
        <v>273</v>
      </c>
      <c r="J19" s="160">
        <f t="shared" si="3"/>
        <v>5.4404145077720206E-2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71</v>
      </c>
      <c r="E20" s="155">
        <f t="shared" si="0"/>
        <v>2</v>
      </c>
      <c r="F20" s="156">
        <f t="shared" si="4"/>
        <v>94</v>
      </c>
      <c r="G20" s="157">
        <f>IF(D20=D19,"",_xlfn.IFNA(VLOOKUP(D20,'202306'!$CD$5:$CG$55,4,FALSE),0))</f>
        <v>63</v>
      </c>
      <c r="H20" s="158">
        <f t="shared" si="2"/>
        <v>1.2554802710243125E-2</v>
      </c>
      <c r="I20" s="165">
        <f>SUM($G$7:G20)</f>
        <v>336</v>
      </c>
      <c r="J20" s="160">
        <f t="shared" si="3"/>
        <v>6.6958947787963338E-2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70</v>
      </c>
      <c r="E21" s="176">
        <f t="shared" si="0"/>
        <v>2</v>
      </c>
      <c r="F21" s="156">
        <f t="shared" si="4"/>
        <v>93</v>
      </c>
      <c r="G21" s="157">
        <f>IF(D21=D20,"",_xlfn.IFNA(VLOOKUP(D21,'202306'!$CD$5:$CG$55,4,FALSE),0))</f>
        <v>41</v>
      </c>
      <c r="H21" s="158">
        <f t="shared" si="2"/>
        <v>8.1705858907931452E-3</v>
      </c>
      <c r="I21" s="165">
        <f>SUM($G$7:G21)</f>
        <v>377</v>
      </c>
      <c r="J21" s="160">
        <f t="shared" si="3"/>
        <v>7.512953367875648E-2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69</v>
      </c>
      <c r="E22" s="176">
        <f t="shared" si="0"/>
        <v>2</v>
      </c>
      <c r="F22" s="156">
        <f t="shared" si="4"/>
        <v>92</v>
      </c>
      <c r="G22" s="157">
        <f>IF(D22=D21,"",_xlfn.IFNA(VLOOKUP(D22,'202306'!$CD$5:$CG$55,4,FALSE),0))</f>
        <v>49</v>
      </c>
      <c r="H22" s="158">
        <f t="shared" si="2"/>
        <v>9.7648465524113187E-3</v>
      </c>
      <c r="I22" s="165">
        <f>SUM($G$7:G22)</f>
        <v>426</v>
      </c>
      <c r="J22" s="160">
        <f t="shared" si="3"/>
        <v>8.4894380231167799E-2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68</v>
      </c>
      <c r="E23" s="176">
        <f t="shared" si="0"/>
        <v>2</v>
      </c>
      <c r="F23" s="156">
        <f t="shared" si="4"/>
        <v>91</v>
      </c>
      <c r="G23" s="157">
        <f>IF(D23=D22,"",_xlfn.IFNA(VLOOKUP(D23,'202306'!$CD$5:$CG$55,4,FALSE),0))</f>
        <v>56</v>
      </c>
      <c r="H23" s="158">
        <f t="shared" si="2"/>
        <v>1.1159824631327222E-2</v>
      </c>
      <c r="I23" s="165">
        <f>SUM($G$7:G23)</f>
        <v>482</v>
      </c>
      <c r="J23" s="160">
        <f t="shared" si="3"/>
        <v>9.6054204862495024E-2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67</v>
      </c>
      <c r="E24" s="176">
        <f t="shared" si="0"/>
        <v>2</v>
      </c>
      <c r="F24" s="156">
        <f t="shared" si="4"/>
        <v>90</v>
      </c>
      <c r="G24" s="157">
        <f>IF(D24=D23,"",_xlfn.IFNA(VLOOKUP(D24,'202306'!$CD$5:$CG$55,4,FALSE),0))</f>
        <v>27</v>
      </c>
      <c r="H24" s="158">
        <f t="shared" si="2"/>
        <v>5.3806297329613388E-3</v>
      </c>
      <c r="I24" s="165">
        <f>SUM($G$7:G24)</f>
        <v>509</v>
      </c>
      <c r="J24" s="160">
        <f t="shared" si="3"/>
        <v>0.10143483459545635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66</v>
      </c>
      <c r="E25" s="176">
        <f t="shared" si="0"/>
        <v>2</v>
      </c>
      <c r="F25" s="156">
        <f t="shared" si="4"/>
        <v>89</v>
      </c>
      <c r="G25" s="157">
        <f>IF(D25=D24,"",_xlfn.IFNA(VLOOKUP(D25,'202306'!$CD$5:$CG$55,4,FALSE),0))</f>
        <v>55</v>
      </c>
      <c r="H25" s="158">
        <f t="shared" si="2"/>
        <v>1.096054204862495E-2</v>
      </c>
      <c r="I25" s="165">
        <f>SUM($G$7:G25)</f>
        <v>564</v>
      </c>
      <c r="J25" s="160">
        <f t="shared" si="3"/>
        <v>0.11239537664408131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65</v>
      </c>
      <c r="E26" s="176">
        <f t="shared" si="0"/>
        <v>3</v>
      </c>
      <c r="F26" s="156">
        <f t="shared" si="4"/>
        <v>88</v>
      </c>
      <c r="G26" s="157">
        <f>IF(D26=D25,"",_xlfn.IFNA(VLOOKUP(D26,'202306'!$CD$5:$CG$55,4,FALSE),0))</f>
        <v>65</v>
      </c>
      <c r="H26" s="158">
        <f t="shared" si="2"/>
        <v>1.2953367875647668E-2</v>
      </c>
      <c r="I26" s="165">
        <f>SUM($G$7:G26)</f>
        <v>629</v>
      </c>
      <c r="J26" s="160">
        <f t="shared" si="3"/>
        <v>0.12534874451972897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63</v>
      </c>
      <c r="E27" s="176">
        <f t="shared" si="0"/>
        <v>3</v>
      </c>
      <c r="F27" s="156">
        <f t="shared" si="4"/>
        <v>87</v>
      </c>
      <c r="G27" s="157">
        <f>IF(D27=D26,"",_xlfn.IFNA(VLOOKUP(D27,'202306'!$CD$5:$CG$55,4,FALSE),0))</f>
        <v>33</v>
      </c>
      <c r="H27" s="158">
        <f t="shared" si="2"/>
        <v>6.5763252291749699E-3</v>
      </c>
      <c r="I27" s="165">
        <f>SUM($G$7:G27)</f>
        <v>662</v>
      </c>
      <c r="J27" s="160">
        <f t="shared" si="3"/>
        <v>0.13192506974890394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62</v>
      </c>
      <c r="E28" s="176">
        <f t="shared" si="0"/>
        <v>3</v>
      </c>
      <c r="F28" s="156">
        <f t="shared" si="4"/>
        <v>86</v>
      </c>
      <c r="G28" s="157">
        <f>IF(D28=D27,"",_xlfn.IFNA(VLOOKUP(D28,'202306'!$CD$5:$CG$55,4,FALSE),0))</f>
        <v>50</v>
      </c>
      <c r="H28" s="158">
        <f t="shared" si="2"/>
        <v>9.9641291351135908E-3</v>
      </c>
      <c r="I28" s="165">
        <f>SUM($G$7:G28)</f>
        <v>712</v>
      </c>
      <c r="J28" s="160">
        <f t="shared" si="3"/>
        <v>0.14188919888401755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61</v>
      </c>
      <c r="E29" s="176">
        <f t="shared" si="0"/>
        <v>3</v>
      </c>
      <c r="F29" s="156">
        <f t="shared" si="4"/>
        <v>85</v>
      </c>
      <c r="G29" s="157">
        <f>IF(D29=D28,"",_xlfn.IFNA(VLOOKUP(D29,'202306'!$CD$5:$CG$55,4,FALSE),0))</f>
        <v>57</v>
      </c>
      <c r="H29" s="158">
        <f t="shared" si="2"/>
        <v>1.1359107214029494E-2</v>
      </c>
      <c r="I29" s="165">
        <f>SUM($G$7:G29)</f>
        <v>769</v>
      </c>
      <c r="J29" s="160">
        <f t="shared" si="3"/>
        <v>0.15324830609804704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60</v>
      </c>
      <c r="E30" s="176">
        <f t="shared" si="0"/>
        <v>3</v>
      </c>
      <c r="F30" s="156">
        <f t="shared" si="4"/>
        <v>84</v>
      </c>
      <c r="G30" s="157">
        <f>IF(D30=D29,"",_xlfn.IFNA(VLOOKUP(D30,'202306'!$CD$5:$CG$55,4,FALSE),0))</f>
        <v>51</v>
      </c>
      <c r="H30" s="158">
        <f t="shared" si="2"/>
        <v>1.0163411717815863E-2</v>
      </c>
      <c r="I30" s="165">
        <f>SUM($G$7:G30)</f>
        <v>820</v>
      </c>
      <c r="J30" s="160">
        <f t="shared" si="3"/>
        <v>0.16341171781586289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59</v>
      </c>
      <c r="E31" s="176">
        <f t="shared" si="0"/>
        <v>3</v>
      </c>
      <c r="F31" s="156">
        <f t="shared" si="4"/>
        <v>83</v>
      </c>
      <c r="G31" s="157">
        <f>IF(D31=D30,"",_xlfn.IFNA(VLOOKUP(D31,'202306'!$CD$5:$CG$55,4,FALSE),0))</f>
        <v>47</v>
      </c>
      <c r="H31" s="158">
        <f t="shared" si="2"/>
        <v>9.3662813870067762E-3</v>
      </c>
      <c r="I31" s="165">
        <f>SUM($G$7:G31)</f>
        <v>867</v>
      </c>
      <c r="J31" s="160">
        <f t="shared" si="3"/>
        <v>0.17277799920286968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58</v>
      </c>
      <c r="E32" s="176">
        <f t="shared" si="0"/>
        <v>3</v>
      </c>
      <c r="F32" s="156">
        <f t="shared" si="4"/>
        <v>82</v>
      </c>
      <c r="G32" s="157">
        <f>IF(D32=D31,"",_xlfn.IFNA(VLOOKUP(D32,'202306'!$CD$5:$CG$55,4,FALSE),0))</f>
        <v>69</v>
      </c>
      <c r="H32" s="158">
        <f t="shared" si="2"/>
        <v>1.3750498206456756E-2</v>
      </c>
      <c r="I32" s="165">
        <f>SUM($G$7:G32)</f>
        <v>936</v>
      </c>
      <c r="J32" s="160">
        <f t="shared" si="3"/>
        <v>0.18652849740932642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57</v>
      </c>
      <c r="E33" s="176">
        <f t="shared" si="0"/>
        <v>3</v>
      </c>
      <c r="F33" s="156">
        <f t="shared" si="4"/>
        <v>81</v>
      </c>
      <c r="G33" s="157">
        <f>IF(D33=D32,"",_xlfn.IFNA(VLOOKUP(D33,'202306'!$CD$5:$CG$55,4,FALSE),0))</f>
        <v>72</v>
      </c>
      <c r="H33" s="158">
        <f t="shared" si="2"/>
        <v>1.4348345954563571E-2</v>
      </c>
      <c r="I33" s="165">
        <f>SUM($G$7:G33)</f>
        <v>1008</v>
      </c>
      <c r="J33" s="160">
        <f t="shared" si="3"/>
        <v>0.20087684336389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56</v>
      </c>
      <c r="E34" s="176">
        <f t="shared" si="0"/>
        <v>3</v>
      </c>
      <c r="F34" s="156">
        <f t="shared" si="4"/>
        <v>79</v>
      </c>
      <c r="G34" s="157">
        <f>IF(D34=D33,"",_xlfn.IFNA(VLOOKUP(D34,'202306'!$CD$5:$CG$55,4,FALSE),0))</f>
        <v>88</v>
      </c>
      <c r="H34" s="158">
        <f t="shared" si="2"/>
        <v>1.753686727779992E-2</v>
      </c>
      <c r="I34" s="165">
        <f>SUM($G$7:G34)</f>
        <v>1096</v>
      </c>
      <c r="J34" s="160">
        <f t="shared" si="3"/>
        <v>0.21841371064168991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55</v>
      </c>
      <c r="E35" s="176">
        <f t="shared" si="0"/>
        <v>3</v>
      </c>
      <c r="F35" s="156">
        <f t="shared" si="4"/>
        <v>77</v>
      </c>
      <c r="G35" s="157">
        <f>IF(D35=D34,"",_xlfn.IFNA(VLOOKUP(D35,'202306'!$CD$5:$CG$55,4,FALSE),0))</f>
        <v>103</v>
      </c>
      <c r="H35" s="158">
        <f t="shared" si="2"/>
        <v>2.0526106018333996E-2</v>
      </c>
      <c r="I35" s="165">
        <f>SUM($G$7:G35)</f>
        <v>1199</v>
      </c>
      <c r="J35" s="160">
        <f t="shared" si="3"/>
        <v>0.23893981666002392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54</v>
      </c>
      <c r="E36" s="176">
        <f t="shared" si="0"/>
        <v>4</v>
      </c>
      <c r="F36" s="156">
        <f t="shared" si="4"/>
        <v>75</v>
      </c>
      <c r="G36" s="157">
        <f>IF(D36=D35,"",_xlfn.IFNA(VLOOKUP(D36,'202306'!$CD$5:$CG$55,4,FALSE),0))</f>
        <v>126</v>
      </c>
      <c r="H36" s="158">
        <f t="shared" si="2"/>
        <v>2.510960542048625E-2</v>
      </c>
      <c r="I36" s="165">
        <f>SUM($G$7:G36)</f>
        <v>1325</v>
      </c>
      <c r="J36" s="160">
        <f t="shared" si="3"/>
        <v>0.26404942208051019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53</v>
      </c>
      <c r="E37" s="176">
        <f t="shared" si="0"/>
        <v>4</v>
      </c>
      <c r="F37" s="156">
        <f t="shared" si="4"/>
        <v>72</v>
      </c>
      <c r="G37" s="157">
        <f>IF(D37=D36,"",_xlfn.IFNA(VLOOKUP(D37,'202306'!$CD$5:$CG$55,4,FALSE),0))</f>
        <v>151</v>
      </c>
      <c r="H37" s="158">
        <f t="shared" si="2"/>
        <v>3.0091669988043045E-2</v>
      </c>
      <c r="I37" s="165">
        <f>SUM($G$7:G37)</f>
        <v>1476</v>
      </c>
      <c r="J37" s="160">
        <f t="shared" si="3"/>
        <v>0.29414109206855321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51</v>
      </c>
      <c r="E38" s="176">
        <f t="shared" si="0"/>
        <v>4</v>
      </c>
      <c r="F38" s="156">
        <f t="shared" si="4"/>
        <v>69</v>
      </c>
      <c r="G38" s="157">
        <f>IF(D38=D37,"",_xlfn.IFNA(VLOOKUP(D38,'202306'!$CD$5:$CG$55,4,FALSE),0))</f>
        <v>176</v>
      </c>
      <c r="H38" s="158">
        <f t="shared" si="2"/>
        <v>3.5073734555599839E-2</v>
      </c>
      <c r="I38" s="165">
        <f>SUM($G$7:G38)</f>
        <v>1652</v>
      </c>
      <c r="J38" s="160">
        <f t="shared" si="3"/>
        <v>0.32921482662415302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50</v>
      </c>
      <c r="E39" s="176">
        <f t="shared" ref="E39:E57" si="5">IF(ROUND(D39,0)&gt;=$P$7,1,IF(ROUND(D39,0)&gt;=$P$8,2,IF(ROUND(D39,0)&gt;=$P$9,3,IF(ROUND(D39,0)&gt;=$P$10,4,IF(ROUND(D39,0)&gt;=$P$11,5,IF(ROUND(D39,0)&gt;=$P$12,6,IF(ROUND(D39,0)&gt;=$P$13,7,IF(ROUND(D39,0)&gt;=$P$14,8,9))))))))</f>
        <v>4</v>
      </c>
      <c r="F39" s="156">
        <f t="shared" si="4"/>
        <v>65</v>
      </c>
      <c r="G39" s="157">
        <f>IF(D39=D38,"",_xlfn.IFNA(VLOOKUP(D39,'202306'!$CD$5:$CG$55,4,FALSE),0))</f>
        <v>199</v>
      </c>
      <c r="H39" s="158">
        <f t="shared" si="2"/>
        <v>3.9657233957752093E-2</v>
      </c>
      <c r="I39" s="165">
        <f>SUM($G$7:G39)</f>
        <v>1851</v>
      </c>
      <c r="J39" s="160">
        <f t="shared" si="3"/>
        <v>0.36887206058190514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49</v>
      </c>
      <c r="E40" s="176">
        <f t="shared" si="5"/>
        <v>4</v>
      </c>
      <c r="F40" s="156">
        <f t="shared" si="4"/>
        <v>61</v>
      </c>
      <c r="G40" s="157">
        <f>IF(D40=D39,"",_xlfn.IFNA(VLOOKUP(D40,'202306'!$CD$5:$CG$55,4,FALSE),0))</f>
        <v>204</v>
      </c>
      <c r="H40" s="158">
        <f t="shared" si="2"/>
        <v>4.0653646871263452E-2</v>
      </c>
      <c r="I40" s="165">
        <f>SUM($G$7:G40)</f>
        <v>2055</v>
      </c>
      <c r="J40" s="160">
        <f t="shared" si="3"/>
        <v>0.40952570745316857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48</v>
      </c>
      <c r="E41" s="176">
        <f t="shared" si="5"/>
        <v>5</v>
      </c>
      <c r="F41" s="156">
        <f t="shared" si="4"/>
        <v>57</v>
      </c>
      <c r="G41" s="157">
        <f>IF(D41=D40,"",_xlfn.IFNA(VLOOKUP(D41,'202306'!$CD$5:$CG$55,4,FALSE),0))</f>
        <v>242</v>
      </c>
      <c r="H41" s="158">
        <f t="shared" si="2"/>
        <v>4.8226385013949782E-2</v>
      </c>
      <c r="I41" s="165">
        <f>SUM($G$7:G41)</f>
        <v>2297</v>
      </c>
      <c r="J41" s="160">
        <f t="shared" si="3"/>
        <v>0.4577520924671184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47</v>
      </c>
      <c r="E42" s="176">
        <f t="shared" si="5"/>
        <v>5</v>
      </c>
      <c r="F42" s="156">
        <f t="shared" si="4"/>
        <v>50</v>
      </c>
      <c r="G42" s="157">
        <f>IF(D42=D41,"",_xlfn.IFNA(VLOOKUP(D42,'202306'!$CD$5:$CG$55,4,FALSE),0))</f>
        <v>434</v>
      </c>
      <c r="H42" s="158">
        <f t="shared" si="2"/>
        <v>8.6488640892785976E-2</v>
      </c>
      <c r="I42" s="165">
        <f>SUM($G$7:G42)</f>
        <v>2731</v>
      </c>
      <c r="J42" s="160">
        <f t="shared" si="3"/>
        <v>0.54424073335990431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46</v>
      </c>
      <c r="E43" s="176">
        <f t="shared" si="5"/>
        <v>5</v>
      </c>
      <c r="F43" s="156">
        <f t="shared" si="4"/>
        <v>43</v>
      </c>
      <c r="G43" s="157">
        <f>IF(D43=D42,"",_xlfn.IFNA(VLOOKUP(D43,'202306'!$CD$5:$CG$55,4,FALSE),0))</f>
        <v>269</v>
      </c>
      <c r="H43" s="158">
        <f t="shared" si="2"/>
        <v>5.3607014746911118E-2</v>
      </c>
      <c r="I43" s="165">
        <f>SUM($G$7:G43)</f>
        <v>3000</v>
      </c>
      <c r="J43" s="160">
        <f t="shared" si="3"/>
        <v>0.59784774810681551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45</v>
      </c>
      <c r="E44" s="176">
        <f t="shared" si="5"/>
        <v>5</v>
      </c>
      <c r="F44" s="156">
        <f t="shared" si="4"/>
        <v>38</v>
      </c>
      <c r="G44" s="157">
        <f>IF(D44=D43,"",_xlfn.IFNA(VLOOKUP(D44,'202306'!$CD$5:$CG$55,4,FALSE),0))</f>
        <v>260</v>
      </c>
      <c r="H44" s="158">
        <f t="shared" si="2"/>
        <v>5.181347150259067E-2</v>
      </c>
      <c r="I44" s="165">
        <f>SUM($G$7:G44)</f>
        <v>3260</v>
      </c>
      <c r="J44" s="160">
        <f t="shared" si="3"/>
        <v>0.64966121960940615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44</v>
      </c>
      <c r="E45" s="176">
        <f t="shared" si="5"/>
        <v>6</v>
      </c>
      <c r="F45" s="156">
        <f t="shared" si="4"/>
        <v>28</v>
      </c>
      <c r="G45" s="157">
        <f>IF(D45=D44,"",_xlfn.IFNA(VLOOKUP(D45,'202306'!$CD$5:$CG$55,4,FALSE),0))</f>
        <v>676</v>
      </c>
      <c r="H45" s="158">
        <f t="shared" si="2"/>
        <v>0.13471502590673576</v>
      </c>
      <c r="I45" s="165">
        <f>SUM($G$7:G45)</f>
        <v>3936</v>
      </c>
      <c r="J45" s="160">
        <f t="shared" si="3"/>
        <v>0.78437624551614193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43</v>
      </c>
      <c r="E46" s="176">
        <f t="shared" si="5"/>
        <v>7</v>
      </c>
      <c r="F46" s="156">
        <f t="shared" si="4"/>
        <v>20</v>
      </c>
      <c r="G46" s="157">
        <f>IF(D46=D45,"",_xlfn.IFNA(VLOOKUP(D46,'202306'!$CD$5:$CG$55,4,FALSE),0))</f>
        <v>184</v>
      </c>
      <c r="H46" s="158">
        <f t="shared" si="2"/>
        <v>3.6667995217218016E-2</v>
      </c>
      <c r="I46" s="165">
        <f>SUM($G$7:G46)</f>
        <v>4120</v>
      </c>
      <c r="J46" s="160">
        <f t="shared" si="3"/>
        <v>0.82104424073335991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42</v>
      </c>
      <c r="E47" s="176">
        <f t="shared" si="5"/>
        <v>7</v>
      </c>
      <c r="F47" s="156">
        <f t="shared" si="4"/>
        <v>15</v>
      </c>
      <c r="G47" s="157">
        <f>IF(D47=D46,"",_xlfn.IFNA(VLOOKUP(D47,'202306'!$CD$5:$CG$55,4,FALSE),0))</f>
        <v>244</v>
      </c>
      <c r="H47" s="158">
        <f t="shared" si="2"/>
        <v>4.8624950179354323E-2</v>
      </c>
      <c r="I47" s="165">
        <f>SUM($G$7:G47)</f>
        <v>4364</v>
      </c>
      <c r="J47" s="160">
        <f t="shared" si="3"/>
        <v>0.86966919091271422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41</v>
      </c>
      <c r="E48" s="176">
        <f t="shared" si="5"/>
        <v>7</v>
      </c>
      <c r="F48" s="156">
        <f t="shared" si="4"/>
        <v>11</v>
      </c>
      <c r="G48" s="157">
        <f>IF(D48=D47,"",_xlfn.IFNA(VLOOKUP(D48,'202306'!$CD$5:$CG$55,4,FALSE),0))</f>
        <v>219</v>
      </c>
      <c r="H48" s="158">
        <f t="shared" si="2"/>
        <v>4.3642885611797529E-2</v>
      </c>
      <c r="I48" s="165">
        <f>SUM($G$7:G48)</f>
        <v>4583</v>
      </c>
      <c r="J48" s="160">
        <f t="shared" si="3"/>
        <v>0.91331207652451174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39</v>
      </c>
      <c r="E49" s="176">
        <f t="shared" si="5"/>
        <v>8</v>
      </c>
      <c r="F49" s="156">
        <f t="shared" si="4"/>
        <v>7</v>
      </c>
      <c r="G49" s="157">
        <f>IF(D49=D48,"",_xlfn.IFNA(VLOOKUP(D49,'202306'!$CD$5:$CG$55,4,FALSE),0))</f>
        <v>121</v>
      </c>
      <c r="H49" s="158">
        <f t="shared" si="2"/>
        <v>2.4113192506974891E-2</v>
      </c>
      <c r="I49" s="165">
        <f>SUM($G$7:G49)</f>
        <v>4704</v>
      </c>
      <c r="J49" s="160">
        <f t="shared" si="3"/>
        <v>0.9374252690314866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38</v>
      </c>
      <c r="E50" s="176">
        <f t="shared" si="5"/>
        <v>8</v>
      </c>
      <c r="F50" s="156">
        <f t="shared" si="4"/>
        <v>5</v>
      </c>
      <c r="G50" s="157">
        <f>IF(D50=D49,"",_xlfn.IFNA(VLOOKUP(D50,'202306'!$CD$5:$CG$55,4,FALSE),0))</f>
        <v>139</v>
      </c>
      <c r="H50" s="158">
        <f t="shared" si="2"/>
        <v>2.7700278995615783E-2</v>
      </c>
      <c r="I50" s="165">
        <f>SUM($G$7:G50)</f>
        <v>4843</v>
      </c>
      <c r="J50" s="160">
        <f t="shared" si="3"/>
        <v>0.96512554802710249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37</v>
      </c>
      <c r="E51" s="176">
        <f t="shared" si="5"/>
        <v>9</v>
      </c>
      <c r="F51" s="156">
        <f t="shared" si="4"/>
        <v>3</v>
      </c>
      <c r="G51" s="157">
        <f>IF(D51=D50,"",_xlfn.IFNA(VLOOKUP(D51,'202306'!$CD$5:$CG$55,4,FALSE),0))</f>
        <v>45</v>
      </c>
      <c r="H51" s="158">
        <f t="shared" si="2"/>
        <v>8.9677162216022319E-3</v>
      </c>
      <c r="I51" s="165">
        <f>SUM($G$7:G51)</f>
        <v>4888</v>
      </c>
      <c r="J51" s="160">
        <f t="shared" si="3"/>
        <v>0.97409326424870468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36</v>
      </c>
      <c r="E52" s="176">
        <f t="shared" si="5"/>
        <v>9</v>
      </c>
      <c r="F52" s="156">
        <f t="shared" si="4"/>
        <v>2</v>
      </c>
      <c r="G52" s="157">
        <f>IF(D52=D51,"",_xlfn.IFNA(VLOOKUP(D52,'202306'!$CD$5:$CG$55,4,FALSE),0))</f>
        <v>63</v>
      </c>
      <c r="H52" s="158">
        <f t="shared" si="2"/>
        <v>1.2554802710243125E-2</v>
      </c>
      <c r="I52" s="165">
        <f>SUM($G$7:G52)</f>
        <v>4951</v>
      </c>
      <c r="J52" s="160">
        <f t="shared" si="3"/>
        <v>0.9866480669589478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35</v>
      </c>
      <c r="E53" s="155">
        <f t="shared" si="5"/>
        <v>9</v>
      </c>
      <c r="F53" s="156">
        <f t="shared" si="4"/>
        <v>1</v>
      </c>
      <c r="G53" s="157">
        <f>IF(D53=D52,"",_xlfn.IFNA(VLOOKUP(D53,'202306'!$CD$5:$CG$55,4,FALSE),0))</f>
        <v>44</v>
      </c>
      <c r="H53" s="158">
        <f t="shared" si="2"/>
        <v>8.7684336388999598E-3</v>
      </c>
      <c r="I53" s="165">
        <f>SUM($G$7:G53)</f>
        <v>4995</v>
      </c>
      <c r="J53" s="160">
        <f t="shared" si="3"/>
        <v>0.9954165005978477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34</v>
      </c>
      <c r="E54" s="155">
        <f t="shared" si="5"/>
        <v>9</v>
      </c>
      <c r="F54" s="156">
        <f t="shared" si="4"/>
        <v>0</v>
      </c>
      <c r="G54" s="157">
        <f>IF(D54=D53,"",_xlfn.IFNA(VLOOKUP(D54,'202306'!$CD$5:$CG$55,4,FALSE),0))</f>
        <v>0</v>
      </c>
      <c r="H54" s="158">
        <f t="shared" si="2"/>
        <v>0</v>
      </c>
      <c r="I54" s="165">
        <f>SUM($G$7:G54)</f>
        <v>4995</v>
      </c>
      <c r="J54" s="160">
        <f t="shared" si="3"/>
        <v>0.9954165005978477</v>
      </c>
      <c r="K54" s="14"/>
      <c r="M54" s="1"/>
    </row>
    <row r="55" spans="1:13" ht="25" customHeight="1" x14ac:dyDescent="0.45">
      <c r="A55" s="4"/>
      <c r="B55" s="13"/>
      <c r="C55" s="189">
        <v>2</v>
      </c>
      <c r="D55" s="190">
        <f t="shared" si="1"/>
        <v>33</v>
      </c>
      <c r="E55" s="190">
        <f t="shared" si="5"/>
        <v>9</v>
      </c>
      <c r="F55" s="191">
        <f t="shared" si="4"/>
        <v>0</v>
      </c>
      <c r="G55" s="192">
        <f>IF(D55=D54,"",_xlfn.IFNA(VLOOKUP(D55,'202306'!$CD$5:$CG$55,4,FALSE),0))</f>
        <v>23</v>
      </c>
      <c r="H55" s="193">
        <f t="shared" si="2"/>
        <v>4.583499402152252E-3</v>
      </c>
      <c r="I55" s="194">
        <f>SUM($G$7:G55)</f>
        <v>5018</v>
      </c>
      <c r="J55" s="195">
        <f t="shared" si="3"/>
        <v>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202">
        <v>0</v>
      </c>
      <c r="D57" s="203">
        <f>ROUND(10*(C57-$H$3)/$H$4+50,0)</f>
        <v>31</v>
      </c>
      <c r="E57" s="204">
        <f t="shared" si="5"/>
        <v>9</v>
      </c>
      <c r="F57" s="205">
        <f>IF(I55=0,ROUND(100*(1-(I54+I57)/2/$J$3),0),ROUND(100*(1-(I55+I57)/2/$J$3),0))</f>
        <v>0</v>
      </c>
      <c r="G57" s="206">
        <f>_xlfn.IFNA(VLOOKUP(D57,'202306'!$CD$5:$CG$55,4,FALSE),0)</f>
        <v>0</v>
      </c>
      <c r="H57" s="207">
        <f>G57/J3</f>
        <v>0</v>
      </c>
      <c r="I57" s="208">
        <f>SUM($G$7:G57)</f>
        <v>5018</v>
      </c>
      <c r="J57" s="209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4">
    <mergeCell ref="D3:F3"/>
    <mergeCell ref="D4:F4"/>
    <mergeCell ref="D56:J56"/>
    <mergeCell ref="D8:J8"/>
  </mergeCells>
  <phoneticPr fontId="1" type="noConversion"/>
  <conditionalFormatting sqref="D7:J7 D57:J57 D9:J55">
    <cfRule type="expression" dxfId="48" priority="7">
      <formula>OR($D7=$P$7:$P$14)</formula>
    </cfRule>
  </conditionalFormatting>
  <conditionalFormatting sqref="C7:C57">
    <cfRule type="expression" dxfId="47" priority="6">
      <formula>OR(AND($D7=0,OR($D6=$P$7:$P$14)),AND($D8&gt;0,OR($D7=$P$7:$P$14)))</formula>
    </cfRule>
  </conditionalFormatting>
  <conditionalFormatting sqref="D7 D57 D9:D55">
    <cfRule type="expression" dxfId="46" priority="5">
      <formula>$D7=$D8</formula>
    </cfRule>
  </conditionalFormatting>
  <conditionalFormatting sqref="D56">
    <cfRule type="expression" dxfId="45" priority="4">
      <formula>OR($D56=$P$7:$P$14)</formula>
    </cfRule>
  </conditionalFormatting>
  <conditionalFormatting sqref="D56">
    <cfRule type="expression" dxfId="44" priority="3">
      <formula>$D56=$D57</formula>
    </cfRule>
  </conditionalFormatting>
  <conditionalFormatting sqref="D8">
    <cfRule type="expression" dxfId="43" priority="2">
      <formula>OR($D8=$P$7:$P$14)</formula>
    </cfRule>
  </conditionalFormatting>
  <conditionalFormatting sqref="D8">
    <cfRule type="expression" dxfId="42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0E730-3DDC-4B1F-9703-C216C7179D26}">
  <sheetPr codeName="Sheet4"/>
  <dimension ref="A1:P105"/>
  <sheetViews>
    <sheetView zoomScale="85" zoomScaleNormal="85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기능'!D21</f>
        <v>21.848132780082988</v>
      </c>
      <c r="I3" s="10" t="s">
        <v>98</v>
      </c>
      <c r="J3" s="145">
        <f>'통계 및 응시자 수 입력 기능'!C21</f>
        <v>6025</v>
      </c>
      <c r="K3" s="14"/>
    </row>
    <row r="4" spans="1:16" ht="25" customHeight="1" thickBot="1" x14ac:dyDescent="0.5">
      <c r="A4" s="4"/>
      <c r="B4" s="13"/>
      <c r="C4" s="146" t="s">
        <v>99</v>
      </c>
      <c r="D4" s="321" t="s">
        <v>106</v>
      </c>
      <c r="E4" s="302"/>
      <c r="F4" s="303"/>
      <c r="G4" s="147" t="s">
        <v>101</v>
      </c>
      <c r="H4" s="148">
        <f>'통계 및 응시자 수 입력 기능'!E21</f>
        <v>9.6478754481423206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79</v>
      </c>
      <c r="E7" s="155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_xlfn.IFNA(VLOOKUP(D7,'202306'!$CI$5:$CL$55,4,FALSE),0)</f>
        <v>0</v>
      </c>
      <c r="H7" s="158">
        <f>G7/J3</f>
        <v>0</v>
      </c>
      <c r="I7" s="159">
        <f>G7</f>
        <v>0</v>
      </c>
      <c r="J7" s="160">
        <f>I7/J3</f>
        <v>0</v>
      </c>
      <c r="K7" s="14"/>
      <c r="M7" s="1"/>
      <c r="O7" s="1">
        <v>1</v>
      </c>
      <c r="P7" s="1">
        <f>'표준점수 등급컷 입력기능'!B68</f>
        <v>67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입력기능'!B69</f>
        <v>62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77</v>
      </c>
      <c r="E9" s="155">
        <f t="shared" si="0"/>
        <v>1</v>
      </c>
      <c r="F9" s="156">
        <f>IF(I8=0,ROUND(100*(1-(I7+I9)/2/$J$3),0),ROUND(100*(1-(I8+I9)/2/$J$3),0))</f>
        <v>100</v>
      </c>
      <c r="G9" s="157">
        <f>_xlfn.IFNA(VLOOKUP(D9,'202306'!$CI$5:$CL$55,4,FALSE),0)</f>
        <v>0</v>
      </c>
      <c r="H9" s="158">
        <f>G9/$J$3</f>
        <v>0</v>
      </c>
      <c r="I9" s="165">
        <f>SUM($G$7:G9)</f>
        <v>0</v>
      </c>
      <c r="J9" s="160">
        <f>I9/$J$3</f>
        <v>0</v>
      </c>
      <c r="K9" s="14"/>
      <c r="M9" s="1"/>
      <c r="O9" s="1">
        <v>3</v>
      </c>
      <c r="P9" s="1">
        <f>'표준점수 등급컷 입력기능'!B70</f>
        <v>58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76</v>
      </c>
      <c r="E10" s="155">
        <f t="shared" si="0"/>
        <v>1</v>
      </c>
      <c r="F10" s="156">
        <f>IF(I9=0,ROUND(100*(1-(I8+I10)/2/$J$3),0),ROUND(100*(1-(I9+I10)/2/$J$3),0))</f>
        <v>100</v>
      </c>
      <c r="G10" s="157">
        <f>IF(D10=D9,"",_xlfn.IFNA(VLOOKUP(D10,'202306'!$CI$5:$CL$55,4,FALSE),0))</f>
        <v>7</v>
      </c>
      <c r="H10" s="158">
        <f t="shared" ref="H10:H55" si="2">G10/$J$3</f>
        <v>1.1618257261410789E-3</v>
      </c>
      <c r="I10" s="165">
        <f>SUM($G$7:G10)</f>
        <v>7</v>
      </c>
      <c r="J10" s="160">
        <f t="shared" ref="J10:J55" si="3">I10/$J$3</f>
        <v>1.1618257261410789E-3</v>
      </c>
      <c r="K10" s="14"/>
      <c r="M10" s="1"/>
      <c r="O10" s="1">
        <v>4</v>
      </c>
      <c r="P10" s="1">
        <f>'표준점수 등급컷 입력기능'!B71</f>
        <v>53</v>
      </c>
    </row>
    <row r="11" spans="1:16" ht="25" customHeight="1" x14ac:dyDescent="0.45">
      <c r="A11" s="4"/>
      <c r="B11" s="13"/>
      <c r="C11" s="154">
        <v>46</v>
      </c>
      <c r="D11" s="155">
        <f t="shared" si="1"/>
        <v>75</v>
      </c>
      <c r="E11" s="155">
        <f t="shared" si="0"/>
        <v>1</v>
      </c>
      <c r="F11" s="156">
        <f t="shared" ref="F11:F55" si="4">IF(I10=0,ROUND(100*(1-(I9+I11)/2/$J$3),0),ROUND(100*(1-(I10+I11)/2/$J$3),0))</f>
        <v>100</v>
      </c>
      <c r="G11" s="157">
        <f>IF(D11=D10,"",_xlfn.IFNA(VLOOKUP(D11,'202306'!$CI$5:$CL$55,4,FALSE),0))</f>
        <v>0</v>
      </c>
      <c r="H11" s="158">
        <f t="shared" si="2"/>
        <v>0</v>
      </c>
      <c r="I11" s="165">
        <f>SUM($G$7:G11)</f>
        <v>7</v>
      </c>
      <c r="J11" s="160">
        <f t="shared" si="3"/>
        <v>1.1618257261410789E-3</v>
      </c>
      <c r="K11" s="14"/>
      <c r="M11" s="1"/>
      <c r="O11" s="1">
        <v>5</v>
      </c>
      <c r="P11" s="1">
        <f>'표준점수 등급컷 입력기능'!B72</f>
        <v>47</v>
      </c>
    </row>
    <row r="12" spans="1:16" ht="25" customHeight="1" x14ac:dyDescent="0.45">
      <c r="A12" s="4"/>
      <c r="B12" s="13"/>
      <c r="C12" s="161">
        <v>45</v>
      </c>
      <c r="D12" s="155">
        <f t="shared" si="1"/>
        <v>74</v>
      </c>
      <c r="E12" s="155">
        <f t="shared" si="0"/>
        <v>1</v>
      </c>
      <c r="F12" s="156">
        <f t="shared" si="4"/>
        <v>100</v>
      </c>
      <c r="G12" s="157">
        <f>IF(D12=D11,"",_xlfn.IFNA(VLOOKUP(D12,'202306'!$CI$5:$CL$55,4,FALSE),0))</f>
        <v>5</v>
      </c>
      <c r="H12" s="158">
        <f t="shared" si="2"/>
        <v>8.2987551867219915E-4</v>
      </c>
      <c r="I12" s="165">
        <f>SUM($G$7:G12)</f>
        <v>12</v>
      </c>
      <c r="J12" s="160">
        <f t="shared" si="3"/>
        <v>1.991701244813278E-3</v>
      </c>
      <c r="K12" s="14"/>
      <c r="M12" s="1"/>
      <c r="O12" s="1">
        <v>6</v>
      </c>
      <c r="P12" s="1">
        <f>'표준점수 등급컷 입력기능'!B73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1"/>
        <v>73</v>
      </c>
      <c r="E13" s="155">
        <f t="shared" si="0"/>
        <v>1</v>
      </c>
      <c r="F13" s="156">
        <f t="shared" si="4"/>
        <v>100</v>
      </c>
      <c r="G13" s="157">
        <f>IF(D13=D12,"",_xlfn.IFNA(VLOOKUP(D13,'202306'!$CI$5:$CL$55,4,FALSE),0))</f>
        <v>33</v>
      </c>
      <c r="H13" s="158">
        <f t="shared" si="2"/>
        <v>5.4771784232365145E-3</v>
      </c>
      <c r="I13" s="165">
        <f>SUM($G$7:G13)</f>
        <v>45</v>
      </c>
      <c r="J13" s="160">
        <f t="shared" si="3"/>
        <v>7.4688796680497929E-3</v>
      </c>
      <c r="K13" s="14"/>
      <c r="M13" s="1"/>
      <c r="O13" s="1">
        <v>7</v>
      </c>
      <c r="P13" s="1">
        <f>'표준점수 등급컷 입력기능'!B74</f>
        <v>37</v>
      </c>
    </row>
    <row r="14" spans="1:16" ht="25" customHeight="1" x14ac:dyDescent="0.45">
      <c r="A14" s="4"/>
      <c r="B14" s="13"/>
      <c r="C14" s="161">
        <v>43</v>
      </c>
      <c r="D14" s="155">
        <f t="shared" si="1"/>
        <v>72</v>
      </c>
      <c r="E14" s="155">
        <f t="shared" si="0"/>
        <v>1</v>
      </c>
      <c r="F14" s="156">
        <f t="shared" si="4"/>
        <v>99</v>
      </c>
      <c r="G14" s="157">
        <f>IF(D14=D13,"",_xlfn.IFNA(VLOOKUP(D14,'202306'!$CI$5:$CL$55,4,FALSE),0))</f>
        <v>1</v>
      </c>
      <c r="H14" s="158">
        <f t="shared" si="2"/>
        <v>1.6597510373443983E-4</v>
      </c>
      <c r="I14" s="165">
        <f>SUM($G$7:G14)</f>
        <v>46</v>
      </c>
      <c r="J14" s="160">
        <f t="shared" si="3"/>
        <v>7.634854771784232E-3</v>
      </c>
      <c r="K14" s="14"/>
      <c r="M14" s="1"/>
      <c r="O14" s="1">
        <v>8</v>
      </c>
      <c r="P14" s="1">
        <f>'표준점수 등급컷 입력기능'!B75</f>
        <v>32</v>
      </c>
    </row>
    <row r="15" spans="1:16" ht="25" customHeight="1" x14ac:dyDescent="0.45">
      <c r="A15" s="4"/>
      <c r="B15" s="13"/>
      <c r="C15" s="154">
        <v>42</v>
      </c>
      <c r="D15" s="155">
        <f t="shared" si="1"/>
        <v>71</v>
      </c>
      <c r="E15" s="155">
        <f t="shared" si="0"/>
        <v>1</v>
      </c>
      <c r="F15" s="156">
        <f t="shared" si="4"/>
        <v>99</v>
      </c>
      <c r="G15" s="157">
        <f>IF(D15=D14,"",_xlfn.IFNA(VLOOKUP(D15,'202306'!$CI$5:$CL$55,4,FALSE),0))</f>
        <v>17</v>
      </c>
      <c r="H15" s="158">
        <f t="shared" si="2"/>
        <v>2.8215767634854772E-3</v>
      </c>
      <c r="I15" s="165">
        <f>SUM($G$7:G15)</f>
        <v>63</v>
      </c>
      <c r="J15" s="160">
        <f t="shared" si="3"/>
        <v>1.0456431535269709E-2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70</v>
      </c>
      <c r="E16" s="155">
        <f t="shared" si="0"/>
        <v>1</v>
      </c>
      <c r="F16" s="156">
        <f t="shared" si="4"/>
        <v>98</v>
      </c>
      <c r="G16" s="157">
        <f>IF(D16=D15,"",_xlfn.IFNA(VLOOKUP(D16,'202306'!$CI$5:$CL$55,4,FALSE),0))</f>
        <v>61</v>
      </c>
      <c r="H16" s="158">
        <f t="shared" si="2"/>
        <v>1.0124481327800829E-2</v>
      </c>
      <c r="I16" s="165">
        <f>SUM($G$7:G16)</f>
        <v>124</v>
      </c>
      <c r="J16" s="160">
        <f t="shared" si="3"/>
        <v>2.0580912863070538E-2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69</v>
      </c>
      <c r="E17" s="155">
        <f t="shared" si="0"/>
        <v>1</v>
      </c>
      <c r="F17" s="156">
        <f t="shared" si="4"/>
        <v>98</v>
      </c>
      <c r="G17" s="157">
        <f>IF(D17=D16,"",_xlfn.IFNA(VLOOKUP(D17,'202306'!$CI$5:$CL$55,4,FALSE),0))</f>
        <v>2</v>
      </c>
      <c r="H17" s="158">
        <f t="shared" si="2"/>
        <v>3.3195020746887966E-4</v>
      </c>
      <c r="I17" s="165">
        <f>SUM($G$7:G17)</f>
        <v>126</v>
      </c>
      <c r="J17" s="160">
        <f t="shared" si="3"/>
        <v>2.0912863070539418E-2</v>
      </c>
      <c r="K17" s="14"/>
      <c r="M17" s="1"/>
      <c r="P17" s="1">
        <f>H3*H4*J3*P7*IFERROR(IF(J57=1, 1, 0), 0)</f>
        <v>85089871.669286355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68</v>
      </c>
      <c r="E18" s="155">
        <f t="shared" si="0"/>
        <v>1</v>
      </c>
      <c r="F18" s="156">
        <f t="shared" si="4"/>
        <v>97</v>
      </c>
      <c r="G18" s="157">
        <f>IF(D18=D17,"",_xlfn.IFNA(VLOOKUP(D18,'202306'!$CI$5:$CL$55,4,FALSE),0))</f>
        <v>50</v>
      </c>
      <c r="H18" s="158">
        <f t="shared" si="2"/>
        <v>8.2987551867219917E-3</v>
      </c>
      <c r="I18" s="165">
        <f>SUM($G$7:G18)</f>
        <v>176</v>
      </c>
      <c r="J18" s="160">
        <f t="shared" si="3"/>
        <v>2.9211618257261412E-2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67</v>
      </c>
      <c r="E19" s="155">
        <f t="shared" si="0"/>
        <v>1</v>
      </c>
      <c r="F19" s="156">
        <f t="shared" si="4"/>
        <v>96</v>
      </c>
      <c r="G19" s="157">
        <f>IF(D19=D18,"",_xlfn.IFNA(VLOOKUP(D19,'202306'!$CI$5:$CL$55,4,FALSE),0))</f>
        <v>122</v>
      </c>
      <c r="H19" s="158">
        <f t="shared" si="2"/>
        <v>2.0248962655601659E-2</v>
      </c>
      <c r="I19" s="165">
        <f>SUM($G$7:G19)</f>
        <v>298</v>
      </c>
      <c r="J19" s="160">
        <f t="shared" si="3"/>
        <v>4.9460580912863074E-2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66</v>
      </c>
      <c r="E20" s="155">
        <f t="shared" si="0"/>
        <v>2</v>
      </c>
      <c r="F20" s="156">
        <f t="shared" si="4"/>
        <v>95</v>
      </c>
      <c r="G20" s="157">
        <f>IF(D20=D19,"",_xlfn.IFNA(VLOOKUP(D20,'202306'!$CI$5:$CL$55,4,FALSE),0))</f>
        <v>20</v>
      </c>
      <c r="H20" s="158">
        <f t="shared" si="2"/>
        <v>3.3195020746887966E-3</v>
      </c>
      <c r="I20" s="165">
        <f>SUM($G$7:G20)</f>
        <v>318</v>
      </c>
      <c r="J20" s="160">
        <f t="shared" si="3"/>
        <v>5.2780082987551866E-2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65</v>
      </c>
      <c r="E21" s="176">
        <f t="shared" si="0"/>
        <v>2</v>
      </c>
      <c r="F21" s="156">
        <f t="shared" si="4"/>
        <v>94</v>
      </c>
      <c r="G21" s="157">
        <f>IF(D21=D20,"",_xlfn.IFNA(VLOOKUP(D21,'202306'!$CI$5:$CL$55,4,FALSE),0))</f>
        <v>107</v>
      </c>
      <c r="H21" s="158">
        <f t="shared" si="2"/>
        <v>1.7759336099585063E-2</v>
      </c>
      <c r="I21" s="165">
        <f>SUM($G$7:G21)</f>
        <v>425</v>
      </c>
      <c r="J21" s="160">
        <f t="shared" si="3"/>
        <v>7.0539419087136929E-2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64</v>
      </c>
      <c r="E22" s="176">
        <f t="shared" si="0"/>
        <v>2</v>
      </c>
      <c r="F22" s="156">
        <f t="shared" si="4"/>
        <v>91</v>
      </c>
      <c r="G22" s="157">
        <f>IF(D22=D21,"",_xlfn.IFNA(VLOOKUP(D22,'202306'!$CI$5:$CL$55,4,FALSE),0))</f>
        <v>187</v>
      </c>
      <c r="H22" s="158">
        <f t="shared" si="2"/>
        <v>3.1037344398340248E-2</v>
      </c>
      <c r="I22" s="165">
        <f>SUM($G$7:G22)</f>
        <v>612</v>
      </c>
      <c r="J22" s="160">
        <f t="shared" si="3"/>
        <v>0.10157676348547717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63</v>
      </c>
      <c r="E23" s="176">
        <f t="shared" si="0"/>
        <v>2</v>
      </c>
      <c r="F23" s="156">
        <f t="shared" si="4"/>
        <v>89</v>
      </c>
      <c r="G23" s="157">
        <f>IF(D23=D22,"",_xlfn.IFNA(VLOOKUP(D23,'202306'!$CI$5:$CL$55,4,FALSE),0))</f>
        <v>49</v>
      </c>
      <c r="H23" s="158">
        <f t="shared" si="2"/>
        <v>8.1327800829875518E-3</v>
      </c>
      <c r="I23" s="165">
        <f>SUM($G$7:G23)</f>
        <v>661</v>
      </c>
      <c r="J23" s="160">
        <f t="shared" si="3"/>
        <v>0.10970954356846473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62</v>
      </c>
      <c r="E24" s="176">
        <f t="shared" si="0"/>
        <v>2</v>
      </c>
      <c r="F24" s="156">
        <f t="shared" si="4"/>
        <v>88</v>
      </c>
      <c r="G24" s="157">
        <f>IF(D24=D23,"",_xlfn.IFNA(VLOOKUP(D24,'202306'!$CI$5:$CL$55,4,FALSE),0))</f>
        <v>178</v>
      </c>
      <c r="H24" s="158">
        <f t="shared" si="2"/>
        <v>2.9543568464730292E-2</v>
      </c>
      <c r="I24" s="165">
        <f>SUM($G$7:G24)</f>
        <v>839</v>
      </c>
      <c r="J24" s="160">
        <f t="shared" si="3"/>
        <v>0.13925311203319501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61</v>
      </c>
      <c r="E25" s="176">
        <f t="shared" si="0"/>
        <v>3</v>
      </c>
      <c r="F25" s="156">
        <f t="shared" si="4"/>
        <v>84</v>
      </c>
      <c r="G25" s="157">
        <f>IF(D25=D24,"",_xlfn.IFNA(VLOOKUP(D25,'202306'!$CI$5:$CL$55,4,FALSE),0))</f>
        <v>223</v>
      </c>
      <c r="H25" s="158">
        <f t="shared" si="2"/>
        <v>3.7012448132780082E-2</v>
      </c>
      <c r="I25" s="165">
        <f>SUM($G$7:G25)</f>
        <v>1062</v>
      </c>
      <c r="J25" s="160">
        <f t="shared" si="3"/>
        <v>0.17626556016597511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59</v>
      </c>
      <c r="E26" s="176">
        <f t="shared" si="0"/>
        <v>3</v>
      </c>
      <c r="F26" s="156">
        <f t="shared" si="4"/>
        <v>81</v>
      </c>
      <c r="G26" s="157">
        <f>IF(D26=D25,"",_xlfn.IFNA(VLOOKUP(D26,'202306'!$CI$5:$CL$55,4,FALSE),0))</f>
        <v>114</v>
      </c>
      <c r="H26" s="158">
        <f t="shared" si="2"/>
        <v>1.8921161825726143E-2</v>
      </c>
      <c r="I26" s="165">
        <f>SUM($G$7:G26)</f>
        <v>1176</v>
      </c>
      <c r="J26" s="160">
        <f t="shared" si="3"/>
        <v>0.19518672199170126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58</v>
      </c>
      <c r="E27" s="176">
        <f t="shared" si="0"/>
        <v>3</v>
      </c>
      <c r="F27" s="156">
        <f t="shared" si="4"/>
        <v>78</v>
      </c>
      <c r="G27" s="157">
        <f>IF(D27=D26,"",_xlfn.IFNA(VLOOKUP(D27,'202306'!$CI$5:$CL$55,4,FALSE),0))</f>
        <v>299</v>
      </c>
      <c r="H27" s="158">
        <f t="shared" si="2"/>
        <v>4.962655601659751E-2</v>
      </c>
      <c r="I27" s="165">
        <f>SUM($G$7:G27)</f>
        <v>1475</v>
      </c>
      <c r="J27" s="160">
        <f t="shared" si="3"/>
        <v>0.24481327800829875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57</v>
      </c>
      <c r="E28" s="176">
        <f t="shared" si="0"/>
        <v>4</v>
      </c>
      <c r="F28" s="156">
        <f t="shared" si="4"/>
        <v>74</v>
      </c>
      <c r="G28" s="157">
        <f>IF(D28=D27,"",_xlfn.IFNA(VLOOKUP(D28,'202306'!$CI$5:$CL$55,4,FALSE),0))</f>
        <v>219</v>
      </c>
      <c r="H28" s="158">
        <f t="shared" si="2"/>
        <v>3.6348547717842322E-2</v>
      </c>
      <c r="I28" s="165">
        <f>SUM($G$7:G28)</f>
        <v>1694</v>
      </c>
      <c r="J28" s="160">
        <f t="shared" si="3"/>
        <v>0.28116182572614107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56</v>
      </c>
      <c r="E29" s="176">
        <f t="shared" si="0"/>
        <v>4</v>
      </c>
      <c r="F29" s="156">
        <f t="shared" si="4"/>
        <v>70</v>
      </c>
      <c r="G29" s="157">
        <f>IF(D29=D28,"",_xlfn.IFNA(VLOOKUP(D29,'202306'!$CI$5:$CL$55,4,FALSE),0))</f>
        <v>195</v>
      </c>
      <c r="H29" s="158">
        <f t="shared" si="2"/>
        <v>3.2365145228215771E-2</v>
      </c>
      <c r="I29" s="165">
        <f>SUM($G$7:G29)</f>
        <v>1889</v>
      </c>
      <c r="J29" s="160">
        <f t="shared" si="3"/>
        <v>0.31352697095435683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55</v>
      </c>
      <c r="E30" s="176">
        <f t="shared" si="0"/>
        <v>4</v>
      </c>
      <c r="F30" s="156">
        <f t="shared" si="4"/>
        <v>66</v>
      </c>
      <c r="G30" s="157">
        <f>IF(D30=D29,"",_xlfn.IFNA(VLOOKUP(D30,'202306'!$CI$5:$CL$55,4,FALSE),0))</f>
        <v>272</v>
      </c>
      <c r="H30" s="158">
        <f t="shared" si="2"/>
        <v>4.5145228215767635E-2</v>
      </c>
      <c r="I30" s="165">
        <f>SUM($G$7:G30)</f>
        <v>2161</v>
      </c>
      <c r="J30" s="160">
        <f t="shared" si="3"/>
        <v>0.35867219917012449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54</v>
      </c>
      <c r="E31" s="176">
        <f t="shared" si="0"/>
        <v>4</v>
      </c>
      <c r="F31" s="156">
        <f t="shared" si="4"/>
        <v>62</v>
      </c>
      <c r="G31" s="157">
        <f>IF(D31=D30,"",_xlfn.IFNA(VLOOKUP(D31,'202306'!$CI$5:$CL$55,4,FALSE),0))</f>
        <v>215</v>
      </c>
      <c r="H31" s="158">
        <f t="shared" si="2"/>
        <v>3.5684647302904562E-2</v>
      </c>
      <c r="I31" s="165">
        <f>SUM($G$7:G31)</f>
        <v>2376</v>
      </c>
      <c r="J31" s="160">
        <f t="shared" si="3"/>
        <v>0.39435684647302904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53</v>
      </c>
      <c r="E32" s="176">
        <f t="shared" si="0"/>
        <v>4</v>
      </c>
      <c r="F32" s="156">
        <f t="shared" si="4"/>
        <v>58</v>
      </c>
      <c r="G32" s="157">
        <f>IF(D32=D31,"",_xlfn.IFNA(VLOOKUP(D32,'202306'!$CI$5:$CL$55,4,FALSE),0))</f>
        <v>267</v>
      </c>
      <c r="H32" s="158">
        <f t="shared" si="2"/>
        <v>4.4315352697095432E-2</v>
      </c>
      <c r="I32" s="165">
        <f>SUM($G$7:G32)</f>
        <v>2643</v>
      </c>
      <c r="J32" s="160">
        <f t="shared" si="3"/>
        <v>0.43867219917012445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52</v>
      </c>
      <c r="E33" s="176">
        <f t="shared" si="0"/>
        <v>5</v>
      </c>
      <c r="F33" s="156">
        <f t="shared" si="4"/>
        <v>54</v>
      </c>
      <c r="G33" s="157">
        <f>IF(D33=D32,"",_xlfn.IFNA(VLOOKUP(D33,'202306'!$CI$5:$CL$55,4,FALSE),0))</f>
        <v>214</v>
      </c>
      <c r="H33" s="158">
        <f t="shared" si="2"/>
        <v>3.5518672199170126E-2</v>
      </c>
      <c r="I33" s="165">
        <f>SUM($G$7:G33)</f>
        <v>2857</v>
      </c>
      <c r="J33" s="160">
        <f t="shared" si="3"/>
        <v>0.47419087136929461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51</v>
      </c>
      <c r="E34" s="176">
        <f t="shared" si="0"/>
        <v>5</v>
      </c>
      <c r="F34" s="156">
        <f t="shared" si="4"/>
        <v>51</v>
      </c>
      <c r="G34" s="157">
        <f>IF(D34=D33,"",_xlfn.IFNA(VLOOKUP(D34,'202306'!$CI$5:$CL$55,4,FALSE),0))</f>
        <v>169</v>
      </c>
      <c r="H34" s="158">
        <f t="shared" si="2"/>
        <v>2.8049792531120332E-2</v>
      </c>
      <c r="I34" s="165">
        <f>SUM($G$7:G34)</f>
        <v>3026</v>
      </c>
      <c r="J34" s="160">
        <f t="shared" si="3"/>
        <v>0.50224066390041489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50</v>
      </c>
      <c r="E35" s="176">
        <f t="shared" si="0"/>
        <v>5</v>
      </c>
      <c r="F35" s="156">
        <f t="shared" si="4"/>
        <v>48</v>
      </c>
      <c r="G35" s="157">
        <f>IF(D35=D34,"",_xlfn.IFNA(VLOOKUP(D35,'202306'!$CI$5:$CL$55,4,FALSE),0))</f>
        <v>195</v>
      </c>
      <c r="H35" s="158">
        <f t="shared" si="2"/>
        <v>3.2365145228215771E-2</v>
      </c>
      <c r="I35" s="165">
        <f>SUM($G$7:G35)</f>
        <v>3221</v>
      </c>
      <c r="J35" s="160">
        <f t="shared" si="3"/>
        <v>0.53460580912863076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49</v>
      </c>
      <c r="E36" s="176">
        <f t="shared" si="0"/>
        <v>5</v>
      </c>
      <c r="F36" s="156">
        <f t="shared" si="4"/>
        <v>45</v>
      </c>
      <c r="G36" s="157">
        <f>IF(D36=D35,"",_xlfn.IFNA(VLOOKUP(D36,'202306'!$CI$5:$CL$55,4,FALSE),0))</f>
        <v>147</v>
      </c>
      <c r="H36" s="158">
        <f t="shared" si="2"/>
        <v>2.4398340248962657E-2</v>
      </c>
      <c r="I36" s="165">
        <f>SUM($G$7:G36)</f>
        <v>3368</v>
      </c>
      <c r="J36" s="160">
        <f t="shared" si="3"/>
        <v>0.55900414937759335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48</v>
      </c>
      <c r="E37" s="176">
        <f t="shared" si="0"/>
        <v>5</v>
      </c>
      <c r="F37" s="156">
        <f t="shared" si="4"/>
        <v>43</v>
      </c>
      <c r="G37" s="157">
        <f>IF(D37=D36,"",_xlfn.IFNA(VLOOKUP(D37,'202306'!$CI$5:$CL$55,4,FALSE),0))</f>
        <v>177</v>
      </c>
      <c r="H37" s="158">
        <f t="shared" si="2"/>
        <v>2.9377593360995852E-2</v>
      </c>
      <c r="I37" s="165">
        <f>SUM($G$7:G37)</f>
        <v>3545</v>
      </c>
      <c r="J37" s="160">
        <f t="shared" si="3"/>
        <v>0.58838174273858923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47</v>
      </c>
      <c r="E38" s="176">
        <f t="shared" si="0"/>
        <v>5</v>
      </c>
      <c r="F38" s="156">
        <f t="shared" si="4"/>
        <v>40</v>
      </c>
      <c r="G38" s="157">
        <f>IF(D38=D37,"",_xlfn.IFNA(VLOOKUP(D38,'202306'!$CI$5:$CL$55,4,FALSE),0))</f>
        <v>131</v>
      </c>
      <c r="H38" s="158">
        <f t="shared" si="2"/>
        <v>2.1742738589211618E-2</v>
      </c>
      <c r="I38" s="165">
        <f>SUM($G$7:G38)</f>
        <v>3676</v>
      </c>
      <c r="J38" s="160">
        <f t="shared" si="3"/>
        <v>0.61012448132780084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46</v>
      </c>
      <c r="E39" s="176">
        <f t="shared" si="0"/>
        <v>6</v>
      </c>
      <c r="F39" s="156">
        <f t="shared" si="4"/>
        <v>38</v>
      </c>
      <c r="G39" s="157">
        <f>IF(D39=D38,"",_xlfn.IFNA(VLOOKUP(D39,'202306'!$CI$5:$CL$55,4,FALSE),0))</f>
        <v>154</v>
      </c>
      <c r="H39" s="158">
        <f t="shared" si="2"/>
        <v>2.5560165975103733E-2</v>
      </c>
      <c r="I39" s="165">
        <f>SUM($G$7:G39)</f>
        <v>3830</v>
      </c>
      <c r="J39" s="160">
        <f t="shared" si="3"/>
        <v>0.63568464730290453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ref="D40:D42" si="5">ROUND(10*(C40-$H$3)/$H$4+50,0)</f>
        <v>45</v>
      </c>
      <c r="E40" s="176">
        <f t="shared" ref="E40:E42" si="6">IF(ROUND(D40,0)&gt;=$P$7,1,IF(ROUND(D40,0)&gt;=$P$8,2,IF(ROUND(D40,0)&gt;=$P$9,3,IF(ROUND(D40,0)&gt;=$P$10,4,IF(ROUND(D40,0)&gt;=$P$11,5,IF(ROUND(D40,0)&gt;=$P$12,6,IF(ROUND(D40,0)&gt;=$P$13,7,IF(ROUND(D40,0)&gt;=$P$14,8,9))))))))</f>
        <v>6</v>
      </c>
      <c r="F40" s="156">
        <f t="shared" ref="F40:F42" si="7">IF(I39=0,ROUND(100*(1-(I38+I40)/2/$J$3),0),ROUND(100*(1-(I39+I40)/2/$J$3),0))</f>
        <v>35</v>
      </c>
      <c r="G40" s="157">
        <f>IF(D40=D39,"",_xlfn.IFNA(VLOOKUP(D40,'202306'!$CI$5:$CL$55,4,FALSE),0))</f>
        <v>140</v>
      </c>
      <c r="H40" s="158">
        <f t="shared" ref="H40:H42" si="8">G40/$J$3</f>
        <v>2.3236514522821577E-2</v>
      </c>
      <c r="I40" s="165">
        <f>SUM($G$7:G40)</f>
        <v>3970</v>
      </c>
      <c r="J40" s="160">
        <f t="shared" ref="J40:J42" si="9">I40/$J$3</f>
        <v>0.65892116182572613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5"/>
        <v>44</v>
      </c>
      <c r="E41" s="176">
        <f t="shared" si="6"/>
        <v>6</v>
      </c>
      <c r="F41" s="156">
        <f t="shared" si="7"/>
        <v>33</v>
      </c>
      <c r="G41" s="157">
        <f>IF(D41=D40,"",_xlfn.IFNA(VLOOKUP(D41,'202306'!$CI$5:$CL$55,4,FALSE),0))</f>
        <v>141</v>
      </c>
      <c r="H41" s="158">
        <f t="shared" si="8"/>
        <v>2.3402489626556017E-2</v>
      </c>
      <c r="I41" s="165">
        <f>SUM($G$7:G41)</f>
        <v>4111</v>
      </c>
      <c r="J41" s="160">
        <f t="shared" si="9"/>
        <v>0.68232365145228213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5"/>
        <v>43</v>
      </c>
      <c r="E42" s="176">
        <f t="shared" si="6"/>
        <v>6</v>
      </c>
      <c r="F42" s="156">
        <f t="shared" si="7"/>
        <v>30</v>
      </c>
      <c r="G42" s="157">
        <f>IF(D42=D41,"",_xlfn.IFNA(VLOOKUP(D42,'202306'!$CI$5:$CL$55,4,FALSE),0))</f>
        <v>174</v>
      </c>
      <c r="H42" s="158">
        <f t="shared" si="8"/>
        <v>2.8879668049792532E-2</v>
      </c>
      <c r="I42" s="165">
        <f>SUM($G$7:G42)</f>
        <v>4285</v>
      </c>
      <c r="J42" s="160">
        <f t="shared" si="9"/>
        <v>0.71120331950207472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42</v>
      </c>
      <c r="E43" s="176">
        <f t="shared" si="0"/>
        <v>6</v>
      </c>
      <c r="F43" s="156">
        <f t="shared" si="4"/>
        <v>25</v>
      </c>
      <c r="G43" s="157">
        <f>IF(D43=D42,"",_xlfn.IFNA(VLOOKUP(D43,'202306'!$CI$5:$CL$55,4,FALSE),0))</f>
        <v>521</v>
      </c>
      <c r="H43" s="158">
        <f t="shared" si="2"/>
        <v>8.6473029045643149E-2</v>
      </c>
      <c r="I43" s="165">
        <f>SUM($G$7:G43)</f>
        <v>4806</v>
      </c>
      <c r="J43" s="160">
        <f t="shared" si="3"/>
        <v>0.79767634854771785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41</v>
      </c>
      <c r="E44" s="176">
        <f t="shared" si="0"/>
        <v>7</v>
      </c>
      <c r="F44" s="156">
        <f t="shared" si="4"/>
        <v>19</v>
      </c>
      <c r="G44" s="157">
        <f>IF(D44=D43,"",_xlfn.IFNA(VLOOKUP(D44,'202306'!$CI$5:$CL$55,4,FALSE),0))</f>
        <v>175</v>
      </c>
      <c r="H44" s="158">
        <f t="shared" si="2"/>
        <v>2.9045643153526972E-2</v>
      </c>
      <c r="I44" s="165">
        <f>SUM($G$7:G44)</f>
        <v>4981</v>
      </c>
      <c r="J44" s="160">
        <f t="shared" si="3"/>
        <v>0.82672199170124483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40</v>
      </c>
      <c r="E45" s="176">
        <f t="shared" si="0"/>
        <v>7</v>
      </c>
      <c r="F45" s="156">
        <f t="shared" si="4"/>
        <v>16</v>
      </c>
      <c r="G45" s="157">
        <f>IF(D45=D44,"",_xlfn.IFNA(VLOOKUP(D45,'202306'!$CI$5:$CL$55,4,FALSE),0))</f>
        <v>109</v>
      </c>
      <c r="H45" s="158">
        <f t="shared" si="2"/>
        <v>1.8091286307053943E-2</v>
      </c>
      <c r="I45" s="165">
        <f>SUM($G$7:G45)</f>
        <v>5090</v>
      </c>
      <c r="J45" s="160">
        <f t="shared" si="3"/>
        <v>0.84481327800829875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39</v>
      </c>
      <c r="E46" s="176">
        <f t="shared" si="0"/>
        <v>7</v>
      </c>
      <c r="F46" s="156">
        <f t="shared" si="4"/>
        <v>14</v>
      </c>
      <c r="G46" s="157">
        <f>IF(D46=D45,"",_xlfn.IFNA(VLOOKUP(D46,'202306'!$CI$5:$CL$55,4,FALSE),0))</f>
        <v>132</v>
      </c>
      <c r="H46" s="158">
        <f t="shared" si="2"/>
        <v>2.1908713692946058E-2</v>
      </c>
      <c r="I46" s="165">
        <f>SUM($G$7:G46)</f>
        <v>5222</v>
      </c>
      <c r="J46" s="160">
        <f t="shared" si="3"/>
        <v>0.86672199170124486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38</v>
      </c>
      <c r="E47" s="176">
        <f t="shared" si="0"/>
        <v>7</v>
      </c>
      <c r="F47" s="156">
        <f t="shared" si="4"/>
        <v>12</v>
      </c>
      <c r="G47" s="157">
        <f>IF(D47=D46,"",_xlfn.IFNA(VLOOKUP(D47,'202306'!$CI$5:$CL$55,4,FALSE),0))</f>
        <v>113</v>
      </c>
      <c r="H47" s="158">
        <f t="shared" si="2"/>
        <v>1.8755186721991703E-2</v>
      </c>
      <c r="I47" s="165">
        <f>SUM($G$7:G47)</f>
        <v>5335</v>
      </c>
      <c r="J47" s="160">
        <f t="shared" si="3"/>
        <v>0.88547717842323648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37</v>
      </c>
      <c r="E48" s="176">
        <f t="shared" si="0"/>
        <v>7</v>
      </c>
      <c r="F48" s="156">
        <f t="shared" si="4"/>
        <v>11</v>
      </c>
      <c r="G48" s="157">
        <f>IF(D48=D47,"",_xlfn.IFNA(VLOOKUP(D48,'202306'!$CI$5:$CL$55,4,FALSE),0))</f>
        <v>79</v>
      </c>
      <c r="H48" s="158">
        <f t="shared" si="2"/>
        <v>1.3112033195020746E-2</v>
      </c>
      <c r="I48" s="165">
        <f>SUM($G$7:G48)</f>
        <v>5414</v>
      </c>
      <c r="J48" s="160">
        <f t="shared" si="3"/>
        <v>0.89858921161825722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36</v>
      </c>
      <c r="E49" s="176">
        <f t="shared" si="0"/>
        <v>8</v>
      </c>
      <c r="F49" s="156">
        <f t="shared" si="4"/>
        <v>9</v>
      </c>
      <c r="G49" s="157">
        <f>IF(D49=D48,"",_xlfn.IFNA(VLOOKUP(D49,'202306'!$CI$5:$CL$55,4,FALSE),0))</f>
        <v>154</v>
      </c>
      <c r="H49" s="158">
        <f t="shared" si="2"/>
        <v>2.5560165975103733E-2</v>
      </c>
      <c r="I49" s="165">
        <f>SUM($G$7:G49)</f>
        <v>5568</v>
      </c>
      <c r="J49" s="160">
        <f t="shared" si="3"/>
        <v>0.92414937759336102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35</v>
      </c>
      <c r="E50" s="176">
        <f t="shared" si="0"/>
        <v>8</v>
      </c>
      <c r="F50" s="156">
        <f t="shared" si="4"/>
        <v>7</v>
      </c>
      <c r="G50" s="157">
        <f>IF(D50=D49,"",_xlfn.IFNA(VLOOKUP(D50,'202306'!$CI$5:$CL$55,4,FALSE),0))</f>
        <v>81</v>
      </c>
      <c r="H50" s="158">
        <f t="shared" si="2"/>
        <v>1.3443983402489626E-2</v>
      </c>
      <c r="I50" s="165">
        <f>SUM($G$7:G50)</f>
        <v>5649</v>
      </c>
      <c r="J50" s="160">
        <f t="shared" si="3"/>
        <v>0.93759336099585067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34</v>
      </c>
      <c r="E51" s="176">
        <f t="shared" si="0"/>
        <v>8</v>
      </c>
      <c r="F51" s="156">
        <f t="shared" si="4"/>
        <v>6</v>
      </c>
      <c r="G51" s="157">
        <f>IF(D51=D50,"",_xlfn.IFNA(VLOOKUP(D51,'202306'!$CI$5:$CL$55,4,FALSE),0))</f>
        <v>46</v>
      </c>
      <c r="H51" s="158">
        <f t="shared" si="2"/>
        <v>7.634854771784232E-3</v>
      </c>
      <c r="I51" s="165">
        <f>SUM($G$7:G51)</f>
        <v>5695</v>
      </c>
      <c r="J51" s="160">
        <f t="shared" si="3"/>
        <v>0.94522821576763483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33</v>
      </c>
      <c r="E52" s="176">
        <f t="shared" si="0"/>
        <v>8</v>
      </c>
      <c r="F52" s="156">
        <f t="shared" si="4"/>
        <v>5</v>
      </c>
      <c r="G52" s="157">
        <f>IF(D52=D51,"",_xlfn.IFNA(VLOOKUP(D52,'202306'!$CI$5:$CL$55,4,FALSE),0))</f>
        <v>62</v>
      </c>
      <c r="H52" s="158">
        <f t="shared" si="2"/>
        <v>1.0290456431535269E-2</v>
      </c>
      <c r="I52" s="165">
        <f>SUM($G$7:G52)</f>
        <v>5757</v>
      </c>
      <c r="J52" s="160">
        <f t="shared" si="3"/>
        <v>0.95551867219917008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32</v>
      </c>
      <c r="E53" s="155">
        <f t="shared" si="0"/>
        <v>8</v>
      </c>
      <c r="F53" s="156">
        <f t="shared" si="4"/>
        <v>3</v>
      </c>
      <c r="G53" s="157">
        <f>IF(D53=D52,"",_xlfn.IFNA(VLOOKUP(D53,'202306'!$CI$5:$CL$55,4,FALSE),0))</f>
        <v>209</v>
      </c>
      <c r="H53" s="158">
        <f t="shared" si="2"/>
        <v>3.4688796680497923E-2</v>
      </c>
      <c r="I53" s="165">
        <f>SUM($G$7:G53)</f>
        <v>5966</v>
      </c>
      <c r="J53" s="160">
        <f t="shared" si="3"/>
        <v>0.99020746887966804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30</v>
      </c>
      <c r="E54" s="155">
        <f t="shared" si="0"/>
        <v>9</v>
      </c>
      <c r="F54" s="156">
        <f t="shared" si="4"/>
        <v>1</v>
      </c>
      <c r="G54" s="157">
        <f>IF(D54=D53,"",_xlfn.IFNA(VLOOKUP(D54,'202306'!$CI$5:$CL$55,4,FALSE),0))</f>
        <v>28</v>
      </c>
      <c r="H54" s="158">
        <f t="shared" si="2"/>
        <v>4.6473029045643157E-3</v>
      </c>
      <c r="I54" s="165">
        <f>SUM($G$7:G54)</f>
        <v>5994</v>
      </c>
      <c r="J54" s="160">
        <f t="shared" si="3"/>
        <v>0.99485477178423232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29</v>
      </c>
      <c r="E55" s="155">
        <f t="shared" si="0"/>
        <v>9</v>
      </c>
      <c r="F55" s="156">
        <f t="shared" si="4"/>
        <v>0</v>
      </c>
      <c r="G55" s="157">
        <f>IF(D55=D54,"",_xlfn.IFNA(VLOOKUP(D55,'202306'!$CI$5:$CL$55,4,FALSE),0))</f>
        <v>23</v>
      </c>
      <c r="H55" s="158">
        <f t="shared" si="2"/>
        <v>3.817427385892116E-3</v>
      </c>
      <c r="I55" s="165">
        <f>SUM($G$7:G55)</f>
        <v>6017</v>
      </c>
      <c r="J55" s="160">
        <f t="shared" si="3"/>
        <v>0.99867219917012451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210">
        <v>0</v>
      </c>
      <c r="D57" s="211">
        <f>ROUND(10*(C57-$H$3)/$H$4+50,0)</f>
        <v>27</v>
      </c>
      <c r="E57" s="212">
        <f t="shared" si="0"/>
        <v>9</v>
      </c>
      <c r="F57" s="213">
        <f>IF(I55=0,ROUND(100*(1-(I54+I57)/2/$J$3),0),ROUND(100*(1-(I55+I57)/2/$J$3),0))</f>
        <v>0</v>
      </c>
      <c r="G57" s="214">
        <f>_xlfn.IFNA(VLOOKUP(D57,'202306'!$CI$5:$CL$55,4,FALSE),0)</f>
        <v>8</v>
      </c>
      <c r="H57" s="215">
        <f>G57/J3</f>
        <v>1.3278008298755186E-3</v>
      </c>
      <c r="I57" s="216">
        <f>SUM($G$7:G57)</f>
        <v>6025</v>
      </c>
      <c r="J57" s="217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41" priority="7">
      <formula>OR($D7=$P$7:$P$14)</formula>
    </cfRule>
  </conditionalFormatting>
  <conditionalFormatting sqref="C7:C57">
    <cfRule type="expression" dxfId="40" priority="6">
      <formula>OR(AND($D7=0,OR($D6=$P$7:$P$14)),AND($D8&gt;0,OR($D7=$P$7:$P$14)))</formula>
    </cfRule>
  </conditionalFormatting>
  <conditionalFormatting sqref="D7 D57 D9:D55">
    <cfRule type="expression" dxfId="39" priority="5">
      <formula>$D7=$D8</formula>
    </cfRule>
  </conditionalFormatting>
  <conditionalFormatting sqref="D56">
    <cfRule type="expression" dxfId="38" priority="4">
      <formula>OR($D56=$P$7:$P$14)</formula>
    </cfRule>
  </conditionalFormatting>
  <conditionalFormatting sqref="D56">
    <cfRule type="expression" dxfId="37" priority="3">
      <formula>$D56=$D57</formula>
    </cfRule>
  </conditionalFormatting>
  <conditionalFormatting sqref="D8">
    <cfRule type="expression" dxfId="36" priority="2">
      <formula>OR($D8=$P$7:$P$14)</formula>
    </cfRule>
  </conditionalFormatting>
  <conditionalFormatting sqref="D8">
    <cfRule type="expression" dxfId="35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99E68-2E5B-43D8-8ACE-9A5C7E18EA00}">
  <sheetPr codeName="Sheet5"/>
  <dimension ref="A1:P105"/>
  <sheetViews>
    <sheetView topLeftCell="B16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기능'!D22</f>
        <v>13.282608695652174</v>
      </c>
      <c r="I3" s="10" t="s">
        <v>98</v>
      </c>
      <c r="J3" s="145">
        <f>'통계 및 응시자 수 입력 기능'!C22</f>
        <v>690</v>
      </c>
      <c r="K3" s="14"/>
    </row>
    <row r="4" spans="1:16" ht="25" customHeight="1" thickBot="1" x14ac:dyDescent="0.5">
      <c r="A4" s="4"/>
      <c r="B4" s="13"/>
      <c r="C4" s="146" t="s">
        <v>99</v>
      </c>
      <c r="D4" s="321" t="s">
        <v>105</v>
      </c>
      <c r="E4" s="302"/>
      <c r="F4" s="303"/>
      <c r="G4" s="147" t="s">
        <v>101</v>
      </c>
      <c r="H4" s="148">
        <f>'통계 및 응시자 수 입력 기능'!E22</f>
        <v>7.6577034533999973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98</v>
      </c>
      <c r="E7" s="155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_xlfn.IFNA(VLOOKUP(D7,'202306'!$CN$5:$CQ$55,4,FALSE),0)</f>
        <v>0</v>
      </c>
      <c r="H7" s="158">
        <f>G7/J3</f>
        <v>0</v>
      </c>
      <c r="I7" s="159">
        <f>G7</f>
        <v>0</v>
      </c>
      <c r="J7" s="160">
        <f>I7/J3</f>
        <v>0</v>
      </c>
      <c r="K7" s="14"/>
      <c r="M7" s="1"/>
      <c r="O7" s="1">
        <v>1</v>
      </c>
      <c r="P7" s="1">
        <f>'표준점수 등급컷 입력기능'!E68</f>
        <v>73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입력기능'!E69</f>
        <v>64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95</v>
      </c>
      <c r="E9" s="155">
        <f t="shared" si="0"/>
        <v>1</v>
      </c>
      <c r="F9" s="156">
        <f>IF(I8=0,ROUND(100*(1-(I7+I9)/2/$J$3),0),ROUND(100*(1-(I8+I9)/2/$J$3),0))</f>
        <v>100</v>
      </c>
      <c r="G9" s="157">
        <f>_xlfn.IFNA(VLOOKUP(D9,'202306'!$CN$5:$CQ$55,4,FALSE),0)</f>
        <v>0</v>
      </c>
      <c r="H9" s="158">
        <f>G9/$J$3</f>
        <v>0</v>
      </c>
      <c r="I9" s="165">
        <f>SUM($G$7:G9)</f>
        <v>0</v>
      </c>
      <c r="J9" s="160">
        <f>I9/$J$3</f>
        <v>0</v>
      </c>
      <c r="K9" s="14"/>
      <c r="M9" s="1"/>
      <c r="O9" s="1">
        <v>3</v>
      </c>
      <c r="P9" s="1">
        <f>'표준점수 등급컷 입력기능'!E70</f>
        <v>56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94</v>
      </c>
      <c r="E10" s="155">
        <f t="shared" si="0"/>
        <v>1</v>
      </c>
      <c r="F10" s="156">
        <f>IF(I9=0,ROUND(100*(1-(I8+I10)/2/$J$3),0),ROUND(100*(1-(I9+I10)/2/$J$3),0))</f>
        <v>100</v>
      </c>
      <c r="G10" s="157">
        <f>IF(D10=D9,"",_xlfn.IFNA(VLOOKUP(D10,'202306'!$CN$5:$CQ$55,4,FALSE),0))</f>
        <v>0</v>
      </c>
      <c r="H10" s="158">
        <f t="shared" ref="H10:H55" si="2">G10/$J$3</f>
        <v>0</v>
      </c>
      <c r="I10" s="165">
        <f>SUM($G$7:G10)</f>
        <v>0</v>
      </c>
      <c r="J10" s="160">
        <f t="shared" ref="J10:J55" si="3">I10/$J$3</f>
        <v>0</v>
      </c>
      <c r="K10" s="14"/>
      <c r="M10" s="1"/>
      <c r="O10" s="1">
        <v>4</v>
      </c>
      <c r="P10" s="1">
        <f>'표준점수 등급컷 입력기능'!E71</f>
        <v>50</v>
      </c>
    </row>
    <row r="11" spans="1:16" ht="25" customHeight="1" x14ac:dyDescent="0.45">
      <c r="A11" s="4"/>
      <c r="B11" s="13"/>
      <c r="C11" s="154">
        <v>46</v>
      </c>
      <c r="D11" s="155">
        <f t="shared" si="1"/>
        <v>93</v>
      </c>
      <c r="E11" s="155">
        <f t="shared" si="0"/>
        <v>1</v>
      </c>
      <c r="F11" s="156">
        <f t="shared" ref="F11:F55" si="4">IF(I10=0,ROUND(100*(1-(I9+I11)/2/$J$3),0),ROUND(100*(1-(I10+I11)/2/$J$3),0))</f>
        <v>100</v>
      </c>
      <c r="G11" s="157">
        <f>IF(D11=D10,"",_xlfn.IFNA(VLOOKUP(D11,'202306'!$CN$5:$CQ$55,4,FALSE),0))</f>
        <v>0</v>
      </c>
      <c r="H11" s="158">
        <f t="shared" si="2"/>
        <v>0</v>
      </c>
      <c r="I11" s="165">
        <f>SUM($G$7:G11)</f>
        <v>0</v>
      </c>
      <c r="J11" s="160">
        <f t="shared" si="3"/>
        <v>0</v>
      </c>
      <c r="K11" s="14"/>
      <c r="M11" s="1"/>
      <c r="O11" s="1">
        <v>5</v>
      </c>
      <c r="P11" s="1">
        <f>'표준점수 등급컷 입력기능'!E72</f>
        <v>46</v>
      </c>
    </row>
    <row r="12" spans="1:16" ht="25" customHeight="1" x14ac:dyDescent="0.45">
      <c r="A12" s="4"/>
      <c r="B12" s="13"/>
      <c r="C12" s="161">
        <v>45</v>
      </c>
      <c r="D12" s="155">
        <f t="shared" si="1"/>
        <v>91</v>
      </c>
      <c r="E12" s="155">
        <f t="shared" si="0"/>
        <v>1</v>
      </c>
      <c r="F12" s="156">
        <f t="shared" si="4"/>
        <v>100</v>
      </c>
      <c r="G12" s="157">
        <f>IF(D12=D11,"",_xlfn.IFNA(VLOOKUP(D12,'202306'!$CN$5:$CQ$55,4,FALSE),0))</f>
        <v>0</v>
      </c>
      <c r="H12" s="158">
        <f t="shared" si="2"/>
        <v>0</v>
      </c>
      <c r="I12" s="165">
        <f>SUM($G$7:G12)</f>
        <v>0</v>
      </c>
      <c r="J12" s="160">
        <f t="shared" si="3"/>
        <v>0</v>
      </c>
      <c r="K12" s="14"/>
      <c r="M12" s="1"/>
      <c r="O12" s="1">
        <v>6</v>
      </c>
      <c r="P12" s="1">
        <f>'표준점수 등급컷 입력기능'!E73</f>
        <v>43</v>
      </c>
    </row>
    <row r="13" spans="1:16" ht="25" customHeight="1" x14ac:dyDescent="0.45">
      <c r="A13" s="4"/>
      <c r="B13" s="13"/>
      <c r="C13" s="154">
        <v>44</v>
      </c>
      <c r="D13" s="155">
        <f t="shared" si="1"/>
        <v>90</v>
      </c>
      <c r="E13" s="155">
        <f t="shared" si="0"/>
        <v>1</v>
      </c>
      <c r="F13" s="156">
        <f t="shared" si="4"/>
        <v>100</v>
      </c>
      <c r="G13" s="157">
        <f>IF(D13=D12,"",_xlfn.IFNA(VLOOKUP(D13,'202306'!$CN$5:$CQ$55,4,FALSE),0))</f>
        <v>0</v>
      </c>
      <c r="H13" s="158">
        <f t="shared" si="2"/>
        <v>0</v>
      </c>
      <c r="I13" s="165">
        <f>SUM($G$7:G13)</f>
        <v>0</v>
      </c>
      <c r="J13" s="160">
        <f t="shared" si="3"/>
        <v>0</v>
      </c>
      <c r="K13" s="14"/>
      <c r="M13" s="1"/>
      <c r="O13" s="1">
        <v>7</v>
      </c>
      <c r="P13" s="1">
        <f>'표준점수 등급컷 입력기능'!E74</f>
        <v>40</v>
      </c>
    </row>
    <row r="14" spans="1:16" ht="25" customHeight="1" x14ac:dyDescent="0.45">
      <c r="A14" s="4"/>
      <c r="B14" s="13"/>
      <c r="C14" s="161">
        <v>43</v>
      </c>
      <c r="D14" s="155">
        <f t="shared" si="1"/>
        <v>89</v>
      </c>
      <c r="E14" s="155">
        <f t="shared" si="0"/>
        <v>1</v>
      </c>
      <c r="F14" s="156">
        <f t="shared" si="4"/>
        <v>100</v>
      </c>
      <c r="G14" s="157">
        <f>IF(D14=D13,"",_xlfn.IFNA(VLOOKUP(D14,'202306'!$CN$5:$CQ$55,4,FALSE),0))</f>
        <v>1</v>
      </c>
      <c r="H14" s="158">
        <f t="shared" si="2"/>
        <v>1.4492753623188406E-3</v>
      </c>
      <c r="I14" s="165">
        <f>SUM($G$7:G14)</f>
        <v>1</v>
      </c>
      <c r="J14" s="160">
        <f t="shared" si="3"/>
        <v>1.4492753623188406E-3</v>
      </c>
      <c r="K14" s="14"/>
      <c r="M14" s="1"/>
      <c r="O14" s="1">
        <v>8</v>
      </c>
      <c r="P14" s="1">
        <f>'표준점수 등급컷 입력기능'!E75</f>
        <v>38</v>
      </c>
    </row>
    <row r="15" spans="1:16" ht="25" customHeight="1" x14ac:dyDescent="0.45">
      <c r="A15" s="4"/>
      <c r="B15" s="13"/>
      <c r="C15" s="154">
        <v>42</v>
      </c>
      <c r="D15" s="155">
        <f t="shared" si="1"/>
        <v>88</v>
      </c>
      <c r="E15" s="155">
        <f t="shared" si="0"/>
        <v>1</v>
      </c>
      <c r="F15" s="156">
        <f t="shared" si="4"/>
        <v>100</v>
      </c>
      <c r="G15" s="157">
        <f>IF(D15=D14,"",_xlfn.IFNA(VLOOKUP(D15,'202306'!$CN$5:$CQ$55,4,FALSE),0))</f>
        <v>0</v>
      </c>
      <c r="H15" s="158">
        <f t="shared" si="2"/>
        <v>0</v>
      </c>
      <c r="I15" s="165">
        <f>SUM($G$7:G15)</f>
        <v>1</v>
      </c>
      <c r="J15" s="160">
        <f t="shared" si="3"/>
        <v>1.4492753623188406E-3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86</v>
      </c>
      <c r="E16" s="155">
        <f t="shared" si="0"/>
        <v>1</v>
      </c>
      <c r="F16" s="156">
        <f t="shared" si="4"/>
        <v>100</v>
      </c>
      <c r="G16" s="157">
        <f>IF(D16=D15,"",_xlfn.IFNA(VLOOKUP(D16,'202306'!$CN$5:$CQ$55,4,FALSE),0))</f>
        <v>0</v>
      </c>
      <c r="H16" s="158">
        <f t="shared" si="2"/>
        <v>0</v>
      </c>
      <c r="I16" s="165">
        <f>SUM($G$7:G16)</f>
        <v>1</v>
      </c>
      <c r="J16" s="160">
        <f t="shared" si="3"/>
        <v>1.4492753623188406E-3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85</v>
      </c>
      <c r="E17" s="155">
        <f t="shared" si="0"/>
        <v>1</v>
      </c>
      <c r="F17" s="156">
        <f t="shared" si="4"/>
        <v>100</v>
      </c>
      <c r="G17" s="157">
        <f>IF(D17=D16,"",_xlfn.IFNA(VLOOKUP(D17,'202306'!$CN$5:$CQ$55,4,FALSE),0))</f>
        <v>0</v>
      </c>
      <c r="H17" s="158">
        <f t="shared" si="2"/>
        <v>0</v>
      </c>
      <c r="I17" s="165">
        <f>SUM($G$7:G17)</f>
        <v>1</v>
      </c>
      <c r="J17" s="160">
        <f t="shared" si="3"/>
        <v>1.4492753623188406E-3</v>
      </c>
      <c r="K17" s="14"/>
      <c r="M17" s="1"/>
      <c r="P17" s="1">
        <f>H3*H4*J3*P7*IFERROR(IF(J57=1, 1, 0), 0)</f>
        <v>5123348.2069800012</v>
      </c>
    </row>
    <row r="18" spans="1:16" ht="25" customHeight="1" x14ac:dyDescent="0.45">
      <c r="A18" s="4"/>
      <c r="B18" s="13"/>
      <c r="C18" s="161">
        <v>39</v>
      </c>
      <c r="D18" s="155">
        <f t="shared" si="1"/>
        <v>84</v>
      </c>
      <c r="E18" s="155">
        <f t="shared" si="0"/>
        <v>1</v>
      </c>
      <c r="F18" s="156">
        <f t="shared" si="4"/>
        <v>100</v>
      </c>
      <c r="G18" s="157">
        <f>IF(D18=D17,"",_xlfn.IFNA(VLOOKUP(D18,'202306'!$CN$5:$CQ$55,4,FALSE),0))</f>
        <v>0</v>
      </c>
      <c r="H18" s="158">
        <f t="shared" si="2"/>
        <v>0</v>
      </c>
      <c r="I18" s="165">
        <f>SUM($G$7:G18)</f>
        <v>1</v>
      </c>
      <c r="J18" s="160">
        <f t="shared" si="3"/>
        <v>1.4492753623188406E-3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82</v>
      </c>
      <c r="E19" s="155">
        <f t="shared" si="0"/>
        <v>1</v>
      </c>
      <c r="F19" s="156">
        <f t="shared" si="4"/>
        <v>100</v>
      </c>
      <c r="G19" s="157">
        <f>IF(D19=D18,"",_xlfn.IFNA(VLOOKUP(D19,'202306'!$CN$5:$CQ$55,4,FALSE),0))</f>
        <v>3</v>
      </c>
      <c r="H19" s="158">
        <f t="shared" si="2"/>
        <v>4.3478260869565218E-3</v>
      </c>
      <c r="I19" s="165">
        <f>SUM($G$7:G19)</f>
        <v>4</v>
      </c>
      <c r="J19" s="160">
        <f t="shared" si="3"/>
        <v>5.7971014492753624E-3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81</v>
      </c>
      <c r="E20" s="155">
        <f t="shared" si="0"/>
        <v>1</v>
      </c>
      <c r="F20" s="156">
        <f t="shared" si="4"/>
        <v>99</v>
      </c>
      <c r="G20" s="157">
        <f>IF(D20=D19,"",_xlfn.IFNA(VLOOKUP(D20,'202306'!$CN$5:$CQ$55,4,FALSE),0))</f>
        <v>3</v>
      </c>
      <c r="H20" s="158">
        <f t="shared" si="2"/>
        <v>4.3478260869565218E-3</v>
      </c>
      <c r="I20" s="165">
        <f>SUM($G$7:G20)</f>
        <v>7</v>
      </c>
      <c r="J20" s="160">
        <f t="shared" si="3"/>
        <v>1.0144927536231883E-2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80</v>
      </c>
      <c r="E21" s="176">
        <f t="shared" si="0"/>
        <v>1</v>
      </c>
      <c r="F21" s="156">
        <f t="shared" si="4"/>
        <v>99</v>
      </c>
      <c r="G21" s="157">
        <f>IF(D21=D20,"",_xlfn.IFNA(VLOOKUP(D21,'202306'!$CN$5:$CQ$55,4,FALSE),0))</f>
        <v>2</v>
      </c>
      <c r="H21" s="158">
        <f t="shared" si="2"/>
        <v>2.8985507246376812E-3</v>
      </c>
      <c r="I21" s="165">
        <f>SUM($G$7:G21)</f>
        <v>9</v>
      </c>
      <c r="J21" s="160">
        <f t="shared" si="3"/>
        <v>1.3043478260869565E-2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78</v>
      </c>
      <c r="E22" s="176">
        <f t="shared" si="0"/>
        <v>1</v>
      </c>
      <c r="F22" s="156">
        <f t="shared" si="4"/>
        <v>98</v>
      </c>
      <c r="G22" s="157">
        <f>IF(D22=D21,"",_xlfn.IFNA(VLOOKUP(D22,'202306'!$CN$5:$CQ$55,4,FALSE),0))</f>
        <v>4</v>
      </c>
      <c r="H22" s="158">
        <f t="shared" si="2"/>
        <v>5.7971014492753624E-3</v>
      </c>
      <c r="I22" s="165">
        <f>SUM($G$7:G22)</f>
        <v>13</v>
      </c>
      <c r="J22" s="160">
        <f t="shared" si="3"/>
        <v>1.8840579710144929E-2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77</v>
      </c>
      <c r="E23" s="176">
        <f t="shared" si="0"/>
        <v>1</v>
      </c>
      <c r="F23" s="156">
        <f t="shared" si="4"/>
        <v>98</v>
      </c>
      <c r="G23" s="157">
        <f>IF(D23=D22,"",_xlfn.IFNA(VLOOKUP(D23,'202306'!$CN$5:$CQ$55,4,FALSE),0))</f>
        <v>4</v>
      </c>
      <c r="H23" s="158">
        <f t="shared" si="2"/>
        <v>5.7971014492753624E-3</v>
      </c>
      <c r="I23" s="165">
        <f>SUM($G$7:G23)</f>
        <v>17</v>
      </c>
      <c r="J23" s="160">
        <f t="shared" si="3"/>
        <v>2.4637681159420291E-2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76</v>
      </c>
      <c r="E24" s="176">
        <f t="shared" si="0"/>
        <v>1</v>
      </c>
      <c r="F24" s="156">
        <f t="shared" si="4"/>
        <v>97</v>
      </c>
      <c r="G24" s="157">
        <f>IF(D24=D23,"",_xlfn.IFNA(VLOOKUP(D24,'202306'!$CN$5:$CQ$55,4,FALSE),0))</f>
        <v>3</v>
      </c>
      <c r="H24" s="158">
        <f t="shared" si="2"/>
        <v>4.3478260869565218E-3</v>
      </c>
      <c r="I24" s="165">
        <f>SUM($G$7:G24)</f>
        <v>20</v>
      </c>
      <c r="J24" s="160">
        <f t="shared" si="3"/>
        <v>2.8985507246376812E-2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74</v>
      </c>
      <c r="E25" s="176">
        <f t="shared" si="0"/>
        <v>1</v>
      </c>
      <c r="F25" s="156">
        <f t="shared" si="4"/>
        <v>97</v>
      </c>
      <c r="G25" s="157">
        <f>IF(D25=D24,"",_xlfn.IFNA(VLOOKUP(D25,'202306'!$CN$5:$CQ$55,4,FALSE),0))</f>
        <v>4</v>
      </c>
      <c r="H25" s="158">
        <f t="shared" si="2"/>
        <v>5.7971014492753624E-3</v>
      </c>
      <c r="I25" s="165">
        <f>SUM($G$7:G25)</f>
        <v>24</v>
      </c>
      <c r="J25" s="160">
        <f t="shared" si="3"/>
        <v>3.4782608695652174E-2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73</v>
      </c>
      <c r="E26" s="176">
        <f t="shared" si="0"/>
        <v>1</v>
      </c>
      <c r="F26" s="156">
        <f t="shared" si="4"/>
        <v>96</v>
      </c>
      <c r="G26" s="157">
        <f>IF(D26=D25,"",_xlfn.IFNA(VLOOKUP(D26,'202306'!$CN$5:$CQ$55,4,FALSE),0))</f>
        <v>4</v>
      </c>
      <c r="H26" s="158">
        <f t="shared" si="2"/>
        <v>5.7971014492753624E-3</v>
      </c>
      <c r="I26" s="165">
        <f>SUM($G$7:G26)</f>
        <v>28</v>
      </c>
      <c r="J26" s="160">
        <f t="shared" si="3"/>
        <v>4.0579710144927533E-2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72</v>
      </c>
      <c r="E27" s="176">
        <f t="shared" si="0"/>
        <v>2</v>
      </c>
      <c r="F27" s="156">
        <f t="shared" si="4"/>
        <v>95</v>
      </c>
      <c r="G27" s="157">
        <f>IF(D27=D26,"",_xlfn.IFNA(VLOOKUP(D27,'202306'!$CN$5:$CQ$55,4,FALSE),0))</f>
        <v>7</v>
      </c>
      <c r="H27" s="158">
        <f t="shared" si="2"/>
        <v>1.0144927536231883E-2</v>
      </c>
      <c r="I27" s="165">
        <f>SUM($G$7:G27)</f>
        <v>35</v>
      </c>
      <c r="J27" s="160">
        <f t="shared" si="3"/>
        <v>5.0724637681159424E-2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71</v>
      </c>
      <c r="E28" s="176">
        <f t="shared" si="0"/>
        <v>2</v>
      </c>
      <c r="F28" s="156">
        <f t="shared" si="4"/>
        <v>95</v>
      </c>
      <c r="G28" s="157">
        <f>IF(D28=D27,"",_xlfn.IFNA(VLOOKUP(D28,'202306'!$CN$5:$CQ$55,4,FALSE),0))</f>
        <v>3</v>
      </c>
      <c r="H28" s="158">
        <f t="shared" si="2"/>
        <v>4.3478260869565218E-3</v>
      </c>
      <c r="I28" s="165">
        <f>SUM($G$7:G28)</f>
        <v>38</v>
      </c>
      <c r="J28" s="160">
        <f t="shared" si="3"/>
        <v>5.5072463768115941E-2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69</v>
      </c>
      <c r="E29" s="176">
        <f t="shared" si="0"/>
        <v>2</v>
      </c>
      <c r="F29" s="156">
        <f t="shared" si="4"/>
        <v>94</v>
      </c>
      <c r="G29" s="157">
        <f>IF(D29=D28,"",_xlfn.IFNA(VLOOKUP(D29,'202306'!$CN$5:$CQ$55,4,FALSE),0))</f>
        <v>8</v>
      </c>
      <c r="H29" s="158">
        <f t="shared" si="2"/>
        <v>1.1594202898550725E-2</v>
      </c>
      <c r="I29" s="165">
        <f>SUM($G$7:G29)</f>
        <v>46</v>
      </c>
      <c r="J29" s="160">
        <f t="shared" si="3"/>
        <v>6.6666666666666666E-2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68</v>
      </c>
      <c r="E30" s="176">
        <f t="shared" si="0"/>
        <v>2</v>
      </c>
      <c r="F30" s="156">
        <f t="shared" si="4"/>
        <v>93</v>
      </c>
      <c r="G30" s="157">
        <f>IF(D30=D29,"",_xlfn.IFNA(VLOOKUP(D30,'202306'!$CN$5:$CQ$55,4,FALSE),0))</f>
        <v>4</v>
      </c>
      <c r="H30" s="158">
        <f t="shared" si="2"/>
        <v>5.7971014492753624E-3</v>
      </c>
      <c r="I30" s="165">
        <f>SUM($G$7:G30)</f>
        <v>50</v>
      </c>
      <c r="J30" s="160">
        <f t="shared" si="3"/>
        <v>7.2463768115942032E-2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67</v>
      </c>
      <c r="E31" s="176">
        <f t="shared" si="0"/>
        <v>2</v>
      </c>
      <c r="F31" s="156">
        <f t="shared" si="4"/>
        <v>92</v>
      </c>
      <c r="G31" s="157">
        <f>IF(D31=D30,"",_xlfn.IFNA(VLOOKUP(D31,'202306'!$CN$5:$CQ$55,4,FALSE),0))</f>
        <v>15</v>
      </c>
      <c r="H31" s="158">
        <f t="shared" si="2"/>
        <v>2.1739130434782608E-2</v>
      </c>
      <c r="I31" s="165">
        <f>SUM($G$7:G31)</f>
        <v>65</v>
      </c>
      <c r="J31" s="160">
        <f t="shared" si="3"/>
        <v>9.420289855072464E-2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65</v>
      </c>
      <c r="E32" s="176">
        <f t="shared" si="0"/>
        <v>2</v>
      </c>
      <c r="F32" s="156">
        <f t="shared" si="4"/>
        <v>90</v>
      </c>
      <c r="G32" s="157">
        <f>IF(D32=D31,"",_xlfn.IFNA(VLOOKUP(D32,'202306'!$CN$5:$CQ$55,4,FALSE),0))</f>
        <v>10</v>
      </c>
      <c r="H32" s="158">
        <f t="shared" si="2"/>
        <v>1.4492753623188406E-2</v>
      </c>
      <c r="I32" s="165">
        <f>SUM($G$7:G32)</f>
        <v>75</v>
      </c>
      <c r="J32" s="160">
        <f t="shared" si="3"/>
        <v>0.10869565217391304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64</v>
      </c>
      <c r="E33" s="176">
        <f t="shared" si="0"/>
        <v>2</v>
      </c>
      <c r="F33" s="156">
        <f t="shared" si="4"/>
        <v>89</v>
      </c>
      <c r="G33" s="157">
        <f>IF(D33=D32,"",_xlfn.IFNA(VLOOKUP(D33,'202306'!$CN$5:$CQ$55,4,FALSE),0))</f>
        <v>8</v>
      </c>
      <c r="H33" s="158">
        <f t="shared" si="2"/>
        <v>1.1594202898550725E-2</v>
      </c>
      <c r="I33" s="165">
        <f>SUM($G$7:G33)</f>
        <v>83</v>
      </c>
      <c r="J33" s="160">
        <f t="shared" si="3"/>
        <v>0.12028985507246377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63</v>
      </c>
      <c r="E34" s="176">
        <f t="shared" si="0"/>
        <v>3</v>
      </c>
      <c r="F34" s="156">
        <f t="shared" si="4"/>
        <v>87</v>
      </c>
      <c r="G34" s="157">
        <f>IF(D34=D33,"",_xlfn.IFNA(VLOOKUP(D34,'202306'!$CN$5:$CQ$55,4,FALSE),0))</f>
        <v>17</v>
      </c>
      <c r="H34" s="158">
        <f t="shared" si="2"/>
        <v>2.4637681159420291E-2</v>
      </c>
      <c r="I34" s="165">
        <f>SUM($G$7:G34)</f>
        <v>100</v>
      </c>
      <c r="J34" s="160">
        <f t="shared" si="3"/>
        <v>0.14492753623188406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61</v>
      </c>
      <c r="E35" s="176">
        <f t="shared" si="0"/>
        <v>3</v>
      </c>
      <c r="F35" s="156">
        <f t="shared" si="4"/>
        <v>85</v>
      </c>
      <c r="G35" s="157">
        <f>IF(D35=D34,"",_xlfn.IFNA(VLOOKUP(D35,'202306'!$CN$5:$CQ$55,4,FALSE),0))</f>
        <v>13</v>
      </c>
      <c r="H35" s="158">
        <f t="shared" si="2"/>
        <v>1.8840579710144929E-2</v>
      </c>
      <c r="I35" s="165">
        <f>SUM($G$7:G35)</f>
        <v>113</v>
      </c>
      <c r="J35" s="160">
        <f t="shared" si="3"/>
        <v>0.16376811594202897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60</v>
      </c>
      <c r="E36" s="176">
        <f t="shared" si="0"/>
        <v>3</v>
      </c>
      <c r="F36" s="156">
        <f t="shared" si="4"/>
        <v>83</v>
      </c>
      <c r="G36" s="157">
        <f>IF(D36=D35,"",_xlfn.IFNA(VLOOKUP(D36,'202306'!$CN$5:$CQ$55,4,FALSE),0))</f>
        <v>9</v>
      </c>
      <c r="H36" s="158">
        <f t="shared" si="2"/>
        <v>1.3043478260869565E-2</v>
      </c>
      <c r="I36" s="165">
        <f>SUM($G$7:G36)</f>
        <v>122</v>
      </c>
      <c r="J36" s="160">
        <f t="shared" si="3"/>
        <v>0.17681159420289855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59</v>
      </c>
      <c r="E37" s="176">
        <f t="shared" si="0"/>
        <v>3</v>
      </c>
      <c r="F37" s="156">
        <f t="shared" si="4"/>
        <v>82</v>
      </c>
      <c r="G37" s="157">
        <f>IF(D37=D36,"",_xlfn.IFNA(VLOOKUP(D37,'202306'!$CN$5:$CQ$55,4,FALSE),0))</f>
        <v>7</v>
      </c>
      <c r="H37" s="158">
        <f t="shared" si="2"/>
        <v>1.0144927536231883E-2</v>
      </c>
      <c r="I37" s="165">
        <f>SUM($G$7:G37)</f>
        <v>129</v>
      </c>
      <c r="J37" s="160">
        <f t="shared" si="3"/>
        <v>0.18695652173913044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57</v>
      </c>
      <c r="E38" s="176">
        <f t="shared" si="0"/>
        <v>3</v>
      </c>
      <c r="F38" s="156">
        <f t="shared" si="4"/>
        <v>80</v>
      </c>
      <c r="G38" s="157">
        <f>IF(D38=D37,"",_xlfn.IFNA(VLOOKUP(D38,'202306'!$CN$5:$CQ$55,4,FALSE),0))</f>
        <v>14</v>
      </c>
      <c r="H38" s="158">
        <f t="shared" si="2"/>
        <v>2.0289855072463767E-2</v>
      </c>
      <c r="I38" s="165">
        <f>SUM($G$7:G38)</f>
        <v>143</v>
      </c>
      <c r="J38" s="160">
        <f t="shared" si="3"/>
        <v>0.20724637681159419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56</v>
      </c>
      <c r="E39" s="176">
        <f t="shared" si="0"/>
        <v>3</v>
      </c>
      <c r="F39" s="156">
        <f t="shared" si="4"/>
        <v>78</v>
      </c>
      <c r="G39" s="157">
        <f>IF(D39=D38,"",_xlfn.IFNA(VLOOKUP(D39,'202306'!$CN$5:$CQ$55,4,FALSE),0))</f>
        <v>16</v>
      </c>
      <c r="H39" s="158">
        <f t="shared" si="2"/>
        <v>2.318840579710145E-2</v>
      </c>
      <c r="I39" s="165">
        <f>SUM($G$7:G39)</f>
        <v>159</v>
      </c>
      <c r="J39" s="160">
        <f t="shared" si="3"/>
        <v>0.23043478260869565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55</v>
      </c>
      <c r="E40" s="176">
        <f t="shared" si="0"/>
        <v>4</v>
      </c>
      <c r="F40" s="156">
        <f t="shared" si="4"/>
        <v>76</v>
      </c>
      <c r="G40" s="157">
        <f>IF(D40=D39,"",_xlfn.IFNA(VLOOKUP(D40,'202306'!$CN$5:$CQ$55,4,FALSE),0))</f>
        <v>16</v>
      </c>
      <c r="H40" s="158">
        <f t="shared" si="2"/>
        <v>2.318840579710145E-2</v>
      </c>
      <c r="I40" s="165">
        <f>SUM($G$7:G40)</f>
        <v>175</v>
      </c>
      <c r="J40" s="160">
        <f t="shared" si="3"/>
        <v>0.25362318840579712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54</v>
      </c>
      <c r="E41" s="176">
        <f t="shared" si="0"/>
        <v>4</v>
      </c>
      <c r="F41" s="156">
        <f t="shared" si="4"/>
        <v>73</v>
      </c>
      <c r="G41" s="157">
        <f>IF(D41=D40,"",_xlfn.IFNA(VLOOKUP(D41,'202306'!$CN$5:$CQ$55,4,FALSE),0))</f>
        <v>18</v>
      </c>
      <c r="H41" s="158">
        <f t="shared" si="2"/>
        <v>2.6086956521739129E-2</v>
      </c>
      <c r="I41" s="165">
        <f>SUM($G$7:G41)</f>
        <v>193</v>
      </c>
      <c r="J41" s="160">
        <f t="shared" si="3"/>
        <v>0.27971014492753621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52</v>
      </c>
      <c r="E42" s="176">
        <f t="shared" si="0"/>
        <v>4</v>
      </c>
      <c r="F42" s="156">
        <f t="shared" si="4"/>
        <v>69</v>
      </c>
      <c r="G42" s="157">
        <f>IF(D42=D41,"",_xlfn.IFNA(VLOOKUP(D42,'202306'!$CN$5:$CQ$55,4,FALSE),0))</f>
        <v>36</v>
      </c>
      <c r="H42" s="158">
        <f t="shared" si="2"/>
        <v>5.2173913043478258E-2</v>
      </c>
      <c r="I42" s="165">
        <f>SUM($G$7:G42)</f>
        <v>229</v>
      </c>
      <c r="J42" s="160">
        <f t="shared" si="3"/>
        <v>0.3318840579710145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51</v>
      </c>
      <c r="E43" s="176">
        <f t="shared" si="0"/>
        <v>4</v>
      </c>
      <c r="F43" s="156">
        <f t="shared" si="4"/>
        <v>65</v>
      </c>
      <c r="G43" s="157">
        <f>IF(D43=D42,"",_xlfn.IFNA(VLOOKUP(D43,'202306'!$CN$5:$CQ$55,4,FALSE),0))</f>
        <v>21</v>
      </c>
      <c r="H43" s="158">
        <f t="shared" si="2"/>
        <v>3.0434782608695653E-2</v>
      </c>
      <c r="I43" s="165">
        <f>SUM($G$7:G43)</f>
        <v>250</v>
      </c>
      <c r="J43" s="160">
        <f t="shared" si="3"/>
        <v>0.36231884057971014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50</v>
      </c>
      <c r="E44" s="176">
        <f t="shared" si="0"/>
        <v>4</v>
      </c>
      <c r="F44" s="156">
        <f t="shared" si="4"/>
        <v>62</v>
      </c>
      <c r="G44" s="157">
        <f>IF(D44=D43,"",_xlfn.IFNA(VLOOKUP(D44,'202306'!$CN$5:$CQ$55,4,FALSE),0))</f>
        <v>27</v>
      </c>
      <c r="H44" s="158">
        <f t="shared" si="2"/>
        <v>3.9130434782608699E-2</v>
      </c>
      <c r="I44" s="165">
        <f>SUM($G$7:G44)</f>
        <v>277</v>
      </c>
      <c r="J44" s="160">
        <f t="shared" si="3"/>
        <v>0.40144927536231884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48</v>
      </c>
      <c r="E45" s="176">
        <f t="shared" si="0"/>
        <v>5</v>
      </c>
      <c r="F45" s="156">
        <f t="shared" si="4"/>
        <v>56</v>
      </c>
      <c r="G45" s="157">
        <f>IF(D45=D44,"",_xlfn.IFNA(VLOOKUP(D45,'202306'!$CN$5:$CQ$55,4,FALSE),0))</f>
        <v>60</v>
      </c>
      <c r="H45" s="158">
        <f t="shared" si="2"/>
        <v>8.6956521739130432E-2</v>
      </c>
      <c r="I45" s="165">
        <f>SUM($G$7:G45)</f>
        <v>337</v>
      </c>
      <c r="J45" s="160">
        <f t="shared" si="3"/>
        <v>0.48840579710144927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47</v>
      </c>
      <c r="E46" s="176">
        <f t="shared" si="0"/>
        <v>5</v>
      </c>
      <c r="F46" s="156">
        <f t="shared" si="4"/>
        <v>49</v>
      </c>
      <c r="G46" s="157">
        <f>IF(D46=D45,"",_xlfn.IFNA(VLOOKUP(D46,'202306'!$CN$5:$CQ$55,4,FALSE),0))</f>
        <v>25</v>
      </c>
      <c r="H46" s="158">
        <f t="shared" si="2"/>
        <v>3.6231884057971016E-2</v>
      </c>
      <c r="I46" s="165">
        <f>SUM($G$7:G46)</f>
        <v>362</v>
      </c>
      <c r="J46" s="160">
        <f t="shared" si="3"/>
        <v>0.52463768115942033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46</v>
      </c>
      <c r="E47" s="176">
        <f t="shared" si="0"/>
        <v>5</v>
      </c>
      <c r="F47" s="156">
        <f t="shared" si="4"/>
        <v>43</v>
      </c>
      <c r="G47" s="157">
        <f>IF(D47=D46,"",_xlfn.IFNA(VLOOKUP(D47,'202306'!$CN$5:$CQ$55,4,FALSE),0))</f>
        <v>57</v>
      </c>
      <c r="H47" s="158">
        <f t="shared" si="2"/>
        <v>8.2608695652173908E-2</v>
      </c>
      <c r="I47" s="165">
        <f>SUM($G$7:G47)</f>
        <v>419</v>
      </c>
      <c r="J47" s="160">
        <f t="shared" si="3"/>
        <v>0.60724637681159421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44</v>
      </c>
      <c r="E48" s="176">
        <f t="shared" si="0"/>
        <v>6</v>
      </c>
      <c r="F48" s="156">
        <f t="shared" si="4"/>
        <v>38</v>
      </c>
      <c r="G48" s="157">
        <f>IF(D48=D47,"",_xlfn.IFNA(VLOOKUP(D48,'202306'!$CN$5:$CQ$55,4,FALSE),0))</f>
        <v>24</v>
      </c>
      <c r="H48" s="158">
        <f t="shared" si="2"/>
        <v>3.4782608695652174E-2</v>
      </c>
      <c r="I48" s="165">
        <f>SUM($G$7:G48)</f>
        <v>443</v>
      </c>
      <c r="J48" s="160">
        <f t="shared" si="3"/>
        <v>0.64202898550724641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43</v>
      </c>
      <c r="E49" s="176">
        <f t="shared" si="0"/>
        <v>6</v>
      </c>
      <c r="F49" s="156">
        <f t="shared" si="4"/>
        <v>26</v>
      </c>
      <c r="G49" s="157">
        <f>IF(D49=D48,"",_xlfn.IFNA(VLOOKUP(D49,'202306'!$CN$5:$CQ$55,4,FALSE),0))</f>
        <v>139</v>
      </c>
      <c r="H49" s="158">
        <f t="shared" si="2"/>
        <v>0.20144927536231885</v>
      </c>
      <c r="I49" s="165">
        <f>SUM($G$7:G49)</f>
        <v>582</v>
      </c>
      <c r="J49" s="160">
        <f t="shared" si="3"/>
        <v>0.84347826086956523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42</v>
      </c>
      <c r="E50" s="176">
        <f t="shared" si="0"/>
        <v>7</v>
      </c>
      <c r="F50" s="156">
        <f t="shared" si="4"/>
        <v>13</v>
      </c>
      <c r="G50" s="157">
        <f>IF(D50=D49,"",_xlfn.IFNA(VLOOKUP(D50,'202306'!$CN$5:$CQ$55,4,FALSE),0))</f>
        <v>32</v>
      </c>
      <c r="H50" s="158">
        <f t="shared" si="2"/>
        <v>4.6376811594202899E-2</v>
      </c>
      <c r="I50" s="165">
        <f>SUM($G$7:G50)</f>
        <v>614</v>
      </c>
      <c r="J50" s="160">
        <f t="shared" si="3"/>
        <v>0.88985507246376816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40</v>
      </c>
      <c r="E51" s="176">
        <f t="shared" si="0"/>
        <v>7</v>
      </c>
      <c r="F51" s="156">
        <f t="shared" si="4"/>
        <v>10</v>
      </c>
      <c r="G51" s="157">
        <f>IF(D51=D50,"",_xlfn.IFNA(VLOOKUP(D51,'202306'!$CN$5:$CQ$55,4,FALSE),0))</f>
        <v>8</v>
      </c>
      <c r="H51" s="158">
        <f t="shared" si="2"/>
        <v>1.1594202898550725E-2</v>
      </c>
      <c r="I51" s="165">
        <f>SUM($G$7:G51)</f>
        <v>622</v>
      </c>
      <c r="J51" s="160">
        <f t="shared" si="3"/>
        <v>0.90144927536231889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39</v>
      </c>
      <c r="E52" s="176">
        <f t="shared" si="0"/>
        <v>8</v>
      </c>
      <c r="F52" s="156">
        <f t="shared" si="4"/>
        <v>7</v>
      </c>
      <c r="G52" s="157">
        <f>IF(D52=D51,"",_xlfn.IFNA(VLOOKUP(D52,'202306'!$CN$5:$CQ$55,4,FALSE),0))</f>
        <v>38</v>
      </c>
      <c r="H52" s="158">
        <f t="shared" si="2"/>
        <v>5.5072463768115941E-2</v>
      </c>
      <c r="I52" s="165">
        <f>SUM($G$7:G52)</f>
        <v>660</v>
      </c>
      <c r="J52" s="160">
        <f t="shared" si="3"/>
        <v>0.95652173913043481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38</v>
      </c>
      <c r="E53" s="155">
        <f t="shared" si="0"/>
        <v>8</v>
      </c>
      <c r="F53" s="156">
        <f t="shared" si="4"/>
        <v>4</v>
      </c>
      <c r="G53" s="157">
        <f>IF(D53=D52,"",_xlfn.IFNA(VLOOKUP(D53,'202306'!$CN$5:$CQ$55,4,FALSE),0))</f>
        <v>11</v>
      </c>
      <c r="H53" s="158">
        <f t="shared" si="2"/>
        <v>1.5942028985507246E-2</v>
      </c>
      <c r="I53" s="165">
        <f>SUM($G$7:G53)</f>
        <v>671</v>
      </c>
      <c r="J53" s="160">
        <f t="shared" si="3"/>
        <v>0.97246376811594204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37</v>
      </c>
      <c r="E54" s="155">
        <f t="shared" si="0"/>
        <v>9</v>
      </c>
      <c r="F54" s="156">
        <f t="shared" si="4"/>
        <v>2</v>
      </c>
      <c r="G54" s="157">
        <f>IF(D54=D53,"",_xlfn.IFNA(VLOOKUP(D54,'202306'!$CN$5:$CQ$55,4,FALSE),0))</f>
        <v>7</v>
      </c>
      <c r="H54" s="158">
        <f t="shared" si="2"/>
        <v>1.0144927536231883E-2</v>
      </c>
      <c r="I54" s="165">
        <f>SUM($G$7:G54)</f>
        <v>678</v>
      </c>
      <c r="J54" s="160">
        <f t="shared" si="3"/>
        <v>0.9826086956521739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35</v>
      </c>
      <c r="E55" s="155">
        <f t="shared" si="0"/>
        <v>9</v>
      </c>
      <c r="F55" s="156">
        <f t="shared" si="4"/>
        <v>1</v>
      </c>
      <c r="G55" s="157">
        <f>IF(D55=D54,"",_xlfn.IFNA(VLOOKUP(D55,'202306'!$CN$5:$CQ$55,4,FALSE),0))</f>
        <v>6</v>
      </c>
      <c r="H55" s="158">
        <f t="shared" si="2"/>
        <v>8.6956521739130436E-3</v>
      </c>
      <c r="I55" s="165">
        <f>SUM($G$7:G55)</f>
        <v>684</v>
      </c>
      <c r="J55" s="160">
        <f t="shared" si="3"/>
        <v>0.99130434782608701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33</v>
      </c>
      <c r="E57" s="170">
        <f t="shared" si="0"/>
        <v>9</v>
      </c>
      <c r="F57" s="171">
        <f>IF(I55=0,ROUND(100*(1-(I54+I57)/2/$J$3),0),ROUND(100*(1-(I55+I57)/2/$J$3),0))</f>
        <v>0</v>
      </c>
      <c r="G57" s="172">
        <f>_xlfn.IFNA(VLOOKUP(D57,'202306'!$CN$5:$CQ$55,4,FALSE),0)</f>
        <v>6</v>
      </c>
      <c r="H57" s="173">
        <f>G57/J3</f>
        <v>8.6956521739130436E-3</v>
      </c>
      <c r="I57" s="174">
        <f>SUM($G$7:G57)</f>
        <v>690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34" priority="7">
      <formula>OR($D7=$P$7:$P$14)</formula>
    </cfRule>
  </conditionalFormatting>
  <conditionalFormatting sqref="C7:C57">
    <cfRule type="expression" dxfId="33" priority="6">
      <formula>OR(AND($D7=0,OR($D6=$P$7:$P$14)),AND($D8&gt;0,OR($D7=$P$7:$P$14)))</formula>
    </cfRule>
  </conditionalFormatting>
  <conditionalFormatting sqref="D7 D57 D9:D55">
    <cfRule type="expression" dxfId="32" priority="5">
      <formula>$D7=$D8</formula>
    </cfRule>
  </conditionalFormatting>
  <conditionalFormatting sqref="D56">
    <cfRule type="expression" dxfId="31" priority="4">
      <formula>OR($D56=$P$7:$P$14)</formula>
    </cfRule>
  </conditionalFormatting>
  <conditionalFormatting sqref="D56">
    <cfRule type="expression" dxfId="30" priority="3">
      <formula>$D56=$D57</formula>
    </cfRule>
  </conditionalFormatting>
  <conditionalFormatting sqref="D8">
    <cfRule type="expression" dxfId="29" priority="2">
      <formula>OR($D8=$P$7:$P$14)</formula>
    </cfRule>
  </conditionalFormatting>
  <conditionalFormatting sqref="D8">
    <cfRule type="expression" dxfId="28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4E3C1-F94F-4141-A300-81A31FEFB9D2}">
  <sheetPr codeName="Sheet6"/>
  <dimension ref="A1:P105"/>
  <sheetViews>
    <sheetView topLeftCell="A5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기능'!D23</f>
        <v>23.58</v>
      </c>
      <c r="I3" s="10" t="s">
        <v>98</v>
      </c>
      <c r="J3" s="145">
        <f>'통계 및 응시자 수 입력 기능'!C23</f>
        <v>1216</v>
      </c>
      <c r="K3" s="14"/>
    </row>
    <row r="4" spans="1:16" ht="25" customHeight="1" thickBot="1" x14ac:dyDescent="0.5">
      <c r="A4" s="4"/>
      <c r="B4" s="13"/>
      <c r="C4" s="146" t="s">
        <v>99</v>
      </c>
      <c r="D4" s="321" t="s">
        <v>104</v>
      </c>
      <c r="E4" s="302"/>
      <c r="F4" s="303"/>
      <c r="G4" s="147" t="s">
        <v>101</v>
      </c>
      <c r="H4" s="148">
        <f>'통계 및 응시자 수 입력 기능'!E23</f>
        <v>13.05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70</v>
      </c>
      <c r="E7" s="155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99</v>
      </c>
      <c r="G7" s="157">
        <f>_xlfn.IFNA(VLOOKUP(D7,'202306'!$CS$5:$CV$55,4,FALSE),0)</f>
        <v>28</v>
      </c>
      <c r="H7" s="158">
        <f>G7/J3</f>
        <v>2.3026315789473683E-2</v>
      </c>
      <c r="I7" s="159">
        <f>G7</f>
        <v>28</v>
      </c>
      <c r="J7" s="160">
        <f>I7/J3</f>
        <v>2.3026315789473683E-2</v>
      </c>
      <c r="K7" s="14"/>
      <c r="M7" s="1"/>
      <c r="O7" s="1">
        <v>1</v>
      </c>
      <c r="P7" s="1">
        <f>'표준점수 등급컷 입력기능'!H68</f>
        <v>68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입력기능'!H69</f>
        <v>65</v>
      </c>
    </row>
    <row r="9" spans="1:16" ht="25" customHeight="1" x14ac:dyDescent="0.45">
      <c r="A9" s="4"/>
      <c r="B9" s="13"/>
      <c r="C9" s="154">
        <v>48</v>
      </c>
      <c r="D9" s="155">
        <f t="shared" ref="D9:D55" si="1">ROUND(10*(C9-$H$3)/$H$4+50,0)</f>
        <v>69</v>
      </c>
      <c r="E9" s="155">
        <f t="shared" si="0"/>
        <v>1</v>
      </c>
      <c r="F9" s="156">
        <f>IF(I8=0,ROUND(100*(1-(I7+I9)/2/$J$3),0),ROUND(100*(1-(I8+I9)/2/$J$3),0))</f>
        <v>97</v>
      </c>
      <c r="G9" s="157">
        <f>_xlfn.IFNA(VLOOKUP(D9,'202306'!$CS$5:$CV$55,4,FALSE),0)</f>
        <v>18</v>
      </c>
      <c r="H9" s="158">
        <f>G9/$J$3</f>
        <v>1.4802631578947368E-2</v>
      </c>
      <c r="I9" s="165">
        <f>SUM($G$7:G9)</f>
        <v>46</v>
      </c>
      <c r="J9" s="160">
        <f>I9/$J$3</f>
        <v>3.7828947368421052E-2</v>
      </c>
      <c r="K9" s="14"/>
      <c r="M9" s="1"/>
      <c r="O9" s="1">
        <v>3</v>
      </c>
      <c r="P9" s="1">
        <f>'표준점수 등급컷 입력기능'!H70</f>
        <v>60</v>
      </c>
    </row>
    <row r="10" spans="1:16" ht="25" customHeight="1" x14ac:dyDescent="0.45">
      <c r="A10" s="4"/>
      <c r="B10" s="13"/>
      <c r="C10" s="161">
        <v>47</v>
      </c>
      <c r="D10" s="155">
        <f t="shared" si="1"/>
        <v>68</v>
      </c>
      <c r="E10" s="155">
        <f t="shared" si="0"/>
        <v>1</v>
      </c>
      <c r="F10" s="156">
        <f>IF(I9=0,ROUND(100*(1-(I8+I10)/2/$J$3),0),ROUND(100*(1-(I9+I10)/2/$J$3),0))</f>
        <v>95</v>
      </c>
      <c r="G10" s="157">
        <f>IF(D10=D9,"",_xlfn.IFNA(VLOOKUP(D10,'202306'!$CS$5:$CV$55,4,FALSE),0))</f>
        <v>33</v>
      </c>
      <c r="H10" s="158">
        <f t="shared" ref="H10:H55" si="2">G10/$J$3</f>
        <v>2.7138157894736843E-2</v>
      </c>
      <c r="I10" s="165">
        <f>SUM($G$7:G10)</f>
        <v>79</v>
      </c>
      <c r="J10" s="160">
        <f t="shared" ref="J10:J55" si="3">I10/$J$3</f>
        <v>6.4967105263157895E-2</v>
      </c>
      <c r="K10" s="14"/>
      <c r="M10" s="1"/>
      <c r="O10" s="1">
        <v>4</v>
      </c>
      <c r="P10" s="1">
        <f>'표준점수 등급컷 입력기능'!H71</f>
        <v>51</v>
      </c>
    </row>
    <row r="11" spans="1:16" ht="25" customHeight="1" x14ac:dyDescent="0.45">
      <c r="A11" s="4"/>
      <c r="B11" s="13"/>
      <c r="C11" s="154">
        <v>46</v>
      </c>
      <c r="D11" s="155">
        <f t="shared" si="1"/>
        <v>67</v>
      </c>
      <c r="E11" s="155">
        <f t="shared" si="0"/>
        <v>2</v>
      </c>
      <c r="F11" s="156">
        <f t="shared" ref="F11:F55" si="4">IF(I10=0,ROUND(100*(1-(I9+I11)/2/$J$3),0),ROUND(100*(1-(I10+I11)/2/$J$3),0))</f>
        <v>93</v>
      </c>
      <c r="G11" s="157">
        <f>IF(D11=D10,"",_xlfn.IFNA(VLOOKUP(D11,'202306'!$CS$5:$CV$55,4,FALSE),0))</f>
        <v>4</v>
      </c>
      <c r="H11" s="158">
        <f t="shared" si="2"/>
        <v>3.2894736842105261E-3</v>
      </c>
      <c r="I11" s="165">
        <f>SUM($G$7:G11)</f>
        <v>83</v>
      </c>
      <c r="J11" s="160">
        <f t="shared" si="3"/>
        <v>6.8256578947368418E-2</v>
      </c>
      <c r="K11" s="14"/>
      <c r="M11" s="1"/>
      <c r="O11" s="1">
        <v>5</v>
      </c>
      <c r="P11" s="1">
        <f>'표준점수 등급컷 입력기능'!H72</f>
        <v>45</v>
      </c>
    </row>
    <row r="12" spans="1:16" ht="25" customHeight="1" x14ac:dyDescent="0.45">
      <c r="A12" s="4"/>
      <c r="B12" s="13"/>
      <c r="C12" s="161">
        <v>45</v>
      </c>
      <c r="D12" s="307">
        <f t="shared" si="1"/>
        <v>66</v>
      </c>
      <c r="E12" s="307">
        <f t="shared" si="0"/>
        <v>2</v>
      </c>
      <c r="F12" s="309">
        <f t="shared" si="4"/>
        <v>91</v>
      </c>
      <c r="G12" s="311">
        <f>IF(D12=D11,"",_xlfn.IFNA(VLOOKUP(D12,'202306'!$CS$5:$CV$55,4,FALSE),0))</f>
        <v>44</v>
      </c>
      <c r="H12" s="313">
        <f t="shared" si="2"/>
        <v>3.6184210526315791E-2</v>
      </c>
      <c r="I12" s="315">
        <f>SUM($G$7:G12)</f>
        <v>127</v>
      </c>
      <c r="J12" s="317">
        <f t="shared" si="3"/>
        <v>0.10444078947368421</v>
      </c>
      <c r="K12" s="14"/>
      <c r="M12" s="1"/>
      <c r="O12" s="1">
        <v>6</v>
      </c>
      <c r="P12" s="1">
        <f>'표준점수 등급컷 입력기능'!H73</f>
        <v>40</v>
      </c>
    </row>
    <row r="13" spans="1:16" ht="25" customHeight="1" x14ac:dyDescent="0.45">
      <c r="A13" s="4"/>
      <c r="B13" s="13"/>
      <c r="C13" s="154">
        <v>44</v>
      </c>
      <c r="D13" s="308"/>
      <c r="E13" s="308"/>
      <c r="F13" s="310"/>
      <c r="G13" s="312"/>
      <c r="H13" s="314"/>
      <c r="I13" s="316"/>
      <c r="J13" s="318"/>
      <c r="K13" s="14"/>
      <c r="M13" s="1"/>
      <c r="O13" s="1">
        <v>7</v>
      </c>
      <c r="P13" s="1">
        <v>99</v>
      </c>
    </row>
    <row r="14" spans="1:16" ht="25" customHeight="1" x14ac:dyDescent="0.45">
      <c r="A14" s="4"/>
      <c r="B14" s="13"/>
      <c r="C14" s="161">
        <v>43</v>
      </c>
      <c r="D14" s="155">
        <f t="shared" si="1"/>
        <v>65</v>
      </c>
      <c r="E14" s="155">
        <f t="shared" si="0"/>
        <v>2</v>
      </c>
      <c r="F14" s="156">
        <f t="shared" si="4"/>
        <v>89</v>
      </c>
      <c r="G14" s="157">
        <f>IF(D14=D13,"",_xlfn.IFNA(VLOOKUP(D14,'202306'!$CS$5:$CV$55,4,FALSE),0))</f>
        <v>19</v>
      </c>
      <c r="H14" s="158">
        <f t="shared" si="2"/>
        <v>1.5625E-2</v>
      </c>
      <c r="I14" s="165">
        <f>SUM($G$7:G14)</f>
        <v>146</v>
      </c>
      <c r="J14" s="160">
        <f t="shared" si="3"/>
        <v>0.12006578947368421</v>
      </c>
      <c r="K14" s="14"/>
      <c r="M14" s="1"/>
      <c r="O14" s="1">
        <v>8</v>
      </c>
      <c r="P14" s="1">
        <f>'표준점수 등급컷 입력기능'!H75</f>
        <v>37</v>
      </c>
    </row>
    <row r="15" spans="1:16" ht="25" customHeight="1" x14ac:dyDescent="0.45">
      <c r="A15" s="4"/>
      <c r="B15" s="13"/>
      <c r="C15" s="154">
        <v>42</v>
      </c>
      <c r="D15" s="155">
        <f t="shared" si="1"/>
        <v>64</v>
      </c>
      <c r="E15" s="155">
        <f t="shared" si="0"/>
        <v>3</v>
      </c>
      <c r="F15" s="156">
        <f t="shared" si="4"/>
        <v>87</v>
      </c>
      <c r="G15" s="157">
        <f>IF(D15=D14,"",_xlfn.IFNA(VLOOKUP(D15,'202306'!$CS$5:$CV$55,4,FALSE),0))</f>
        <v>24</v>
      </c>
      <c r="H15" s="158">
        <f t="shared" si="2"/>
        <v>1.9736842105263157E-2</v>
      </c>
      <c r="I15" s="165">
        <f>SUM($G$7:G15)</f>
        <v>170</v>
      </c>
      <c r="J15" s="160">
        <f t="shared" si="3"/>
        <v>0.13980263157894737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307">
        <f t="shared" si="1"/>
        <v>63</v>
      </c>
      <c r="E16" s="307">
        <f t="shared" si="0"/>
        <v>3</v>
      </c>
      <c r="F16" s="309">
        <f t="shared" si="4"/>
        <v>84</v>
      </c>
      <c r="G16" s="311">
        <f>IF(D16=D15,"",_xlfn.IFNA(VLOOKUP(D16,'202306'!$CS$5:$CV$55,4,FALSE),0))</f>
        <v>39</v>
      </c>
      <c r="H16" s="313">
        <f t="shared" si="2"/>
        <v>3.2072368421052634E-2</v>
      </c>
      <c r="I16" s="315">
        <f>SUM($G$7:G16)</f>
        <v>209</v>
      </c>
      <c r="J16" s="317">
        <f t="shared" si="3"/>
        <v>0.171875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308"/>
      <c r="E17" s="308"/>
      <c r="F17" s="310"/>
      <c r="G17" s="312"/>
      <c r="H17" s="314"/>
      <c r="I17" s="316"/>
      <c r="J17" s="318"/>
      <c r="K17" s="14"/>
      <c r="M17" s="1"/>
      <c r="P17" s="1">
        <f>H3*H4*J3*P7*IFERROR(IF(J57=1, 1, 0), 0)</f>
        <v>25444668.671999998</v>
      </c>
    </row>
    <row r="18" spans="1:16" ht="25" customHeight="1" x14ac:dyDescent="0.45">
      <c r="A18" s="4"/>
      <c r="B18" s="13"/>
      <c r="C18" s="161">
        <v>39</v>
      </c>
      <c r="D18" s="155">
        <f t="shared" si="1"/>
        <v>62</v>
      </c>
      <c r="E18" s="155">
        <f t="shared" si="0"/>
        <v>3</v>
      </c>
      <c r="F18" s="156">
        <f t="shared" si="4"/>
        <v>82</v>
      </c>
      <c r="G18" s="157">
        <f>IF(D18=D17,"",_xlfn.IFNA(VLOOKUP(D18,'202306'!$CS$5:$CV$55,4,FALSE),0))</f>
        <v>18</v>
      </c>
      <c r="H18" s="158">
        <f t="shared" si="2"/>
        <v>1.4802631578947368E-2</v>
      </c>
      <c r="I18" s="165">
        <f>SUM($G$7:G18)</f>
        <v>227</v>
      </c>
      <c r="J18" s="160">
        <f t="shared" si="3"/>
        <v>0.18667763157894737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61</v>
      </c>
      <c r="E19" s="155">
        <f t="shared" si="0"/>
        <v>3</v>
      </c>
      <c r="F19" s="156">
        <f t="shared" si="4"/>
        <v>81</v>
      </c>
      <c r="G19" s="157">
        <f>IF(D19=D18,"",_xlfn.IFNA(VLOOKUP(D19,'202306'!$CS$5:$CV$55,4,FALSE),0))</f>
        <v>13</v>
      </c>
      <c r="H19" s="158">
        <f t="shared" si="2"/>
        <v>1.0690789473684211E-2</v>
      </c>
      <c r="I19" s="165">
        <f>SUM($G$7:G19)</f>
        <v>240</v>
      </c>
      <c r="J19" s="160">
        <f t="shared" si="3"/>
        <v>0.19736842105263158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307">
        <f t="shared" si="1"/>
        <v>60</v>
      </c>
      <c r="E20" s="307">
        <f t="shared" si="0"/>
        <v>3</v>
      </c>
      <c r="F20" s="309">
        <f t="shared" si="4"/>
        <v>78</v>
      </c>
      <c r="G20" s="311">
        <f>IF(D20=D19,"",_xlfn.IFNA(VLOOKUP(D20,'202306'!$CS$5:$CV$55,4,FALSE),0))</f>
        <v>43</v>
      </c>
      <c r="H20" s="313">
        <f t="shared" si="2"/>
        <v>3.5361842105263157E-2</v>
      </c>
      <c r="I20" s="315">
        <f>SUM($G$7:G20)</f>
        <v>283</v>
      </c>
      <c r="J20" s="317">
        <f t="shared" si="3"/>
        <v>0.23273026315789475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308"/>
      <c r="E21" s="308"/>
      <c r="F21" s="310"/>
      <c r="G21" s="312"/>
      <c r="H21" s="314"/>
      <c r="I21" s="316"/>
      <c r="J21" s="318"/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59</v>
      </c>
      <c r="E22" s="176">
        <f t="shared" si="0"/>
        <v>4</v>
      </c>
      <c r="F22" s="156">
        <f t="shared" si="4"/>
        <v>76</v>
      </c>
      <c r="G22" s="157">
        <f>IF(D22=D21,"",_xlfn.IFNA(VLOOKUP(D22,'202306'!$CS$5:$CV$55,4,FALSE),0))</f>
        <v>18</v>
      </c>
      <c r="H22" s="158">
        <f t="shared" si="2"/>
        <v>1.4802631578947368E-2</v>
      </c>
      <c r="I22" s="165">
        <f>SUM($G$7:G22)</f>
        <v>301</v>
      </c>
      <c r="J22" s="160">
        <f t="shared" si="3"/>
        <v>0.24753289473684212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58</v>
      </c>
      <c r="E23" s="176">
        <f t="shared" si="0"/>
        <v>4</v>
      </c>
      <c r="F23" s="156">
        <f t="shared" si="4"/>
        <v>75</v>
      </c>
      <c r="G23" s="157">
        <f>IF(D23=D22,"",_xlfn.IFNA(VLOOKUP(D23,'202306'!$CS$5:$CV$55,4,FALSE),0))</f>
        <v>16</v>
      </c>
      <c r="H23" s="158">
        <f t="shared" si="2"/>
        <v>1.3157894736842105E-2</v>
      </c>
      <c r="I23" s="165">
        <f>SUM($G$7:G23)</f>
        <v>317</v>
      </c>
      <c r="J23" s="160">
        <f t="shared" si="3"/>
        <v>0.26069078947368424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57</v>
      </c>
      <c r="E24" s="176">
        <f t="shared" si="0"/>
        <v>4</v>
      </c>
      <c r="F24" s="156">
        <f t="shared" si="4"/>
        <v>73</v>
      </c>
      <c r="G24" s="157">
        <f>IF(D24=D23,"",_xlfn.IFNA(VLOOKUP(D24,'202306'!$CS$5:$CV$55,4,FALSE),0))</f>
        <v>12</v>
      </c>
      <c r="H24" s="158">
        <f t="shared" si="2"/>
        <v>9.8684210526315784E-3</v>
      </c>
      <c r="I24" s="165">
        <f>SUM($G$7:G24)</f>
        <v>329</v>
      </c>
      <c r="J24" s="160">
        <f t="shared" si="3"/>
        <v>0.27055921052631576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319">
        <f t="shared" si="1"/>
        <v>56</v>
      </c>
      <c r="E25" s="319">
        <f t="shared" si="0"/>
        <v>4</v>
      </c>
      <c r="F25" s="309">
        <f t="shared" si="4"/>
        <v>71</v>
      </c>
      <c r="G25" s="311">
        <f>IF(D25=D24,"",_xlfn.IFNA(VLOOKUP(D25,'202306'!$CS$5:$CV$55,4,FALSE),0))</f>
        <v>36</v>
      </c>
      <c r="H25" s="313">
        <f t="shared" si="2"/>
        <v>2.9605263157894735E-2</v>
      </c>
      <c r="I25" s="315">
        <f>SUM($G$7:G25)</f>
        <v>365</v>
      </c>
      <c r="J25" s="317">
        <f t="shared" si="3"/>
        <v>0.30016447368421051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320"/>
      <c r="E26" s="320"/>
      <c r="F26" s="310"/>
      <c r="G26" s="312"/>
      <c r="H26" s="314"/>
      <c r="I26" s="316"/>
      <c r="J26" s="318"/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55</v>
      </c>
      <c r="E27" s="176">
        <f t="shared" si="0"/>
        <v>4</v>
      </c>
      <c r="F27" s="156">
        <f t="shared" si="4"/>
        <v>69</v>
      </c>
      <c r="G27" s="157">
        <f>IF(D27=D26,"",_xlfn.IFNA(VLOOKUP(D27,'202306'!$CS$5:$CV$55,4,FALSE),0))</f>
        <v>21</v>
      </c>
      <c r="H27" s="158">
        <f t="shared" si="2"/>
        <v>1.7269736842105265E-2</v>
      </c>
      <c r="I27" s="165">
        <f>SUM($G$7:G27)</f>
        <v>386</v>
      </c>
      <c r="J27" s="160">
        <f t="shared" si="3"/>
        <v>0.31743421052631576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54</v>
      </c>
      <c r="E28" s="176">
        <f t="shared" si="0"/>
        <v>4</v>
      </c>
      <c r="F28" s="156">
        <f t="shared" si="4"/>
        <v>68</v>
      </c>
      <c r="G28" s="157">
        <f>IF(D28=D27,"",_xlfn.IFNA(VLOOKUP(D28,'202306'!$CS$5:$CV$55,4,FALSE),0))</f>
        <v>18</v>
      </c>
      <c r="H28" s="158">
        <f t="shared" si="2"/>
        <v>1.4802631578947368E-2</v>
      </c>
      <c r="I28" s="165">
        <f>SUM($G$7:G28)</f>
        <v>404</v>
      </c>
      <c r="J28" s="160">
        <f t="shared" si="3"/>
        <v>0.33223684210526316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319">
        <f t="shared" si="1"/>
        <v>53</v>
      </c>
      <c r="E29" s="319">
        <f t="shared" si="0"/>
        <v>4</v>
      </c>
      <c r="F29" s="309">
        <f t="shared" si="4"/>
        <v>65</v>
      </c>
      <c r="G29" s="311">
        <f>IF(D29=D28,"",_xlfn.IFNA(VLOOKUP(D29,'202306'!$CS$5:$CV$55,4,FALSE),0))</f>
        <v>51</v>
      </c>
      <c r="H29" s="313">
        <f t="shared" si="2"/>
        <v>4.1940789473684209E-2</v>
      </c>
      <c r="I29" s="315">
        <f>SUM($G$7:G29)</f>
        <v>455</v>
      </c>
      <c r="J29" s="317">
        <f t="shared" si="3"/>
        <v>0.37417763157894735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320"/>
      <c r="E30" s="320"/>
      <c r="F30" s="310"/>
      <c r="G30" s="312"/>
      <c r="H30" s="314"/>
      <c r="I30" s="316"/>
      <c r="J30" s="318"/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52</v>
      </c>
      <c r="E31" s="176">
        <f t="shared" si="0"/>
        <v>4</v>
      </c>
      <c r="F31" s="156">
        <f t="shared" si="4"/>
        <v>62</v>
      </c>
      <c r="G31" s="157">
        <f>IF(D31=D30,"",_xlfn.IFNA(VLOOKUP(D31,'202306'!$CS$5:$CV$55,4,FALSE),0))</f>
        <v>20</v>
      </c>
      <c r="H31" s="158">
        <f t="shared" si="2"/>
        <v>1.6447368421052631E-2</v>
      </c>
      <c r="I31" s="165">
        <f>SUM($G$7:G31)</f>
        <v>475</v>
      </c>
      <c r="J31" s="160">
        <f t="shared" si="3"/>
        <v>0.390625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51</v>
      </c>
      <c r="E32" s="176">
        <f t="shared" si="0"/>
        <v>4</v>
      </c>
      <c r="F32" s="156">
        <f t="shared" si="4"/>
        <v>60</v>
      </c>
      <c r="G32" s="157">
        <f>IF(D32=D31,"",_xlfn.IFNA(VLOOKUP(D32,'202306'!$CS$5:$CV$55,4,FALSE),0))</f>
        <v>33</v>
      </c>
      <c r="H32" s="158">
        <f t="shared" si="2"/>
        <v>2.7138157894736843E-2</v>
      </c>
      <c r="I32" s="165">
        <f>SUM($G$7:G32)</f>
        <v>508</v>
      </c>
      <c r="J32" s="160">
        <f t="shared" si="3"/>
        <v>0.41776315789473684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319">
        <f t="shared" si="1"/>
        <v>50</v>
      </c>
      <c r="E33" s="319">
        <f t="shared" si="0"/>
        <v>5</v>
      </c>
      <c r="F33" s="309">
        <f t="shared" si="4"/>
        <v>56</v>
      </c>
      <c r="G33" s="311">
        <f>IF(D33=D32,"",_xlfn.IFNA(VLOOKUP(D33,'202306'!$CS$5:$CV$55,4,FALSE),0))</f>
        <v>65</v>
      </c>
      <c r="H33" s="313">
        <f t="shared" si="2"/>
        <v>5.3453947368421052E-2</v>
      </c>
      <c r="I33" s="315">
        <f>SUM($G$7:G33)</f>
        <v>573</v>
      </c>
      <c r="J33" s="317">
        <f t="shared" si="3"/>
        <v>0.47121710526315791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320"/>
      <c r="E34" s="320"/>
      <c r="F34" s="310"/>
      <c r="G34" s="312"/>
      <c r="H34" s="314"/>
      <c r="I34" s="316"/>
      <c r="J34" s="318"/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49</v>
      </c>
      <c r="E35" s="176">
        <f t="shared" si="0"/>
        <v>5</v>
      </c>
      <c r="F35" s="156">
        <f t="shared" si="4"/>
        <v>51</v>
      </c>
      <c r="G35" s="157">
        <f>IF(D35=D34,"",_xlfn.IFNA(VLOOKUP(D35,'202306'!$CS$5:$CV$55,4,FALSE),0))</f>
        <v>34</v>
      </c>
      <c r="H35" s="158">
        <f t="shared" si="2"/>
        <v>2.7960526315789474E-2</v>
      </c>
      <c r="I35" s="165">
        <f>SUM($G$7:G35)</f>
        <v>607</v>
      </c>
      <c r="J35" s="160">
        <f t="shared" si="3"/>
        <v>0.49917763157894735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48</v>
      </c>
      <c r="E36" s="176">
        <f t="shared" si="0"/>
        <v>5</v>
      </c>
      <c r="F36" s="156">
        <f t="shared" si="4"/>
        <v>49</v>
      </c>
      <c r="G36" s="157">
        <f>IF(D36=D35,"",_xlfn.IFNA(VLOOKUP(D36,'202306'!$CS$5:$CV$55,4,FALSE),0))</f>
        <v>21</v>
      </c>
      <c r="H36" s="158">
        <f t="shared" si="2"/>
        <v>1.7269736842105265E-2</v>
      </c>
      <c r="I36" s="165">
        <f>SUM($G$7:G36)</f>
        <v>628</v>
      </c>
      <c r="J36" s="160">
        <f t="shared" si="3"/>
        <v>0.51644736842105265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47</v>
      </c>
      <c r="E37" s="176">
        <f t="shared" si="0"/>
        <v>5</v>
      </c>
      <c r="F37" s="156">
        <f t="shared" si="4"/>
        <v>47</v>
      </c>
      <c r="G37" s="157">
        <f>IF(D37=D36,"",_xlfn.IFNA(VLOOKUP(D37,'202306'!$CS$5:$CV$55,4,FALSE),0))</f>
        <v>24</v>
      </c>
      <c r="H37" s="158">
        <f t="shared" si="2"/>
        <v>1.9736842105263157E-2</v>
      </c>
      <c r="I37" s="165">
        <f>SUM($G$7:G37)</f>
        <v>652</v>
      </c>
      <c r="J37" s="160">
        <f t="shared" si="3"/>
        <v>0.53618421052631582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319">
        <f t="shared" si="1"/>
        <v>46</v>
      </c>
      <c r="E38" s="319">
        <f t="shared" si="0"/>
        <v>5</v>
      </c>
      <c r="F38" s="309">
        <f t="shared" si="4"/>
        <v>44</v>
      </c>
      <c r="G38" s="311">
        <f>IF(D38=D37,"",_xlfn.IFNA(VLOOKUP(D38,'202306'!$CS$5:$CV$55,4,FALSE),0))</f>
        <v>51</v>
      </c>
      <c r="H38" s="313">
        <f t="shared" si="2"/>
        <v>4.1940789473684209E-2</v>
      </c>
      <c r="I38" s="315">
        <f>SUM($G$7:G38)</f>
        <v>703</v>
      </c>
      <c r="J38" s="317">
        <f t="shared" si="3"/>
        <v>0.578125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320"/>
      <c r="E39" s="320"/>
      <c r="F39" s="310"/>
      <c r="G39" s="312"/>
      <c r="H39" s="314"/>
      <c r="I39" s="316"/>
      <c r="J39" s="318"/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45</v>
      </c>
      <c r="E40" s="176">
        <f t="shared" si="0"/>
        <v>5</v>
      </c>
      <c r="F40" s="156">
        <f t="shared" si="4"/>
        <v>41</v>
      </c>
      <c r="G40" s="157">
        <f>IF(D40=D39,"",_xlfn.IFNA(VLOOKUP(D40,'202306'!$CS$5:$CV$55,4,FALSE),0))</f>
        <v>36</v>
      </c>
      <c r="H40" s="158">
        <f t="shared" si="2"/>
        <v>2.9605263157894735E-2</v>
      </c>
      <c r="I40" s="165">
        <f>SUM($G$7:G40)</f>
        <v>739</v>
      </c>
      <c r="J40" s="160">
        <f t="shared" si="3"/>
        <v>0.60773026315789469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44</v>
      </c>
      <c r="E41" s="176">
        <f t="shared" si="0"/>
        <v>6</v>
      </c>
      <c r="F41" s="156">
        <f t="shared" si="4"/>
        <v>38</v>
      </c>
      <c r="G41" s="157">
        <f>IF(D41=D40,"",_xlfn.IFNA(VLOOKUP(D41,'202306'!$CS$5:$CV$55,4,FALSE),0))</f>
        <v>34</v>
      </c>
      <c r="H41" s="158">
        <f t="shared" si="2"/>
        <v>2.7960526315789474E-2</v>
      </c>
      <c r="I41" s="165">
        <f>SUM($G$7:G41)</f>
        <v>773</v>
      </c>
      <c r="J41" s="160">
        <f t="shared" si="3"/>
        <v>0.63569078947368418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319">
        <f t="shared" si="1"/>
        <v>43</v>
      </c>
      <c r="E42" s="319">
        <f t="shared" si="0"/>
        <v>6</v>
      </c>
      <c r="F42" s="309">
        <f t="shared" si="4"/>
        <v>34</v>
      </c>
      <c r="G42" s="311">
        <f>IF(D42=D41,"",_xlfn.IFNA(VLOOKUP(D42,'202306'!$CS$5:$CV$55,4,FALSE),0))</f>
        <v>64</v>
      </c>
      <c r="H42" s="313">
        <f t="shared" si="2"/>
        <v>5.2631578947368418E-2</v>
      </c>
      <c r="I42" s="315">
        <f>SUM($G$7:G42)</f>
        <v>837</v>
      </c>
      <c r="J42" s="317">
        <f t="shared" si="3"/>
        <v>0.68832236842105265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320"/>
      <c r="E43" s="320"/>
      <c r="F43" s="310"/>
      <c r="G43" s="312"/>
      <c r="H43" s="314"/>
      <c r="I43" s="316"/>
      <c r="J43" s="318"/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42</v>
      </c>
      <c r="E44" s="176">
        <f t="shared" si="0"/>
        <v>6</v>
      </c>
      <c r="F44" s="156">
        <f t="shared" si="4"/>
        <v>30</v>
      </c>
      <c r="G44" s="157">
        <f>IF(D44=D43,"",_xlfn.IFNA(VLOOKUP(D44,'202306'!$CS$5:$CV$55,4,FALSE),0))</f>
        <v>40</v>
      </c>
      <c r="H44" s="158">
        <f t="shared" si="2"/>
        <v>3.2894736842105261E-2</v>
      </c>
      <c r="I44" s="165">
        <f>SUM($G$7:G44)</f>
        <v>877</v>
      </c>
      <c r="J44" s="160">
        <f t="shared" si="3"/>
        <v>0.72121710526315785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41</v>
      </c>
      <c r="E45" s="176">
        <f t="shared" si="0"/>
        <v>6</v>
      </c>
      <c r="F45" s="156">
        <f t="shared" si="4"/>
        <v>27</v>
      </c>
      <c r="G45" s="157">
        <f>IF(D45=D44,"",_xlfn.IFNA(VLOOKUP(D45,'202306'!$CS$5:$CV$55,4,FALSE),0))</f>
        <v>26</v>
      </c>
      <c r="H45" s="158">
        <f t="shared" si="2"/>
        <v>2.1381578947368422E-2</v>
      </c>
      <c r="I45" s="165">
        <f>SUM($G$7:G45)</f>
        <v>903</v>
      </c>
      <c r="J45" s="160">
        <f t="shared" si="3"/>
        <v>0.74259868421052633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322">
        <f t="shared" si="1"/>
        <v>40</v>
      </c>
      <c r="E46" s="322">
        <f t="shared" si="0"/>
        <v>6</v>
      </c>
      <c r="F46" s="324">
        <f t="shared" si="4"/>
        <v>18</v>
      </c>
      <c r="G46" s="326">
        <f>IF(D46=D45,"",_xlfn.IFNA(VLOOKUP(D46,'202306'!$CS$5:$CV$55,4,FALSE),0))</f>
        <v>192</v>
      </c>
      <c r="H46" s="328">
        <f t="shared" si="2"/>
        <v>0.15789473684210525</v>
      </c>
      <c r="I46" s="330">
        <f>SUM($G$7:G46)</f>
        <v>1095</v>
      </c>
      <c r="J46" s="332">
        <f t="shared" si="3"/>
        <v>0.90049342105263153</v>
      </c>
      <c r="K46" s="14"/>
      <c r="M46" s="1"/>
    </row>
    <row r="47" spans="1:13" ht="25" customHeight="1" x14ac:dyDescent="0.45">
      <c r="A47" s="4"/>
      <c r="B47" s="13"/>
      <c r="C47" s="177">
        <v>10</v>
      </c>
      <c r="D47" s="323"/>
      <c r="E47" s="323"/>
      <c r="F47" s="325"/>
      <c r="G47" s="327"/>
      <c r="H47" s="329"/>
      <c r="I47" s="331"/>
      <c r="J47" s="333"/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39</v>
      </c>
      <c r="E48" s="176">
        <f t="shared" si="0"/>
        <v>8</v>
      </c>
      <c r="F48" s="156">
        <f t="shared" si="4"/>
        <v>9</v>
      </c>
      <c r="G48" s="157">
        <f>IF(D48=D47,"",_xlfn.IFNA(VLOOKUP(D48,'202306'!$CS$5:$CV$55,4,FALSE),0))</f>
        <v>23</v>
      </c>
      <c r="H48" s="158">
        <f t="shared" si="2"/>
        <v>1.8914473684210526E-2</v>
      </c>
      <c r="I48" s="165">
        <f>SUM($G$7:G48)</f>
        <v>1118</v>
      </c>
      <c r="J48" s="160">
        <f t="shared" si="3"/>
        <v>0.91940789473684215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38</v>
      </c>
      <c r="E49" s="176">
        <f t="shared" si="0"/>
        <v>8</v>
      </c>
      <c r="F49" s="156">
        <f t="shared" si="4"/>
        <v>7</v>
      </c>
      <c r="G49" s="157">
        <f>IF(D49=D48,"",_xlfn.IFNA(VLOOKUP(D49,'202306'!$CS$5:$CV$55,4,FALSE),0))</f>
        <v>30</v>
      </c>
      <c r="H49" s="158">
        <f t="shared" si="2"/>
        <v>2.4671052631578948E-2</v>
      </c>
      <c r="I49" s="165">
        <f>SUM($G$7:G49)</f>
        <v>1148</v>
      </c>
      <c r="J49" s="160">
        <f t="shared" si="3"/>
        <v>0.94407894736842102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319">
        <f t="shared" si="1"/>
        <v>37</v>
      </c>
      <c r="E50" s="319">
        <f t="shared" si="0"/>
        <v>8</v>
      </c>
      <c r="F50" s="309">
        <f t="shared" si="4"/>
        <v>4</v>
      </c>
      <c r="G50" s="311">
        <f>IF(D50=D49,"",_xlfn.IFNA(VLOOKUP(D50,'202306'!$CS$5:$CV$55,4,FALSE),0))</f>
        <v>31</v>
      </c>
      <c r="H50" s="313">
        <f t="shared" si="2"/>
        <v>2.5493421052631578E-2</v>
      </c>
      <c r="I50" s="315">
        <f>SUM($G$7:G50)</f>
        <v>1179</v>
      </c>
      <c r="J50" s="317">
        <f t="shared" si="3"/>
        <v>0.96957236842105265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320"/>
      <c r="E51" s="320"/>
      <c r="F51" s="310"/>
      <c r="G51" s="312"/>
      <c r="H51" s="314"/>
      <c r="I51" s="316"/>
      <c r="J51" s="318"/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36</v>
      </c>
      <c r="E52" s="176">
        <f t="shared" si="0"/>
        <v>9</v>
      </c>
      <c r="F52" s="156">
        <f t="shared" si="4"/>
        <v>2</v>
      </c>
      <c r="G52" s="157">
        <f>IF(D52=D51,"",_xlfn.IFNA(VLOOKUP(D52,'202306'!$CS$5:$CV$55,4,FALSE),0))</f>
        <v>21</v>
      </c>
      <c r="H52" s="158">
        <f t="shared" si="2"/>
        <v>1.7269736842105265E-2</v>
      </c>
      <c r="I52" s="165">
        <f>SUM($G$7:G52)</f>
        <v>1200</v>
      </c>
      <c r="J52" s="160">
        <f t="shared" si="3"/>
        <v>0.98684210526315785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35</v>
      </c>
      <c r="E53" s="155">
        <f t="shared" si="0"/>
        <v>9</v>
      </c>
      <c r="F53" s="156">
        <f t="shared" si="4"/>
        <v>1</v>
      </c>
      <c r="G53" s="157">
        <f>IF(D53=D52,"",_xlfn.IFNA(VLOOKUP(D53,'202306'!$CS$5:$CV$55,4,FALSE),0))</f>
        <v>7</v>
      </c>
      <c r="H53" s="158">
        <f t="shared" si="2"/>
        <v>5.7565789473684207E-3</v>
      </c>
      <c r="I53" s="165">
        <f>SUM($G$7:G53)</f>
        <v>1207</v>
      </c>
      <c r="J53" s="160">
        <f t="shared" si="3"/>
        <v>0.99259868421052633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34</v>
      </c>
      <c r="E54" s="155">
        <f t="shared" si="0"/>
        <v>9</v>
      </c>
      <c r="F54" s="156">
        <f t="shared" si="4"/>
        <v>1</v>
      </c>
      <c r="G54" s="157">
        <f>IF(D54=D53,"",_xlfn.IFNA(VLOOKUP(D54,'202306'!$CS$5:$CV$55,4,FALSE),0))</f>
        <v>5</v>
      </c>
      <c r="H54" s="158">
        <f t="shared" si="2"/>
        <v>4.1118421052631577E-3</v>
      </c>
      <c r="I54" s="165">
        <f>SUM($G$7:G54)</f>
        <v>1212</v>
      </c>
      <c r="J54" s="160">
        <f t="shared" si="3"/>
        <v>0.99671052631578949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33</v>
      </c>
      <c r="E55" s="155">
        <f t="shared" si="0"/>
        <v>9</v>
      </c>
      <c r="F55" s="156">
        <f t="shared" si="4"/>
        <v>0</v>
      </c>
      <c r="G55" s="157">
        <f>IF(D55=D54,"",_xlfn.IFNA(VLOOKUP(D55,'202306'!$CS$5:$CV$55,4,FALSE),0))</f>
        <v>2</v>
      </c>
      <c r="H55" s="158">
        <f t="shared" si="2"/>
        <v>1.6447368421052631E-3</v>
      </c>
      <c r="I55" s="165">
        <f>SUM($G$7:G55)</f>
        <v>1214</v>
      </c>
      <c r="J55" s="160">
        <f t="shared" si="3"/>
        <v>0.99835526315789469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32</v>
      </c>
      <c r="E57" s="170">
        <f t="shared" si="0"/>
        <v>9</v>
      </c>
      <c r="F57" s="171">
        <f>IF(I55=0,ROUND(100*(1-(I54+I57)/2/$J$3),0),ROUND(100*(1-(I55+I57)/2/$J$3),0))</f>
        <v>0</v>
      </c>
      <c r="G57" s="172">
        <f>_xlfn.IFNA(VLOOKUP(D57,'202306'!$CS$5:$CV$55,4,FALSE),0)</f>
        <v>2</v>
      </c>
      <c r="H57" s="173">
        <f>G57/J3</f>
        <v>1.6447368421052631E-3</v>
      </c>
      <c r="I57" s="174">
        <f>SUM($G$7:G57)</f>
        <v>1216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74">
    <mergeCell ref="I50:I51"/>
    <mergeCell ref="J50:J51"/>
    <mergeCell ref="D50:D51"/>
    <mergeCell ref="E50:E51"/>
    <mergeCell ref="F50:F51"/>
    <mergeCell ref="G50:G51"/>
    <mergeCell ref="H50:H51"/>
    <mergeCell ref="I42:I43"/>
    <mergeCell ref="J42:J43"/>
    <mergeCell ref="D46:D47"/>
    <mergeCell ref="E46:E47"/>
    <mergeCell ref="F46:F47"/>
    <mergeCell ref="G46:G47"/>
    <mergeCell ref="H46:H47"/>
    <mergeCell ref="I46:I47"/>
    <mergeCell ref="J46:J47"/>
    <mergeCell ref="D42:D43"/>
    <mergeCell ref="E42:E43"/>
    <mergeCell ref="F42:F43"/>
    <mergeCell ref="G42:G43"/>
    <mergeCell ref="H42:H43"/>
    <mergeCell ref="I33:I34"/>
    <mergeCell ref="J33:J34"/>
    <mergeCell ref="D38:D39"/>
    <mergeCell ref="E38:E39"/>
    <mergeCell ref="F38:F39"/>
    <mergeCell ref="G38:G39"/>
    <mergeCell ref="H38:H39"/>
    <mergeCell ref="I38:I39"/>
    <mergeCell ref="J38:J39"/>
    <mergeCell ref="D33:D34"/>
    <mergeCell ref="E33:E34"/>
    <mergeCell ref="F33:F34"/>
    <mergeCell ref="G33:G34"/>
    <mergeCell ref="H33:H34"/>
    <mergeCell ref="I25:I26"/>
    <mergeCell ref="J25:J26"/>
    <mergeCell ref="D29:D30"/>
    <mergeCell ref="E29:E30"/>
    <mergeCell ref="F29:F30"/>
    <mergeCell ref="G29:G30"/>
    <mergeCell ref="H29:H30"/>
    <mergeCell ref="I29:I30"/>
    <mergeCell ref="J29:J30"/>
    <mergeCell ref="D25:D26"/>
    <mergeCell ref="E25:E26"/>
    <mergeCell ref="F25:F26"/>
    <mergeCell ref="G25:G26"/>
    <mergeCell ref="H25:H26"/>
    <mergeCell ref="I16:I17"/>
    <mergeCell ref="J16:J17"/>
    <mergeCell ref="D20:D21"/>
    <mergeCell ref="E20:E21"/>
    <mergeCell ref="F20:F21"/>
    <mergeCell ref="G20:G21"/>
    <mergeCell ref="H20:H21"/>
    <mergeCell ref="I20:I21"/>
    <mergeCell ref="J20:J21"/>
    <mergeCell ref="D3:F3"/>
    <mergeCell ref="D4:F4"/>
    <mergeCell ref="D8:J8"/>
    <mergeCell ref="D56:J56"/>
    <mergeCell ref="D12:D13"/>
    <mergeCell ref="E12:E13"/>
    <mergeCell ref="F12:F13"/>
    <mergeCell ref="G12:G13"/>
    <mergeCell ref="H12:H13"/>
    <mergeCell ref="I12:I13"/>
    <mergeCell ref="J12:J13"/>
    <mergeCell ref="D16:D17"/>
    <mergeCell ref="E16:E17"/>
    <mergeCell ref="F16:F17"/>
    <mergeCell ref="G16:G17"/>
    <mergeCell ref="H16:H17"/>
  </mergeCells>
  <phoneticPr fontId="1" type="noConversion"/>
  <conditionalFormatting sqref="D7:J7 D57:J57 D9:J12 D14:J16 D18:J20 D22:J25 D27:J29 D31:J33 D35:J38 D40:J42 D44:J45 D48:J50 D52:J55">
    <cfRule type="expression" dxfId="27" priority="7">
      <formula>OR($D7=$P$7:$P$14)</formula>
    </cfRule>
  </conditionalFormatting>
  <conditionalFormatting sqref="C7:C45 C48:C57">
    <cfRule type="expression" dxfId="26" priority="6">
      <formula>OR(AND($D7=0,OR($D6=$P$7:$P$14)),AND($D8&gt;0,OR($D7=$P$7:$P$14)))</formula>
    </cfRule>
  </conditionalFormatting>
  <conditionalFormatting sqref="D7 D57 D9:D12 D14:D16 D18:D20 D22:D25 D27:D29 D31:D33 D35:D38 D40:D42 D44:D45 D48:D50 D52:D55">
    <cfRule type="expression" dxfId="25" priority="5">
      <formula>$D7=$D8</formula>
    </cfRule>
  </conditionalFormatting>
  <conditionalFormatting sqref="D56">
    <cfRule type="expression" dxfId="24" priority="4">
      <formula>OR($D56=$P$7:$P$14)</formula>
    </cfRule>
  </conditionalFormatting>
  <conditionalFormatting sqref="D56">
    <cfRule type="expression" dxfId="23" priority="3">
      <formula>$D56=$D57</formula>
    </cfRule>
  </conditionalFormatting>
  <conditionalFormatting sqref="D8">
    <cfRule type="expression" dxfId="22" priority="2">
      <formula>OR($D8=$P$7:$P$14)</formula>
    </cfRule>
  </conditionalFormatting>
  <conditionalFormatting sqref="D8">
    <cfRule type="expression" dxfId="21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714C5-BFF2-41C5-8461-5D09FA7C7BC5}">
  <sheetPr codeName="Sheet7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기능'!D24</f>
        <v>15.057154605263158</v>
      </c>
      <c r="I3" s="10" t="s">
        <v>98</v>
      </c>
      <c r="J3" s="145">
        <f>'통계 및 응시자 수 입력 기능'!C24</f>
        <v>2432</v>
      </c>
      <c r="K3" s="14"/>
    </row>
    <row r="4" spans="1:16" ht="25" customHeight="1" thickBot="1" x14ac:dyDescent="0.5">
      <c r="A4" s="4"/>
      <c r="B4" s="13"/>
      <c r="C4" s="146" t="s">
        <v>99</v>
      </c>
      <c r="D4" s="321" t="s">
        <v>103</v>
      </c>
      <c r="E4" s="302"/>
      <c r="F4" s="303"/>
      <c r="G4" s="147" t="s">
        <v>101</v>
      </c>
      <c r="H4" s="148">
        <f>'통계 및 응시자 수 입력 기능'!E24</f>
        <v>8.6007251719070865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91</v>
      </c>
      <c r="E7" s="155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_xlfn.IFNA(VLOOKUP(D7,'202306'!$CX$5:$DA$55,4,FALSE),0)</f>
        <v>6</v>
      </c>
      <c r="H7" s="158">
        <f>G7/J3</f>
        <v>2.4671052631578946E-3</v>
      </c>
      <c r="I7" s="159">
        <f>G7</f>
        <v>6</v>
      </c>
      <c r="J7" s="160">
        <f>I7/J3</f>
        <v>2.4671052631578946E-3</v>
      </c>
      <c r="K7" s="14"/>
      <c r="M7" s="1"/>
      <c r="O7" s="1">
        <v>1</v>
      </c>
      <c r="P7" s="1">
        <f>'표준점수 등급컷 입력기능'!K68</f>
        <v>73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입력기능'!K69</f>
        <v>63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88</v>
      </c>
      <c r="E9" s="155">
        <f t="shared" si="0"/>
        <v>1</v>
      </c>
      <c r="F9" s="156">
        <f>IF(I8=0,ROUND(100*(1-(I7+I9)/2/$J$3),0),ROUND(100*(1-(I8+I9)/2/$J$3),0))</f>
        <v>100</v>
      </c>
      <c r="G9" s="157">
        <f>_xlfn.IFNA(VLOOKUP(D9,'202306'!$CX$5:$DA$55,4,FALSE),0)</f>
        <v>8</v>
      </c>
      <c r="H9" s="158">
        <f>G9/$J$3</f>
        <v>3.2894736842105261E-3</v>
      </c>
      <c r="I9" s="165">
        <f>SUM($G$7:G9)</f>
        <v>14</v>
      </c>
      <c r="J9" s="160">
        <f>I9/$J$3</f>
        <v>5.7565789473684207E-3</v>
      </c>
      <c r="K9" s="14"/>
      <c r="M9" s="1"/>
      <c r="O9" s="1">
        <v>3</v>
      </c>
      <c r="P9" s="1">
        <f>'표준점수 등급컷 입력기능'!K70</f>
        <v>56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87</v>
      </c>
      <c r="E10" s="155">
        <f t="shared" si="0"/>
        <v>1</v>
      </c>
      <c r="F10" s="156">
        <f>IF(I9=0,ROUND(100*(1-(I8+I10)/2/$J$3),0),ROUND(100*(1-(I9+I10)/2/$J$3),0))</f>
        <v>99</v>
      </c>
      <c r="G10" s="157">
        <f>IF(D10=D9,"",_xlfn.IFNA(VLOOKUP(D10,'202306'!$CX$5:$DA$55,4,FALSE),0))</f>
        <v>4</v>
      </c>
      <c r="H10" s="158">
        <f t="shared" ref="H10:H55" si="2">G10/$J$3</f>
        <v>1.6447368421052631E-3</v>
      </c>
      <c r="I10" s="165">
        <f>SUM($G$7:G10)</f>
        <v>18</v>
      </c>
      <c r="J10" s="160">
        <f t="shared" ref="J10:J55" si="3">I10/$J$3</f>
        <v>7.4013157894736838E-3</v>
      </c>
      <c r="K10" s="14"/>
      <c r="M10" s="1"/>
      <c r="O10" s="1">
        <v>4</v>
      </c>
      <c r="P10" s="1">
        <f>'표준점수 등급컷 입력기능'!K71</f>
        <v>49</v>
      </c>
    </row>
    <row r="11" spans="1:16" ht="25" customHeight="1" x14ac:dyDescent="0.45">
      <c r="A11" s="4"/>
      <c r="B11" s="13"/>
      <c r="C11" s="154">
        <v>46</v>
      </c>
      <c r="D11" s="155">
        <f t="shared" si="1"/>
        <v>86</v>
      </c>
      <c r="E11" s="155">
        <f t="shared" si="0"/>
        <v>1</v>
      </c>
      <c r="F11" s="156">
        <f t="shared" ref="F11:F55" si="4">IF(I10=0,ROUND(100*(1-(I9+I11)/2/$J$3),0),ROUND(100*(1-(I10+I11)/2/$J$3),0))</f>
        <v>99</v>
      </c>
      <c r="G11" s="157">
        <f>IF(D11=D10,"",_xlfn.IFNA(VLOOKUP(D11,'202306'!$CX$5:$DA$55,4,FALSE),0))</f>
        <v>3</v>
      </c>
      <c r="H11" s="158">
        <f t="shared" si="2"/>
        <v>1.2335526315789473E-3</v>
      </c>
      <c r="I11" s="165">
        <f>SUM($G$7:G11)</f>
        <v>21</v>
      </c>
      <c r="J11" s="160">
        <f t="shared" si="3"/>
        <v>8.6348684210526324E-3</v>
      </c>
      <c r="K11" s="14"/>
      <c r="M11" s="1"/>
      <c r="O11" s="1">
        <v>5</v>
      </c>
      <c r="P11" s="1">
        <f>'표준점수 등급컷 입력기능'!K72</f>
        <v>45</v>
      </c>
    </row>
    <row r="12" spans="1:16" ht="25" customHeight="1" x14ac:dyDescent="0.45">
      <c r="A12" s="4"/>
      <c r="B12" s="13"/>
      <c r="C12" s="161">
        <v>45</v>
      </c>
      <c r="D12" s="155">
        <f t="shared" si="1"/>
        <v>85</v>
      </c>
      <c r="E12" s="155">
        <f t="shared" si="0"/>
        <v>1</v>
      </c>
      <c r="F12" s="156">
        <f t="shared" si="4"/>
        <v>99</v>
      </c>
      <c r="G12" s="157">
        <f>IF(D12=D11,"",_xlfn.IFNA(VLOOKUP(D12,'202306'!$CX$5:$DA$55,4,FALSE),0))</f>
        <v>5</v>
      </c>
      <c r="H12" s="158">
        <f t="shared" si="2"/>
        <v>2.0559210526315788E-3</v>
      </c>
      <c r="I12" s="165">
        <f>SUM($G$7:G12)</f>
        <v>26</v>
      </c>
      <c r="J12" s="160">
        <f t="shared" si="3"/>
        <v>1.0690789473684211E-2</v>
      </c>
      <c r="K12" s="14"/>
      <c r="M12" s="1"/>
      <c r="O12" s="1">
        <v>6</v>
      </c>
      <c r="P12" s="1">
        <f>'표준점수 등급컷 입력기능'!K73</f>
        <v>43</v>
      </c>
    </row>
    <row r="13" spans="1:16" ht="25" customHeight="1" x14ac:dyDescent="0.45">
      <c r="A13" s="4"/>
      <c r="B13" s="13"/>
      <c r="C13" s="154">
        <v>44</v>
      </c>
      <c r="D13" s="155">
        <f t="shared" si="1"/>
        <v>84</v>
      </c>
      <c r="E13" s="155">
        <f t="shared" si="0"/>
        <v>1</v>
      </c>
      <c r="F13" s="156">
        <f t="shared" si="4"/>
        <v>99</v>
      </c>
      <c r="G13" s="157">
        <f>IF(D13=D12,"",_xlfn.IFNA(VLOOKUP(D13,'202306'!$CX$5:$DA$55,4,FALSE),0))</f>
        <v>5</v>
      </c>
      <c r="H13" s="158">
        <f t="shared" si="2"/>
        <v>2.0559210526315788E-3</v>
      </c>
      <c r="I13" s="165">
        <f>SUM($G$7:G13)</f>
        <v>31</v>
      </c>
      <c r="J13" s="160">
        <f t="shared" si="3"/>
        <v>1.2746710526315789E-2</v>
      </c>
      <c r="K13" s="14"/>
      <c r="M13" s="1"/>
      <c r="O13" s="1">
        <v>7</v>
      </c>
      <c r="P13" s="1">
        <f>'표준점수 등급컷 입력기능'!K74</f>
        <v>41</v>
      </c>
    </row>
    <row r="14" spans="1:16" ht="25" customHeight="1" x14ac:dyDescent="0.45">
      <c r="A14" s="4"/>
      <c r="B14" s="13"/>
      <c r="C14" s="161">
        <v>43</v>
      </c>
      <c r="D14" s="155">
        <f t="shared" si="1"/>
        <v>82</v>
      </c>
      <c r="E14" s="155">
        <f t="shared" si="0"/>
        <v>1</v>
      </c>
      <c r="F14" s="156">
        <f t="shared" si="4"/>
        <v>99</v>
      </c>
      <c r="G14" s="157">
        <f>IF(D14=D13,"",_xlfn.IFNA(VLOOKUP(D14,'202306'!$CX$5:$DA$55,4,FALSE),0))</f>
        <v>3</v>
      </c>
      <c r="H14" s="158">
        <f t="shared" si="2"/>
        <v>1.2335526315789473E-3</v>
      </c>
      <c r="I14" s="165">
        <f>SUM($G$7:G14)</f>
        <v>34</v>
      </c>
      <c r="J14" s="160">
        <f t="shared" si="3"/>
        <v>1.3980263157894737E-2</v>
      </c>
      <c r="K14" s="14"/>
      <c r="M14" s="1"/>
      <c r="O14" s="1">
        <v>8</v>
      </c>
      <c r="P14" s="1">
        <f>'표준점수 등급컷 입력기능'!K75</f>
        <v>38</v>
      </c>
    </row>
    <row r="15" spans="1:16" ht="25" customHeight="1" x14ac:dyDescent="0.45">
      <c r="A15" s="4"/>
      <c r="B15" s="13"/>
      <c r="C15" s="154">
        <v>42</v>
      </c>
      <c r="D15" s="155">
        <f t="shared" si="1"/>
        <v>81</v>
      </c>
      <c r="E15" s="155">
        <f t="shared" si="0"/>
        <v>1</v>
      </c>
      <c r="F15" s="156">
        <f t="shared" si="4"/>
        <v>98</v>
      </c>
      <c r="G15" s="157">
        <f>IF(D15=D14,"",_xlfn.IFNA(VLOOKUP(D15,'202306'!$CX$5:$DA$55,4,FALSE),0))</f>
        <v>11</v>
      </c>
      <c r="H15" s="158">
        <f t="shared" si="2"/>
        <v>4.5230263157894739E-3</v>
      </c>
      <c r="I15" s="165">
        <f>SUM($G$7:G15)</f>
        <v>45</v>
      </c>
      <c r="J15" s="160">
        <f t="shared" si="3"/>
        <v>1.8503289473684209E-2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80</v>
      </c>
      <c r="E16" s="155">
        <f t="shared" si="0"/>
        <v>1</v>
      </c>
      <c r="F16" s="156">
        <f t="shared" si="4"/>
        <v>98</v>
      </c>
      <c r="G16" s="157">
        <f>IF(D16=D15,"",_xlfn.IFNA(VLOOKUP(D16,'202306'!$CX$5:$DA$55,4,FALSE),0))</f>
        <v>6</v>
      </c>
      <c r="H16" s="158">
        <f t="shared" si="2"/>
        <v>2.4671052631578946E-3</v>
      </c>
      <c r="I16" s="165">
        <f>SUM($G$7:G16)</f>
        <v>51</v>
      </c>
      <c r="J16" s="160">
        <f t="shared" si="3"/>
        <v>2.0970394736842105E-2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79</v>
      </c>
      <c r="E17" s="155">
        <f t="shared" si="0"/>
        <v>1</v>
      </c>
      <c r="F17" s="156">
        <f t="shared" si="4"/>
        <v>98</v>
      </c>
      <c r="G17" s="157">
        <f>IF(D17=D16,"",_xlfn.IFNA(VLOOKUP(D17,'202306'!$CX$5:$DA$55,4,FALSE),0))</f>
        <v>11</v>
      </c>
      <c r="H17" s="158">
        <f t="shared" si="2"/>
        <v>4.5230263157894739E-3</v>
      </c>
      <c r="I17" s="165">
        <f>SUM($G$7:G17)</f>
        <v>62</v>
      </c>
      <c r="J17" s="160">
        <f t="shared" si="3"/>
        <v>2.5493421052631578E-2</v>
      </c>
      <c r="K17" s="14"/>
      <c r="M17" s="1"/>
      <c r="P17" s="1">
        <f>H3*H4*J3*P7*IFERROR(IF(J57=1, 1, 0), 0)</f>
        <v>22991346.72011479</v>
      </c>
    </row>
    <row r="18" spans="1:16" ht="25" customHeight="1" x14ac:dyDescent="0.45">
      <c r="A18" s="4"/>
      <c r="B18" s="13"/>
      <c r="C18" s="161">
        <v>39</v>
      </c>
      <c r="D18" s="155">
        <f t="shared" si="1"/>
        <v>78</v>
      </c>
      <c r="E18" s="155">
        <f t="shared" si="0"/>
        <v>1</v>
      </c>
      <c r="F18" s="156">
        <f t="shared" si="4"/>
        <v>97</v>
      </c>
      <c r="G18" s="157">
        <f>IF(D18=D17,"",_xlfn.IFNA(VLOOKUP(D18,'202306'!$CX$5:$DA$55,4,FALSE),0))</f>
        <v>5</v>
      </c>
      <c r="H18" s="158">
        <f t="shared" si="2"/>
        <v>2.0559210526315788E-3</v>
      </c>
      <c r="I18" s="165">
        <f>SUM($G$7:G18)</f>
        <v>67</v>
      </c>
      <c r="J18" s="160">
        <f t="shared" si="3"/>
        <v>2.7549342105263157E-2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77</v>
      </c>
      <c r="E19" s="155">
        <f t="shared" si="0"/>
        <v>1</v>
      </c>
      <c r="F19" s="156">
        <f t="shared" si="4"/>
        <v>97</v>
      </c>
      <c r="G19" s="157">
        <f>IF(D19=D18,"",_xlfn.IFNA(VLOOKUP(D19,'202306'!$CX$5:$DA$55,4,FALSE),0))</f>
        <v>9</v>
      </c>
      <c r="H19" s="158">
        <f t="shared" si="2"/>
        <v>3.7006578947368419E-3</v>
      </c>
      <c r="I19" s="165">
        <f>SUM($G$7:G19)</f>
        <v>76</v>
      </c>
      <c r="J19" s="160">
        <f t="shared" si="3"/>
        <v>3.125E-2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76</v>
      </c>
      <c r="E20" s="155">
        <f t="shared" si="0"/>
        <v>1</v>
      </c>
      <c r="F20" s="156">
        <f t="shared" si="4"/>
        <v>97</v>
      </c>
      <c r="G20" s="157">
        <f>IF(D20=D19,"",_xlfn.IFNA(VLOOKUP(D20,'202306'!$CX$5:$DA$55,4,FALSE),0))</f>
        <v>7</v>
      </c>
      <c r="H20" s="158">
        <f t="shared" si="2"/>
        <v>2.8782894736842104E-3</v>
      </c>
      <c r="I20" s="165">
        <f>SUM($G$7:G20)</f>
        <v>83</v>
      </c>
      <c r="J20" s="160">
        <f t="shared" si="3"/>
        <v>3.4128289473684209E-2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74</v>
      </c>
      <c r="E21" s="176">
        <f t="shared" si="0"/>
        <v>1</v>
      </c>
      <c r="F21" s="156">
        <f t="shared" si="4"/>
        <v>96</v>
      </c>
      <c r="G21" s="157">
        <f>IF(D21=D20,"",_xlfn.IFNA(VLOOKUP(D21,'202306'!$CX$5:$DA$55,4,FALSE),0))</f>
        <v>7</v>
      </c>
      <c r="H21" s="158">
        <f t="shared" si="2"/>
        <v>2.8782894736842104E-3</v>
      </c>
      <c r="I21" s="165">
        <f>SUM($G$7:G21)</f>
        <v>90</v>
      </c>
      <c r="J21" s="160">
        <f t="shared" si="3"/>
        <v>3.7006578947368418E-2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73</v>
      </c>
      <c r="E22" s="176">
        <f t="shared" si="0"/>
        <v>1</v>
      </c>
      <c r="F22" s="156">
        <f t="shared" si="4"/>
        <v>96</v>
      </c>
      <c r="G22" s="157">
        <f>IF(D22=D21,"",_xlfn.IFNA(VLOOKUP(D22,'202306'!$CX$5:$DA$55,4,FALSE),0))</f>
        <v>14</v>
      </c>
      <c r="H22" s="158">
        <f t="shared" si="2"/>
        <v>5.7565789473684207E-3</v>
      </c>
      <c r="I22" s="165">
        <f>SUM($G$7:G22)</f>
        <v>104</v>
      </c>
      <c r="J22" s="160">
        <f t="shared" si="3"/>
        <v>4.2763157894736843E-2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72</v>
      </c>
      <c r="E23" s="176">
        <f t="shared" si="0"/>
        <v>2</v>
      </c>
      <c r="F23" s="156">
        <f t="shared" si="4"/>
        <v>95</v>
      </c>
      <c r="G23" s="157">
        <f>IF(D23=D22,"",_xlfn.IFNA(VLOOKUP(D23,'202306'!$CX$5:$DA$55,4,FALSE),0))</f>
        <v>14</v>
      </c>
      <c r="H23" s="158">
        <f t="shared" si="2"/>
        <v>5.7565789473684207E-3</v>
      </c>
      <c r="I23" s="165">
        <f>SUM($G$7:G23)</f>
        <v>118</v>
      </c>
      <c r="J23" s="160">
        <f t="shared" si="3"/>
        <v>4.8519736842105261E-2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71</v>
      </c>
      <c r="E24" s="176">
        <f t="shared" si="0"/>
        <v>2</v>
      </c>
      <c r="F24" s="156">
        <f t="shared" si="4"/>
        <v>95</v>
      </c>
      <c r="G24" s="157">
        <f>IF(D24=D23,"",_xlfn.IFNA(VLOOKUP(D24,'202306'!$CX$5:$DA$55,4,FALSE),0))</f>
        <v>10</v>
      </c>
      <c r="H24" s="158">
        <f t="shared" si="2"/>
        <v>4.1118421052631577E-3</v>
      </c>
      <c r="I24" s="165">
        <f>SUM($G$7:G24)</f>
        <v>128</v>
      </c>
      <c r="J24" s="160">
        <f t="shared" si="3"/>
        <v>5.2631578947368418E-2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70</v>
      </c>
      <c r="E25" s="176">
        <f t="shared" si="0"/>
        <v>2</v>
      </c>
      <c r="F25" s="156">
        <f t="shared" si="4"/>
        <v>95</v>
      </c>
      <c r="G25" s="157">
        <f>IF(D25=D24,"",_xlfn.IFNA(VLOOKUP(D25,'202306'!$CX$5:$DA$55,4,FALSE),0))</f>
        <v>10</v>
      </c>
      <c r="H25" s="158">
        <f t="shared" si="2"/>
        <v>4.1118421052631577E-3</v>
      </c>
      <c r="I25" s="165">
        <f>SUM($G$7:G25)</f>
        <v>138</v>
      </c>
      <c r="J25" s="160">
        <f t="shared" si="3"/>
        <v>5.6743421052631582E-2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69</v>
      </c>
      <c r="E26" s="176">
        <f t="shared" si="0"/>
        <v>2</v>
      </c>
      <c r="F26" s="156">
        <f t="shared" si="4"/>
        <v>94</v>
      </c>
      <c r="G26" s="157">
        <f>IF(D26=D25,"",_xlfn.IFNA(VLOOKUP(D26,'202306'!$CX$5:$DA$55,4,FALSE),0))</f>
        <v>17</v>
      </c>
      <c r="H26" s="158">
        <f t="shared" si="2"/>
        <v>6.9901315789473685E-3</v>
      </c>
      <c r="I26" s="165">
        <f>SUM($G$7:G26)</f>
        <v>155</v>
      </c>
      <c r="J26" s="160">
        <f t="shared" si="3"/>
        <v>6.3733552631578941E-2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67</v>
      </c>
      <c r="E27" s="176">
        <f t="shared" si="0"/>
        <v>2</v>
      </c>
      <c r="F27" s="156">
        <f t="shared" si="4"/>
        <v>93</v>
      </c>
      <c r="G27" s="157">
        <f>IF(D27=D26,"",_xlfn.IFNA(VLOOKUP(D27,'202306'!$CX$5:$DA$55,4,FALSE),0))</f>
        <v>24</v>
      </c>
      <c r="H27" s="158">
        <f t="shared" si="2"/>
        <v>9.8684210526315784E-3</v>
      </c>
      <c r="I27" s="165">
        <f>SUM($G$7:G27)</f>
        <v>179</v>
      </c>
      <c r="J27" s="160">
        <f t="shared" si="3"/>
        <v>7.3601973684210523E-2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66</v>
      </c>
      <c r="E28" s="176">
        <f t="shared" si="0"/>
        <v>2</v>
      </c>
      <c r="F28" s="156">
        <f t="shared" si="4"/>
        <v>92</v>
      </c>
      <c r="G28" s="157">
        <f>IF(D28=D27,"",_xlfn.IFNA(VLOOKUP(D28,'202306'!$CX$5:$DA$55,4,FALSE),0))</f>
        <v>23</v>
      </c>
      <c r="H28" s="158">
        <f t="shared" si="2"/>
        <v>9.4572368421052631E-3</v>
      </c>
      <c r="I28" s="165">
        <f>SUM($G$7:G28)</f>
        <v>202</v>
      </c>
      <c r="J28" s="160">
        <f t="shared" si="3"/>
        <v>8.3059210526315791E-2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65</v>
      </c>
      <c r="E29" s="176">
        <f t="shared" si="0"/>
        <v>2</v>
      </c>
      <c r="F29" s="156">
        <f t="shared" si="4"/>
        <v>91</v>
      </c>
      <c r="G29" s="157">
        <f>IF(D29=D28,"",_xlfn.IFNA(VLOOKUP(D29,'202306'!$CX$5:$DA$55,4,FALSE),0))</f>
        <v>16</v>
      </c>
      <c r="H29" s="158">
        <f t="shared" si="2"/>
        <v>6.5789473684210523E-3</v>
      </c>
      <c r="I29" s="165">
        <f>SUM($G$7:G29)</f>
        <v>218</v>
      </c>
      <c r="J29" s="160">
        <f t="shared" si="3"/>
        <v>8.9638157894736836E-2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64</v>
      </c>
      <c r="E30" s="176">
        <f t="shared" si="0"/>
        <v>2</v>
      </c>
      <c r="F30" s="156">
        <f t="shared" si="4"/>
        <v>90</v>
      </c>
      <c r="G30" s="157">
        <f>IF(D30=D29,"",_xlfn.IFNA(VLOOKUP(D30,'202306'!$CX$5:$DA$55,4,FALSE),0))</f>
        <v>31</v>
      </c>
      <c r="H30" s="158">
        <f t="shared" si="2"/>
        <v>1.2746710526315789E-2</v>
      </c>
      <c r="I30" s="165">
        <f>SUM($G$7:G30)</f>
        <v>249</v>
      </c>
      <c r="J30" s="160">
        <f t="shared" si="3"/>
        <v>0.10238486842105263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63</v>
      </c>
      <c r="E31" s="176">
        <f t="shared" si="0"/>
        <v>2</v>
      </c>
      <c r="F31" s="156">
        <f t="shared" si="4"/>
        <v>89</v>
      </c>
      <c r="G31" s="157">
        <f>IF(D31=D30,"",_xlfn.IFNA(VLOOKUP(D31,'202306'!$CX$5:$DA$55,4,FALSE),0))</f>
        <v>33</v>
      </c>
      <c r="H31" s="158">
        <f t="shared" si="2"/>
        <v>1.3569078947368422E-2</v>
      </c>
      <c r="I31" s="165">
        <f>SUM($G$7:G31)</f>
        <v>282</v>
      </c>
      <c r="J31" s="160">
        <f t="shared" si="3"/>
        <v>0.11595394736842106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62</v>
      </c>
      <c r="E32" s="176">
        <f t="shared" si="0"/>
        <v>3</v>
      </c>
      <c r="F32" s="156">
        <f t="shared" si="4"/>
        <v>88</v>
      </c>
      <c r="G32" s="157">
        <f>IF(D32=D31,"",_xlfn.IFNA(VLOOKUP(D32,'202306'!$CX$5:$DA$55,4,FALSE),0))</f>
        <v>29</v>
      </c>
      <c r="H32" s="158">
        <f t="shared" si="2"/>
        <v>1.1924342105263159E-2</v>
      </c>
      <c r="I32" s="165">
        <f>SUM($G$7:G32)</f>
        <v>311</v>
      </c>
      <c r="J32" s="160">
        <f t="shared" si="3"/>
        <v>0.12787828947368421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60</v>
      </c>
      <c r="E33" s="176">
        <f t="shared" si="0"/>
        <v>3</v>
      </c>
      <c r="F33" s="156">
        <f t="shared" si="4"/>
        <v>87</v>
      </c>
      <c r="G33" s="157">
        <f>IF(D33=D32,"",_xlfn.IFNA(VLOOKUP(D33,'202306'!$CX$5:$DA$55,4,FALSE),0))</f>
        <v>30</v>
      </c>
      <c r="H33" s="158">
        <f t="shared" si="2"/>
        <v>1.2335526315789474E-2</v>
      </c>
      <c r="I33" s="165">
        <f>SUM($G$7:G33)</f>
        <v>341</v>
      </c>
      <c r="J33" s="160">
        <f t="shared" si="3"/>
        <v>0.14021381578947367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59</v>
      </c>
      <c r="E34" s="176">
        <f t="shared" si="0"/>
        <v>3</v>
      </c>
      <c r="F34" s="156">
        <f t="shared" si="4"/>
        <v>85</v>
      </c>
      <c r="G34" s="157">
        <f>IF(D34=D33,"",_xlfn.IFNA(VLOOKUP(D34,'202306'!$CX$5:$DA$55,4,FALSE),0))</f>
        <v>45</v>
      </c>
      <c r="H34" s="158">
        <f t="shared" si="2"/>
        <v>1.8503289473684209E-2</v>
      </c>
      <c r="I34" s="165">
        <f>SUM($G$7:G34)</f>
        <v>386</v>
      </c>
      <c r="J34" s="160">
        <f t="shared" si="3"/>
        <v>0.15871710526315788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58</v>
      </c>
      <c r="E35" s="176">
        <f t="shared" si="0"/>
        <v>3</v>
      </c>
      <c r="F35" s="156">
        <f t="shared" si="4"/>
        <v>83</v>
      </c>
      <c r="G35" s="157">
        <f>IF(D35=D34,"",_xlfn.IFNA(VLOOKUP(D35,'202306'!$CX$5:$DA$55,4,FALSE),0))</f>
        <v>57</v>
      </c>
      <c r="H35" s="158">
        <f t="shared" si="2"/>
        <v>2.34375E-2</v>
      </c>
      <c r="I35" s="165">
        <f>SUM($G$7:G35)</f>
        <v>443</v>
      </c>
      <c r="J35" s="160">
        <f t="shared" si="3"/>
        <v>0.18215460526315788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57</v>
      </c>
      <c r="E36" s="176">
        <f t="shared" si="0"/>
        <v>3</v>
      </c>
      <c r="F36" s="156">
        <f t="shared" si="4"/>
        <v>81</v>
      </c>
      <c r="G36" s="157">
        <f>IF(D36=D35,"",_xlfn.IFNA(VLOOKUP(D36,'202306'!$CX$5:$DA$55,4,FALSE),0))</f>
        <v>52</v>
      </c>
      <c r="H36" s="158">
        <f t="shared" si="2"/>
        <v>2.1381578947368422E-2</v>
      </c>
      <c r="I36" s="165">
        <f>SUM($G$7:G36)</f>
        <v>495</v>
      </c>
      <c r="J36" s="160">
        <f t="shared" si="3"/>
        <v>0.20353618421052633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56</v>
      </c>
      <c r="E37" s="176">
        <f t="shared" si="0"/>
        <v>3</v>
      </c>
      <c r="F37" s="156">
        <f t="shared" si="4"/>
        <v>78</v>
      </c>
      <c r="G37" s="157">
        <f>IF(D37=D36,"",_xlfn.IFNA(VLOOKUP(D37,'202306'!$CX$5:$DA$55,4,FALSE),0))</f>
        <v>65</v>
      </c>
      <c r="H37" s="158">
        <f t="shared" si="2"/>
        <v>2.6726973684210526E-2</v>
      </c>
      <c r="I37" s="165">
        <f>SUM($G$7:G37)</f>
        <v>560</v>
      </c>
      <c r="J37" s="160">
        <f t="shared" si="3"/>
        <v>0.23026315789473684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55</v>
      </c>
      <c r="E38" s="176">
        <f t="shared" si="0"/>
        <v>4</v>
      </c>
      <c r="F38" s="156">
        <f t="shared" si="4"/>
        <v>76</v>
      </c>
      <c r="G38" s="157">
        <f>IF(D38=D37,"",_xlfn.IFNA(VLOOKUP(D38,'202306'!$CX$5:$DA$55,4,FALSE),0))</f>
        <v>63</v>
      </c>
      <c r="H38" s="158">
        <f t="shared" si="2"/>
        <v>2.5904605263157895E-2</v>
      </c>
      <c r="I38" s="165">
        <f>SUM($G$7:G38)</f>
        <v>623</v>
      </c>
      <c r="J38" s="160">
        <f t="shared" si="3"/>
        <v>0.25616776315789475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53</v>
      </c>
      <c r="E39" s="176">
        <f t="shared" si="0"/>
        <v>4</v>
      </c>
      <c r="F39" s="156">
        <f t="shared" si="4"/>
        <v>73</v>
      </c>
      <c r="G39" s="157">
        <f>IF(D39=D38,"",_xlfn.IFNA(VLOOKUP(D39,'202306'!$CX$5:$DA$55,4,FALSE),0))</f>
        <v>71</v>
      </c>
      <c r="H39" s="158">
        <f t="shared" si="2"/>
        <v>2.9194078947368422E-2</v>
      </c>
      <c r="I39" s="165">
        <f>SUM($G$7:G39)</f>
        <v>694</v>
      </c>
      <c r="J39" s="160">
        <f t="shared" si="3"/>
        <v>0.28536184210526316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52</v>
      </c>
      <c r="E40" s="176">
        <f t="shared" si="0"/>
        <v>4</v>
      </c>
      <c r="F40" s="156">
        <f t="shared" si="4"/>
        <v>70</v>
      </c>
      <c r="G40" s="157">
        <f>IF(D40=D39,"",_xlfn.IFNA(VLOOKUP(D40,'202306'!$CX$5:$DA$55,4,FALSE),0))</f>
        <v>94</v>
      </c>
      <c r="H40" s="158">
        <f t="shared" si="2"/>
        <v>3.8651315789473686E-2</v>
      </c>
      <c r="I40" s="165">
        <f>SUM($G$7:G40)</f>
        <v>788</v>
      </c>
      <c r="J40" s="160">
        <f t="shared" si="3"/>
        <v>0.32401315789473684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51</v>
      </c>
      <c r="E41" s="176">
        <f t="shared" si="0"/>
        <v>4</v>
      </c>
      <c r="F41" s="156">
        <f t="shared" si="4"/>
        <v>66</v>
      </c>
      <c r="G41" s="157">
        <f>IF(D41=D40,"",_xlfn.IFNA(VLOOKUP(D41,'202306'!$CX$5:$DA$55,4,FALSE),0))</f>
        <v>75</v>
      </c>
      <c r="H41" s="158">
        <f t="shared" si="2"/>
        <v>3.0838815789473683E-2</v>
      </c>
      <c r="I41" s="165">
        <f>SUM($G$7:G41)</f>
        <v>863</v>
      </c>
      <c r="J41" s="160">
        <f t="shared" si="3"/>
        <v>0.35485197368421051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50</v>
      </c>
      <c r="E42" s="176">
        <f t="shared" si="0"/>
        <v>4</v>
      </c>
      <c r="F42" s="156">
        <f t="shared" si="4"/>
        <v>62</v>
      </c>
      <c r="G42" s="157">
        <f>IF(D42=D41,"",_xlfn.IFNA(VLOOKUP(D42,'202306'!$CX$5:$DA$55,4,FALSE),0))</f>
        <v>105</v>
      </c>
      <c r="H42" s="158">
        <f t="shared" si="2"/>
        <v>4.3174342105263157E-2</v>
      </c>
      <c r="I42" s="165">
        <f>SUM($G$7:G42)</f>
        <v>968</v>
      </c>
      <c r="J42" s="160">
        <f t="shared" si="3"/>
        <v>0.39802631578947367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49</v>
      </c>
      <c r="E43" s="176">
        <f t="shared" si="0"/>
        <v>4</v>
      </c>
      <c r="F43" s="156">
        <f t="shared" si="4"/>
        <v>58</v>
      </c>
      <c r="G43" s="157">
        <f>IF(D43=D42,"",_xlfn.IFNA(VLOOKUP(D43,'202306'!$CX$5:$DA$55,4,FALSE),0))</f>
        <v>111</v>
      </c>
      <c r="H43" s="158">
        <f t="shared" si="2"/>
        <v>4.5641447368421052E-2</v>
      </c>
      <c r="I43" s="165">
        <f>SUM($G$7:G43)</f>
        <v>1079</v>
      </c>
      <c r="J43" s="160">
        <f t="shared" si="3"/>
        <v>0.44366776315789475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48</v>
      </c>
      <c r="E44" s="176">
        <f t="shared" si="0"/>
        <v>5</v>
      </c>
      <c r="F44" s="156">
        <f t="shared" si="4"/>
        <v>52</v>
      </c>
      <c r="G44" s="157">
        <f>IF(D44=D43,"",_xlfn.IFNA(VLOOKUP(D44,'202306'!$CX$5:$DA$55,4,FALSE),0))</f>
        <v>194</v>
      </c>
      <c r="H44" s="158">
        <f t="shared" si="2"/>
        <v>7.9769736842105268E-2</v>
      </c>
      <c r="I44" s="165">
        <f>SUM($G$7:G44)</f>
        <v>1273</v>
      </c>
      <c r="J44" s="160">
        <f t="shared" si="3"/>
        <v>0.5234375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46</v>
      </c>
      <c r="E45" s="176">
        <f t="shared" si="0"/>
        <v>5</v>
      </c>
      <c r="F45" s="156">
        <f t="shared" si="4"/>
        <v>44</v>
      </c>
      <c r="G45" s="157">
        <f>IF(D45=D44,"",_xlfn.IFNA(VLOOKUP(D45,'202306'!$CX$5:$DA$55,4,FALSE),0))</f>
        <v>183</v>
      </c>
      <c r="H45" s="158">
        <f t="shared" si="2"/>
        <v>7.5246710526315791E-2</v>
      </c>
      <c r="I45" s="165">
        <f>SUM($G$7:G45)</f>
        <v>1456</v>
      </c>
      <c r="J45" s="160">
        <f t="shared" si="3"/>
        <v>0.59868421052631582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45</v>
      </c>
      <c r="E46" s="176">
        <f t="shared" si="0"/>
        <v>5</v>
      </c>
      <c r="F46" s="156">
        <f t="shared" si="4"/>
        <v>37</v>
      </c>
      <c r="G46" s="157">
        <f>IF(D46=D45,"",_xlfn.IFNA(VLOOKUP(D46,'202306'!$CX$5:$DA$55,4,FALSE),0))</f>
        <v>132</v>
      </c>
      <c r="H46" s="158">
        <f t="shared" si="2"/>
        <v>5.4276315789473686E-2</v>
      </c>
      <c r="I46" s="165">
        <f>SUM($G$7:G46)</f>
        <v>1588</v>
      </c>
      <c r="J46" s="160">
        <f t="shared" si="3"/>
        <v>0.65296052631578949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44</v>
      </c>
      <c r="E47" s="176">
        <f t="shared" si="0"/>
        <v>6</v>
      </c>
      <c r="F47" s="156">
        <f t="shared" si="4"/>
        <v>32</v>
      </c>
      <c r="G47" s="157">
        <f>IF(D47=D46,"",_xlfn.IFNA(VLOOKUP(D47,'202306'!$CX$5:$DA$55,4,FALSE),0))</f>
        <v>118</v>
      </c>
      <c r="H47" s="158">
        <f t="shared" si="2"/>
        <v>4.8519736842105261E-2</v>
      </c>
      <c r="I47" s="165">
        <f>SUM($G$7:G47)</f>
        <v>1706</v>
      </c>
      <c r="J47" s="160">
        <f t="shared" si="3"/>
        <v>0.70148026315789469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43</v>
      </c>
      <c r="E48" s="176">
        <f t="shared" si="0"/>
        <v>6</v>
      </c>
      <c r="F48" s="156">
        <f t="shared" si="4"/>
        <v>24</v>
      </c>
      <c r="G48" s="157">
        <f>IF(D48=D47,"",_xlfn.IFNA(VLOOKUP(D48,'202306'!$CX$5:$DA$55,4,FALSE),0))</f>
        <v>275</v>
      </c>
      <c r="H48" s="158">
        <f t="shared" si="2"/>
        <v>0.11307565789473684</v>
      </c>
      <c r="I48" s="165">
        <f>SUM($G$7:G48)</f>
        <v>1981</v>
      </c>
      <c r="J48" s="160">
        <f t="shared" si="3"/>
        <v>0.81455592105263153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42</v>
      </c>
      <c r="E49" s="176">
        <f t="shared" si="0"/>
        <v>7</v>
      </c>
      <c r="F49" s="156">
        <f t="shared" si="4"/>
        <v>15</v>
      </c>
      <c r="G49" s="157">
        <f>IF(D49=D48,"",_xlfn.IFNA(VLOOKUP(D49,'202306'!$CX$5:$DA$55,4,FALSE),0))</f>
        <v>170</v>
      </c>
      <c r="H49" s="158">
        <f t="shared" si="2"/>
        <v>6.9901315789473686E-2</v>
      </c>
      <c r="I49" s="165">
        <f>SUM($G$7:G49)</f>
        <v>2151</v>
      </c>
      <c r="J49" s="160">
        <f t="shared" si="3"/>
        <v>0.88445723684210531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41</v>
      </c>
      <c r="E50" s="176">
        <f t="shared" si="0"/>
        <v>7</v>
      </c>
      <c r="F50" s="156">
        <f t="shared" si="4"/>
        <v>10</v>
      </c>
      <c r="G50" s="157">
        <f>IF(D50=D49,"",_xlfn.IFNA(VLOOKUP(D50,'202306'!$CX$5:$DA$55,4,FALSE),0))</f>
        <v>96</v>
      </c>
      <c r="H50" s="158">
        <f t="shared" si="2"/>
        <v>3.9473684210526314E-2</v>
      </c>
      <c r="I50" s="165">
        <f>SUM($G$7:G50)</f>
        <v>2247</v>
      </c>
      <c r="J50" s="160">
        <f t="shared" si="3"/>
        <v>0.92393092105263153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39</v>
      </c>
      <c r="E51" s="176">
        <f t="shared" si="0"/>
        <v>8</v>
      </c>
      <c r="F51" s="156">
        <f t="shared" si="4"/>
        <v>7</v>
      </c>
      <c r="G51" s="157">
        <f>IF(D51=D50,"",_xlfn.IFNA(VLOOKUP(D51,'202306'!$CX$5:$DA$55,4,FALSE),0))</f>
        <v>43</v>
      </c>
      <c r="H51" s="158">
        <f t="shared" si="2"/>
        <v>1.7680921052631578E-2</v>
      </c>
      <c r="I51" s="165">
        <f>SUM($G$7:G51)</f>
        <v>2290</v>
      </c>
      <c r="J51" s="160">
        <f t="shared" si="3"/>
        <v>0.94161184210526316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38</v>
      </c>
      <c r="E52" s="176">
        <f t="shared" si="0"/>
        <v>8</v>
      </c>
      <c r="F52" s="156">
        <f t="shared" si="4"/>
        <v>5</v>
      </c>
      <c r="G52" s="157">
        <f>IF(D52=D51,"",_xlfn.IFNA(VLOOKUP(D52,'202306'!$CX$5:$DA$55,4,FALSE),0))</f>
        <v>56</v>
      </c>
      <c r="H52" s="158">
        <f t="shared" si="2"/>
        <v>2.3026315789473683E-2</v>
      </c>
      <c r="I52" s="165">
        <f>SUM($G$7:G52)</f>
        <v>2346</v>
      </c>
      <c r="J52" s="160">
        <f t="shared" si="3"/>
        <v>0.96463815789473684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37</v>
      </c>
      <c r="E53" s="155">
        <f t="shared" si="0"/>
        <v>9</v>
      </c>
      <c r="F53" s="156">
        <f t="shared" si="4"/>
        <v>3</v>
      </c>
      <c r="G53" s="157">
        <f>IF(D53=D52,"",_xlfn.IFNA(VLOOKUP(D53,'202306'!$CX$5:$DA$55,4,FALSE),0))</f>
        <v>35</v>
      </c>
      <c r="H53" s="158">
        <f t="shared" si="2"/>
        <v>1.4391447368421052E-2</v>
      </c>
      <c r="I53" s="165">
        <f>SUM($G$7:G53)</f>
        <v>2381</v>
      </c>
      <c r="J53" s="160">
        <f t="shared" si="3"/>
        <v>0.97902960526315785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36</v>
      </c>
      <c r="E54" s="155">
        <f t="shared" si="0"/>
        <v>9</v>
      </c>
      <c r="F54" s="156">
        <f t="shared" si="4"/>
        <v>2</v>
      </c>
      <c r="G54" s="157">
        <f>IF(D54=D53,"",_xlfn.IFNA(VLOOKUP(D54,'202306'!$CX$5:$DA$55,4,FALSE),0))</f>
        <v>21</v>
      </c>
      <c r="H54" s="158">
        <f t="shared" si="2"/>
        <v>8.6348684210526324E-3</v>
      </c>
      <c r="I54" s="165">
        <f>SUM($G$7:G54)</f>
        <v>2402</v>
      </c>
      <c r="J54" s="160">
        <f t="shared" si="3"/>
        <v>0.98766447368421051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35</v>
      </c>
      <c r="E55" s="155">
        <f t="shared" si="0"/>
        <v>9</v>
      </c>
      <c r="F55" s="156">
        <f t="shared" si="4"/>
        <v>1</v>
      </c>
      <c r="G55" s="157">
        <f>IF(D55=D54,"",_xlfn.IFNA(VLOOKUP(D55,'202306'!$CX$5:$DA$55,4,FALSE),0))</f>
        <v>20</v>
      </c>
      <c r="H55" s="158">
        <f t="shared" si="2"/>
        <v>8.2236842105263153E-3</v>
      </c>
      <c r="I55" s="165">
        <f>SUM($G$7:G55)</f>
        <v>2422</v>
      </c>
      <c r="J55" s="160">
        <f t="shared" si="3"/>
        <v>0.99588815789473684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32</v>
      </c>
      <c r="E57" s="170">
        <f t="shared" si="0"/>
        <v>9</v>
      </c>
      <c r="F57" s="171">
        <f>IF(I55=0,ROUND(100*(1-(I54+I57)/2/$J$3),0),ROUND(100*(1-(I55+I57)/2/$J$3),0))</f>
        <v>0</v>
      </c>
      <c r="G57" s="172">
        <f>_xlfn.IFNA(VLOOKUP(D57,'202306'!$CX$5:$DA$55,4,FALSE),0)</f>
        <v>10</v>
      </c>
      <c r="H57" s="173">
        <f>G57/J3</f>
        <v>4.1118421052631577E-3</v>
      </c>
      <c r="I57" s="174">
        <f>SUM($G$7:G57)</f>
        <v>2432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20" priority="7">
      <formula>OR($D7=$P$7:$P$14)</formula>
    </cfRule>
  </conditionalFormatting>
  <conditionalFormatting sqref="C7:C57">
    <cfRule type="expression" dxfId="19" priority="6">
      <formula>OR(AND($D7=0,OR($D6=$P$7:$P$14)),AND($D8&gt;0,OR($D7=$P$7:$P$14)))</formula>
    </cfRule>
  </conditionalFormatting>
  <conditionalFormatting sqref="D7 D57 D9:D55">
    <cfRule type="expression" dxfId="18" priority="5">
      <formula>$D7=$D8</formula>
    </cfRule>
  </conditionalFormatting>
  <conditionalFormatting sqref="D56">
    <cfRule type="expression" dxfId="17" priority="4">
      <formula>OR($D56=$P$7:$P$14)</formula>
    </cfRule>
  </conditionalFormatting>
  <conditionalFormatting sqref="D56">
    <cfRule type="expression" dxfId="16" priority="3">
      <formula>$D56=$D57</formula>
    </cfRule>
  </conditionalFormatting>
  <conditionalFormatting sqref="D8">
    <cfRule type="expression" dxfId="15" priority="2">
      <formula>OR($D8=$P$7:$P$14)</formula>
    </cfRule>
  </conditionalFormatting>
  <conditionalFormatting sqref="D8">
    <cfRule type="expression" dxfId="14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F6E4B-89B4-44BC-A079-77F89F579B6D}">
  <sheetPr codeName="Sheet25"/>
  <dimension ref="A1:P105"/>
  <sheetViews>
    <sheetView topLeftCell="B40"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9" t="s">
        <v>28</v>
      </c>
      <c r="D3" s="298" t="s">
        <v>96</v>
      </c>
      <c r="E3" s="299"/>
      <c r="F3" s="300"/>
      <c r="G3" s="143" t="s">
        <v>97</v>
      </c>
      <c r="H3" s="144">
        <f>'통계 및 응시자 수 입력 기능'!D25</f>
        <v>15.164948453608247</v>
      </c>
      <c r="I3" s="10" t="s">
        <v>98</v>
      </c>
      <c r="J3" s="145">
        <f>'통계 및 응시자 수 입력 기능'!C25</f>
        <v>97</v>
      </c>
      <c r="K3" s="14"/>
    </row>
    <row r="4" spans="1:16" ht="25" customHeight="1" thickBot="1" x14ac:dyDescent="0.5">
      <c r="A4" s="4"/>
      <c r="B4" s="13"/>
      <c r="C4" s="146" t="s">
        <v>99</v>
      </c>
      <c r="D4" s="334" t="s">
        <v>29</v>
      </c>
      <c r="E4" s="302"/>
      <c r="F4" s="303"/>
      <c r="G4" s="147" t="s">
        <v>101</v>
      </c>
      <c r="H4" s="148">
        <f>'통계 및 응시자 수 입력 기능'!E25</f>
        <v>6.2617813288004669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v>100</v>
      </c>
      <c r="E7" s="155">
        <f t="shared" ref="E7:E51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_xlfn.IFNA(VLOOKUP(D7,'202306'!$DC$5:$DF$55,4,FALSE),0)</f>
        <v>0</v>
      </c>
      <c r="H7" s="158">
        <f>G7/J3</f>
        <v>0</v>
      </c>
      <c r="I7" s="159">
        <f>G7</f>
        <v>0</v>
      </c>
      <c r="J7" s="160">
        <f>I7/J3</f>
        <v>0</v>
      </c>
      <c r="K7" s="14"/>
      <c r="M7" s="1"/>
      <c r="O7" s="1">
        <v>1</v>
      </c>
      <c r="P7" s="1">
        <f>'표준점수 등급컷 입력기능'!B80</f>
        <v>75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입력기능'!B81</f>
        <v>66</v>
      </c>
    </row>
    <row r="9" spans="1:16" ht="25" customHeight="1" x14ac:dyDescent="0.45">
      <c r="A9" s="4"/>
      <c r="B9" s="13"/>
      <c r="C9" s="154">
        <v>48</v>
      </c>
      <c r="D9" s="307">
        <v>100</v>
      </c>
      <c r="E9" s="307">
        <f t="shared" si="0"/>
        <v>1</v>
      </c>
      <c r="F9" s="309">
        <f>IF(I8=0,ROUND(100*(1-(I7+I9)/2/$J$3),0),ROUND(100*(1-(I8+I9)/2/$J$3),0))</f>
        <v>100</v>
      </c>
      <c r="G9" s="311">
        <f>_xlfn.IFNA(VLOOKUP(D9,'202306'!$DC$5:$DF$55,4,FALSE),0)</f>
        <v>0</v>
      </c>
      <c r="H9" s="313">
        <f>G9/$J$3</f>
        <v>0</v>
      </c>
      <c r="I9" s="315">
        <f>SUM($G$7:G9)</f>
        <v>0</v>
      </c>
      <c r="J9" s="317">
        <f>I9/$J$3</f>
        <v>0</v>
      </c>
      <c r="K9" s="14"/>
      <c r="M9" s="1"/>
      <c r="O9" s="1">
        <v>3</v>
      </c>
      <c r="P9" s="1">
        <f>'표준점수 등급컷 입력기능'!B82</f>
        <v>55</v>
      </c>
    </row>
    <row r="10" spans="1:16" ht="25" customHeight="1" x14ac:dyDescent="0.45">
      <c r="A10" s="4"/>
      <c r="B10" s="13"/>
      <c r="C10" s="161">
        <v>47</v>
      </c>
      <c r="D10" s="308"/>
      <c r="E10" s="308"/>
      <c r="F10" s="310"/>
      <c r="G10" s="312"/>
      <c r="H10" s="314"/>
      <c r="I10" s="316"/>
      <c r="J10" s="318"/>
      <c r="K10" s="14"/>
      <c r="M10" s="1"/>
      <c r="O10" s="1">
        <v>4</v>
      </c>
      <c r="P10" s="1">
        <f>'표준점수 등급컷 입력기능'!B83</f>
        <v>48</v>
      </c>
    </row>
    <row r="11" spans="1:16" ht="25" customHeight="1" x14ac:dyDescent="0.45">
      <c r="A11" s="4"/>
      <c r="B11" s="13"/>
      <c r="C11" s="154">
        <v>46</v>
      </c>
      <c r="D11" s="155">
        <f t="shared" ref="D11:D51" si="1">ROUND(10*(C11-$H$3)/$H$4+50,0)</f>
        <v>99</v>
      </c>
      <c r="E11" s="155">
        <f t="shared" si="0"/>
        <v>1</v>
      </c>
      <c r="F11" s="156">
        <f t="shared" ref="F11:F51" si="2">IF(I10=0,ROUND(100*(1-(I9+I11)/2/$J$3),0),ROUND(100*(1-(I10+I11)/2/$J$3),0))</f>
        <v>100</v>
      </c>
      <c r="G11" s="157">
        <f>IF(D11=D10,"",_xlfn.IFNA(VLOOKUP(D11,'202306'!$DC$5:$DF$55,4,FALSE),0))</f>
        <v>0</v>
      </c>
      <c r="H11" s="158">
        <f t="shared" ref="H11:H51" si="3">G11/$J$3</f>
        <v>0</v>
      </c>
      <c r="I11" s="165">
        <f>SUM($G$7:G11)</f>
        <v>0</v>
      </c>
      <c r="J11" s="160">
        <f t="shared" ref="J11:J51" si="4">I11/$J$3</f>
        <v>0</v>
      </c>
      <c r="K11" s="14"/>
      <c r="M11" s="1"/>
      <c r="O11" s="1">
        <v>5</v>
      </c>
      <c r="P11" s="1">
        <f>'표준점수 등급컷 입력기능'!B84</f>
        <v>47</v>
      </c>
    </row>
    <row r="12" spans="1:16" ht="25" customHeight="1" x14ac:dyDescent="0.45">
      <c r="A12" s="4"/>
      <c r="B12" s="13"/>
      <c r="C12" s="161">
        <v>45</v>
      </c>
      <c r="D12" s="155">
        <f t="shared" si="1"/>
        <v>98</v>
      </c>
      <c r="E12" s="155">
        <f t="shared" si="0"/>
        <v>1</v>
      </c>
      <c r="F12" s="156">
        <f t="shared" si="2"/>
        <v>100</v>
      </c>
      <c r="G12" s="157">
        <f>IF(D12=D11,"",_xlfn.IFNA(VLOOKUP(D12,'202306'!$DC$5:$DF$55,4,FALSE),0))</f>
        <v>0</v>
      </c>
      <c r="H12" s="158">
        <f t="shared" si="3"/>
        <v>0</v>
      </c>
      <c r="I12" s="165">
        <f>SUM($G$7:G12)</f>
        <v>0</v>
      </c>
      <c r="J12" s="160">
        <f t="shared" si="4"/>
        <v>0</v>
      </c>
      <c r="K12" s="14"/>
      <c r="M12" s="1"/>
      <c r="O12" s="1">
        <v>6</v>
      </c>
      <c r="P12" s="1">
        <f>'표준점수 등급컷 입력기능'!B85</f>
        <v>43</v>
      </c>
    </row>
    <row r="13" spans="1:16" ht="25" customHeight="1" x14ac:dyDescent="0.45">
      <c r="A13" s="4"/>
      <c r="B13" s="13"/>
      <c r="C13" s="154">
        <v>44</v>
      </c>
      <c r="D13" s="155">
        <f t="shared" si="1"/>
        <v>96</v>
      </c>
      <c r="E13" s="155">
        <f t="shared" si="0"/>
        <v>1</v>
      </c>
      <c r="F13" s="156">
        <f t="shared" si="2"/>
        <v>100</v>
      </c>
      <c r="G13" s="157">
        <f>IF(D13=D12,"",_xlfn.IFNA(VLOOKUP(D13,'202306'!$DC$5:$DF$55,4,FALSE),0))</f>
        <v>0</v>
      </c>
      <c r="H13" s="158">
        <f t="shared" si="3"/>
        <v>0</v>
      </c>
      <c r="I13" s="165">
        <f>SUM($G$7:G13)</f>
        <v>0</v>
      </c>
      <c r="J13" s="160">
        <f t="shared" si="4"/>
        <v>0</v>
      </c>
      <c r="K13" s="14"/>
      <c r="M13" s="1"/>
      <c r="O13" s="1">
        <v>7</v>
      </c>
      <c r="P13" s="1">
        <f>'표준점수 등급컷 입력기능'!B86</f>
        <v>42</v>
      </c>
    </row>
    <row r="14" spans="1:16" ht="25" customHeight="1" x14ac:dyDescent="0.45">
      <c r="A14" s="4"/>
      <c r="B14" s="13"/>
      <c r="C14" s="161">
        <v>43</v>
      </c>
      <c r="D14" s="155">
        <f t="shared" si="1"/>
        <v>94</v>
      </c>
      <c r="E14" s="155">
        <f t="shared" si="0"/>
        <v>1</v>
      </c>
      <c r="F14" s="156">
        <f t="shared" si="2"/>
        <v>100</v>
      </c>
      <c r="G14" s="157">
        <f>IF(D14=D13,"",_xlfn.IFNA(VLOOKUP(D14,'202306'!$DC$5:$DF$55,4,FALSE),0))</f>
        <v>0</v>
      </c>
      <c r="H14" s="158">
        <f t="shared" si="3"/>
        <v>0</v>
      </c>
      <c r="I14" s="165">
        <f>SUM($G$7:G14)</f>
        <v>0</v>
      </c>
      <c r="J14" s="160">
        <f t="shared" si="4"/>
        <v>0</v>
      </c>
      <c r="K14" s="14"/>
      <c r="M14" s="1"/>
      <c r="O14" s="1">
        <v>8</v>
      </c>
      <c r="P14" s="1">
        <v>999</v>
      </c>
    </row>
    <row r="15" spans="1:16" ht="25" customHeight="1" x14ac:dyDescent="0.45">
      <c r="A15" s="4"/>
      <c r="B15" s="13"/>
      <c r="C15" s="154">
        <v>42</v>
      </c>
      <c r="D15" s="155">
        <f t="shared" si="1"/>
        <v>93</v>
      </c>
      <c r="E15" s="155">
        <f t="shared" si="0"/>
        <v>1</v>
      </c>
      <c r="F15" s="156">
        <f t="shared" si="2"/>
        <v>100</v>
      </c>
      <c r="G15" s="157">
        <f>IF(D15=D14,"",_xlfn.IFNA(VLOOKUP(D15,'202306'!$DC$5:$DF$55,4,FALSE),0))</f>
        <v>0</v>
      </c>
      <c r="H15" s="158">
        <f t="shared" si="3"/>
        <v>0</v>
      </c>
      <c r="I15" s="165">
        <f>SUM($G$7:G15)</f>
        <v>0</v>
      </c>
      <c r="J15" s="160">
        <f t="shared" si="4"/>
        <v>0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91</v>
      </c>
      <c r="E16" s="155">
        <f t="shared" si="0"/>
        <v>1</v>
      </c>
      <c r="F16" s="156">
        <f t="shared" si="2"/>
        <v>100</v>
      </c>
      <c r="G16" s="157">
        <f>IF(D16=D15,"",_xlfn.IFNA(VLOOKUP(D16,'202306'!$DC$5:$DF$55,4,FALSE),0))</f>
        <v>0</v>
      </c>
      <c r="H16" s="158">
        <f t="shared" si="3"/>
        <v>0</v>
      </c>
      <c r="I16" s="165">
        <f>SUM($G$7:G16)</f>
        <v>0</v>
      </c>
      <c r="J16" s="160">
        <f t="shared" si="4"/>
        <v>0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90</v>
      </c>
      <c r="E17" s="155">
        <f t="shared" si="0"/>
        <v>1</v>
      </c>
      <c r="F17" s="156">
        <f t="shared" si="2"/>
        <v>100</v>
      </c>
      <c r="G17" s="157">
        <f>IF(D17=D16,"",_xlfn.IFNA(VLOOKUP(D17,'202306'!$DC$5:$DF$55,4,FALSE),0))</f>
        <v>0</v>
      </c>
      <c r="H17" s="158">
        <f t="shared" si="3"/>
        <v>0</v>
      </c>
      <c r="I17" s="165">
        <f>SUM($G$7:G17)</f>
        <v>0</v>
      </c>
      <c r="J17" s="160">
        <f t="shared" si="4"/>
        <v>0</v>
      </c>
      <c r="K17" s="14"/>
      <c r="M17" s="1"/>
      <c r="P17" s="1">
        <f>H3*H4*J3*P7*IFERROR(IF(J57=1, 1, 0), 0)</f>
        <v>690831.02509991149</v>
      </c>
    </row>
    <row r="18" spans="1:16" ht="25" customHeight="1" x14ac:dyDescent="0.45">
      <c r="A18" s="4"/>
      <c r="B18" s="13"/>
      <c r="C18" s="161">
        <v>39</v>
      </c>
      <c r="D18" s="155">
        <f t="shared" si="1"/>
        <v>88</v>
      </c>
      <c r="E18" s="155">
        <f t="shared" si="0"/>
        <v>1</v>
      </c>
      <c r="F18" s="156">
        <f t="shared" si="2"/>
        <v>99</v>
      </c>
      <c r="G18" s="157">
        <f>IF(D18=D17,"",_xlfn.IFNA(VLOOKUP(D18,'202306'!$DC$5:$DF$55,4,FALSE),0))</f>
        <v>1</v>
      </c>
      <c r="H18" s="158">
        <f t="shared" si="3"/>
        <v>1.0309278350515464E-2</v>
      </c>
      <c r="I18" s="165">
        <f>SUM($G$7:G18)</f>
        <v>1</v>
      </c>
      <c r="J18" s="160">
        <f t="shared" si="4"/>
        <v>1.0309278350515464E-2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86</v>
      </c>
      <c r="E19" s="155">
        <f t="shared" si="0"/>
        <v>1</v>
      </c>
      <c r="F19" s="156">
        <f t="shared" si="2"/>
        <v>99</v>
      </c>
      <c r="G19" s="157">
        <f>IF(D19=D18,"",_xlfn.IFNA(VLOOKUP(D19,'202306'!$DC$5:$DF$55,4,FALSE),0))</f>
        <v>0</v>
      </c>
      <c r="H19" s="158">
        <f t="shared" si="3"/>
        <v>0</v>
      </c>
      <c r="I19" s="165">
        <f>SUM($G$7:G19)</f>
        <v>1</v>
      </c>
      <c r="J19" s="160">
        <f t="shared" si="4"/>
        <v>1.0309278350515464E-2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85</v>
      </c>
      <c r="E20" s="155">
        <f t="shared" si="0"/>
        <v>1</v>
      </c>
      <c r="F20" s="156">
        <f t="shared" si="2"/>
        <v>99</v>
      </c>
      <c r="G20" s="157">
        <f>IF(D20=D19,"",_xlfn.IFNA(VLOOKUP(D20,'202306'!$DC$5:$DF$55,4,FALSE),0))</f>
        <v>0</v>
      </c>
      <c r="H20" s="158">
        <f t="shared" si="3"/>
        <v>0</v>
      </c>
      <c r="I20" s="165">
        <f>SUM($G$7:G20)</f>
        <v>1</v>
      </c>
      <c r="J20" s="160">
        <f t="shared" si="4"/>
        <v>1.0309278350515464E-2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83</v>
      </c>
      <c r="E21" s="176">
        <f t="shared" si="0"/>
        <v>1</v>
      </c>
      <c r="F21" s="156">
        <f t="shared" si="2"/>
        <v>99</v>
      </c>
      <c r="G21" s="157">
        <f>IF(D21=D20,"",_xlfn.IFNA(VLOOKUP(D21,'202306'!$DC$5:$DF$55,4,FALSE),0))</f>
        <v>0</v>
      </c>
      <c r="H21" s="158">
        <f t="shared" si="3"/>
        <v>0</v>
      </c>
      <c r="I21" s="165">
        <f>SUM($G$7:G21)</f>
        <v>1</v>
      </c>
      <c r="J21" s="160">
        <f t="shared" si="4"/>
        <v>1.0309278350515464E-2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82</v>
      </c>
      <c r="E22" s="176">
        <f t="shared" si="0"/>
        <v>1</v>
      </c>
      <c r="F22" s="156">
        <f t="shared" si="2"/>
        <v>99</v>
      </c>
      <c r="G22" s="157">
        <f>IF(D22=D21,"",_xlfn.IFNA(VLOOKUP(D22,'202306'!$DC$5:$DF$55,4,FALSE),0))</f>
        <v>0</v>
      </c>
      <c r="H22" s="158">
        <f t="shared" si="3"/>
        <v>0</v>
      </c>
      <c r="I22" s="165">
        <f>SUM($G$7:G22)</f>
        <v>1</v>
      </c>
      <c r="J22" s="160">
        <f t="shared" si="4"/>
        <v>1.0309278350515464E-2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80</v>
      </c>
      <c r="E23" s="176">
        <f t="shared" si="0"/>
        <v>1</v>
      </c>
      <c r="F23" s="156">
        <f t="shared" si="2"/>
        <v>99</v>
      </c>
      <c r="G23" s="157">
        <f>IF(D23=D22,"",_xlfn.IFNA(VLOOKUP(D23,'202306'!$DC$5:$DF$55,4,FALSE),0))</f>
        <v>0</v>
      </c>
      <c r="H23" s="158">
        <f t="shared" si="3"/>
        <v>0</v>
      </c>
      <c r="I23" s="165">
        <f>SUM($G$7:G23)</f>
        <v>1</v>
      </c>
      <c r="J23" s="160">
        <f t="shared" si="4"/>
        <v>1.0309278350515464E-2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78</v>
      </c>
      <c r="E24" s="176">
        <f t="shared" si="0"/>
        <v>1</v>
      </c>
      <c r="F24" s="156">
        <f t="shared" si="2"/>
        <v>98</v>
      </c>
      <c r="G24" s="157">
        <f>IF(D24=D23,"",_xlfn.IFNA(VLOOKUP(D24,'202306'!$DC$5:$DF$55,4,FALSE),0))</f>
        <v>2</v>
      </c>
      <c r="H24" s="158">
        <f t="shared" si="3"/>
        <v>2.0618556701030927E-2</v>
      </c>
      <c r="I24" s="165">
        <f>SUM($G$7:G24)</f>
        <v>3</v>
      </c>
      <c r="J24" s="160">
        <f t="shared" si="4"/>
        <v>3.0927835051546393E-2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77</v>
      </c>
      <c r="E25" s="176">
        <f t="shared" si="0"/>
        <v>1</v>
      </c>
      <c r="F25" s="156">
        <f t="shared" si="2"/>
        <v>97</v>
      </c>
      <c r="G25" s="157">
        <f>IF(D25=D24,"",_xlfn.IFNA(VLOOKUP(D25,'202306'!$DC$5:$DF$55,4,FALSE),0))</f>
        <v>0</v>
      </c>
      <c r="H25" s="158">
        <f t="shared" si="3"/>
        <v>0</v>
      </c>
      <c r="I25" s="165">
        <f>SUM($G$7:G25)</f>
        <v>3</v>
      </c>
      <c r="J25" s="160">
        <f t="shared" si="4"/>
        <v>3.0927835051546393E-2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75</v>
      </c>
      <c r="E26" s="176">
        <f t="shared" si="0"/>
        <v>1</v>
      </c>
      <c r="F26" s="156">
        <f t="shared" si="2"/>
        <v>96</v>
      </c>
      <c r="G26" s="157">
        <f>IF(D26=D25,"",_xlfn.IFNA(VLOOKUP(D26,'202306'!$DC$5:$DF$55,4,FALSE),0))</f>
        <v>1</v>
      </c>
      <c r="H26" s="158">
        <f t="shared" si="3"/>
        <v>1.0309278350515464E-2</v>
      </c>
      <c r="I26" s="165">
        <f>SUM($G$7:G26)</f>
        <v>4</v>
      </c>
      <c r="J26" s="160">
        <f t="shared" si="4"/>
        <v>4.1237113402061855E-2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74</v>
      </c>
      <c r="E27" s="176">
        <f t="shared" si="0"/>
        <v>2</v>
      </c>
      <c r="F27" s="156">
        <f t="shared" si="2"/>
        <v>95</v>
      </c>
      <c r="G27" s="157">
        <f>IF(D27=D26,"",_xlfn.IFNA(VLOOKUP(D27,'202306'!$DC$5:$DF$55,4,FALSE),0))</f>
        <v>2</v>
      </c>
      <c r="H27" s="158">
        <f t="shared" si="3"/>
        <v>2.0618556701030927E-2</v>
      </c>
      <c r="I27" s="165">
        <f>SUM($G$7:G27)</f>
        <v>6</v>
      </c>
      <c r="J27" s="160">
        <f t="shared" si="4"/>
        <v>6.1855670103092786E-2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72</v>
      </c>
      <c r="E28" s="176">
        <f t="shared" si="0"/>
        <v>2</v>
      </c>
      <c r="F28" s="156">
        <f t="shared" si="2"/>
        <v>94</v>
      </c>
      <c r="G28" s="157">
        <f>IF(D28=D27,"",_xlfn.IFNA(VLOOKUP(D28,'202306'!$DC$5:$DF$55,4,FALSE),0))</f>
        <v>0</v>
      </c>
      <c r="H28" s="158">
        <f t="shared" si="3"/>
        <v>0</v>
      </c>
      <c r="I28" s="165">
        <f>SUM($G$7:G28)</f>
        <v>6</v>
      </c>
      <c r="J28" s="160">
        <f t="shared" si="4"/>
        <v>6.1855670103092786E-2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70</v>
      </c>
      <c r="E29" s="176">
        <f t="shared" si="0"/>
        <v>2</v>
      </c>
      <c r="F29" s="156">
        <f t="shared" si="2"/>
        <v>94</v>
      </c>
      <c r="G29" s="157">
        <f>IF(D29=D28,"",_xlfn.IFNA(VLOOKUP(D29,'202306'!$DC$5:$DF$55,4,FALSE),0))</f>
        <v>0</v>
      </c>
      <c r="H29" s="158">
        <f t="shared" si="3"/>
        <v>0</v>
      </c>
      <c r="I29" s="165">
        <f>SUM($G$7:G29)</f>
        <v>6</v>
      </c>
      <c r="J29" s="160">
        <f t="shared" si="4"/>
        <v>6.1855670103092786E-2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69</v>
      </c>
      <c r="E30" s="176">
        <f t="shared" si="0"/>
        <v>2</v>
      </c>
      <c r="F30" s="156">
        <f t="shared" si="2"/>
        <v>94</v>
      </c>
      <c r="G30" s="157">
        <f>IF(D30=D29,"",_xlfn.IFNA(VLOOKUP(D30,'202306'!$DC$5:$DF$55,4,FALSE),0))</f>
        <v>0</v>
      </c>
      <c r="H30" s="158">
        <f t="shared" si="3"/>
        <v>0</v>
      </c>
      <c r="I30" s="165">
        <f>SUM($G$7:G30)</f>
        <v>6</v>
      </c>
      <c r="J30" s="160">
        <f t="shared" si="4"/>
        <v>6.1855670103092786E-2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67</v>
      </c>
      <c r="E31" s="176">
        <f t="shared" si="0"/>
        <v>2</v>
      </c>
      <c r="F31" s="156">
        <f t="shared" si="2"/>
        <v>93</v>
      </c>
      <c r="G31" s="157">
        <f>IF(D31=D30,"",_xlfn.IFNA(VLOOKUP(D31,'202306'!$DC$5:$DF$55,4,FALSE),0))</f>
        <v>1</v>
      </c>
      <c r="H31" s="158">
        <f t="shared" si="3"/>
        <v>1.0309278350515464E-2</v>
      </c>
      <c r="I31" s="165">
        <f>SUM($G$7:G31)</f>
        <v>7</v>
      </c>
      <c r="J31" s="160">
        <f t="shared" si="4"/>
        <v>7.2164948453608241E-2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66</v>
      </c>
      <c r="E32" s="176">
        <f t="shared" si="0"/>
        <v>2</v>
      </c>
      <c r="F32" s="156">
        <f t="shared" si="2"/>
        <v>91</v>
      </c>
      <c r="G32" s="157">
        <f>IF(D32=D31,"",_xlfn.IFNA(VLOOKUP(D32,'202306'!$DC$5:$DF$55,4,FALSE),0))</f>
        <v>4</v>
      </c>
      <c r="H32" s="158">
        <f t="shared" si="3"/>
        <v>4.1237113402061855E-2</v>
      </c>
      <c r="I32" s="165">
        <f>SUM($G$7:G32)</f>
        <v>11</v>
      </c>
      <c r="J32" s="160">
        <f t="shared" si="4"/>
        <v>0.1134020618556701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64</v>
      </c>
      <c r="E33" s="176">
        <f t="shared" si="0"/>
        <v>3</v>
      </c>
      <c r="F33" s="156">
        <f t="shared" si="2"/>
        <v>88</v>
      </c>
      <c r="G33" s="157">
        <f>IF(D33=D32,"",_xlfn.IFNA(VLOOKUP(D33,'202306'!$DC$5:$DF$55,4,FALSE),0))</f>
        <v>2</v>
      </c>
      <c r="H33" s="158">
        <f t="shared" si="3"/>
        <v>2.0618556701030927E-2</v>
      </c>
      <c r="I33" s="165">
        <f>SUM($G$7:G33)</f>
        <v>13</v>
      </c>
      <c r="J33" s="160">
        <f t="shared" si="4"/>
        <v>0.13402061855670103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63</v>
      </c>
      <c r="E34" s="176">
        <f t="shared" si="0"/>
        <v>3</v>
      </c>
      <c r="F34" s="156">
        <f t="shared" si="2"/>
        <v>87</v>
      </c>
      <c r="G34" s="157">
        <f>IF(D34=D33,"",_xlfn.IFNA(VLOOKUP(D34,'202306'!$DC$5:$DF$55,4,FALSE),0))</f>
        <v>0</v>
      </c>
      <c r="H34" s="158">
        <f t="shared" si="3"/>
        <v>0</v>
      </c>
      <c r="I34" s="165">
        <f>SUM($G$7:G34)</f>
        <v>13</v>
      </c>
      <c r="J34" s="160">
        <f t="shared" si="4"/>
        <v>0.13402061855670103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61</v>
      </c>
      <c r="E35" s="176">
        <f t="shared" si="0"/>
        <v>3</v>
      </c>
      <c r="F35" s="156">
        <f t="shared" si="2"/>
        <v>87</v>
      </c>
      <c r="G35" s="157">
        <f>IF(D35=D34,"",_xlfn.IFNA(VLOOKUP(D35,'202306'!$DC$5:$DF$55,4,FALSE),0))</f>
        <v>0</v>
      </c>
      <c r="H35" s="158">
        <f t="shared" si="3"/>
        <v>0</v>
      </c>
      <c r="I35" s="165">
        <f>SUM($G$7:G35)</f>
        <v>13</v>
      </c>
      <c r="J35" s="160">
        <f t="shared" si="4"/>
        <v>0.13402061855670103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59</v>
      </c>
      <c r="E36" s="176">
        <f t="shared" si="0"/>
        <v>3</v>
      </c>
      <c r="F36" s="156">
        <f t="shared" si="2"/>
        <v>85</v>
      </c>
      <c r="G36" s="157">
        <f>IF(D36=D35,"",_xlfn.IFNA(VLOOKUP(D36,'202306'!$DC$5:$DF$55,4,FALSE),0))</f>
        <v>3</v>
      </c>
      <c r="H36" s="158">
        <f t="shared" si="3"/>
        <v>3.0927835051546393E-2</v>
      </c>
      <c r="I36" s="165">
        <f>SUM($G$7:G36)</f>
        <v>16</v>
      </c>
      <c r="J36" s="160">
        <f t="shared" si="4"/>
        <v>0.16494845360824742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58</v>
      </c>
      <c r="E37" s="176">
        <f t="shared" si="0"/>
        <v>3</v>
      </c>
      <c r="F37" s="156">
        <f t="shared" si="2"/>
        <v>83</v>
      </c>
      <c r="G37" s="157">
        <f>IF(D37=D36,"",_xlfn.IFNA(VLOOKUP(D37,'202306'!$DC$5:$DF$55,4,FALSE),0))</f>
        <v>1</v>
      </c>
      <c r="H37" s="158">
        <f t="shared" si="3"/>
        <v>1.0309278350515464E-2</v>
      </c>
      <c r="I37" s="165">
        <f>SUM($G$7:G37)</f>
        <v>17</v>
      </c>
      <c r="J37" s="160">
        <f t="shared" si="4"/>
        <v>0.17525773195876287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56</v>
      </c>
      <c r="E38" s="176">
        <f t="shared" si="0"/>
        <v>3</v>
      </c>
      <c r="F38" s="156">
        <f t="shared" si="2"/>
        <v>81</v>
      </c>
      <c r="G38" s="157">
        <f>IF(D38=D37,"",_xlfn.IFNA(VLOOKUP(D38,'202306'!$DC$5:$DF$55,4,FALSE),0))</f>
        <v>3</v>
      </c>
      <c r="H38" s="158">
        <f t="shared" si="3"/>
        <v>3.0927835051546393E-2</v>
      </c>
      <c r="I38" s="165">
        <f>SUM($G$7:G38)</f>
        <v>20</v>
      </c>
      <c r="J38" s="160">
        <f t="shared" si="4"/>
        <v>0.20618556701030927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55</v>
      </c>
      <c r="E39" s="176">
        <f t="shared" si="0"/>
        <v>3</v>
      </c>
      <c r="F39" s="156">
        <f t="shared" si="2"/>
        <v>78</v>
      </c>
      <c r="G39" s="157">
        <f>IF(D39=D38,"",_xlfn.IFNA(VLOOKUP(D39,'202306'!$DC$5:$DF$55,4,FALSE),0))</f>
        <v>3</v>
      </c>
      <c r="H39" s="158">
        <f t="shared" si="3"/>
        <v>3.0927835051546393E-2</v>
      </c>
      <c r="I39" s="165">
        <f>SUM($G$7:G39)</f>
        <v>23</v>
      </c>
      <c r="J39" s="160">
        <f t="shared" si="4"/>
        <v>0.23711340206185566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53</v>
      </c>
      <c r="E40" s="176">
        <f t="shared" si="0"/>
        <v>4</v>
      </c>
      <c r="F40" s="156">
        <f t="shared" si="2"/>
        <v>74</v>
      </c>
      <c r="G40" s="157">
        <f>IF(D40=D39,"",_xlfn.IFNA(VLOOKUP(D40,'202306'!$DC$5:$DF$55,4,FALSE),0))</f>
        <v>4</v>
      </c>
      <c r="H40" s="158">
        <f t="shared" si="3"/>
        <v>4.1237113402061855E-2</v>
      </c>
      <c r="I40" s="165">
        <f>SUM($G$7:G40)</f>
        <v>27</v>
      </c>
      <c r="J40" s="160">
        <f t="shared" si="4"/>
        <v>0.27835051546391754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51</v>
      </c>
      <c r="E41" s="176">
        <f t="shared" si="0"/>
        <v>4</v>
      </c>
      <c r="F41" s="156">
        <f t="shared" si="2"/>
        <v>71</v>
      </c>
      <c r="G41" s="157">
        <f>IF(D41=D40,"",_xlfn.IFNA(VLOOKUP(D41,'202306'!$DC$5:$DF$55,4,FALSE),0))</f>
        <v>3</v>
      </c>
      <c r="H41" s="158">
        <f t="shared" si="3"/>
        <v>3.0927835051546393E-2</v>
      </c>
      <c r="I41" s="165">
        <f>SUM($G$7:G41)</f>
        <v>30</v>
      </c>
      <c r="J41" s="160">
        <f t="shared" si="4"/>
        <v>0.30927835051546393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50</v>
      </c>
      <c r="E42" s="176">
        <f t="shared" si="0"/>
        <v>4</v>
      </c>
      <c r="F42" s="156">
        <f t="shared" si="2"/>
        <v>66</v>
      </c>
      <c r="G42" s="157">
        <f>IF(D42=D41,"",_xlfn.IFNA(VLOOKUP(D42,'202306'!$DC$5:$DF$55,4,FALSE),0))</f>
        <v>5</v>
      </c>
      <c r="H42" s="158">
        <f t="shared" si="3"/>
        <v>5.1546391752577317E-2</v>
      </c>
      <c r="I42" s="165">
        <f>SUM($G$7:G42)</f>
        <v>35</v>
      </c>
      <c r="J42" s="160">
        <f t="shared" si="4"/>
        <v>0.36082474226804123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ref="D43:D46" si="5">ROUND(10*(C43-$H$3)/$H$4+50,0)</f>
        <v>48</v>
      </c>
      <c r="E43" s="176">
        <f t="shared" ref="E43:E46" si="6">IF(ROUND(D43,0)&gt;=$P$7,1,IF(ROUND(D43,0)&gt;=$P$8,2,IF(ROUND(D43,0)&gt;=$P$9,3,IF(ROUND(D43,0)&gt;=$P$10,4,IF(ROUND(D43,0)&gt;=$P$11,5,IF(ROUND(D43,0)&gt;=$P$12,6,IF(ROUND(D43,0)&gt;=$P$13,7,IF(ROUND(D43,0)&gt;=$P$14,8,9))))))))</f>
        <v>4</v>
      </c>
      <c r="F43" s="156">
        <f t="shared" ref="F43:F46" si="7">IF(I42=0,ROUND(100*(1-(I41+I43)/2/$J$3),0),ROUND(100*(1-(I42+I43)/2/$J$3),0))</f>
        <v>57</v>
      </c>
      <c r="G43" s="157">
        <f>IF(D43=D42,"",_xlfn.IFNA(VLOOKUP(D43,'202306'!$DC$5:$DF$55,4,FALSE),0))</f>
        <v>13</v>
      </c>
      <c r="H43" s="158">
        <f t="shared" ref="H43:H46" si="8">G43/$J$3</f>
        <v>0.13402061855670103</v>
      </c>
      <c r="I43" s="165">
        <f>SUM($G$7:G43)</f>
        <v>48</v>
      </c>
      <c r="J43" s="160">
        <f t="shared" ref="J43:J46" si="9">I43/$J$3</f>
        <v>0.49484536082474229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5"/>
        <v>47</v>
      </c>
      <c r="E44" s="176">
        <f t="shared" si="6"/>
        <v>5</v>
      </c>
      <c r="F44" s="156">
        <f t="shared" si="7"/>
        <v>45</v>
      </c>
      <c r="G44" s="157">
        <f>IF(D44=D43,"",_xlfn.IFNA(VLOOKUP(D44,'202306'!$DC$5:$DF$55,4,FALSE),0))</f>
        <v>11</v>
      </c>
      <c r="H44" s="158">
        <f t="shared" si="8"/>
        <v>0.1134020618556701</v>
      </c>
      <c r="I44" s="165">
        <f>SUM($G$7:G44)</f>
        <v>59</v>
      </c>
      <c r="J44" s="160">
        <f t="shared" si="9"/>
        <v>0.60824742268041232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5"/>
        <v>45</v>
      </c>
      <c r="E45" s="176">
        <f t="shared" si="6"/>
        <v>6</v>
      </c>
      <c r="F45" s="156">
        <f t="shared" si="7"/>
        <v>37</v>
      </c>
      <c r="G45" s="157">
        <f>IF(D45=D44,"",_xlfn.IFNA(VLOOKUP(D45,'202306'!$DC$5:$DF$55,4,FALSE),0))</f>
        <v>5</v>
      </c>
      <c r="H45" s="158">
        <f t="shared" si="8"/>
        <v>5.1546391752577317E-2</v>
      </c>
      <c r="I45" s="165">
        <f>SUM($G$7:G45)</f>
        <v>64</v>
      </c>
      <c r="J45" s="160">
        <f t="shared" si="9"/>
        <v>0.65979381443298968</v>
      </c>
      <c r="K45" s="14"/>
      <c r="M45" s="1"/>
    </row>
    <row r="46" spans="1:13" ht="25" customHeight="1" x14ac:dyDescent="0.45">
      <c r="A46" s="4"/>
      <c r="B46" s="13"/>
      <c r="C46" s="166">
        <v>11</v>
      </c>
      <c r="D46" s="176">
        <f t="shared" si="5"/>
        <v>43</v>
      </c>
      <c r="E46" s="176">
        <f t="shared" si="6"/>
        <v>6</v>
      </c>
      <c r="F46" s="156">
        <f t="shared" si="7"/>
        <v>28</v>
      </c>
      <c r="G46" s="157">
        <f>IF(D46=D45,"",_xlfn.IFNA(VLOOKUP(D46,'202306'!$DC$5:$DF$55,4,FALSE),0))</f>
        <v>11</v>
      </c>
      <c r="H46" s="158">
        <f t="shared" si="8"/>
        <v>0.1134020618556701</v>
      </c>
      <c r="I46" s="165">
        <f>SUM($G$7:G46)</f>
        <v>75</v>
      </c>
      <c r="J46" s="160">
        <f t="shared" si="9"/>
        <v>0.77319587628865982</v>
      </c>
      <c r="K46" s="14"/>
      <c r="M46" s="1"/>
    </row>
    <row r="47" spans="1:13" ht="25" customHeight="1" x14ac:dyDescent="0.45">
      <c r="A47" s="4"/>
      <c r="B47" s="13"/>
      <c r="C47" s="177">
        <v>10</v>
      </c>
      <c r="D47" s="178">
        <f t="shared" si="1"/>
        <v>42</v>
      </c>
      <c r="E47" s="178">
        <f t="shared" si="0"/>
        <v>7</v>
      </c>
      <c r="F47" s="179">
        <f t="shared" si="2"/>
        <v>13</v>
      </c>
      <c r="G47" s="180">
        <f>IF(D47=D46,"",_xlfn.IFNA(VLOOKUP(D47,'202306'!$DC$5:$DF$55,4,FALSE),0))</f>
        <v>19</v>
      </c>
      <c r="H47" s="181">
        <f t="shared" si="3"/>
        <v>0.19587628865979381</v>
      </c>
      <c r="I47" s="182">
        <f>SUM($G$7:G47)</f>
        <v>94</v>
      </c>
      <c r="J47" s="183">
        <f t="shared" si="4"/>
        <v>0.96907216494845361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40</v>
      </c>
      <c r="E48" s="176">
        <f t="shared" si="0"/>
        <v>9</v>
      </c>
      <c r="F48" s="156">
        <f t="shared" si="2"/>
        <v>3</v>
      </c>
      <c r="G48" s="157">
        <f>IF(D48=D47,"",_xlfn.IFNA(VLOOKUP(D48,'202306'!$DC$5:$DF$55,4,FALSE),0))</f>
        <v>0</v>
      </c>
      <c r="H48" s="158">
        <f t="shared" si="3"/>
        <v>0</v>
      </c>
      <c r="I48" s="165">
        <f>SUM($G$7:G48)</f>
        <v>94</v>
      </c>
      <c r="J48" s="160">
        <f t="shared" si="4"/>
        <v>0.96907216494845361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39</v>
      </c>
      <c r="E49" s="176">
        <f t="shared" si="0"/>
        <v>9</v>
      </c>
      <c r="F49" s="156">
        <f t="shared" si="2"/>
        <v>3</v>
      </c>
      <c r="G49" s="157">
        <f>IF(D49=D48,"",_xlfn.IFNA(VLOOKUP(D49,'202306'!$DC$5:$DF$55,4,FALSE),0))</f>
        <v>1</v>
      </c>
      <c r="H49" s="158">
        <f t="shared" si="3"/>
        <v>1.0309278350515464E-2</v>
      </c>
      <c r="I49" s="165">
        <f>SUM($G$7:G49)</f>
        <v>95</v>
      </c>
      <c r="J49" s="160">
        <f t="shared" si="4"/>
        <v>0.97938144329896903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37</v>
      </c>
      <c r="E50" s="176">
        <f t="shared" si="0"/>
        <v>9</v>
      </c>
      <c r="F50" s="156">
        <f t="shared" si="2"/>
        <v>2</v>
      </c>
      <c r="G50" s="157">
        <f>IF(D50=D49,"",_xlfn.IFNA(VLOOKUP(D50,'202306'!$DC$5:$DF$55,4,FALSE),0))</f>
        <v>1</v>
      </c>
      <c r="H50" s="158">
        <f t="shared" si="3"/>
        <v>1.0309278350515464E-2</v>
      </c>
      <c r="I50" s="165">
        <f>SUM($G$7:G50)</f>
        <v>96</v>
      </c>
      <c r="J50" s="160">
        <f t="shared" si="4"/>
        <v>0.98969072164948457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35</v>
      </c>
      <c r="E51" s="176">
        <f t="shared" si="0"/>
        <v>9</v>
      </c>
      <c r="F51" s="184">
        <f t="shared" si="2"/>
        <v>1</v>
      </c>
      <c r="G51" s="185">
        <f>IF(D51=D50,"",_xlfn.IFNA(VLOOKUP(D51,'202306'!$DC$5:$DF$55,4,FALSE),0))</f>
        <v>0</v>
      </c>
      <c r="H51" s="186">
        <f t="shared" si="3"/>
        <v>0</v>
      </c>
      <c r="I51" s="187">
        <f>SUM($G$7:G51)</f>
        <v>96</v>
      </c>
      <c r="J51" s="188">
        <f t="shared" si="4"/>
        <v>0.98969072164948457</v>
      </c>
      <c r="K51" s="14"/>
      <c r="M51" s="1"/>
    </row>
    <row r="52" spans="1:13" ht="25" customHeight="1" x14ac:dyDescent="0.45">
      <c r="A52" s="4"/>
      <c r="B52" s="13"/>
      <c r="C52" s="189">
        <v>5</v>
      </c>
      <c r="D52" s="190">
        <f t="shared" ref="D52:D55" si="10">ROUND(10*(C52-$H$3)/$H$4+50,0)</f>
        <v>34</v>
      </c>
      <c r="E52" s="190">
        <f t="shared" ref="E52:E55" si="11">IF(ROUND(D52,0)&gt;=$P$7,1,IF(ROUND(D52,0)&gt;=$P$8,2,IF(ROUND(D52,0)&gt;=$P$9,3,IF(ROUND(D52,0)&gt;=$P$10,4,IF(ROUND(D52,0)&gt;=$P$11,5,IF(ROUND(D52,0)&gt;=$P$12,6,IF(ROUND(D52,0)&gt;=$P$13,7,IF(ROUND(D52,0)&gt;=$P$14,8,9))))))))</f>
        <v>9</v>
      </c>
      <c r="F52" s="191">
        <f t="shared" ref="F52:F55" si="12">IF(I51=0,ROUND(100*(1-(I50+I52)/2/$J$3),0),ROUND(100*(1-(I51+I52)/2/$J$3),0))</f>
        <v>1</v>
      </c>
      <c r="G52" s="192">
        <f>IF(D52=D51,"",_xlfn.IFNA(VLOOKUP(D52,'202306'!$DC$5:$DF$55,4,FALSE),0))</f>
        <v>1</v>
      </c>
      <c r="H52" s="193">
        <f t="shared" ref="H52:H55" si="13">G52/$J$3</f>
        <v>1.0309278350515464E-2</v>
      </c>
      <c r="I52" s="194">
        <f>SUM($G$7:G52)</f>
        <v>97</v>
      </c>
      <c r="J52" s="195">
        <f t="shared" ref="J52:J55" si="14">I52/$J$3</f>
        <v>1</v>
      </c>
      <c r="K52" s="14"/>
      <c r="M52" s="1"/>
    </row>
    <row r="53" spans="1:13" ht="25" customHeight="1" x14ac:dyDescent="0.45">
      <c r="A53" s="4"/>
      <c r="B53" s="13"/>
      <c r="C53" s="167">
        <v>4</v>
      </c>
      <c r="D53" s="196">
        <f t="shared" si="10"/>
        <v>32</v>
      </c>
      <c r="E53" s="196">
        <f t="shared" si="11"/>
        <v>9</v>
      </c>
      <c r="F53" s="197">
        <f t="shared" si="12"/>
        <v>0</v>
      </c>
      <c r="G53" s="198">
        <f>IF(D53=D52,"",_xlfn.IFNA(VLOOKUP(D53,'202306'!$DC$5:$DF$55,4,FALSE),0))</f>
        <v>0</v>
      </c>
      <c r="H53" s="199">
        <f t="shared" si="13"/>
        <v>0</v>
      </c>
      <c r="I53" s="200">
        <f>SUM($G$7:G53)</f>
        <v>97</v>
      </c>
      <c r="J53" s="201">
        <f t="shared" si="14"/>
        <v>1</v>
      </c>
      <c r="K53" s="14"/>
      <c r="M53" s="1"/>
    </row>
    <row r="54" spans="1:13" ht="25" customHeight="1" x14ac:dyDescent="0.45">
      <c r="A54" s="4"/>
      <c r="B54" s="13"/>
      <c r="C54" s="166">
        <v>3</v>
      </c>
      <c r="D54" s="196">
        <f t="shared" si="10"/>
        <v>31</v>
      </c>
      <c r="E54" s="196">
        <f t="shared" si="11"/>
        <v>9</v>
      </c>
      <c r="F54" s="197">
        <f t="shared" si="12"/>
        <v>0</v>
      </c>
      <c r="G54" s="198">
        <f>IF(D54=D53,"",_xlfn.IFNA(VLOOKUP(D54,'202306'!$DC$5:$DF$55,4,FALSE),0))</f>
        <v>0</v>
      </c>
      <c r="H54" s="199">
        <f t="shared" si="13"/>
        <v>0</v>
      </c>
      <c r="I54" s="200">
        <f>SUM($G$7:G54)</f>
        <v>97</v>
      </c>
      <c r="J54" s="201">
        <f t="shared" si="14"/>
        <v>1</v>
      </c>
      <c r="K54" s="14"/>
      <c r="M54" s="1"/>
    </row>
    <row r="55" spans="1:13" ht="25" customHeight="1" x14ac:dyDescent="0.45">
      <c r="A55" s="4"/>
      <c r="B55" s="13"/>
      <c r="C55" s="166">
        <v>2</v>
      </c>
      <c r="D55" s="196">
        <f t="shared" si="10"/>
        <v>29</v>
      </c>
      <c r="E55" s="196">
        <f t="shared" si="11"/>
        <v>9</v>
      </c>
      <c r="F55" s="197">
        <f t="shared" si="12"/>
        <v>0</v>
      </c>
      <c r="G55" s="198">
        <f>IF(D55=D54,"",_xlfn.IFNA(VLOOKUP(D55,'202306'!$DC$5:$DF$55,4,FALSE),0))</f>
        <v>0</v>
      </c>
      <c r="H55" s="199">
        <f t="shared" si="13"/>
        <v>0</v>
      </c>
      <c r="I55" s="200">
        <f>SUM($G$7:G55)</f>
        <v>97</v>
      </c>
      <c r="J55" s="201">
        <f t="shared" si="14"/>
        <v>1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202">
        <v>0</v>
      </c>
      <c r="D57" s="203">
        <f>ROUND(10*(C57-$H$3)/$H$4+50,0)</f>
        <v>26</v>
      </c>
      <c r="E57" s="204" t="s">
        <v>94</v>
      </c>
      <c r="F57" s="205">
        <f>IF(I55=0,ROUND(100*(1-(I54+I57)/2/$J$3),0),ROUND(100*(1-(I55+I57)/2/$J$3),0))</f>
        <v>0</v>
      </c>
      <c r="G57" s="206">
        <f>_xlfn.IFNA(VLOOKUP(D57,'202306'!$DC$5:$DF$55,4,FALSE),0)</f>
        <v>0</v>
      </c>
      <c r="H57" s="207">
        <f>G57/J3</f>
        <v>0</v>
      </c>
      <c r="I57" s="208">
        <f>SUM($G$7:G57)</f>
        <v>97</v>
      </c>
      <c r="J57" s="209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11">
    <mergeCell ref="D3:F3"/>
    <mergeCell ref="D4:F4"/>
    <mergeCell ref="D8:J8"/>
    <mergeCell ref="D56:J56"/>
    <mergeCell ref="J9:J10"/>
    <mergeCell ref="I9:I10"/>
    <mergeCell ref="H9:H10"/>
    <mergeCell ref="G9:G10"/>
    <mergeCell ref="F9:F10"/>
    <mergeCell ref="E9:E10"/>
    <mergeCell ref="D9:D10"/>
  </mergeCells>
  <phoneticPr fontId="1" type="noConversion"/>
  <conditionalFormatting sqref="D7:J7 D57:J57 D9:J9 D11:J46 D48:J55">
    <cfRule type="expression" dxfId="13" priority="7">
      <formula>OR($D7=$P$7:$P$14)</formula>
    </cfRule>
  </conditionalFormatting>
  <conditionalFormatting sqref="C7:C46 C48:C57">
    <cfRule type="expression" dxfId="12" priority="6">
      <formula>OR(AND($D7=0,OR($D6=$P$7:$P$14)),AND($D8&gt;0,OR($D7=$P$7:$P$14)))</formula>
    </cfRule>
  </conditionalFormatting>
  <conditionalFormatting sqref="D7 D57 D9 D11:D46 D48:D55">
    <cfRule type="expression" dxfId="11" priority="5">
      <formula>$D7=$D8</formula>
    </cfRule>
  </conditionalFormatting>
  <conditionalFormatting sqref="D56">
    <cfRule type="expression" dxfId="10" priority="4">
      <formula>OR($D56=$P$7:$P$14)</formula>
    </cfRule>
  </conditionalFormatting>
  <conditionalFormatting sqref="D56">
    <cfRule type="expression" dxfId="9" priority="3">
      <formula>$D56=$D57</formula>
    </cfRule>
  </conditionalFormatting>
  <conditionalFormatting sqref="D8">
    <cfRule type="expression" dxfId="8" priority="2">
      <formula>OR($D8=$P$7:$P$14)</formula>
    </cfRule>
  </conditionalFormatting>
  <conditionalFormatting sqref="D8">
    <cfRule type="expression" dxfId="7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87B5-175F-43AD-9228-5AE37A0C27DF}">
  <sheetPr codeName="Sheet26"/>
  <dimension ref="A1:P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4" customWidth="1"/>
    <col min="3" max="10" width="14.1640625" customWidth="1"/>
    <col min="11" max="11" width="1" customWidth="1"/>
  </cols>
  <sheetData>
    <row r="1" spans="1:16" x14ac:dyDescent="0.45">
      <c r="A1" s="4" t="s">
        <v>30</v>
      </c>
      <c r="C1" s="4"/>
      <c r="D1" s="4"/>
      <c r="E1" s="4"/>
      <c r="F1" s="4"/>
      <c r="G1" s="4"/>
      <c r="H1" s="4"/>
      <c r="I1" s="4"/>
      <c r="J1" s="4"/>
      <c r="K1" s="4"/>
    </row>
    <row r="2" spans="1:16" s="4" customFormat="1" ht="6" customHeight="1" thickBot="1" x14ac:dyDescent="0.5">
      <c r="B2" s="11"/>
      <c r="C2" s="19"/>
      <c r="D2" s="19"/>
      <c r="E2" s="19"/>
      <c r="F2" s="19"/>
      <c r="G2" s="19"/>
      <c r="H2" s="19"/>
      <c r="I2" s="19"/>
      <c r="J2" s="19"/>
      <c r="K2" s="12"/>
    </row>
    <row r="3" spans="1:16" ht="25" customHeight="1" thickBot="1" x14ac:dyDescent="0.5">
      <c r="A3" s="4"/>
      <c r="B3" s="13"/>
      <c r="C3" s="143" t="s">
        <v>95</v>
      </c>
      <c r="D3" s="298" t="s">
        <v>96</v>
      </c>
      <c r="E3" s="299"/>
      <c r="F3" s="300"/>
      <c r="G3" s="143" t="s">
        <v>97</v>
      </c>
      <c r="H3" s="144">
        <f>'통계 및 응시자 수 입력 기능'!D26</f>
        <v>14.635223555070883</v>
      </c>
      <c r="I3" s="10" t="s">
        <v>98</v>
      </c>
      <c r="J3" s="145">
        <f>'통계 및 응시자 수 입력 기능'!C26</f>
        <v>1834</v>
      </c>
      <c r="K3" s="14"/>
    </row>
    <row r="4" spans="1:16" ht="25" customHeight="1" thickBot="1" x14ac:dyDescent="0.5">
      <c r="A4" s="4"/>
      <c r="B4" s="13"/>
      <c r="C4" s="146" t="s">
        <v>99</v>
      </c>
      <c r="D4" s="321" t="s">
        <v>102</v>
      </c>
      <c r="E4" s="302"/>
      <c r="F4" s="303"/>
      <c r="G4" s="147" t="s">
        <v>101</v>
      </c>
      <c r="H4" s="148">
        <f>'통계 및 응시자 수 입력 기능'!E26</f>
        <v>7.1779440955313056</v>
      </c>
      <c r="I4" s="7"/>
      <c r="J4" s="15"/>
      <c r="K4" s="14"/>
    </row>
    <row r="5" spans="1:16" ht="25" customHeight="1" thickBot="1" x14ac:dyDescent="0.5">
      <c r="A5" s="4"/>
      <c r="B5" s="13"/>
      <c r="C5" s="7"/>
      <c r="D5" s="7"/>
      <c r="E5" s="7"/>
      <c r="F5" s="7"/>
      <c r="G5" s="7"/>
      <c r="H5" s="15"/>
      <c r="I5" s="15"/>
      <c r="J5" s="15"/>
      <c r="K5" s="14"/>
    </row>
    <row r="6" spans="1:16" ht="25" customHeight="1" thickBot="1" x14ac:dyDescent="0.5">
      <c r="A6" s="4"/>
      <c r="B6" s="13"/>
      <c r="C6" s="150" t="s">
        <v>124</v>
      </c>
      <c r="D6" s="151" t="s">
        <v>125</v>
      </c>
      <c r="E6" s="151" t="s">
        <v>126</v>
      </c>
      <c r="F6" s="151" t="s">
        <v>127</v>
      </c>
      <c r="G6" s="151" t="s">
        <v>128</v>
      </c>
      <c r="H6" s="152" t="s">
        <v>129</v>
      </c>
      <c r="I6" s="152" t="s">
        <v>130</v>
      </c>
      <c r="J6" s="153" t="s">
        <v>131</v>
      </c>
      <c r="K6" s="14"/>
      <c r="L6" s="2"/>
      <c r="M6" s="3"/>
    </row>
    <row r="7" spans="1:16" ht="25" customHeight="1" x14ac:dyDescent="0.45">
      <c r="A7" s="4"/>
      <c r="B7" s="13"/>
      <c r="C7" s="154">
        <v>50</v>
      </c>
      <c r="D7" s="155">
        <f>ROUND(10*(C7-$H$3)/$H$4+50,0)</f>
        <v>99</v>
      </c>
      <c r="E7" s="155">
        <f t="shared" ref="E7:E57" si="0">IF(ROUND(D7,0)&gt;=$P$7,1,IF(ROUND(D7,0)&gt;=$P$8,2,IF(ROUND(D7,0)&gt;=$P$9,3,IF(ROUND(D7,0)&gt;=$P$10,4,IF(ROUND(D7,0)&gt;=$P$11,5,IF(ROUND(D7,0)&gt;=$P$12,6,IF(ROUND(D7,0)&gt;=$P$13,7,IF(ROUND(D7,0)&gt;=$P$14,8,9))))))))</f>
        <v>1</v>
      </c>
      <c r="F7" s="156">
        <f>ROUND(100*(1-(0+I7)/2/$J$3),0)</f>
        <v>100</v>
      </c>
      <c r="G7" s="157">
        <f>_xlfn.IFNA(VLOOKUP(D7,'202306'!$DH$5:$DK$55,4,FALSE),0)</f>
        <v>2</v>
      </c>
      <c r="H7" s="158">
        <f>G7/J3</f>
        <v>1.0905125408942203E-3</v>
      </c>
      <c r="I7" s="159">
        <f>G7</f>
        <v>2</v>
      </c>
      <c r="J7" s="160">
        <f>I7/J3</f>
        <v>1.0905125408942203E-3</v>
      </c>
      <c r="K7" s="14"/>
      <c r="M7" s="1"/>
      <c r="O7" s="1">
        <v>1</v>
      </c>
      <c r="P7" s="1">
        <f>'표준점수 등급컷 입력기능'!E80</f>
        <v>70</v>
      </c>
    </row>
    <row r="8" spans="1:16" ht="25" customHeight="1" x14ac:dyDescent="0.45">
      <c r="A8" s="4"/>
      <c r="B8" s="13"/>
      <c r="C8" s="161">
        <v>49</v>
      </c>
      <c r="D8" s="304" t="s">
        <v>21</v>
      </c>
      <c r="E8" s="305"/>
      <c r="F8" s="305"/>
      <c r="G8" s="305"/>
      <c r="H8" s="305"/>
      <c r="I8" s="305"/>
      <c r="J8" s="306"/>
      <c r="K8" s="14"/>
      <c r="M8" s="1"/>
      <c r="O8" s="1">
        <v>2</v>
      </c>
      <c r="P8" s="1">
        <f>'표준점수 등급컷 입력기능'!E81</f>
        <v>62</v>
      </c>
    </row>
    <row r="9" spans="1:16" ht="25" customHeight="1" x14ac:dyDescent="0.45">
      <c r="A9" s="4"/>
      <c r="B9" s="13"/>
      <c r="C9" s="154">
        <v>48</v>
      </c>
      <c r="D9" s="155">
        <f>ROUND(10*(C9-$H$3)/$H$4+50,0)</f>
        <v>96</v>
      </c>
      <c r="E9" s="155">
        <f t="shared" si="0"/>
        <v>1</v>
      </c>
      <c r="F9" s="156">
        <f>IF(I8=0,ROUND(100*(1-(I7+I9)/2/$J$3),0),ROUND(100*(1-(I8+I9)/2/$J$3),0))</f>
        <v>100</v>
      </c>
      <c r="G9" s="157">
        <f>_xlfn.IFNA(VLOOKUP(D9,'202306'!$DH$5:$DK$55,4,FALSE),0)</f>
        <v>2</v>
      </c>
      <c r="H9" s="158">
        <f>G9/$J$3</f>
        <v>1.0905125408942203E-3</v>
      </c>
      <c r="I9" s="165">
        <f>SUM($G$7:G9)</f>
        <v>4</v>
      </c>
      <c r="J9" s="160">
        <f>I9/$J$3</f>
        <v>2.1810250817884407E-3</v>
      </c>
      <c r="K9" s="14"/>
      <c r="M9" s="1"/>
      <c r="O9" s="1">
        <v>3</v>
      </c>
      <c r="P9" s="1">
        <f>'표준점수 등급컷 입력기능'!E82</f>
        <v>56</v>
      </c>
    </row>
    <row r="10" spans="1:16" ht="25" customHeight="1" x14ac:dyDescent="0.45">
      <c r="A10" s="4"/>
      <c r="B10" s="13"/>
      <c r="C10" s="161">
        <v>47</v>
      </c>
      <c r="D10" s="155">
        <f t="shared" ref="D10:D55" si="1">ROUND(10*(C10-$H$3)/$H$4+50,0)</f>
        <v>95</v>
      </c>
      <c r="E10" s="155">
        <f t="shared" si="0"/>
        <v>1</v>
      </c>
      <c r="F10" s="156">
        <f>IF(I9=0,ROUND(100*(1-(I8+I10)/2/$J$3),0),ROUND(100*(1-(I9+I10)/2/$J$3),0))</f>
        <v>100</v>
      </c>
      <c r="G10" s="157">
        <f>IF(D10=D9,"",_xlfn.IFNA(VLOOKUP(D10,'202306'!$DH$5:$DK$55,4,FALSE),0))</f>
        <v>3</v>
      </c>
      <c r="H10" s="158">
        <f t="shared" ref="H10:H55" si="2">G10/$J$3</f>
        <v>1.6357688113413304E-3</v>
      </c>
      <c r="I10" s="165">
        <f>SUM($G$7:G10)</f>
        <v>7</v>
      </c>
      <c r="J10" s="160">
        <f t="shared" ref="J10:J55" si="3">I10/$J$3</f>
        <v>3.8167938931297708E-3</v>
      </c>
      <c r="K10" s="14"/>
      <c r="M10" s="1"/>
      <c r="O10" s="1">
        <v>4</v>
      </c>
      <c r="P10" s="1">
        <f>'표준점수 등급컷 입력기능'!E83</f>
        <v>51</v>
      </c>
    </row>
    <row r="11" spans="1:16" ht="25" customHeight="1" x14ac:dyDescent="0.45">
      <c r="A11" s="4"/>
      <c r="B11" s="13"/>
      <c r="C11" s="154">
        <v>46</v>
      </c>
      <c r="D11" s="155">
        <f t="shared" si="1"/>
        <v>94</v>
      </c>
      <c r="E11" s="155">
        <f t="shared" si="0"/>
        <v>1</v>
      </c>
      <c r="F11" s="156">
        <f t="shared" ref="F11:F55" si="4">IF(I10=0,ROUND(100*(1-(I9+I11)/2/$J$3),0),ROUND(100*(1-(I10+I11)/2/$J$3),0))</f>
        <v>100</v>
      </c>
      <c r="G11" s="157">
        <f>IF(D11=D10,"",_xlfn.IFNA(VLOOKUP(D11,'202306'!$DH$5:$DK$55,4,FALSE),0))</f>
        <v>2</v>
      </c>
      <c r="H11" s="158">
        <f t="shared" si="2"/>
        <v>1.0905125408942203E-3</v>
      </c>
      <c r="I11" s="165">
        <f>SUM($G$7:G11)</f>
        <v>9</v>
      </c>
      <c r="J11" s="160">
        <f t="shared" si="3"/>
        <v>4.9073064340239914E-3</v>
      </c>
      <c r="K11" s="14"/>
      <c r="M11" s="1"/>
      <c r="O11" s="1">
        <v>5</v>
      </c>
      <c r="P11" s="1">
        <f>'표준점수 등급컷 입력기능'!E84</f>
        <v>46</v>
      </c>
    </row>
    <row r="12" spans="1:16" ht="25" customHeight="1" x14ac:dyDescent="0.45">
      <c r="A12" s="4"/>
      <c r="B12" s="13"/>
      <c r="C12" s="161">
        <v>45</v>
      </c>
      <c r="D12" s="155">
        <f t="shared" si="1"/>
        <v>92</v>
      </c>
      <c r="E12" s="155">
        <f t="shared" si="0"/>
        <v>1</v>
      </c>
      <c r="F12" s="156">
        <f t="shared" si="4"/>
        <v>99</v>
      </c>
      <c r="G12" s="157">
        <f>IF(D12=D11,"",_xlfn.IFNA(VLOOKUP(D12,'202306'!$DH$5:$DK$55,4,FALSE),0))</f>
        <v>1</v>
      </c>
      <c r="H12" s="158">
        <f t="shared" si="2"/>
        <v>5.4525627044711017E-4</v>
      </c>
      <c r="I12" s="165">
        <f>SUM($G$7:G12)</f>
        <v>10</v>
      </c>
      <c r="J12" s="160">
        <f t="shared" si="3"/>
        <v>5.4525627044711015E-3</v>
      </c>
      <c r="K12" s="14"/>
      <c r="M12" s="1"/>
      <c r="O12" s="1">
        <v>6</v>
      </c>
      <c r="P12" s="1">
        <f>'표준점수 등급컷 입력기능'!E85</f>
        <v>42</v>
      </c>
    </row>
    <row r="13" spans="1:16" ht="25" customHeight="1" x14ac:dyDescent="0.45">
      <c r="A13" s="4"/>
      <c r="B13" s="13"/>
      <c r="C13" s="154">
        <v>44</v>
      </c>
      <c r="D13" s="155">
        <f t="shared" si="1"/>
        <v>91</v>
      </c>
      <c r="E13" s="155">
        <f t="shared" si="0"/>
        <v>1</v>
      </c>
      <c r="F13" s="156">
        <f t="shared" si="4"/>
        <v>99</v>
      </c>
      <c r="G13" s="157">
        <f>IF(D13=D12,"",_xlfn.IFNA(VLOOKUP(D13,'202306'!$DH$5:$DK$55,4,FALSE),0))</f>
        <v>0</v>
      </c>
      <c r="H13" s="158">
        <f t="shared" si="2"/>
        <v>0</v>
      </c>
      <c r="I13" s="165">
        <f>SUM($G$7:G13)</f>
        <v>10</v>
      </c>
      <c r="J13" s="160">
        <f t="shared" si="3"/>
        <v>5.4525627044711015E-3</v>
      </c>
      <c r="K13" s="14"/>
      <c r="M13" s="1"/>
      <c r="O13" s="1">
        <v>7</v>
      </c>
      <c r="P13" s="1">
        <f>'표준점수 등급컷 입력기능'!E86</f>
        <v>39</v>
      </c>
    </row>
    <row r="14" spans="1:16" ht="25" customHeight="1" x14ac:dyDescent="0.45">
      <c r="A14" s="4"/>
      <c r="B14" s="13"/>
      <c r="C14" s="161">
        <v>43</v>
      </c>
      <c r="D14" s="155">
        <f t="shared" si="1"/>
        <v>90</v>
      </c>
      <c r="E14" s="155">
        <f t="shared" si="0"/>
        <v>1</v>
      </c>
      <c r="F14" s="156">
        <f t="shared" si="4"/>
        <v>99</v>
      </c>
      <c r="G14" s="157">
        <f>IF(D14=D13,"",_xlfn.IFNA(VLOOKUP(D14,'202306'!$DH$5:$DK$55,4,FALSE),0))</f>
        <v>2</v>
      </c>
      <c r="H14" s="158">
        <f t="shared" si="2"/>
        <v>1.0905125408942203E-3</v>
      </c>
      <c r="I14" s="165">
        <f>SUM($G$7:G14)</f>
        <v>12</v>
      </c>
      <c r="J14" s="160">
        <f t="shared" si="3"/>
        <v>6.5430752453653216E-3</v>
      </c>
      <c r="K14" s="14"/>
      <c r="M14" s="1"/>
      <c r="O14" s="1">
        <v>8</v>
      </c>
      <c r="P14" s="1">
        <f>'표준점수 등급컷 입력기능'!E87</f>
        <v>37</v>
      </c>
    </row>
    <row r="15" spans="1:16" ht="25" customHeight="1" x14ac:dyDescent="0.45">
      <c r="A15" s="4"/>
      <c r="B15" s="13"/>
      <c r="C15" s="154">
        <v>42</v>
      </c>
      <c r="D15" s="155">
        <f t="shared" si="1"/>
        <v>88</v>
      </c>
      <c r="E15" s="155">
        <f t="shared" si="0"/>
        <v>1</v>
      </c>
      <c r="F15" s="156">
        <f t="shared" si="4"/>
        <v>99</v>
      </c>
      <c r="G15" s="157">
        <f>IF(D15=D14,"",_xlfn.IFNA(VLOOKUP(D15,'202306'!$DH$5:$DK$55,4,FALSE),0))</f>
        <v>3</v>
      </c>
      <c r="H15" s="158">
        <f t="shared" si="2"/>
        <v>1.6357688113413304E-3</v>
      </c>
      <c r="I15" s="165">
        <f>SUM($G$7:G15)</f>
        <v>15</v>
      </c>
      <c r="J15" s="160">
        <f t="shared" si="3"/>
        <v>8.1788440567066526E-3</v>
      </c>
      <c r="K15" s="14"/>
      <c r="M15" s="1"/>
      <c r="O15" s="1">
        <v>9</v>
      </c>
      <c r="P15" s="1"/>
    </row>
    <row r="16" spans="1:16" ht="25" customHeight="1" x14ac:dyDescent="0.45">
      <c r="A16" s="4"/>
      <c r="B16" s="13"/>
      <c r="C16" s="161">
        <v>41</v>
      </c>
      <c r="D16" s="155">
        <f t="shared" si="1"/>
        <v>87</v>
      </c>
      <c r="E16" s="155">
        <f t="shared" si="0"/>
        <v>1</v>
      </c>
      <c r="F16" s="156">
        <f t="shared" si="4"/>
        <v>99</v>
      </c>
      <c r="G16" s="157">
        <f>IF(D16=D15,"",_xlfn.IFNA(VLOOKUP(D16,'202306'!$DH$5:$DK$55,4,FALSE),0))</f>
        <v>4</v>
      </c>
      <c r="H16" s="158">
        <f t="shared" si="2"/>
        <v>2.1810250817884407E-3</v>
      </c>
      <c r="I16" s="165">
        <f>SUM($G$7:G16)</f>
        <v>19</v>
      </c>
      <c r="J16" s="160">
        <f t="shared" si="3"/>
        <v>1.0359869138495093E-2</v>
      </c>
      <c r="K16" s="14"/>
      <c r="M16" s="1"/>
    </row>
    <row r="17" spans="1:16" ht="25" customHeight="1" x14ac:dyDescent="0.45">
      <c r="A17" s="4"/>
      <c r="B17" s="13"/>
      <c r="C17" s="154">
        <v>40</v>
      </c>
      <c r="D17" s="155">
        <f t="shared" si="1"/>
        <v>85</v>
      </c>
      <c r="E17" s="155">
        <f t="shared" si="0"/>
        <v>1</v>
      </c>
      <c r="F17" s="156">
        <f t="shared" si="4"/>
        <v>99</v>
      </c>
      <c r="G17" s="157">
        <f>IF(D17=D16,"",_xlfn.IFNA(VLOOKUP(D17,'202306'!$DH$5:$DK$55,4,FALSE),0))</f>
        <v>5</v>
      </c>
      <c r="H17" s="158">
        <f t="shared" si="2"/>
        <v>2.7262813522355507E-3</v>
      </c>
      <c r="I17" s="165">
        <f>SUM($G$7:G17)</f>
        <v>24</v>
      </c>
      <c r="J17" s="160">
        <f t="shared" si="3"/>
        <v>1.3086150490730643E-2</v>
      </c>
      <c r="K17" s="14"/>
      <c r="M17" s="1"/>
      <c r="P17" s="1">
        <f>H3*H4*J3*P7*IFERROR(IF(J57=1, 1, 0), 0)</f>
        <v>13486423.822770903</v>
      </c>
    </row>
    <row r="18" spans="1:16" ht="25" customHeight="1" x14ac:dyDescent="0.45">
      <c r="A18" s="4"/>
      <c r="B18" s="13"/>
      <c r="C18" s="161">
        <v>39</v>
      </c>
      <c r="D18" s="155">
        <f t="shared" si="1"/>
        <v>84</v>
      </c>
      <c r="E18" s="155">
        <f t="shared" si="0"/>
        <v>1</v>
      </c>
      <c r="F18" s="156">
        <f t="shared" si="4"/>
        <v>99</v>
      </c>
      <c r="G18" s="157">
        <f>IF(D18=D17,"",_xlfn.IFNA(VLOOKUP(D18,'202306'!$DH$5:$DK$55,4,FALSE),0))</f>
        <v>0</v>
      </c>
      <c r="H18" s="158">
        <f t="shared" si="2"/>
        <v>0</v>
      </c>
      <c r="I18" s="165">
        <f>SUM($G$7:G18)</f>
        <v>24</v>
      </c>
      <c r="J18" s="160">
        <f t="shared" si="3"/>
        <v>1.3086150490730643E-2</v>
      </c>
      <c r="K18" s="14"/>
      <c r="M18" s="1"/>
    </row>
    <row r="19" spans="1:16" ht="25" customHeight="1" x14ac:dyDescent="0.45">
      <c r="A19" s="4"/>
      <c r="B19" s="13"/>
      <c r="C19" s="154">
        <v>38</v>
      </c>
      <c r="D19" s="155">
        <f t="shared" si="1"/>
        <v>83</v>
      </c>
      <c r="E19" s="155">
        <f t="shared" si="0"/>
        <v>1</v>
      </c>
      <c r="F19" s="156">
        <f t="shared" si="4"/>
        <v>99</v>
      </c>
      <c r="G19" s="157">
        <f>IF(D19=D18,"",_xlfn.IFNA(VLOOKUP(D19,'202306'!$DH$5:$DK$55,4,FALSE),0))</f>
        <v>3</v>
      </c>
      <c r="H19" s="158">
        <f t="shared" si="2"/>
        <v>1.6357688113413304E-3</v>
      </c>
      <c r="I19" s="165">
        <f>SUM($G$7:G19)</f>
        <v>27</v>
      </c>
      <c r="J19" s="160">
        <f t="shared" si="3"/>
        <v>1.4721919302071973E-2</v>
      </c>
      <c r="K19" s="14"/>
      <c r="M19" s="1"/>
    </row>
    <row r="20" spans="1:16" ht="25" customHeight="1" x14ac:dyDescent="0.45">
      <c r="A20" s="4"/>
      <c r="B20" s="13"/>
      <c r="C20" s="161">
        <v>37</v>
      </c>
      <c r="D20" s="155">
        <f t="shared" si="1"/>
        <v>81</v>
      </c>
      <c r="E20" s="155">
        <f t="shared" si="0"/>
        <v>1</v>
      </c>
      <c r="F20" s="156">
        <f t="shared" si="4"/>
        <v>98</v>
      </c>
      <c r="G20" s="157">
        <f>IF(D20=D19,"",_xlfn.IFNA(VLOOKUP(D20,'202306'!$DH$5:$DK$55,4,FALSE),0))</f>
        <v>6</v>
      </c>
      <c r="H20" s="158">
        <f t="shared" si="2"/>
        <v>3.2715376226826608E-3</v>
      </c>
      <c r="I20" s="165">
        <f>SUM($G$7:G20)</f>
        <v>33</v>
      </c>
      <c r="J20" s="160">
        <f t="shared" si="3"/>
        <v>1.7993456924754635E-2</v>
      </c>
      <c r="K20" s="14"/>
      <c r="M20" s="1"/>
    </row>
    <row r="21" spans="1:16" ht="25" customHeight="1" x14ac:dyDescent="0.45">
      <c r="A21" s="4"/>
      <c r="B21" s="13"/>
      <c r="C21" s="166">
        <v>36</v>
      </c>
      <c r="D21" s="176">
        <f t="shared" si="1"/>
        <v>80</v>
      </c>
      <c r="E21" s="176">
        <f t="shared" si="0"/>
        <v>1</v>
      </c>
      <c r="F21" s="156">
        <f t="shared" si="4"/>
        <v>98</v>
      </c>
      <c r="G21" s="157">
        <f>IF(D21=D20,"",_xlfn.IFNA(VLOOKUP(D21,'202306'!$DH$5:$DK$55,4,FALSE),0))</f>
        <v>1</v>
      </c>
      <c r="H21" s="158">
        <f t="shared" si="2"/>
        <v>5.4525627044711017E-4</v>
      </c>
      <c r="I21" s="165">
        <f>SUM($G$7:G21)</f>
        <v>34</v>
      </c>
      <c r="J21" s="160">
        <f t="shared" si="3"/>
        <v>1.8538713195201745E-2</v>
      </c>
      <c r="K21" s="14"/>
      <c r="M21" s="1"/>
    </row>
    <row r="22" spans="1:16" ht="25" customHeight="1" x14ac:dyDescent="0.45">
      <c r="A22" s="4"/>
      <c r="B22" s="13"/>
      <c r="C22" s="167">
        <v>35</v>
      </c>
      <c r="D22" s="176">
        <f t="shared" si="1"/>
        <v>78</v>
      </c>
      <c r="E22" s="176">
        <f t="shared" si="0"/>
        <v>1</v>
      </c>
      <c r="F22" s="156">
        <f t="shared" si="4"/>
        <v>98</v>
      </c>
      <c r="G22" s="157">
        <f>IF(D22=D21,"",_xlfn.IFNA(VLOOKUP(D22,'202306'!$DH$5:$DK$55,4,FALSE),0))</f>
        <v>3</v>
      </c>
      <c r="H22" s="158">
        <f t="shared" si="2"/>
        <v>1.6357688113413304E-3</v>
      </c>
      <c r="I22" s="165">
        <f>SUM($G$7:G22)</f>
        <v>37</v>
      </c>
      <c r="J22" s="160">
        <f t="shared" si="3"/>
        <v>2.0174482006543076E-2</v>
      </c>
      <c r="K22" s="14"/>
      <c r="M22" s="1"/>
    </row>
    <row r="23" spans="1:16" ht="25" customHeight="1" x14ac:dyDescent="0.45">
      <c r="A23" s="4"/>
      <c r="B23" s="13"/>
      <c r="C23" s="166">
        <v>34</v>
      </c>
      <c r="D23" s="176">
        <f t="shared" si="1"/>
        <v>77</v>
      </c>
      <c r="E23" s="176">
        <f t="shared" si="0"/>
        <v>1</v>
      </c>
      <c r="F23" s="156">
        <f t="shared" si="4"/>
        <v>98</v>
      </c>
      <c r="G23" s="157">
        <f>IF(D23=D22,"",_xlfn.IFNA(VLOOKUP(D23,'202306'!$DH$5:$DK$55,4,FALSE),0))</f>
        <v>5</v>
      </c>
      <c r="H23" s="158">
        <f t="shared" si="2"/>
        <v>2.7262813522355507E-3</v>
      </c>
      <c r="I23" s="165">
        <f>SUM($G$7:G23)</f>
        <v>42</v>
      </c>
      <c r="J23" s="160">
        <f t="shared" si="3"/>
        <v>2.2900763358778626E-2</v>
      </c>
      <c r="K23" s="14"/>
      <c r="M23" s="1"/>
    </row>
    <row r="24" spans="1:16" ht="25" customHeight="1" x14ac:dyDescent="0.45">
      <c r="A24" s="4"/>
      <c r="B24" s="13"/>
      <c r="C24" s="167">
        <v>33</v>
      </c>
      <c r="D24" s="176">
        <f t="shared" si="1"/>
        <v>76</v>
      </c>
      <c r="E24" s="176">
        <f t="shared" si="0"/>
        <v>1</v>
      </c>
      <c r="F24" s="156">
        <f t="shared" si="4"/>
        <v>98</v>
      </c>
      <c r="G24" s="157">
        <f>IF(D24=D23,"",_xlfn.IFNA(VLOOKUP(D24,'202306'!$DH$5:$DK$55,4,FALSE),0))</f>
        <v>5</v>
      </c>
      <c r="H24" s="158">
        <f t="shared" si="2"/>
        <v>2.7262813522355507E-3</v>
      </c>
      <c r="I24" s="165">
        <f>SUM($G$7:G24)</f>
        <v>47</v>
      </c>
      <c r="J24" s="160">
        <f t="shared" si="3"/>
        <v>2.5627044711014176E-2</v>
      </c>
      <c r="K24" s="14"/>
      <c r="M24" s="1"/>
    </row>
    <row r="25" spans="1:16" ht="25" customHeight="1" x14ac:dyDescent="0.45">
      <c r="A25" s="4"/>
      <c r="B25" s="13"/>
      <c r="C25" s="166">
        <v>32</v>
      </c>
      <c r="D25" s="176">
        <f t="shared" si="1"/>
        <v>74</v>
      </c>
      <c r="E25" s="176">
        <f t="shared" si="0"/>
        <v>1</v>
      </c>
      <c r="F25" s="156">
        <f t="shared" si="4"/>
        <v>97</v>
      </c>
      <c r="G25" s="157">
        <f>IF(D25=D24,"",_xlfn.IFNA(VLOOKUP(D25,'202306'!$DH$5:$DK$55,4,FALSE),0))</f>
        <v>4</v>
      </c>
      <c r="H25" s="158">
        <f t="shared" si="2"/>
        <v>2.1810250817884407E-3</v>
      </c>
      <c r="I25" s="165">
        <f>SUM($G$7:G25)</f>
        <v>51</v>
      </c>
      <c r="J25" s="160">
        <f t="shared" si="3"/>
        <v>2.7808069792802616E-2</v>
      </c>
      <c r="K25" s="14"/>
      <c r="M25" s="1"/>
    </row>
    <row r="26" spans="1:16" ht="25" customHeight="1" x14ac:dyDescent="0.45">
      <c r="A26" s="4"/>
      <c r="B26" s="13"/>
      <c r="C26" s="167">
        <v>31</v>
      </c>
      <c r="D26" s="176">
        <f t="shared" si="1"/>
        <v>73</v>
      </c>
      <c r="E26" s="176">
        <f t="shared" si="0"/>
        <v>1</v>
      </c>
      <c r="F26" s="156">
        <f t="shared" si="4"/>
        <v>97</v>
      </c>
      <c r="G26" s="157">
        <f>IF(D26=D25,"",_xlfn.IFNA(VLOOKUP(D26,'202306'!$DH$5:$DK$55,4,FALSE),0))</f>
        <v>6</v>
      </c>
      <c r="H26" s="158">
        <f t="shared" si="2"/>
        <v>3.2715376226826608E-3</v>
      </c>
      <c r="I26" s="165">
        <f>SUM($G$7:G26)</f>
        <v>57</v>
      </c>
      <c r="J26" s="160">
        <f t="shared" si="3"/>
        <v>3.1079607415485277E-2</v>
      </c>
      <c r="K26" s="14"/>
      <c r="M26" s="1"/>
    </row>
    <row r="27" spans="1:16" ht="25" customHeight="1" x14ac:dyDescent="0.45">
      <c r="A27" s="4"/>
      <c r="B27" s="13"/>
      <c r="C27" s="166">
        <v>30</v>
      </c>
      <c r="D27" s="176">
        <f t="shared" si="1"/>
        <v>71</v>
      </c>
      <c r="E27" s="176">
        <f t="shared" si="0"/>
        <v>1</v>
      </c>
      <c r="F27" s="156">
        <f t="shared" si="4"/>
        <v>97</v>
      </c>
      <c r="G27" s="157">
        <f>IF(D27=D26,"",_xlfn.IFNA(VLOOKUP(D27,'202306'!$DH$5:$DK$55,4,FALSE),0))</f>
        <v>7</v>
      </c>
      <c r="H27" s="158">
        <f t="shared" si="2"/>
        <v>3.8167938931297708E-3</v>
      </c>
      <c r="I27" s="165">
        <f>SUM($G$7:G27)</f>
        <v>64</v>
      </c>
      <c r="J27" s="160">
        <f t="shared" si="3"/>
        <v>3.4896401308615051E-2</v>
      </c>
      <c r="K27" s="14"/>
      <c r="M27" s="1"/>
    </row>
    <row r="28" spans="1:16" ht="25" customHeight="1" x14ac:dyDescent="0.45">
      <c r="A28" s="4"/>
      <c r="B28" s="13"/>
      <c r="C28" s="167">
        <v>29</v>
      </c>
      <c r="D28" s="176">
        <f t="shared" si="1"/>
        <v>70</v>
      </c>
      <c r="E28" s="176">
        <f t="shared" si="0"/>
        <v>1</v>
      </c>
      <c r="F28" s="156">
        <f t="shared" si="4"/>
        <v>96</v>
      </c>
      <c r="G28" s="157">
        <f>IF(D28=D27,"",_xlfn.IFNA(VLOOKUP(D28,'202306'!$DH$5:$DK$55,4,FALSE),0))</f>
        <v>10</v>
      </c>
      <c r="H28" s="158">
        <f t="shared" si="2"/>
        <v>5.4525627044711015E-3</v>
      </c>
      <c r="I28" s="165">
        <f>SUM($G$7:G28)</f>
        <v>74</v>
      </c>
      <c r="J28" s="160">
        <f t="shared" si="3"/>
        <v>4.0348964013086151E-2</v>
      </c>
      <c r="K28" s="14"/>
      <c r="M28" s="1"/>
    </row>
    <row r="29" spans="1:16" ht="25" customHeight="1" x14ac:dyDescent="0.45">
      <c r="A29" s="4"/>
      <c r="B29" s="13"/>
      <c r="C29" s="166">
        <v>28</v>
      </c>
      <c r="D29" s="176">
        <f t="shared" si="1"/>
        <v>69</v>
      </c>
      <c r="E29" s="176">
        <f t="shared" si="0"/>
        <v>2</v>
      </c>
      <c r="F29" s="156">
        <f t="shared" si="4"/>
        <v>96</v>
      </c>
      <c r="G29" s="157">
        <f>IF(D29=D28,"",_xlfn.IFNA(VLOOKUP(D29,'202306'!$DH$5:$DK$55,4,FALSE),0))</f>
        <v>12</v>
      </c>
      <c r="H29" s="158">
        <f t="shared" si="2"/>
        <v>6.5430752453653216E-3</v>
      </c>
      <c r="I29" s="165">
        <f>SUM($G$7:G29)</f>
        <v>86</v>
      </c>
      <c r="J29" s="160">
        <f t="shared" si="3"/>
        <v>4.6892039258451472E-2</v>
      </c>
      <c r="K29" s="14"/>
      <c r="M29" s="1"/>
    </row>
    <row r="30" spans="1:16" ht="25" customHeight="1" x14ac:dyDescent="0.45">
      <c r="A30" s="4"/>
      <c r="B30" s="13"/>
      <c r="C30" s="167">
        <v>27</v>
      </c>
      <c r="D30" s="176">
        <f t="shared" si="1"/>
        <v>67</v>
      </c>
      <c r="E30" s="176">
        <f t="shared" si="0"/>
        <v>2</v>
      </c>
      <c r="F30" s="156">
        <f t="shared" si="4"/>
        <v>95</v>
      </c>
      <c r="G30" s="157">
        <f>IF(D30=D29,"",_xlfn.IFNA(VLOOKUP(D30,'202306'!$DH$5:$DK$55,4,FALSE),0))</f>
        <v>20</v>
      </c>
      <c r="H30" s="158">
        <f t="shared" si="2"/>
        <v>1.0905125408942203E-2</v>
      </c>
      <c r="I30" s="165">
        <f>SUM($G$7:G30)</f>
        <v>106</v>
      </c>
      <c r="J30" s="160">
        <f t="shared" si="3"/>
        <v>5.7797164667393673E-2</v>
      </c>
      <c r="K30" s="14"/>
      <c r="M30" s="1"/>
    </row>
    <row r="31" spans="1:16" ht="25" customHeight="1" x14ac:dyDescent="0.45">
      <c r="A31" s="4"/>
      <c r="B31" s="13"/>
      <c r="C31" s="166">
        <v>26</v>
      </c>
      <c r="D31" s="176">
        <f t="shared" si="1"/>
        <v>66</v>
      </c>
      <c r="E31" s="176">
        <f t="shared" si="0"/>
        <v>2</v>
      </c>
      <c r="F31" s="156">
        <f t="shared" si="4"/>
        <v>94</v>
      </c>
      <c r="G31" s="157">
        <f>IF(D31=D30,"",_xlfn.IFNA(VLOOKUP(D31,'202306'!$DH$5:$DK$55,4,FALSE),0))</f>
        <v>16</v>
      </c>
      <c r="H31" s="158">
        <f t="shared" si="2"/>
        <v>8.7241003271537627E-3</v>
      </c>
      <c r="I31" s="165">
        <f>SUM($G$7:G31)</f>
        <v>122</v>
      </c>
      <c r="J31" s="160">
        <f t="shared" si="3"/>
        <v>6.6521264994547441E-2</v>
      </c>
      <c r="K31" s="14"/>
      <c r="M31" s="1"/>
    </row>
    <row r="32" spans="1:16" ht="25" customHeight="1" x14ac:dyDescent="0.45">
      <c r="A32" s="4"/>
      <c r="B32" s="13"/>
      <c r="C32" s="167">
        <v>25</v>
      </c>
      <c r="D32" s="176">
        <f t="shared" si="1"/>
        <v>64</v>
      </c>
      <c r="E32" s="176">
        <f t="shared" si="0"/>
        <v>2</v>
      </c>
      <c r="F32" s="156">
        <f t="shared" si="4"/>
        <v>93</v>
      </c>
      <c r="G32" s="157">
        <f>IF(D32=D31,"",_xlfn.IFNA(VLOOKUP(D32,'202306'!$DH$5:$DK$55,4,FALSE),0))</f>
        <v>27</v>
      </c>
      <c r="H32" s="158">
        <f t="shared" si="2"/>
        <v>1.4721919302071973E-2</v>
      </c>
      <c r="I32" s="165">
        <f>SUM($G$7:G32)</f>
        <v>149</v>
      </c>
      <c r="J32" s="160">
        <f t="shared" si="3"/>
        <v>8.1243184296619406E-2</v>
      </c>
      <c r="K32" s="14"/>
      <c r="M32" s="1"/>
    </row>
    <row r="33" spans="1:13" ht="25" customHeight="1" x14ac:dyDescent="0.45">
      <c r="A33" s="4"/>
      <c r="B33" s="13"/>
      <c r="C33" s="166">
        <v>24</v>
      </c>
      <c r="D33" s="176">
        <f t="shared" si="1"/>
        <v>63</v>
      </c>
      <c r="E33" s="176">
        <f t="shared" si="0"/>
        <v>2</v>
      </c>
      <c r="F33" s="156">
        <f t="shared" si="4"/>
        <v>91</v>
      </c>
      <c r="G33" s="157">
        <f>IF(D33=D32,"",_xlfn.IFNA(VLOOKUP(D33,'202306'!$DH$5:$DK$55,4,FALSE),0))</f>
        <v>33</v>
      </c>
      <c r="H33" s="158">
        <f t="shared" si="2"/>
        <v>1.7993456924754635E-2</v>
      </c>
      <c r="I33" s="165">
        <f>SUM($G$7:G33)</f>
        <v>182</v>
      </c>
      <c r="J33" s="160">
        <f t="shared" si="3"/>
        <v>9.9236641221374045E-2</v>
      </c>
      <c r="K33" s="14"/>
      <c r="M33" s="1"/>
    </row>
    <row r="34" spans="1:13" ht="25" customHeight="1" x14ac:dyDescent="0.45">
      <c r="A34" s="4"/>
      <c r="B34" s="13"/>
      <c r="C34" s="167">
        <v>23</v>
      </c>
      <c r="D34" s="176">
        <f t="shared" si="1"/>
        <v>62</v>
      </c>
      <c r="E34" s="176">
        <f t="shared" si="0"/>
        <v>2</v>
      </c>
      <c r="F34" s="156">
        <f t="shared" si="4"/>
        <v>89</v>
      </c>
      <c r="G34" s="157">
        <f>IF(D34=D33,"",_xlfn.IFNA(VLOOKUP(D34,'202306'!$DH$5:$DK$55,4,FALSE),0))</f>
        <v>38</v>
      </c>
      <c r="H34" s="158">
        <f t="shared" si="2"/>
        <v>2.0719738276990186E-2</v>
      </c>
      <c r="I34" s="165">
        <f>SUM($G$7:G34)</f>
        <v>220</v>
      </c>
      <c r="J34" s="160">
        <f t="shared" si="3"/>
        <v>0.11995637949836423</v>
      </c>
      <c r="K34" s="14"/>
      <c r="M34" s="1"/>
    </row>
    <row r="35" spans="1:13" ht="25" customHeight="1" x14ac:dyDescent="0.45">
      <c r="A35" s="4"/>
      <c r="B35" s="13"/>
      <c r="C35" s="166">
        <v>22</v>
      </c>
      <c r="D35" s="176">
        <f t="shared" si="1"/>
        <v>60</v>
      </c>
      <c r="E35" s="176">
        <f t="shared" si="0"/>
        <v>3</v>
      </c>
      <c r="F35" s="156">
        <f t="shared" si="4"/>
        <v>87</v>
      </c>
      <c r="G35" s="157">
        <f>IF(D35=D34,"",_xlfn.IFNA(VLOOKUP(D35,'202306'!$DH$5:$DK$55,4,FALSE),0))</f>
        <v>32</v>
      </c>
      <c r="H35" s="158">
        <f t="shared" si="2"/>
        <v>1.7448200654307525E-2</v>
      </c>
      <c r="I35" s="165">
        <f>SUM($G$7:G35)</f>
        <v>252</v>
      </c>
      <c r="J35" s="160">
        <f t="shared" si="3"/>
        <v>0.13740458015267176</v>
      </c>
      <c r="K35" s="14"/>
      <c r="M35" s="1"/>
    </row>
    <row r="36" spans="1:13" ht="25" customHeight="1" x14ac:dyDescent="0.45">
      <c r="A36" s="4"/>
      <c r="B36" s="13"/>
      <c r="C36" s="167">
        <v>21</v>
      </c>
      <c r="D36" s="176">
        <f t="shared" si="1"/>
        <v>59</v>
      </c>
      <c r="E36" s="176">
        <f t="shared" si="0"/>
        <v>3</v>
      </c>
      <c r="F36" s="156">
        <f t="shared" si="4"/>
        <v>85</v>
      </c>
      <c r="G36" s="157">
        <f>IF(D36=D35,"",_xlfn.IFNA(VLOOKUP(D36,'202306'!$DH$5:$DK$55,4,FALSE),0))</f>
        <v>49</v>
      </c>
      <c r="H36" s="158">
        <f t="shared" si="2"/>
        <v>2.6717557251908396E-2</v>
      </c>
      <c r="I36" s="165">
        <f>SUM($G$7:G36)</f>
        <v>301</v>
      </c>
      <c r="J36" s="160">
        <f t="shared" si="3"/>
        <v>0.16412213740458015</v>
      </c>
      <c r="K36" s="14"/>
      <c r="M36" s="1"/>
    </row>
    <row r="37" spans="1:13" ht="25" customHeight="1" x14ac:dyDescent="0.45">
      <c r="A37" s="4"/>
      <c r="B37" s="13"/>
      <c r="C37" s="166">
        <v>20</v>
      </c>
      <c r="D37" s="176">
        <f t="shared" si="1"/>
        <v>57</v>
      </c>
      <c r="E37" s="176">
        <f t="shared" si="0"/>
        <v>3</v>
      </c>
      <c r="F37" s="156">
        <f t="shared" si="4"/>
        <v>82</v>
      </c>
      <c r="G37" s="157">
        <f>IF(D37=D36,"",_xlfn.IFNA(VLOOKUP(D37,'202306'!$DH$5:$DK$55,4,FALSE),0))</f>
        <v>62</v>
      </c>
      <c r="H37" s="158">
        <f t="shared" si="2"/>
        <v>3.3805888767720831E-2</v>
      </c>
      <c r="I37" s="165">
        <f>SUM($G$7:G37)</f>
        <v>363</v>
      </c>
      <c r="J37" s="160">
        <f t="shared" si="3"/>
        <v>0.19792802617230099</v>
      </c>
      <c r="K37" s="14"/>
      <c r="M37" s="1"/>
    </row>
    <row r="38" spans="1:13" ht="25" customHeight="1" x14ac:dyDescent="0.45">
      <c r="A38" s="4"/>
      <c r="B38" s="13"/>
      <c r="C38" s="167">
        <v>19</v>
      </c>
      <c r="D38" s="176">
        <f t="shared" si="1"/>
        <v>56</v>
      </c>
      <c r="E38" s="176">
        <f t="shared" si="0"/>
        <v>3</v>
      </c>
      <c r="F38" s="156">
        <f t="shared" si="4"/>
        <v>78</v>
      </c>
      <c r="G38" s="157">
        <f>IF(D38=D37,"",_xlfn.IFNA(VLOOKUP(D38,'202306'!$DH$5:$DK$55,4,FALSE),0))</f>
        <v>73</v>
      </c>
      <c r="H38" s="158">
        <f t="shared" si="2"/>
        <v>3.9803707742639041E-2</v>
      </c>
      <c r="I38" s="165">
        <f>SUM($G$7:G38)</f>
        <v>436</v>
      </c>
      <c r="J38" s="160">
        <f t="shared" si="3"/>
        <v>0.23773173391494001</v>
      </c>
      <c r="K38" s="14"/>
      <c r="M38" s="1"/>
    </row>
    <row r="39" spans="1:13" ht="25" customHeight="1" x14ac:dyDescent="0.45">
      <c r="A39" s="4"/>
      <c r="B39" s="13"/>
      <c r="C39" s="166">
        <v>18</v>
      </c>
      <c r="D39" s="176">
        <f t="shared" si="1"/>
        <v>55</v>
      </c>
      <c r="E39" s="176">
        <f t="shared" si="0"/>
        <v>4</v>
      </c>
      <c r="F39" s="156">
        <f t="shared" si="4"/>
        <v>74</v>
      </c>
      <c r="G39" s="157">
        <f>IF(D39=D38,"",_xlfn.IFNA(VLOOKUP(D39,'202306'!$DH$5:$DK$55,4,FALSE),0))</f>
        <v>85</v>
      </c>
      <c r="H39" s="158">
        <f t="shared" si="2"/>
        <v>4.6346782988004362E-2</v>
      </c>
      <c r="I39" s="165">
        <f>SUM($G$7:G39)</f>
        <v>521</v>
      </c>
      <c r="J39" s="160">
        <f t="shared" si="3"/>
        <v>0.28407851690294439</v>
      </c>
      <c r="K39" s="14"/>
      <c r="M39" s="1"/>
    </row>
    <row r="40" spans="1:13" ht="25" customHeight="1" x14ac:dyDescent="0.45">
      <c r="A40" s="4"/>
      <c r="B40" s="13"/>
      <c r="C40" s="167">
        <v>17</v>
      </c>
      <c r="D40" s="176">
        <f t="shared" si="1"/>
        <v>53</v>
      </c>
      <c r="E40" s="176">
        <f t="shared" si="0"/>
        <v>4</v>
      </c>
      <c r="F40" s="156">
        <f t="shared" si="4"/>
        <v>69</v>
      </c>
      <c r="G40" s="157">
        <f>IF(D40=D39,"",_xlfn.IFNA(VLOOKUP(D40,'202306'!$DH$5:$DK$55,4,FALSE),0))</f>
        <v>88</v>
      </c>
      <c r="H40" s="158">
        <f t="shared" si="2"/>
        <v>4.7982551799345692E-2</v>
      </c>
      <c r="I40" s="165">
        <f>SUM($G$7:G40)</f>
        <v>609</v>
      </c>
      <c r="J40" s="160">
        <f t="shared" si="3"/>
        <v>0.33206106870229007</v>
      </c>
      <c r="K40" s="14"/>
      <c r="M40" s="1"/>
    </row>
    <row r="41" spans="1:13" ht="25" customHeight="1" x14ac:dyDescent="0.45">
      <c r="A41" s="4"/>
      <c r="B41" s="13"/>
      <c r="C41" s="166">
        <v>16</v>
      </c>
      <c r="D41" s="176">
        <f t="shared" si="1"/>
        <v>52</v>
      </c>
      <c r="E41" s="176">
        <f t="shared" si="0"/>
        <v>4</v>
      </c>
      <c r="F41" s="156">
        <f t="shared" si="4"/>
        <v>64</v>
      </c>
      <c r="G41" s="157">
        <f>IF(D41=D40,"",_xlfn.IFNA(VLOOKUP(D41,'202306'!$DH$5:$DK$55,4,FALSE),0))</f>
        <v>85</v>
      </c>
      <c r="H41" s="158">
        <f t="shared" si="2"/>
        <v>4.6346782988004362E-2</v>
      </c>
      <c r="I41" s="165">
        <f>SUM($G$7:G41)</f>
        <v>694</v>
      </c>
      <c r="J41" s="160">
        <f t="shared" si="3"/>
        <v>0.37840785169029445</v>
      </c>
      <c r="K41" s="14"/>
      <c r="M41" s="1"/>
    </row>
    <row r="42" spans="1:13" ht="25" customHeight="1" x14ac:dyDescent="0.45">
      <c r="A42" s="4"/>
      <c r="B42" s="13"/>
      <c r="C42" s="167">
        <v>15</v>
      </c>
      <c r="D42" s="176">
        <f t="shared" si="1"/>
        <v>51</v>
      </c>
      <c r="E42" s="176">
        <f t="shared" si="0"/>
        <v>4</v>
      </c>
      <c r="F42" s="156">
        <f t="shared" si="4"/>
        <v>59</v>
      </c>
      <c r="G42" s="157">
        <f>IF(D42=D41,"",_xlfn.IFNA(VLOOKUP(D42,'202306'!$DH$5:$DK$55,4,FALSE),0))</f>
        <v>107</v>
      </c>
      <c r="H42" s="158">
        <f t="shared" si="2"/>
        <v>5.8342420937840783E-2</v>
      </c>
      <c r="I42" s="165">
        <f>SUM($G$7:G42)</f>
        <v>801</v>
      </c>
      <c r="J42" s="160">
        <f t="shared" si="3"/>
        <v>0.43675027262813521</v>
      </c>
      <c r="K42" s="14"/>
      <c r="M42" s="1"/>
    </row>
    <row r="43" spans="1:13" ht="25" customHeight="1" x14ac:dyDescent="0.45">
      <c r="A43" s="4"/>
      <c r="B43" s="13"/>
      <c r="C43" s="166">
        <v>14</v>
      </c>
      <c r="D43" s="176">
        <f t="shared" si="1"/>
        <v>49</v>
      </c>
      <c r="E43" s="176">
        <f t="shared" si="0"/>
        <v>5</v>
      </c>
      <c r="F43" s="156">
        <f t="shared" si="4"/>
        <v>54</v>
      </c>
      <c r="G43" s="157">
        <f>IF(D43=D42,"",_xlfn.IFNA(VLOOKUP(D43,'202306'!$DH$5:$DK$55,4,FALSE),0))</f>
        <v>99</v>
      </c>
      <c r="H43" s="158">
        <f t="shared" si="2"/>
        <v>5.3980370774263903E-2</v>
      </c>
      <c r="I43" s="165">
        <f>SUM($G$7:G43)</f>
        <v>900</v>
      </c>
      <c r="J43" s="160">
        <f t="shared" si="3"/>
        <v>0.49073064340239914</v>
      </c>
      <c r="K43" s="14"/>
      <c r="M43" s="1"/>
    </row>
    <row r="44" spans="1:13" ht="25" customHeight="1" x14ac:dyDescent="0.45">
      <c r="A44" s="4"/>
      <c r="B44" s="13"/>
      <c r="C44" s="167">
        <v>13</v>
      </c>
      <c r="D44" s="176">
        <f t="shared" si="1"/>
        <v>48</v>
      </c>
      <c r="E44" s="176">
        <f t="shared" si="0"/>
        <v>5</v>
      </c>
      <c r="F44" s="156">
        <f t="shared" si="4"/>
        <v>48</v>
      </c>
      <c r="G44" s="157">
        <f>IF(D44=D43,"",_xlfn.IFNA(VLOOKUP(D44,'202306'!$DH$5:$DK$55,4,FALSE),0))</f>
        <v>95</v>
      </c>
      <c r="H44" s="158">
        <f t="shared" si="2"/>
        <v>5.1799345692475462E-2</v>
      </c>
      <c r="I44" s="165">
        <f>SUM($G$7:G44)</f>
        <v>995</v>
      </c>
      <c r="J44" s="160">
        <f t="shared" si="3"/>
        <v>0.5425299890948746</v>
      </c>
      <c r="K44" s="14"/>
      <c r="M44" s="1"/>
    </row>
    <row r="45" spans="1:13" ht="25" customHeight="1" x14ac:dyDescent="0.45">
      <c r="A45" s="4"/>
      <c r="B45" s="13"/>
      <c r="C45" s="166">
        <v>12</v>
      </c>
      <c r="D45" s="176">
        <f t="shared" si="1"/>
        <v>46</v>
      </c>
      <c r="E45" s="176">
        <f t="shared" si="0"/>
        <v>5</v>
      </c>
      <c r="F45" s="156">
        <f t="shared" si="4"/>
        <v>39</v>
      </c>
      <c r="G45" s="157">
        <f>IF(D45=D44,"",_xlfn.IFNA(VLOOKUP(D45,'202306'!$DH$5:$DK$55,4,FALSE),0))</f>
        <v>232</v>
      </c>
      <c r="H45" s="158">
        <f t="shared" si="2"/>
        <v>0.12649945474372956</v>
      </c>
      <c r="I45" s="165">
        <f>SUM($G$7:G45)</f>
        <v>1227</v>
      </c>
      <c r="J45" s="160">
        <f t="shared" si="3"/>
        <v>0.66902944383860419</v>
      </c>
      <c r="K45" s="14"/>
      <c r="M45" s="1"/>
    </row>
    <row r="46" spans="1:13" ht="25" customHeight="1" x14ac:dyDescent="0.45">
      <c r="A46" s="4"/>
      <c r="B46" s="13"/>
      <c r="C46" s="167">
        <v>11</v>
      </c>
      <c r="D46" s="176">
        <f t="shared" si="1"/>
        <v>45</v>
      </c>
      <c r="E46" s="176">
        <f t="shared" si="0"/>
        <v>6</v>
      </c>
      <c r="F46" s="156">
        <f t="shared" si="4"/>
        <v>31</v>
      </c>
      <c r="G46" s="157">
        <f>IF(D46=D45,"",_xlfn.IFNA(VLOOKUP(D46,'202306'!$DH$5:$DK$55,4,FALSE),0))</f>
        <v>81</v>
      </c>
      <c r="H46" s="158">
        <f t="shared" si="2"/>
        <v>4.4165757906215922E-2</v>
      </c>
      <c r="I46" s="165">
        <f>SUM($G$7:G46)</f>
        <v>1308</v>
      </c>
      <c r="J46" s="160">
        <f t="shared" si="3"/>
        <v>0.7131952017448201</v>
      </c>
      <c r="K46" s="14"/>
      <c r="M46" s="1"/>
    </row>
    <row r="47" spans="1:13" ht="25" customHeight="1" x14ac:dyDescent="0.45">
      <c r="A47" s="4"/>
      <c r="B47" s="13"/>
      <c r="C47" s="166">
        <v>10</v>
      </c>
      <c r="D47" s="176">
        <f t="shared" si="1"/>
        <v>44</v>
      </c>
      <c r="E47" s="176">
        <f t="shared" si="0"/>
        <v>6</v>
      </c>
      <c r="F47" s="156">
        <f t="shared" si="4"/>
        <v>26</v>
      </c>
      <c r="G47" s="157">
        <f>IF(D47=D46,"",_xlfn.IFNA(VLOOKUP(D47,'202306'!$DH$5:$DK$55,4,FALSE),0))</f>
        <v>91</v>
      </c>
      <c r="H47" s="158">
        <f t="shared" si="2"/>
        <v>4.9618320610687022E-2</v>
      </c>
      <c r="I47" s="165">
        <f>SUM($G$7:G47)</f>
        <v>1399</v>
      </c>
      <c r="J47" s="160">
        <f t="shared" si="3"/>
        <v>0.76281352235550703</v>
      </c>
      <c r="K47" s="14"/>
      <c r="M47" s="1"/>
    </row>
    <row r="48" spans="1:13" ht="25" customHeight="1" x14ac:dyDescent="0.45">
      <c r="A48" s="4"/>
      <c r="B48" s="13"/>
      <c r="C48" s="167">
        <v>9</v>
      </c>
      <c r="D48" s="176">
        <f t="shared" si="1"/>
        <v>42</v>
      </c>
      <c r="E48" s="176">
        <f t="shared" si="0"/>
        <v>6</v>
      </c>
      <c r="F48" s="156">
        <f t="shared" si="4"/>
        <v>21</v>
      </c>
      <c r="G48" s="157">
        <f>IF(D48=D47,"",_xlfn.IFNA(VLOOKUP(D48,'202306'!$DH$5:$DK$55,4,FALSE),0))</f>
        <v>110</v>
      </c>
      <c r="H48" s="158">
        <f t="shared" si="2"/>
        <v>5.9978189749182113E-2</v>
      </c>
      <c r="I48" s="165">
        <f>SUM($G$7:G48)</f>
        <v>1509</v>
      </c>
      <c r="J48" s="160">
        <f t="shared" si="3"/>
        <v>0.82279171210468915</v>
      </c>
      <c r="K48" s="14"/>
      <c r="M48" s="1"/>
    </row>
    <row r="49" spans="1:13" ht="25" customHeight="1" x14ac:dyDescent="0.45">
      <c r="A49" s="4"/>
      <c r="B49" s="13"/>
      <c r="C49" s="166">
        <v>8</v>
      </c>
      <c r="D49" s="176">
        <f t="shared" si="1"/>
        <v>41</v>
      </c>
      <c r="E49" s="176">
        <f t="shared" si="0"/>
        <v>7</v>
      </c>
      <c r="F49" s="156">
        <f t="shared" si="4"/>
        <v>15</v>
      </c>
      <c r="G49" s="157">
        <f>IF(D49=D48,"",_xlfn.IFNA(VLOOKUP(D49,'202306'!$DH$5:$DK$55,4,FALSE),0))</f>
        <v>100</v>
      </c>
      <c r="H49" s="158">
        <f t="shared" si="2"/>
        <v>5.4525627044711013E-2</v>
      </c>
      <c r="I49" s="165">
        <f>SUM($G$7:G49)</f>
        <v>1609</v>
      </c>
      <c r="J49" s="160">
        <f t="shared" si="3"/>
        <v>0.87731733914940024</v>
      </c>
      <c r="K49" s="14"/>
      <c r="M49" s="1"/>
    </row>
    <row r="50" spans="1:13" ht="25" customHeight="1" x14ac:dyDescent="0.45">
      <c r="A50" s="4"/>
      <c r="B50" s="13"/>
      <c r="C50" s="167">
        <v>7</v>
      </c>
      <c r="D50" s="176">
        <f t="shared" si="1"/>
        <v>39</v>
      </c>
      <c r="E50" s="176">
        <f t="shared" si="0"/>
        <v>7</v>
      </c>
      <c r="F50" s="156">
        <f t="shared" si="4"/>
        <v>11</v>
      </c>
      <c r="G50" s="157">
        <f>IF(D50=D49,"",_xlfn.IFNA(VLOOKUP(D50,'202306'!$DH$5:$DK$55,4,FALSE),0))</f>
        <v>59</v>
      </c>
      <c r="H50" s="158">
        <f t="shared" si="2"/>
        <v>3.21701199563795E-2</v>
      </c>
      <c r="I50" s="165">
        <f>SUM($G$7:G50)</f>
        <v>1668</v>
      </c>
      <c r="J50" s="160">
        <f t="shared" si="3"/>
        <v>0.90948745910577977</v>
      </c>
      <c r="K50" s="14"/>
      <c r="M50" s="1"/>
    </row>
    <row r="51" spans="1:13" ht="25" customHeight="1" x14ac:dyDescent="0.45">
      <c r="A51" s="4"/>
      <c r="B51" s="13"/>
      <c r="C51" s="166">
        <v>6</v>
      </c>
      <c r="D51" s="176">
        <f t="shared" si="1"/>
        <v>38</v>
      </c>
      <c r="E51" s="176">
        <f t="shared" si="0"/>
        <v>8</v>
      </c>
      <c r="F51" s="156">
        <f t="shared" si="4"/>
        <v>7</v>
      </c>
      <c r="G51" s="157">
        <f>IF(D51=D50,"",_xlfn.IFNA(VLOOKUP(D51,'202306'!$DH$5:$DK$55,4,FALSE),0))</f>
        <v>67</v>
      </c>
      <c r="H51" s="158">
        <f t="shared" si="2"/>
        <v>3.6532170119956381E-2</v>
      </c>
      <c r="I51" s="165">
        <f>SUM($G$7:G51)</f>
        <v>1735</v>
      </c>
      <c r="J51" s="160">
        <f t="shared" si="3"/>
        <v>0.94601962922573613</v>
      </c>
      <c r="K51" s="14"/>
      <c r="M51" s="1"/>
    </row>
    <row r="52" spans="1:13" ht="25" customHeight="1" x14ac:dyDescent="0.45">
      <c r="A52" s="4"/>
      <c r="B52" s="13"/>
      <c r="C52" s="167">
        <v>5</v>
      </c>
      <c r="D52" s="176">
        <f t="shared" si="1"/>
        <v>37</v>
      </c>
      <c r="E52" s="176">
        <f t="shared" si="0"/>
        <v>8</v>
      </c>
      <c r="F52" s="156">
        <f t="shared" si="4"/>
        <v>4</v>
      </c>
      <c r="G52" s="157">
        <f>IF(D52=D51,"",_xlfn.IFNA(VLOOKUP(D52,'202306'!$DH$5:$DK$55,4,FALSE),0))</f>
        <v>41</v>
      </c>
      <c r="H52" s="158">
        <f t="shared" si="2"/>
        <v>2.2355507088331516E-2</v>
      </c>
      <c r="I52" s="165">
        <f>SUM($G$7:G52)</f>
        <v>1776</v>
      </c>
      <c r="J52" s="160">
        <f t="shared" si="3"/>
        <v>0.96837513631406757</v>
      </c>
      <c r="K52" s="14"/>
      <c r="M52" s="1"/>
    </row>
    <row r="53" spans="1:13" ht="25" customHeight="1" x14ac:dyDescent="0.45">
      <c r="A53" s="4"/>
      <c r="B53" s="13"/>
      <c r="C53" s="154">
        <v>4</v>
      </c>
      <c r="D53" s="155">
        <f t="shared" si="1"/>
        <v>35</v>
      </c>
      <c r="E53" s="155">
        <f t="shared" si="0"/>
        <v>9</v>
      </c>
      <c r="F53" s="156">
        <f t="shared" si="4"/>
        <v>3</v>
      </c>
      <c r="G53" s="157">
        <f>IF(D53=D52,"",_xlfn.IFNA(VLOOKUP(D53,'202306'!$DH$5:$DK$55,4,FALSE),0))</f>
        <v>19</v>
      </c>
      <c r="H53" s="158">
        <f t="shared" si="2"/>
        <v>1.0359869138495093E-2</v>
      </c>
      <c r="I53" s="165">
        <f>SUM($G$7:G53)</f>
        <v>1795</v>
      </c>
      <c r="J53" s="160">
        <f t="shared" si="3"/>
        <v>0.97873500545256276</v>
      </c>
      <c r="K53" s="14"/>
      <c r="M53" s="1"/>
    </row>
    <row r="54" spans="1:13" ht="25" customHeight="1" x14ac:dyDescent="0.45">
      <c r="A54" s="4"/>
      <c r="B54" s="13"/>
      <c r="C54" s="161">
        <v>3</v>
      </c>
      <c r="D54" s="155">
        <f t="shared" si="1"/>
        <v>34</v>
      </c>
      <c r="E54" s="155">
        <f t="shared" si="0"/>
        <v>9</v>
      </c>
      <c r="F54" s="156">
        <f t="shared" si="4"/>
        <v>2</v>
      </c>
      <c r="G54" s="157">
        <f>IF(D54=D53,"",_xlfn.IFNA(VLOOKUP(D54,'202306'!$DH$5:$DK$55,4,FALSE),0))</f>
        <v>21</v>
      </c>
      <c r="H54" s="158">
        <f t="shared" si="2"/>
        <v>1.1450381679389313E-2</v>
      </c>
      <c r="I54" s="165">
        <f>SUM($G$7:G54)</f>
        <v>1816</v>
      </c>
      <c r="J54" s="160">
        <f t="shared" si="3"/>
        <v>0.99018538713195203</v>
      </c>
      <c r="K54" s="14"/>
      <c r="M54" s="1"/>
    </row>
    <row r="55" spans="1:13" ht="25" customHeight="1" x14ac:dyDescent="0.45">
      <c r="A55" s="4"/>
      <c r="B55" s="13"/>
      <c r="C55" s="154">
        <v>2</v>
      </c>
      <c r="D55" s="155">
        <f t="shared" si="1"/>
        <v>32</v>
      </c>
      <c r="E55" s="155">
        <f t="shared" si="0"/>
        <v>9</v>
      </c>
      <c r="F55" s="156">
        <f t="shared" si="4"/>
        <v>1</v>
      </c>
      <c r="G55" s="157">
        <f>IF(D55=D54,"",_xlfn.IFNA(VLOOKUP(D55,'202306'!$DH$5:$DK$55,4,FALSE),0))</f>
        <v>13</v>
      </c>
      <c r="H55" s="158">
        <f t="shared" si="2"/>
        <v>7.0883315158124316E-3</v>
      </c>
      <c r="I55" s="165">
        <f>SUM($G$7:G55)</f>
        <v>1829</v>
      </c>
      <c r="J55" s="160">
        <f t="shared" si="3"/>
        <v>0.99727371864776448</v>
      </c>
      <c r="K55" s="14"/>
      <c r="M55" s="1"/>
    </row>
    <row r="56" spans="1:13" ht="25" customHeight="1" x14ac:dyDescent="0.45">
      <c r="A56" s="4"/>
      <c r="B56" s="13"/>
      <c r="C56" s="161">
        <v>1</v>
      </c>
      <c r="D56" s="304" t="s">
        <v>21</v>
      </c>
      <c r="E56" s="305"/>
      <c r="F56" s="305"/>
      <c r="G56" s="305"/>
      <c r="H56" s="305"/>
      <c r="I56" s="305"/>
      <c r="J56" s="306"/>
      <c r="K56" s="14"/>
      <c r="M56" s="1"/>
    </row>
    <row r="57" spans="1:13" ht="25" customHeight="1" thickBot="1" x14ac:dyDescent="0.5">
      <c r="A57" s="4"/>
      <c r="B57" s="13"/>
      <c r="C57" s="168">
        <v>0</v>
      </c>
      <c r="D57" s="169">
        <f>ROUND(10*(C57-$H$3)/$H$4+50,0)</f>
        <v>30</v>
      </c>
      <c r="E57" s="170">
        <f t="shared" si="0"/>
        <v>9</v>
      </c>
      <c r="F57" s="171">
        <f>IF(I55=0,ROUND(100*(1-(I54+I57)/2/$J$3),0),ROUND(100*(1-(I55+I57)/2/$J$3),0))</f>
        <v>0</v>
      </c>
      <c r="G57" s="172">
        <f>_xlfn.IFNA(VLOOKUP(D57,'202306'!$DH$5:$DK$55,4,FALSE),0)</f>
        <v>5</v>
      </c>
      <c r="H57" s="173">
        <f>G57/J3</f>
        <v>2.7262813522355507E-3</v>
      </c>
      <c r="I57" s="174">
        <f>SUM($G$7:G57)</f>
        <v>1834</v>
      </c>
      <c r="J57" s="175">
        <f>I57/J3</f>
        <v>1</v>
      </c>
      <c r="K57" s="14"/>
      <c r="M57" s="1"/>
    </row>
    <row r="58" spans="1:13" ht="6" customHeight="1" x14ac:dyDescent="0.45">
      <c r="A58" s="4"/>
      <c r="B58" s="16"/>
      <c r="C58" s="17"/>
      <c r="D58" s="17"/>
      <c r="E58" s="17"/>
      <c r="F58" s="17"/>
      <c r="G58" s="17"/>
      <c r="H58" s="17"/>
      <c r="I58" s="17"/>
      <c r="J58" s="17"/>
      <c r="K58" s="18"/>
      <c r="M58" s="1"/>
    </row>
    <row r="59" spans="1:13" x14ac:dyDescent="0.45">
      <c r="M59" s="1"/>
    </row>
    <row r="60" spans="1:13" x14ac:dyDescent="0.45">
      <c r="M60" s="1"/>
    </row>
    <row r="61" spans="1:13" x14ac:dyDescent="0.45">
      <c r="M61" s="1"/>
    </row>
    <row r="62" spans="1:13" x14ac:dyDescent="0.45">
      <c r="M62" s="1"/>
    </row>
    <row r="63" spans="1:13" x14ac:dyDescent="0.45">
      <c r="M63" s="1"/>
    </row>
    <row r="64" spans="1:13" x14ac:dyDescent="0.45">
      <c r="M64" s="1"/>
    </row>
    <row r="65" spans="13:13" x14ac:dyDescent="0.45">
      <c r="M65" s="1"/>
    </row>
    <row r="66" spans="13:13" x14ac:dyDescent="0.45">
      <c r="M66" s="1"/>
    </row>
    <row r="67" spans="13:13" x14ac:dyDescent="0.45">
      <c r="M67" s="1"/>
    </row>
    <row r="68" spans="13:13" x14ac:dyDescent="0.45">
      <c r="M68" s="1"/>
    </row>
    <row r="69" spans="13:13" x14ac:dyDescent="0.45">
      <c r="M69" s="1"/>
    </row>
    <row r="70" spans="13:13" x14ac:dyDescent="0.45">
      <c r="M70" s="1"/>
    </row>
    <row r="71" spans="13:13" x14ac:dyDescent="0.45">
      <c r="M71" s="1"/>
    </row>
    <row r="72" spans="13:13" x14ac:dyDescent="0.45">
      <c r="M72" s="1"/>
    </row>
    <row r="73" spans="13:13" x14ac:dyDescent="0.45">
      <c r="M73" s="1"/>
    </row>
    <row r="74" spans="13:13" x14ac:dyDescent="0.45">
      <c r="M74" s="1"/>
    </row>
    <row r="75" spans="13:13" x14ac:dyDescent="0.45">
      <c r="M75" s="1"/>
    </row>
    <row r="76" spans="13:13" x14ac:dyDescent="0.45">
      <c r="M76" s="1"/>
    </row>
    <row r="77" spans="13:13" x14ac:dyDescent="0.45">
      <c r="M77" s="1"/>
    </row>
    <row r="78" spans="13:13" x14ac:dyDescent="0.45">
      <c r="M78" s="1"/>
    </row>
    <row r="79" spans="13:13" x14ac:dyDescent="0.45">
      <c r="M79" s="1"/>
    </row>
    <row r="80" spans="13:13" x14ac:dyDescent="0.45">
      <c r="M80" s="1"/>
    </row>
    <row r="81" spans="13:13" x14ac:dyDescent="0.45">
      <c r="M81" s="1"/>
    </row>
    <row r="82" spans="13:13" x14ac:dyDescent="0.45">
      <c r="M82" s="1"/>
    </row>
    <row r="83" spans="13:13" x14ac:dyDescent="0.45">
      <c r="M83" s="1"/>
    </row>
    <row r="84" spans="13:13" x14ac:dyDescent="0.45">
      <c r="M84" s="1"/>
    </row>
    <row r="85" spans="13:13" x14ac:dyDescent="0.45">
      <c r="M85" s="1"/>
    </row>
    <row r="86" spans="13:13" x14ac:dyDescent="0.45">
      <c r="M86" s="1"/>
    </row>
    <row r="87" spans="13:13" x14ac:dyDescent="0.45">
      <c r="M87" s="1"/>
    </row>
    <row r="88" spans="13:13" x14ac:dyDescent="0.45">
      <c r="M88" s="1"/>
    </row>
    <row r="89" spans="13:13" x14ac:dyDescent="0.45">
      <c r="M89" s="1"/>
    </row>
    <row r="90" spans="13:13" x14ac:dyDescent="0.45">
      <c r="M90" s="1"/>
    </row>
    <row r="91" spans="13:13" x14ac:dyDescent="0.45">
      <c r="M91" s="1"/>
    </row>
    <row r="92" spans="13:13" x14ac:dyDescent="0.45">
      <c r="M92" s="1"/>
    </row>
    <row r="93" spans="13:13" x14ac:dyDescent="0.45">
      <c r="M93" s="1"/>
    </row>
    <row r="94" spans="13:13" x14ac:dyDescent="0.45">
      <c r="M94" s="1"/>
    </row>
    <row r="95" spans="13:13" x14ac:dyDescent="0.45">
      <c r="M95" s="1"/>
    </row>
    <row r="96" spans="13:13" x14ac:dyDescent="0.45">
      <c r="M96" s="1"/>
    </row>
    <row r="97" spans="13:13" x14ac:dyDescent="0.45">
      <c r="M97" s="1"/>
    </row>
    <row r="98" spans="13:13" x14ac:dyDescent="0.45">
      <c r="M98" s="1"/>
    </row>
    <row r="99" spans="13:13" x14ac:dyDescent="0.45">
      <c r="M99" s="1"/>
    </row>
    <row r="100" spans="13:13" x14ac:dyDescent="0.45">
      <c r="M100" s="1"/>
    </row>
    <row r="101" spans="13:13" x14ac:dyDescent="0.45">
      <c r="M101" s="1"/>
    </row>
    <row r="102" spans="13:13" x14ac:dyDescent="0.45">
      <c r="M102" s="1"/>
    </row>
    <row r="103" spans="13:13" x14ac:dyDescent="0.45">
      <c r="M103" s="1"/>
    </row>
    <row r="104" spans="13:13" x14ac:dyDescent="0.45">
      <c r="M104" s="1"/>
    </row>
    <row r="105" spans="13:13" x14ac:dyDescent="0.45">
      <c r="M105" s="1"/>
    </row>
  </sheetData>
  <mergeCells count="4">
    <mergeCell ref="D3:F3"/>
    <mergeCell ref="D4:F4"/>
    <mergeCell ref="D8:J8"/>
    <mergeCell ref="D56:J56"/>
  </mergeCells>
  <phoneticPr fontId="1" type="noConversion"/>
  <conditionalFormatting sqref="D7:J7 D57:J57 D9:J55">
    <cfRule type="expression" dxfId="6" priority="7">
      <formula>OR($D7=$P$7:$P$14)</formula>
    </cfRule>
  </conditionalFormatting>
  <conditionalFormatting sqref="C7:C57">
    <cfRule type="expression" dxfId="5" priority="6">
      <formula>OR(AND($D7=0,OR($D6=$P$7:$P$14)),AND($D8&gt;0,OR($D7=$P$7:$P$14)))</formula>
    </cfRule>
  </conditionalFormatting>
  <conditionalFormatting sqref="D7 D57 D9:D55">
    <cfRule type="expression" dxfId="4" priority="5">
      <formula>$D7=$D8</formula>
    </cfRule>
  </conditionalFormatting>
  <conditionalFormatting sqref="D56">
    <cfRule type="expression" dxfId="3" priority="4">
      <formula>OR($D56=$P$7:$P$14)</formula>
    </cfRule>
  </conditionalFormatting>
  <conditionalFormatting sqref="D56">
    <cfRule type="expression" dxfId="2" priority="3">
      <formula>$D56=$D57</formula>
    </cfRule>
  </conditionalFormatting>
  <conditionalFormatting sqref="D8">
    <cfRule type="expression" dxfId="1" priority="2">
      <formula>OR($D8=$P$7:$P$14)</formula>
    </cfRule>
  </conditionalFormatting>
  <conditionalFormatting sqref="D8">
    <cfRule type="expression" dxfId="0" priority="1">
      <formula>$D8=$D9</formula>
    </cfRule>
  </conditionalFormatting>
  <pageMargins left="0.7" right="0.7" top="0.75" bottom="0.75" header="0.3" footer="0.3"/>
  <pageSetup paperSize="9" orientation="portrait" horizontalDpi="4294967293" verticalDpi="429496729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713EC-390C-4645-8A75-262ECDACF18A}">
  <sheetPr codeName="Sheet27">
    <tabColor rgb="FF00B050"/>
    <pageSetUpPr fitToPage="1"/>
  </sheetPr>
  <dimension ref="A1:N62"/>
  <sheetViews>
    <sheetView topLeftCell="A2" zoomScale="70" zoomScaleNormal="70" workbookViewId="0">
      <selection activeCell="D5" sqref="D5:G5"/>
    </sheetView>
  </sheetViews>
  <sheetFormatPr defaultRowHeight="14" x14ac:dyDescent="0.45"/>
  <cols>
    <col min="1" max="1" width="8.6640625" style="8"/>
    <col min="2" max="2" width="1" style="8" customWidth="1"/>
    <col min="3" max="3" width="11.4140625" style="9" customWidth="1"/>
    <col min="4" max="11" width="12.4140625" style="9" customWidth="1"/>
    <col min="12" max="12" width="12.4140625" style="8" customWidth="1"/>
    <col min="13" max="13" width="1" style="8" customWidth="1"/>
    <col min="14" max="16384" width="8.6640625" style="8"/>
  </cols>
  <sheetData>
    <row r="1" spans="1:13" x14ac:dyDescent="0.45">
      <c r="A1" s="8" t="s">
        <v>31</v>
      </c>
    </row>
    <row r="2" spans="1:13" x14ac:dyDescent="0.45">
      <c r="B2" s="6"/>
      <c r="C2" s="5"/>
      <c r="D2" s="5"/>
      <c r="E2" s="5"/>
      <c r="F2" s="5"/>
      <c r="G2" s="5"/>
      <c r="H2" s="5"/>
      <c r="I2" s="5"/>
      <c r="J2" s="5"/>
      <c r="K2" s="5"/>
    </row>
    <row r="3" spans="1:13" ht="6" customHeight="1" thickBot="1" x14ac:dyDescent="0.5">
      <c r="B3" s="20"/>
      <c r="C3" s="21"/>
      <c r="D3" s="21"/>
      <c r="E3" s="21"/>
      <c r="F3" s="21"/>
      <c r="G3" s="21"/>
      <c r="H3" s="21"/>
      <c r="I3" s="21"/>
      <c r="J3" s="21"/>
      <c r="K3" s="21"/>
      <c r="L3" s="26"/>
      <c r="M3" s="29"/>
    </row>
    <row r="4" spans="1:13" ht="25" customHeight="1" x14ac:dyDescent="0.45">
      <c r="B4" s="22"/>
      <c r="C4" s="143" t="s">
        <v>132</v>
      </c>
      <c r="D4" s="335" t="s">
        <v>133</v>
      </c>
      <c r="E4" s="335"/>
      <c r="F4" s="335"/>
      <c r="G4" s="336"/>
      <c r="H4" s="7"/>
      <c r="I4" s="7"/>
      <c r="J4" s="7"/>
      <c r="K4" s="7"/>
      <c r="L4" s="15"/>
      <c r="M4" s="27"/>
    </row>
    <row r="5" spans="1:13" ht="25" customHeight="1" thickBot="1" x14ac:dyDescent="0.5">
      <c r="B5" s="22"/>
      <c r="C5" s="146" t="s">
        <v>134</v>
      </c>
      <c r="D5" s="337" t="s">
        <v>135</v>
      </c>
      <c r="E5" s="338"/>
      <c r="F5" s="338"/>
      <c r="G5" s="339"/>
      <c r="H5" s="7"/>
      <c r="I5" s="7"/>
      <c r="J5" s="7"/>
      <c r="K5" s="7"/>
      <c r="L5" s="15"/>
      <c r="M5" s="27"/>
    </row>
    <row r="6" spans="1:13" ht="25" customHeight="1" x14ac:dyDescent="0.45">
      <c r="B6" s="22"/>
      <c r="C6" s="7"/>
      <c r="D6" s="7"/>
      <c r="E6" s="7"/>
      <c r="F6" s="7"/>
      <c r="G6" s="7"/>
      <c r="H6" s="7"/>
      <c r="I6" s="7"/>
      <c r="J6" s="7"/>
      <c r="K6" s="7"/>
      <c r="L6" s="15"/>
      <c r="M6" s="27"/>
    </row>
    <row r="7" spans="1:13" ht="25" customHeight="1" thickBot="1" x14ac:dyDescent="0.5">
      <c r="B7" s="22"/>
      <c r="C7" s="7"/>
      <c r="D7" s="7"/>
      <c r="E7" s="7"/>
      <c r="F7" s="7"/>
      <c r="G7" s="7"/>
      <c r="H7" s="7"/>
      <c r="I7" s="7"/>
      <c r="J7" s="7"/>
      <c r="K7" s="7"/>
      <c r="L7" s="15"/>
      <c r="M7" s="27"/>
    </row>
    <row r="8" spans="1:13" ht="25" customHeight="1" thickBot="1" x14ac:dyDescent="0.5">
      <c r="B8" s="22"/>
      <c r="C8" s="219" t="s">
        <v>136</v>
      </c>
      <c r="D8" s="220" t="s">
        <v>137</v>
      </c>
      <c r="E8" s="221" t="s">
        <v>138</v>
      </c>
      <c r="F8" s="221" t="s">
        <v>139</v>
      </c>
      <c r="G8" s="221" t="s">
        <v>140</v>
      </c>
      <c r="H8" s="221" t="s">
        <v>141</v>
      </c>
      <c r="I8" s="221" t="s">
        <v>142</v>
      </c>
      <c r="J8" s="221" t="s">
        <v>143</v>
      </c>
      <c r="K8" s="221" t="s">
        <v>144</v>
      </c>
      <c r="L8" s="222" t="s">
        <v>10</v>
      </c>
      <c r="M8" s="27"/>
    </row>
    <row r="9" spans="1:13" ht="25" customHeight="1" x14ac:dyDescent="0.45">
      <c r="B9" s="22"/>
      <c r="C9" s="223" t="s">
        <v>145</v>
      </c>
      <c r="D9" s="224">
        <f>ROUNDUP(('생활과 윤리'!$P7-0.5-50)/10*'생활과 윤리'!$H$4+'생활과 윤리'!$H$3, 0)</f>
        <v>47</v>
      </c>
      <c r="E9" s="225">
        <f>ROUNDUP(('윤리와 사상'!$P7-0.5-50)/10*'윤리와 사상'!$H$4+'윤리와 사상'!$H$3, 0)</f>
        <v>45</v>
      </c>
      <c r="F9" s="225">
        <f>ROUNDUP((한국지리!$P7-0.5-50)/10*한국지리!$H$4+한국지리!$H$3, 0)</f>
        <v>48</v>
      </c>
      <c r="G9" s="225">
        <f>ROUNDUP((세계지리!$P7-0.5-50)/10*세계지리!$H$4+세계지리!$H$3, 0)</f>
        <v>50</v>
      </c>
      <c r="H9" s="225">
        <f>ROUNDUP((동아시아사!$P7-0.5-50)/10*동아시아사!$H$4+동아시아사!$H$3, 0)</f>
        <v>50</v>
      </c>
      <c r="I9" s="225">
        <f>ROUNDUP((세계사!$P7-0.5-50)/10*세계사!$H$4+세계사!$H$3, 0)</f>
        <v>48</v>
      </c>
      <c r="J9" s="225">
        <f>ROUNDUP((경제!$P7-0.5-50)/10*경제!$H$4+경제!$H$3, 0)</f>
        <v>47</v>
      </c>
      <c r="K9" s="225">
        <f>ROUNDUP(('정치와 법'!$P7-0.5-50)/10*'정치와 법'!$H$4+'정치와 법'!$H$3, 0)</f>
        <v>46</v>
      </c>
      <c r="L9" s="226">
        <f>ROUNDUP((사회∙문화!$P7-0.5-50)/10*사회∙문화!$H$4+사회∙문화!$H$3, 0)</f>
        <v>47</v>
      </c>
      <c r="M9" s="27"/>
    </row>
    <row r="10" spans="1:13" ht="25" customHeight="1" x14ac:dyDescent="0.45">
      <c r="B10" s="22"/>
      <c r="C10" s="227" t="s">
        <v>146</v>
      </c>
      <c r="D10" s="166">
        <f>ROUNDUP(('생활과 윤리'!$P8-0.5-50)/10*'생활과 윤리'!$H$4+'생활과 윤리'!$H$3, 0)</f>
        <v>46</v>
      </c>
      <c r="E10" s="228">
        <f>ROUNDUP(('윤리와 사상'!$P8-0.5-50)/10*'윤리와 사상'!$H$4+'윤리와 사상'!$H$3, 0)</f>
        <v>40</v>
      </c>
      <c r="F10" s="228">
        <f>ROUNDUP((한국지리!$P8-0.5-50)/10*한국지리!$H$4+한국지리!$H$3, 0)</f>
        <v>44</v>
      </c>
      <c r="G10" s="228">
        <f>ROUNDUP((세계지리!$P8-0.5-50)/10*세계지리!$H$4+세계지리!$H$3, 0)</f>
        <v>45</v>
      </c>
      <c r="H10" s="228">
        <f>ROUNDUP((동아시아사!$P8-0.5-50)/10*동아시아사!$H$4+동아시아사!$H$3, 0)</f>
        <v>45</v>
      </c>
      <c r="I10" s="228">
        <f>ROUNDUP((세계사!$P8-0.5-50)/10*세계사!$H$4+세계사!$H$3, 0)</f>
        <v>42</v>
      </c>
      <c r="J10" s="228">
        <f>ROUNDUP((경제!$P8-0.5-50)/10*경제!$H$4+경제!$H$3, 0)</f>
        <v>40</v>
      </c>
      <c r="K10" s="228">
        <f>ROUNDUP(('정치와 법'!$P8-0.5-50)/10*'정치와 법'!$H$4+'정치와 법'!$H$3, 0)</f>
        <v>42</v>
      </c>
      <c r="L10" s="229">
        <f>ROUNDUP((사회∙문화!$P8-0.5-50)/10*사회∙문화!$H$4+사회∙문화!$H$3, 0)</f>
        <v>43</v>
      </c>
      <c r="M10" s="27"/>
    </row>
    <row r="11" spans="1:13" ht="25" customHeight="1" x14ac:dyDescent="0.45">
      <c r="B11" s="22"/>
      <c r="C11" s="227" t="s">
        <v>147</v>
      </c>
      <c r="D11" s="166">
        <f>ROUNDUP(('생활과 윤리'!$P9-0.5-50)/10*'생활과 윤리'!$H$4+'생활과 윤리'!$H$3, 0)</f>
        <v>40</v>
      </c>
      <c r="E11" s="228">
        <f>ROUNDUP(('윤리와 사상'!$P9-0.5-50)/10*'윤리와 사상'!$H$4+'윤리와 사상'!$H$3, 0)</f>
        <v>31</v>
      </c>
      <c r="F11" s="228">
        <f>ROUNDUP((한국지리!$P9-0.5-50)/10*한국지리!$H$4+한국지리!$H$3, 0)</f>
        <v>36</v>
      </c>
      <c r="G11" s="228">
        <f>ROUNDUP((세계지리!$P9-0.5-50)/10*세계지리!$H$4+세계지리!$H$3, 0)</f>
        <v>38</v>
      </c>
      <c r="H11" s="228">
        <f>ROUNDUP((동아시아사!$P9-0.5-50)/10*동아시아사!$H$4+동아시아사!$H$3, 0)</f>
        <v>37</v>
      </c>
      <c r="I11" s="228">
        <f>ROUNDUP((세계사!$P9-0.5-50)/10*세계사!$H$4+세계사!$H$3, 0)</f>
        <v>32</v>
      </c>
      <c r="J11" s="228">
        <f>ROUNDUP((경제!$P9-0.5-50)/10*경제!$H$4+경제!$H$3, 0)</f>
        <v>29</v>
      </c>
      <c r="K11" s="228">
        <f>ROUNDUP(('정치와 법'!$P9-0.5-50)/10*'정치와 법'!$H$4+'정치와 법'!$H$3, 0)</f>
        <v>35</v>
      </c>
      <c r="L11" s="229">
        <f>ROUNDUP((사회∙문화!$P9-0.5-50)/10*사회∙문화!$H$4+사회∙문화!$H$3, 0)</f>
        <v>39</v>
      </c>
      <c r="M11" s="27"/>
    </row>
    <row r="12" spans="1:13" ht="25" customHeight="1" x14ac:dyDescent="0.45">
      <c r="B12" s="22"/>
      <c r="C12" s="227" t="s">
        <v>148</v>
      </c>
      <c r="D12" s="166">
        <f>ROUNDUP(('생활과 윤리'!$P10-0.5-50)/10*'생활과 윤리'!$H$4+'생활과 윤리'!$H$3, 0)</f>
        <v>35</v>
      </c>
      <c r="E12" s="228">
        <f>ROUNDUP(('윤리와 사상'!$P10-0.5-50)/10*'윤리와 사상'!$H$4+'윤리와 사상'!$H$3, 0)</f>
        <v>21</v>
      </c>
      <c r="F12" s="228">
        <f>ROUNDUP((한국지리!$P10-0.5-50)/10*한국지리!$H$4+한국지리!$H$3, 0)</f>
        <v>28</v>
      </c>
      <c r="G12" s="228">
        <f>ROUNDUP((세계지리!$P10-0.5-50)/10*세계지리!$H$4+세계지리!$H$3, 0)</f>
        <v>29</v>
      </c>
      <c r="H12" s="228">
        <f>ROUNDUP((동아시아사!$P10-0.5-50)/10*동아시아사!$H$4+동아시아사!$H$3, 0)</f>
        <v>27</v>
      </c>
      <c r="I12" s="228">
        <f>ROUNDUP((세계사!$P10-0.5-50)/10*세계사!$H$4+세계사!$H$3, 0)</f>
        <v>21</v>
      </c>
      <c r="J12" s="228">
        <f>ROUNDUP((경제!$P10-0.5-50)/10*경제!$H$4+경제!$H$3, 0)</f>
        <v>19</v>
      </c>
      <c r="K12" s="228">
        <f>ROUNDUP(('정치와 법'!$P10-0.5-50)/10*'정치와 법'!$H$4+'정치와 법'!$H$3, 0)</f>
        <v>26</v>
      </c>
      <c r="L12" s="229">
        <f>ROUNDUP((사회∙문화!$P10-0.5-50)/10*사회∙문화!$H$4+사회∙문화!$H$3, 0)</f>
        <v>34</v>
      </c>
      <c r="M12" s="27"/>
    </row>
    <row r="13" spans="1:13" ht="25" customHeight="1" x14ac:dyDescent="0.45">
      <c r="B13" s="22"/>
      <c r="C13" s="227" t="s">
        <v>149</v>
      </c>
      <c r="D13" s="166">
        <f>ROUNDUP(('생활과 윤리'!$P11-0.5-50)/10*'생활과 윤리'!$H$4+'생활과 윤리'!$H$3, 0)</f>
        <v>29</v>
      </c>
      <c r="E13" s="228">
        <f>ROUNDUP(('윤리와 사상'!$P11-0.5-50)/10*'윤리와 사상'!$H$4+'윤리와 사상'!$H$3, 0)</f>
        <v>14</v>
      </c>
      <c r="F13" s="228">
        <f>ROUNDUP((한국지리!$P11-0.5-50)/10*한국지리!$H$4+한국지리!$H$3, 0)</f>
        <v>22</v>
      </c>
      <c r="G13" s="228">
        <f>ROUNDUP((세계지리!$P11-0.5-50)/10*세계지리!$H$4+세계지리!$H$3, 0)</f>
        <v>22</v>
      </c>
      <c r="H13" s="228">
        <f>ROUNDUP((동아시아사!$P11-0.5-50)/10*동아시아사!$H$4+동아시아사!$H$3, 0)</f>
        <v>18</v>
      </c>
      <c r="I13" s="228">
        <f>ROUNDUP((세계사!$P11-0.5-50)/10*세계사!$H$4+세계사!$H$3, 0)</f>
        <v>14</v>
      </c>
      <c r="J13" s="228">
        <f>ROUNDUP((경제!$P11-0.5-50)/10*경제!$H$4+경제!$H$3, 0)</f>
        <v>12</v>
      </c>
      <c r="K13" s="228">
        <f>ROUNDUP(('정치와 법'!$P11-0.5-50)/10*'정치와 법'!$H$4+'정치와 법'!$H$3, 0)</f>
        <v>18</v>
      </c>
      <c r="L13" s="229">
        <f>ROUNDUP((사회∙문화!$P11-0.5-50)/10*사회∙문화!$H$4+사회∙문화!$H$3, 0)</f>
        <v>25</v>
      </c>
      <c r="M13" s="27"/>
    </row>
    <row r="14" spans="1:13" ht="25" customHeight="1" x14ac:dyDescent="0.45">
      <c r="B14" s="22"/>
      <c r="C14" s="227" t="s">
        <v>150</v>
      </c>
      <c r="D14" s="166">
        <f>ROUNDUP(('생활과 윤리'!$P12-0.5-50)/10*'생활과 윤리'!$H$4+'생활과 윤리'!$H$3, 0)</f>
        <v>22</v>
      </c>
      <c r="E14" s="228">
        <f>ROUNDUP(('윤리와 사상'!$P12-0.5-50)/10*'윤리와 사상'!$H$4+'윤리와 사상'!$H$3, 0)</f>
        <v>12</v>
      </c>
      <c r="F14" s="228">
        <f>ROUNDUP((한국지리!$P12-0.5-50)/10*한국지리!$H$4+한국지리!$H$3, 0)</f>
        <v>16</v>
      </c>
      <c r="G14" s="228">
        <f>ROUNDUP((세계지리!$P12-0.5-50)/10*세계지리!$H$4+세계지리!$H$3, 0)</f>
        <v>15</v>
      </c>
      <c r="H14" s="228">
        <f>ROUNDUP((동아시아사!$P12-0.5-50)/10*동아시아사!$H$4+동아시아사!$H$3, 0)</f>
        <v>12</v>
      </c>
      <c r="I14" s="228">
        <f>ROUNDUP((세계사!$P12-0.5-50)/10*세계사!$H$4+세계사!$H$3, 0)</f>
        <v>11</v>
      </c>
      <c r="J14" s="228">
        <f>ROUNDUP((경제!$P12-0.5-50)/10*경제!$H$4+경제!$H$3, 0)</f>
        <v>10</v>
      </c>
      <c r="K14" s="228">
        <f>ROUNDUP(('정치와 법'!$P12-0.5-50)/10*'정치와 법'!$H$4+'정치와 법'!$H$3, 0)</f>
        <v>12</v>
      </c>
      <c r="L14" s="229">
        <f>ROUNDUP((사회∙문화!$P12-0.5-50)/10*사회∙문화!$H$4+사회∙문화!$H$3, 0)</f>
        <v>15</v>
      </c>
      <c r="M14" s="27"/>
    </row>
    <row r="15" spans="1:13" ht="25" customHeight="1" x14ac:dyDescent="0.45">
      <c r="B15" s="22"/>
      <c r="C15" s="227" t="s">
        <v>151</v>
      </c>
      <c r="D15" s="166">
        <f>ROUNDUP(('생활과 윤리'!$P13-0.5-50)/10*'생활과 윤리'!$H$4+'생활과 윤리'!$H$3, 0)</f>
        <v>15</v>
      </c>
      <c r="E15" s="228">
        <f>ROUNDUP(('윤리와 사상'!$P13-0.5-50)/10*'윤리와 사상'!$H$4+'윤리와 사상'!$H$3, 0)</f>
        <v>8</v>
      </c>
      <c r="F15" s="228">
        <f>ROUNDUP((한국지리!$P13-0.5-50)/10*한국지리!$H$4+한국지리!$H$3, 0)</f>
        <v>12</v>
      </c>
      <c r="G15" s="228">
        <f>ROUNDUP((세계지리!$P13-0.5-50)/10*세계지리!$H$4+세계지리!$H$3, 0)</f>
        <v>11</v>
      </c>
      <c r="H15" s="228">
        <f>ROUNDUP((동아시아사!$P13-0.5-50)/10*동아시아사!$H$4+동아시아사!$H$3, 0)</f>
        <v>8</v>
      </c>
      <c r="I15" s="228">
        <f>ROUNDUP((세계사!$P13-0.5-50)/10*세계사!$H$4+세계사!$H$3, 0)</f>
        <v>8</v>
      </c>
      <c r="J15" s="228">
        <f>ROUNDUP((경제!$P13-0.5-50)/10*경제!$H$4+경제!$H$3, 0)</f>
        <v>7</v>
      </c>
      <c r="K15" s="228">
        <f>ROUNDUP(('정치와 법'!$P13-0.5-50)/10*'정치와 법'!$H$4+'정치와 법'!$H$3, 0)</f>
        <v>8</v>
      </c>
      <c r="L15" s="229">
        <f>ROUNDUP((사회∙문화!$P13-0.5-50)/10*사회∙문화!$H$4+사회∙문화!$H$3, 0)</f>
        <v>10</v>
      </c>
      <c r="M15" s="27"/>
    </row>
    <row r="16" spans="1:13" ht="25" customHeight="1" thickBot="1" x14ac:dyDescent="0.5">
      <c r="B16" s="22"/>
      <c r="C16" s="230" t="s">
        <v>152</v>
      </c>
      <c r="D16" s="202">
        <f>ROUNDUP(('생활과 윤리'!$P14-0.5-50)/10*'생활과 윤리'!$H$4+'생활과 윤리'!$H$3, 0)</f>
        <v>10</v>
      </c>
      <c r="E16" s="231">
        <f>ROUNDUP(('윤리와 사상'!$P14-0.5-50)/10*'윤리와 사상'!$H$4+'윤리와 사상'!$H$3, 0)</f>
        <v>7</v>
      </c>
      <c r="F16" s="231">
        <f>ROUNDUP((한국지리!$P14-0.5-50)/10*한국지리!$H$4+한국지리!$H$3, 0)</f>
        <v>7</v>
      </c>
      <c r="G16" s="231">
        <f>ROUNDUP((세계지리!$P14-0.5-50)/10*세계지리!$H$4+세계지리!$H$3, 0)</f>
        <v>7</v>
      </c>
      <c r="H16" s="231">
        <f>ROUNDUP((동아시아사!$P14-0.5-50)/10*동아시아사!$H$4+동아시아사!$H$3, 0)</f>
        <v>6</v>
      </c>
      <c r="I16" s="231">
        <f>ROUNDUP((세계사!$P14-0.5-50)/10*세계사!$H$4+세계사!$H$3, 0)</f>
        <v>5</v>
      </c>
      <c r="J16" s="231">
        <f>ROUNDUP((경제!$P14-0.5-50)/10*경제!$H$4+경제!$H$3, 0)</f>
        <v>5</v>
      </c>
      <c r="K16" s="231">
        <f>ROUNDUP(('정치와 법'!$P14-0.5-50)/10*'정치와 법'!$H$4+'정치와 법'!$H$3, 0)</f>
        <v>5</v>
      </c>
      <c r="L16" s="232">
        <f>ROUNDUP((사회∙문화!$P14-0.5-50)/10*사회∙문화!$H$4+사회∙문화!$H$3, 0)</f>
        <v>8</v>
      </c>
      <c r="M16" s="27"/>
    </row>
    <row r="17" spans="2:13" ht="25" customHeight="1" x14ac:dyDescent="0.45">
      <c r="B17" s="22"/>
      <c r="C17" s="233"/>
      <c r="D17" s="233"/>
      <c r="E17" s="233"/>
      <c r="F17" s="233"/>
      <c r="G17" s="233"/>
      <c r="H17" s="233"/>
      <c r="I17" s="233"/>
      <c r="J17" s="233"/>
      <c r="K17" s="233"/>
      <c r="L17" s="234"/>
      <c r="M17" s="27"/>
    </row>
    <row r="18" spans="2:13" ht="25" customHeight="1" thickBot="1" x14ac:dyDescent="0.5">
      <c r="B18" s="22"/>
      <c r="C18" s="233"/>
      <c r="D18" s="233"/>
      <c r="E18" s="233"/>
      <c r="F18" s="233"/>
      <c r="G18" s="233"/>
      <c r="H18" s="233"/>
      <c r="I18" s="233"/>
      <c r="J18" s="233"/>
      <c r="K18" s="233"/>
      <c r="L18" s="234"/>
      <c r="M18" s="27"/>
    </row>
    <row r="19" spans="2:13" ht="25" customHeight="1" thickBot="1" x14ac:dyDescent="0.5">
      <c r="B19" s="22"/>
      <c r="C19" s="219" t="s">
        <v>153</v>
      </c>
      <c r="D19" s="235" t="s">
        <v>154</v>
      </c>
      <c r="E19" s="221" t="s">
        <v>155</v>
      </c>
      <c r="F19" s="220" t="s">
        <v>156</v>
      </c>
      <c r="G19" s="236" t="s">
        <v>13</v>
      </c>
      <c r="H19" s="236" t="s">
        <v>27</v>
      </c>
      <c r="I19" s="221" t="s">
        <v>157</v>
      </c>
      <c r="J19" s="220" t="s">
        <v>158</v>
      </c>
      <c r="K19" s="237" t="s">
        <v>159</v>
      </c>
      <c r="L19" s="238"/>
      <c r="M19" s="27"/>
    </row>
    <row r="20" spans="2:13" ht="25" customHeight="1" x14ac:dyDescent="0.45">
      <c r="B20" s="22"/>
      <c r="C20" s="223" t="s">
        <v>145</v>
      </c>
      <c r="D20" s="224">
        <f>ROUNDUP((물리학Ⅰ!$P7-0.5-50)/10*물리학Ⅰ!$H$4+물리학Ⅰ!$H$3, 0)</f>
        <v>48</v>
      </c>
      <c r="E20" s="225">
        <f>ROUNDUP((화학Ⅰ!$P7-0.5-50)/10*화학Ⅰ!$H$4+화학Ⅰ!$H$3, 0)</f>
        <v>43</v>
      </c>
      <c r="F20" s="225">
        <f>ROUNDUP((생명과학Ⅰ!$P7-0.5-50)/10*생명과학Ⅰ!$H$4+생명과학Ⅰ!$H$3, 0)</f>
        <v>47</v>
      </c>
      <c r="G20" s="225">
        <f>ROUNDUP((지구과학Ⅰ!$P7-0.5-50)/10*지구과학Ⅰ!$H$4+지구과학Ⅰ!$H$3, 0)</f>
        <v>47</v>
      </c>
      <c r="H20" s="225">
        <f>ROUNDUP((물리학Ⅱ!$P7-0.5-50)/10*물리학Ⅱ!$H$4+물리학Ⅱ!$H$3, 0)</f>
        <v>42</v>
      </c>
      <c r="I20" s="225">
        <f>ROUNDUP((화학Ⅱ!$P7-0.5-50)/10*화학Ⅱ!$H$4+화학Ⅱ!$H$3, 0)</f>
        <v>43</v>
      </c>
      <c r="J20" s="225">
        <f>ROUNDUP((생명과학Ⅱ!$P7-0.5-50)/10*생명과학Ⅱ!$H$4+생명과학Ⅱ!$H$3, 0)</f>
        <v>47</v>
      </c>
      <c r="K20" s="226">
        <f>ROUNDUP((지구과학Ⅱ!$P7-0.5-50)/10*지구과학Ⅱ!$H$4+지구과학Ⅱ!$H$3, 0)</f>
        <v>39</v>
      </c>
      <c r="L20" s="233"/>
      <c r="M20" s="27"/>
    </row>
    <row r="21" spans="2:13" ht="25" customHeight="1" x14ac:dyDescent="0.45">
      <c r="B21" s="22"/>
      <c r="C21" s="227" t="s">
        <v>146</v>
      </c>
      <c r="D21" s="166">
        <f>ROUNDUP((물리학Ⅰ!$P8-0.5-50)/10*물리학Ⅰ!$H$4+물리학Ⅰ!$H$3, 0)</f>
        <v>44</v>
      </c>
      <c r="E21" s="228">
        <f>ROUNDUP((화학Ⅰ!$P8-0.5-50)/10*화학Ⅰ!$H$4+화학Ⅰ!$H$3, 0)</f>
        <v>38</v>
      </c>
      <c r="F21" s="228">
        <f>ROUNDUP((생명과학Ⅰ!$P8-0.5-50)/10*생명과학Ⅰ!$H$4+생명과학Ⅰ!$H$3, 0)</f>
        <v>43</v>
      </c>
      <c r="G21" s="228">
        <f>ROUNDUP((지구과학Ⅰ!$P8-0.5-50)/10*지구과학Ⅰ!$H$4+지구과학Ⅰ!$H$3, 0)</f>
        <v>43</v>
      </c>
      <c r="H21" s="228">
        <f>ROUNDUP((물리학Ⅱ!$P8-0.5-50)/10*물리학Ⅱ!$H$4+물리학Ⅱ!$H$3, 0)</f>
        <v>35</v>
      </c>
      <c r="I21" s="228">
        <f>ROUNDUP((화학Ⅱ!$P8-0.5-50)/10*화학Ⅱ!$H$4+화학Ⅱ!$H$3, 0)</f>
        <v>35</v>
      </c>
      <c r="J21" s="228">
        <f>ROUNDUP((생명과학Ⅱ!$P8-0.5-50)/10*생명과학Ⅱ!$H$4+생명과학Ⅱ!$H$3, 0)</f>
        <v>39</v>
      </c>
      <c r="K21" s="229">
        <f>ROUNDUP((지구과학Ⅱ!$P8-0.5-50)/10*지구과학Ⅱ!$H$4+지구과학Ⅱ!$H$3, 0)</f>
        <v>32</v>
      </c>
      <c r="L21" s="233"/>
      <c r="M21" s="27"/>
    </row>
    <row r="22" spans="2:13" ht="25" customHeight="1" x14ac:dyDescent="0.45">
      <c r="B22" s="22"/>
      <c r="C22" s="227" t="s">
        <v>147</v>
      </c>
      <c r="D22" s="166">
        <f>ROUNDUP((물리학Ⅰ!$P9-0.5-50)/10*물리학Ⅰ!$H$4+물리학Ⅰ!$H$3, 0)</f>
        <v>40</v>
      </c>
      <c r="E22" s="228">
        <f>ROUNDUP((화학Ⅰ!$P9-0.5-50)/10*화학Ⅰ!$H$4+화학Ⅰ!$H$3, 0)</f>
        <v>32</v>
      </c>
      <c r="F22" s="228">
        <f>ROUNDUP((생명과학Ⅰ!$P9-0.5-50)/10*생명과학Ⅰ!$H$4+생명과학Ⅰ!$H$3, 0)</f>
        <v>39</v>
      </c>
      <c r="G22" s="228">
        <f>ROUNDUP((지구과학Ⅰ!$P9-0.5-50)/10*지구과학Ⅰ!$H$4+지구과학Ⅰ!$H$3, 0)</f>
        <v>37</v>
      </c>
      <c r="H22" s="228">
        <f>ROUNDUP((물리학Ⅱ!$P9-0.5-50)/10*물리학Ⅱ!$H$4+물리학Ⅱ!$H$3, 0)</f>
        <v>23</v>
      </c>
      <c r="I22" s="228">
        <f>ROUNDUP((화학Ⅱ!$P9-0.5-50)/10*화학Ⅱ!$H$4+화학Ⅱ!$H$3, 0)</f>
        <v>27</v>
      </c>
      <c r="J22" s="228">
        <f>ROUNDUP((생명과학Ⅱ!$P9-0.5-50)/10*생명과학Ⅱ!$H$4+생명과학Ⅱ!$H$3, 0)</f>
        <v>25</v>
      </c>
      <c r="K22" s="229">
        <f>ROUNDUP((지구과학Ⅱ!$P9-0.5-50)/10*지구과학Ⅱ!$H$4+지구과학Ⅱ!$H$3, 0)</f>
        <v>22</v>
      </c>
      <c r="L22" s="233"/>
      <c r="M22" s="27"/>
    </row>
    <row r="23" spans="2:13" ht="25" customHeight="1" x14ac:dyDescent="0.45">
      <c r="B23" s="22"/>
      <c r="C23" s="227" t="s">
        <v>148</v>
      </c>
      <c r="D23" s="166">
        <f>ROUNDUP((물리학Ⅰ!$P10-0.5-50)/10*물리학Ⅰ!$H$4+물리학Ⅰ!$H$3, 0)</f>
        <v>32</v>
      </c>
      <c r="E23" s="228">
        <f>ROUNDUP((화학Ⅰ!$P10-0.5-50)/10*화학Ⅰ!$H$4+화학Ⅰ!$H$3, 0)</f>
        <v>25</v>
      </c>
      <c r="F23" s="228">
        <f>ROUNDUP((생명과학Ⅰ!$P10-0.5-50)/10*생명과학Ⅰ!$H$4+생명과학Ⅰ!$H$3, 0)</f>
        <v>31</v>
      </c>
      <c r="G23" s="228">
        <f>ROUNDUP((지구과학Ⅰ!$P10-0.5-50)/10*지구과학Ⅰ!$H$4+지구과학Ⅰ!$H$3, 0)</f>
        <v>28</v>
      </c>
      <c r="H23" s="228">
        <f>ROUNDUP((물리학Ⅱ!$P10-0.5-50)/10*물리학Ⅱ!$H$4+물리학Ⅱ!$H$3, 0)</f>
        <v>14</v>
      </c>
      <c r="I23" s="228">
        <f>ROUNDUP((화학Ⅱ!$P10-0.5-50)/10*화학Ⅱ!$H$4+화학Ⅱ!$H$3, 0)</f>
        <v>17</v>
      </c>
      <c r="J23" s="228">
        <f>ROUNDUP((생명과학Ⅱ!$P10-0.5-50)/10*생명과학Ⅱ!$H$4+생명과학Ⅱ!$H$3, 0)</f>
        <v>15</v>
      </c>
      <c r="K23" s="229">
        <f>ROUNDUP((지구과학Ⅱ!$P10-0.5-50)/10*지구과학Ⅱ!$H$4+지구과학Ⅱ!$H$3, 0)</f>
        <v>17</v>
      </c>
      <c r="L23" s="233"/>
      <c r="M23" s="27"/>
    </row>
    <row r="24" spans="2:13" ht="25" customHeight="1" x14ac:dyDescent="0.45">
      <c r="B24" s="22"/>
      <c r="C24" s="227" t="s">
        <v>149</v>
      </c>
      <c r="D24" s="166">
        <f>ROUNDUP((물리학Ⅰ!$P11-0.5-50)/10*물리학Ⅰ!$H$4+물리학Ⅰ!$H$3, 0)</f>
        <v>21</v>
      </c>
      <c r="E24" s="228">
        <f>ROUNDUP((화학Ⅰ!$P11-0.5-50)/10*화학Ⅰ!$H$4+화학Ⅰ!$H$3, 0)</f>
        <v>18</v>
      </c>
      <c r="F24" s="228">
        <f>ROUNDUP((생명과학Ⅰ!$P11-0.5-50)/10*생명과학Ⅰ!$H$4+생명과학Ⅰ!$H$3, 0)</f>
        <v>24</v>
      </c>
      <c r="G24" s="228">
        <f>ROUNDUP((지구과학Ⅰ!$P11-0.5-50)/10*지구과학Ⅰ!$H$4+지구과학Ⅰ!$H$3, 0)</f>
        <v>20</v>
      </c>
      <c r="H24" s="228">
        <f>ROUNDUP((물리학Ⅱ!$P11-0.5-50)/10*물리학Ⅱ!$H$4+물리학Ⅱ!$H$3, 0)</f>
        <v>11</v>
      </c>
      <c r="I24" s="228">
        <f>ROUNDUP((화학Ⅱ!$P11-0.5-50)/10*화학Ⅱ!$H$4+화학Ⅱ!$H$3, 0)</f>
        <v>12</v>
      </c>
      <c r="J24" s="228">
        <f>ROUNDUP((생명과학Ⅱ!$P11-0.5-50)/10*생명과학Ⅱ!$H$4+생명과학Ⅱ!$H$3, 0)</f>
        <v>11</v>
      </c>
      <c r="K24" s="229">
        <f>ROUNDUP((지구과학Ⅱ!$P11-0.5-50)/10*지구과학Ⅱ!$H$4+지구과학Ⅱ!$H$3, 0)</f>
        <v>13</v>
      </c>
      <c r="L24" s="233"/>
      <c r="M24" s="27"/>
    </row>
    <row r="25" spans="2:13" ht="25" customHeight="1" x14ac:dyDescent="0.45">
      <c r="B25" s="22"/>
      <c r="C25" s="227" t="s">
        <v>150</v>
      </c>
      <c r="D25" s="166">
        <f>ROUNDUP((물리학Ⅰ!$P12-0.5-50)/10*물리학Ⅰ!$H$4+물리학Ⅰ!$H$3, 0)</f>
        <v>13</v>
      </c>
      <c r="E25" s="228">
        <f>ROUNDUP((화학Ⅰ!$P12-0.5-50)/10*화학Ⅰ!$H$4+화학Ⅰ!$H$3, 0)</f>
        <v>14</v>
      </c>
      <c r="F25" s="228">
        <f>ROUNDUP((생명과학Ⅰ!$P12-0.5-50)/10*생명과학Ⅰ!$H$4+생명과학Ⅰ!$H$3, 0)</f>
        <v>17</v>
      </c>
      <c r="G25" s="228">
        <f>ROUNDUP((지구과학Ⅰ!$P12-0.5-50)/10*지구과학Ⅰ!$H$4+지구과학Ⅰ!$H$3, 0)</f>
        <v>15</v>
      </c>
      <c r="H25" s="228">
        <f>ROUNDUP((물리학Ⅱ!$P12-0.5-50)/10*물리학Ⅱ!$H$4+물리학Ⅱ!$H$3, 0)</f>
        <v>9</v>
      </c>
      <c r="I25" s="228">
        <f>ROUNDUP((화학Ⅱ!$P12-0.5-50)/10*화학Ⅱ!$H$4+화학Ⅱ!$H$3, 0)</f>
        <v>10</v>
      </c>
      <c r="J25" s="228">
        <f>ROUNDUP((생명과학Ⅱ!$P12-0.5-50)/10*생명과학Ⅱ!$H$4+생명과학Ⅱ!$H$3, 0)</f>
        <v>8</v>
      </c>
      <c r="K25" s="229">
        <f>ROUNDUP((지구과학Ⅱ!$P12-0.5-50)/10*지구과학Ⅱ!$H$4+지구과학Ⅱ!$H$3, 0)</f>
        <v>12</v>
      </c>
      <c r="L25" s="233"/>
      <c r="M25" s="27"/>
    </row>
    <row r="26" spans="2:13" ht="25" customHeight="1" x14ac:dyDescent="0.45">
      <c r="B26" s="22"/>
      <c r="C26" s="227" t="s">
        <v>151</v>
      </c>
      <c r="D26" s="166">
        <f>ROUNDUP((물리학Ⅰ!$P13-0.5-50)/10*물리학Ⅰ!$H$4+물리학Ⅰ!$H$3, 0)</f>
        <v>9</v>
      </c>
      <c r="E26" s="228">
        <f>ROUNDUP((화학Ⅰ!$P13-0.5-50)/10*화학Ⅰ!$H$4+화학Ⅰ!$H$3, 0)</f>
        <v>10</v>
      </c>
      <c r="F26" s="228">
        <f>ROUNDUP((생명과학Ⅰ!$P13-0.5-50)/10*생명과학Ⅰ!$H$4+생명과학Ⅰ!$H$3, 0)</f>
        <v>12</v>
      </c>
      <c r="G26" s="228">
        <f>ROUNDUP((지구과학Ⅰ!$P13-0.5-50)/10*지구과학Ⅰ!$H$4+지구과학Ⅰ!$H$3, 0)</f>
        <v>10</v>
      </c>
      <c r="H26" s="228">
        <f>ROUNDUP((물리학Ⅱ!$P13-0.5-50)/10*물리학Ⅱ!$H$4+물리학Ⅱ!$H$3, 0)</f>
        <v>7</v>
      </c>
      <c r="I26" s="228">
        <f>ROUNDUP((화학Ⅱ!$P13-0.5-50)/10*화학Ⅱ!$H$4+화학Ⅱ!$H$3, 0)</f>
        <v>7</v>
      </c>
      <c r="J26" s="228">
        <f>ROUNDUP((생명과학Ⅱ!$P13-0.5-50)/10*생명과학Ⅱ!$H$4+생명과학Ⅱ!$H$3, 0)</f>
        <v>6</v>
      </c>
      <c r="K26" s="229">
        <f>ROUNDUP((지구과학Ⅱ!$P13-0.5-50)/10*지구과학Ⅱ!$H$4+지구과학Ⅱ!$H$3, 0)</f>
        <v>9</v>
      </c>
      <c r="L26" s="233"/>
      <c r="M26" s="27"/>
    </row>
    <row r="27" spans="2:13" ht="25" customHeight="1" thickBot="1" x14ac:dyDescent="0.5">
      <c r="B27" s="22"/>
      <c r="C27" s="230" t="s">
        <v>152</v>
      </c>
      <c r="D27" s="202">
        <f>ROUNDUP((물리학Ⅰ!$P14-0.5-50)/10*물리학Ⅰ!$H$4+물리학Ⅰ!$H$3, 0)</f>
        <v>7</v>
      </c>
      <c r="E27" s="231">
        <f>ROUNDUP((화학Ⅰ!$P14-0.5-50)/10*화학Ⅰ!$H$4+화학Ⅰ!$H$3, 0)</f>
        <v>8</v>
      </c>
      <c r="F27" s="231">
        <f>ROUNDUP((생명과학Ⅰ!$P14-0.5-50)/10*생명과학Ⅰ!$H$4+생명과학Ⅰ!$H$3, 0)</f>
        <v>7</v>
      </c>
      <c r="G27" s="231">
        <f>ROUNDUP((지구과학Ⅰ!$P14-0.5-50)/10*지구과학Ⅰ!$H$4+지구과학Ⅰ!$H$3, 0)</f>
        <v>7</v>
      </c>
      <c r="H27" s="231">
        <f>ROUNDUP((물리학Ⅱ!$P14-0.5-50)/10*물리학Ⅱ!$H$4+물리학Ⅱ!$H$3, 0)</f>
        <v>4</v>
      </c>
      <c r="I27" s="231">
        <f>ROUNDUP((화학Ⅱ!$P14-0.5-50)/10*화학Ⅱ!$H$4+화학Ⅱ!$H$3, 0)</f>
        <v>5</v>
      </c>
      <c r="J27" s="231">
        <f>ROUNDUP((생명과학Ⅱ!$P14-0.5-50)/10*생명과학Ⅱ!$H$4+생명과학Ⅱ!$H$3, 0)</f>
        <v>5</v>
      </c>
      <c r="K27" s="232">
        <f>ROUNDUP((지구과학Ⅱ!$P14-0.5-50)/10*지구과학Ⅱ!$H$4+지구과학Ⅱ!$H$3, 0)</f>
        <v>7</v>
      </c>
      <c r="L27" s="233"/>
      <c r="M27" s="27"/>
    </row>
    <row r="28" spans="2:13" ht="25" customHeight="1" x14ac:dyDescent="0.45">
      <c r="B28" s="22"/>
      <c r="C28" s="233"/>
      <c r="D28" s="233"/>
      <c r="E28" s="233"/>
      <c r="F28" s="233"/>
      <c r="G28" s="233"/>
      <c r="H28" s="233"/>
      <c r="I28" s="233"/>
      <c r="J28" s="233"/>
      <c r="K28" s="233"/>
      <c r="L28" s="234"/>
      <c r="M28" s="27"/>
    </row>
    <row r="29" spans="2:13" ht="25" customHeight="1" thickBot="1" x14ac:dyDescent="0.5">
      <c r="B29" s="22"/>
      <c r="C29" s="233"/>
      <c r="D29" s="233"/>
      <c r="E29" s="233"/>
      <c r="F29" s="233"/>
      <c r="G29" s="233"/>
      <c r="H29" s="233"/>
      <c r="I29" s="233"/>
      <c r="J29" s="233"/>
      <c r="K29" s="233"/>
      <c r="L29" s="234"/>
      <c r="M29" s="27"/>
    </row>
    <row r="30" spans="2:13" ht="40" customHeight="1" thickBot="1" x14ac:dyDescent="0.5">
      <c r="B30" s="22"/>
      <c r="C30" s="219" t="s">
        <v>160</v>
      </c>
      <c r="D30" s="239" t="s">
        <v>161</v>
      </c>
      <c r="E30" s="240" t="s">
        <v>162</v>
      </c>
      <c r="F30" s="240" t="s">
        <v>163</v>
      </c>
      <c r="G30" s="240" t="s">
        <v>164</v>
      </c>
      <c r="H30" s="241" t="s">
        <v>165</v>
      </c>
      <c r="I30" s="242" t="s">
        <v>166</v>
      </c>
      <c r="J30" s="234"/>
      <c r="K30" s="234"/>
      <c r="L30" s="234"/>
      <c r="M30" s="27"/>
    </row>
    <row r="31" spans="2:13" ht="25" customHeight="1" x14ac:dyDescent="0.45">
      <c r="B31" s="22"/>
      <c r="C31" s="243" t="s">
        <v>145</v>
      </c>
      <c r="D31" s="224">
        <f>ROUNDUP(('성공적인 직업생활'!$P7-0.5-50)/10*'성공적인 직업생활'!$H$4+'성공적인 직업생활'!$H$3, 0)</f>
        <v>38</v>
      </c>
      <c r="E31" s="176">
        <f>ROUNDUP(('농업 기초 기술'!$P7-0.5-50)/10*'농업 기초 기술'!$H$4+'농업 기초 기술'!$H$3, 0)</f>
        <v>31</v>
      </c>
      <c r="F31" s="176">
        <f>ROUNDUP(('공업 일반'!$P7-0.5-50)/10*'공업 일반'!$H$4+'공업 일반'!$H$3, 0)</f>
        <v>47</v>
      </c>
      <c r="G31" s="176">
        <f>ROUNDUP(('상업 경제'!$P7-0.5-50)/10*'상업 경제'!$H$4+'상업 경제'!$H$3, 0)</f>
        <v>35</v>
      </c>
      <c r="H31" s="176">
        <f>ROUNDUP(('수산·해운 산업 기초'!$P7-0.5-50)/10*'수산·해운 산업 기초'!$H$4+'수산·해운 산업 기초'!$H$3, 0)</f>
        <v>31</v>
      </c>
      <c r="I31" s="244">
        <f>ROUNDUP(('인간 발달'!$P7-0.5-50)/10*'인간 발달'!$H$4+'인간 발달'!$H$3, 0)</f>
        <v>29</v>
      </c>
      <c r="J31" s="234"/>
      <c r="K31" s="234"/>
      <c r="L31" s="234"/>
      <c r="M31" s="27"/>
    </row>
    <row r="32" spans="2:13" ht="25" customHeight="1" x14ac:dyDescent="0.45">
      <c r="B32" s="22"/>
      <c r="C32" s="245" t="s">
        <v>146</v>
      </c>
      <c r="D32" s="167">
        <f>ROUNDUP(('성공적인 직업생활'!$P8-0.5-50)/10*'성공적인 직업생활'!$H$4+'성공적인 직업생활'!$H$3, 0)</f>
        <v>33</v>
      </c>
      <c r="E32" s="246">
        <f>ROUNDUP(('농업 기초 기술'!$P8-0.5-50)/10*'농업 기초 기술'!$H$4+'농업 기초 기술'!$H$3, 0)</f>
        <v>24</v>
      </c>
      <c r="F32" s="246">
        <f>ROUNDUP(('공업 일반'!$P8-0.5-50)/10*'공업 일반'!$H$4+'공업 일반'!$H$3, 0)</f>
        <v>43</v>
      </c>
      <c r="G32" s="246">
        <f>ROUNDUP(('상업 경제'!$P8-0.5-50)/10*'상업 경제'!$H$4+'상업 경제'!$H$3, 0)</f>
        <v>26</v>
      </c>
      <c r="H32" s="246">
        <f>ROUNDUP(('수산·해운 산업 기초'!$P8-0.5-50)/10*'수산·해운 산업 기초'!$H$4+'수산·해운 산업 기초'!$H$3, 0)</f>
        <v>25</v>
      </c>
      <c r="I32" s="247">
        <f>ROUNDUP(('인간 발달'!$P8-0.5-50)/10*'인간 발달'!$H$4+'인간 발달'!$H$3, 0)</f>
        <v>23</v>
      </c>
      <c r="J32" s="234"/>
      <c r="K32" s="234"/>
      <c r="L32" s="234"/>
      <c r="M32" s="27"/>
    </row>
    <row r="33" spans="2:14" ht="25" customHeight="1" x14ac:dyDescent="0.45">
      <c r="B33" s="22"/>
      <c r="C33" s="245" t="s">
        <v>147</v>
      </c>
      <c r="D33" s="167">
        <f>ROUNDUP(('성공적인 직업생활'!$P9-0.5-50)/10*'성공적인 직업생활'!$H$4+'성공적인 직업생활'!$H$3, 0)</f>
        <v>30</v>
      </c>
      <c r="E33" s="246">
        <f>ROUNDUP(('농업 기초 기술'!$P9-0.5-50)/10*'농업 기초 기술'!$H$4+'농업 기초 기술'!$H$3, 0)</f>
        <v>18</v>
      </c>
      <c r="F33" s="246">
        <f>ROUNDUP(('공업 일반'!$P9-0.5-50)/10*'공업 일반'!$H$4+'공업 일반'!$H$3, 0)</f>
        <v>36</v>
      </c>
      <c r="G33" s="246">
        <f>ROUNDUP(('상업 경제'!$P9-0.5-50)/10*'상업 경제'!$H$4+'상업 경제'!$H$3, 0)</f>
        <v>20</v>
      </c>
      <c r="H33" s="246">
        <f>ROUNDUP(('수산·해운 산업 기초'!$P9-0.5-50)/10*'수산·해운 산업 기초'!$H$4+'수산·해운 산업 기초'!$H$3, 0)</f>
        <v>18</v>
      </c>
      <c r="I33" s="247">
        <f>ROUNDUP(('인간 발달'!$P9-0.5-50)/10*'인간 발달'!$H$4+'인간 발달'!$H$3, 0)</f>
        <v>19</v>
      </c>
      <c r="J33" s="234"/>
      <c r="K33" s="234"/>
      <c r="L33" s="234"/>
      <c r="M33" s="27"/>
    </row>
    <row r="34" spans="2:14" ht="25" customHeight="1" x14ac:dyDescent="0.45">
      <c r="B34" s="22"/>
      <c r="C34" s="245" t="s">
        <v>148</v>
      </c>
      <c r="D34" s="167">
        <f>ROUNDUP(('성공적인 직업생활'!$P10-0.5-50)/10*'성공적인 직업생활'!$H$4+'성공적인 직업생활'!$H$3, 0)</f>
        <v>25</v>
      </c>
      <c r="E34" s="246">
        <f>ROUNDUP(('농업 기초 기술'!$P10-0.5-50)/10*'농업 기초 기술'!$H$4+'농업 기초 기술'!$H$3, 0)</f>
        <v>13</v>
      </c>
      <c r="F34" s="246">
        <f>ROUNDUP(('공업 일반'!$P10-0.5-50)/10*'공업 일반'!$H$4+'공업 일반'!$H$3, 0)</f>
        <v>25</v>
      </c>
      <c r="G34" s="246">
        <f>ROUNDUP(('상업 경제'!$P10-0.5-50)/10*'상업 경제'!$H$4+'상업 경제'!$H$3, 0)</f>
        <v>14</v>
      </c>
      <c r="H34" s="246">
        <f>ROUNDUP(('수산·해운 산업 기초'!$P10-0.5-50)/10*'수산·해운 산업 기초'!$H$4+'수산·해운 산업 기초'!$H$3, 0)</f>
        <v>14</v>
      </c>
      <c r="I34" s="247">
        <f>ROUNDUP(('인간 발달'!$P10-0.5-50)/10*'인간 발달'!$H$4+'인간 발달'!$H$3, 0)</f>
        <v>15</v>
      </c>
      <c r="J34" s="234"/>
      <c r="K34" s="234"/>
      <c r="L34" s="234"/>
      <c r="M34" s="27"/>
    </row>
    <row r="35" spans="2:14" ht="25" customHeight="1" x14ac:dyDescent="0.45">
      <c r="B35" s="22"/>
      <c r="C35" s="245" t="s">
        <v>149</v>
      </c>
      <c r="D35" s="167">
        <f>ROUNDUP(('성공적인 직업생활'!$P11-0.5-50)/10*'성공적인 직업생활'!$H$4+'성공적인 직업생활'!$H$3, 0)</f>
        <v>19</v>
      </c>
      <c r="E35" s="246">
        <f>ROUNDUP(('농업 기초 기술'!$P11-0.5-50)/10*'농업 기초 기술'!$H$4+'농업 기초 기술'!$H$3, 0)</f>
        <v>10</v>
      </c>
      <c r="F35" s="246">
        <f>ROUNDUP(('공업 일반'!$P11-0.5-50)/10*'공업 일반'!$H$4+'공업 일반'!$H$3, 0)</f>
        <v>17</v>
      </c>
      <c r="G35" s="246">
        <f>ROUNDUP(('상업 경제'!$P11-0.5-50)/10*'상업 경제'!$H$4+'상업 경제'!$H$3, 0)</f>
        <v>11</v>
      </c>
      <c r="H35" s="246">
        <f>ROUNDUP(('수산·해운 산업 기초'!$P11-0.5-50)/10*'수산·해운 산업 기초'!$H$4+'수산·해운 산업 기초'!$H$3, 0)</f>
        <v>13</v>
      </c>
      <c r="I35" s="247">
        <f>ROUNDUP(('인간 발달'!$P11-0.5-50)/10*'인간 발달'!$H$4+'인간 발달'!$H$3, 0)</f>
        <v>12</v>
      </c>
      <c r="J35" s="234"/>
      <c r="K35" s="234"/>
      <c r="L35" s="234"/>
      <c r="M35" s="27"/>
    </row>
    <row r="36" spans="2:14" ht="25" customHeight="1" x14ac:dyDescent="0.45">
      <c r="B36" s="22"/>
      <c r="C36" s="245" t="s">
        <v>150</v>
      </c>
      <c r="D36" s="167">
        <f>ROUNDUP(('성공적인 직업생활'!$P12-0.5-50)/10*'성공적인 직업생활'!$H$4+'성공적인 직업생활'!$H$3, 0)</f>
        <v>14</v>
      </c>
      <c r="E36" s="246">
        <f>ROUNDUP(('농업 기초 기술'!$P12-0.5-50)/10*'농업 기초 기술'!$H$4+'농업 기초 기술'!$H$3, 0)</f>
        <v>8</v>
      </c>
      <c r="F36" s="246">
        <f>ROUNDUP(('공업 일반'!$P12-0.5-50)/10*'공업 일반'!$H$4+'공업 일반'!$H$3, 0)</f>
        <v>10</v>
      </c>
      <c r="G36" s="246">
        <f>ROUNDUP(('상업 경제'!$P12-0.5-50)/10*'상업 경제'!$H$4+'상업 경제'!$H$3, 0)</f>
        <v>9</v>
      </c>
      <c r="H36" s="246">
        <f>ROUNDUP(('수산·해운 산업 기초'!$P12-0.5-50)/10*'수산·해운 산업 기초'!$H$4+'수산·해운 산업 기초'!$H$3, 0)</f>
        <v>11</v>
      </c>
      <c r="I36" s="247">
        <f>ROUNDUP(('인간 발달'!$P12-0.5-50)/10*'인간 발달'!$H$4+'인간 발달'!$H$3, 0)</f>
        <v>9</v>
      </c>
      <c r="J36" s="234"/>
      <c r="K36" s="234"/>
      <c r="L36" s="234"/>
      <c r="M36" s="27"/>
    </row>
    <row r="37" spans="2:14" ht="25" customHeight="1" x14ac:dyDescent="0.45">
      <c r="B37" s="22"/>
      <c r="C37" s="245" t="s">
        <v>151</v>
      </c>
      <c r="D37" s="167">
        <f>ROUNDUP(('성공적인 직업생활'!$P13-0.5-50)/10*'성공적인 직업생활'!$H$4+'성공적인 직업생활'!$H$3, 0)</f>
        <v>9</v>
      </c>
      <c r="E37" s="246">
        <f>ROUNDUP(('농업 기초 기술'!$P13-0.5-50)/10*'농업 기초 기술'!$H$4+'농업 기초 기술'!$H$3, 0)</f>
        <v>6</v>
      </c>
      <c r="F37" s="246" t="s">
        <v>94</v>
      </c>
      <c r="G37" s="246">
        <f>ROUNDUP(('상업 경제'!$P13-0.5-50)/10*'상업 경제'!$H$4+'상업 경제'!$H$3, 0)</f>
        <v>7</v>
      </c>
      <c r="H37" s="246">
        <f>ROUNDUP(('수산·해운 산업 기초'!$P13-0.5-50)/10*'수산·해운 산업 기초'!$H$4+'수산·해운 산업 기초'!$H$3, 0)</f>
        <v>10</v>
      </c>
      <c r="I37" s="247">
        <f>ROUNDUP(('인간 발달'!$P13-0.5-50)/10*'인간 발달'!$H$4+'인간 발달'!$H$3, 0)</f>
        <v>7</v>
      </c>
      <c r="J37" s="234"/>
      <c r="K37" s="234"/>
      <c r="L37" s="234"/>
      <c r="M37" s="27"/>
    </row>
    <row r="38" spans="2:14" ht="25" customHeight="1" thickBot="1" x14ac:dyDescent="0.5">
      <c r="B38" s="22"/>
      <c r="C38" s="248" t="s">
        <v>152</v>
      </c>
      <c r="D38" s="249">
        <f>ROUNDUP(('성공적인 직업생활'!$P14-0.5-50)/10*'성공적인 직업생활'!$H$4+'성공적인 직업생활'!$H$3, 0)</f>
        <v>4</v>
      </c>
      <c r="E38" s="250">
        <f>ROUNDUP(('농업 기초 기술'!$P14-0.5-50)/10*'농업 기초 기술'!$H$4+'농업 기초 기술'!$H$3, 0)</f>
        <v>4</v>
      </c>
      <c r="F38" s="250">
        <f>ROUNDUP(('공업 일반'!$P14-0.5-50)/10*'공업 일반'!$H$4+'공업 일반'!$H$3, 0)</f>
        <v>6</v>
      </c>
      <c r="G38" s="250">
        <f>ROUNDUP(('상업 경제'!$P14-0.5-50)/10*'상업 경제'!$H$4+'상업 경제'!$H$3, 0)</f>
        <v>5</v>
      </c>
      <c r="H38" s="250" t="s">
        <v>94</v>
      </c>
      <c r="I38" s="251">
        <f>ROUNDUP(('인간 발달'!$P14-0.5-50)/10*'인간 발달'!$H$4+'인간 발달'!$H$3, 0)</f>
        <v>5</v>
      </c>
      <c r="J38" s="234"/>
      <c r="K38" s="234"/>
      <c r="L38" s="234"/>
      <c r="M38" s="27"/>
    </row>
    <row r="39" spans="2:14" ht="6" customHeight="1" x14ac:dyDescent="0.45">
      <c r="B39" s="23"/>
      <c r="C39" s="24"/>
      <c r="D39" s="24"/>
      <c r="E39" s="24"/>
      <c r="F39" s="24"/>
      <c r="G39" s="24"/>
      <c r="H39" s="24"/>
      <c r="I39" s="24"/>
      <c r="J39" s="24"/>
      <c r="K39" s="24"/>
      <c r="L39" s="28"/>
      <c r="M39" s="25"/>
    </row>
    <row r="40" spans="2:14" x14ac:dyDescent="0.45">
      <c r="B40" s="6"/>
      <c r="C40" s="5"/>
      <c r="D40" s="5"/>
      <c r="E40" s="5"/>
      <c r="F40" s="5"/>
      <c r="G40" s="5"/>
      <c r="H40" s="5"/>
      <c r="I40" s="5"/>
      <c r="J40" s="5"/>
      <c r="K40" s="5"/>
      <c r="L40" s="6"/>
      <c r="M40" s="6"/>
    </row>
    <row r="41" spans="2:14" x14ac:dyDescent="0.45">
      <c r="B41" s="6"/>
      <c r="C41" s="5"/>
      <c r="D41" s="5"/>
      <c r="E41" s="5"/>
      <c r="F41" s="5"/>
      <c r="G41" s="5"/>
      <c r="H41" s="5"/>
      <c r="I41" s="5"/>
      <c r="J41" s="5"/>
      <c r="K41" s="5"/>
      <c r="L41" s="6"/>
      <c r="M41" s="6"/>
      <c r="N41" s="6"/>
    </row>
    <row r="42" spans="2:14" x14ac:dyDescent="0.45">
      <c r="B42" s="6"/>
      <c r="C42" s="5"/>
      <c r="D42" s="5"/>
      <c r="E42" s="5"/>
      <c r="F42" s="5"/>
      <c r="G42" s="5"/>
      <c r="H42" s="5"/>
      <c r="I42" s="5"/>
      <c r="J42" s="5"/>
      <c r="K42" s="5"/>
      <c r="L42" s="6"/>
      <c r="M42" s="6"/>
      <c r="N42" s="6"/>
    </row>
    <row r="43" spans="2:14" x14ac:dyDescent="0.45">
      <c r="B43" s="6"/>
      <c r="C43" s="5"/>
      <c r="D43" s="5"/>
      <c r="E43" s="5"/>
      <c r="F43" s="5"/>
      <c r="G43" s="5"/>
      <c r="H43" s="5"/>
      <c r="I43" s="5"/>
      <c r="J43" s="5"/>
      <c r="K43" s="5"/>
      <c r="L43" s="6"/>
      <c r="M43" s="6"/>
      <c r="N43" s="6"/>
    </row>
    <row r="44" spans="2:14" x14ac:dyDescent="0.45">
      <c r="B44" s="6"/>
      <c r="C44" s="5"/>
      <c r="D44" s="5"/>
      <c r="E44" s="5"/>
      <c r="F44" s="5"/>
      <c r="G44" s="5"/>
      <c r="H44" s="5"/>
      <c r="I44" s="5"/>
      <c r="J44" s="5"/>
      <c r="K44" s="5"/>
      <c r="L44" s="6"/>
      <c r="M44" s="6"/>
      <c r="N44" s="6"/>
    </row>
    <row r="45" spans="2:14" x14ac:dyDescent="0.45">
      <c r="B45" s="6"/>
      <c r="C45" s="5"/>
      <c r="D45" s="5"/>
      <c r="E45" s="5"/>
      <c r="F45" s="5"/>
      <c r="G45" s="5"/>
      <c r="H45" s="5"/>
      <c r="I45" s="5"/>
      <c r="J45" s="5"/>
      <c r="K45" s="5"/>
      <c r="L45" s="6"/>
      <c r="M45" s="6"/>
      <c r="N45" s="6"/>
    </row>
    <row r="46" spans="2:14" x14ac:dyDescent="0.45">
      <c r="B46" s="6"/>
      <c r="C46" s="5"/>
      <c r="D46" s="5"/>
      <c r="E46" s="5"/>
      <c r="F46" s="5"/>
      <c r="G46" s="5"/>
      <c r="H46" s="5"/>
      <c r="I46" s="5"/>
      <c r="J46" s="5"/>
      <c r="K46" s="5"/>
      <c r="L46" s="6"/>
      <c r="M46" s="6"/>
      <c r="N46" s="6"/>
    </row>
    <row r="47" spans="2:14" x14ac:dyDescent="0.45">
      <c r="B47" s="6"/>
      <c r="C47" s="5"/>
      <c r="D47" s="5"/>
      <c r="E47" s="5"/>
      <c r="F47" s="5"/>
      <c r="G47" s="5"/>
      <c r="H47" s="5"/>
      <c r="I47" s="5"/>
      <c r="J47" s="5"/>
      <c r="K47" s="5"/>
      <c r="L47" s="6"/>
      <c r="M47" s="6"/>
      <c r="N47" s="6"/>
    </row>
    <row r="48" spans="2:14" x14ac:dyDescent="0.45">
      <c r="B48" s="6"/>
      <c r="C48" s="5"/>
      <c r="D48" s="5"/>
      <c r="E48" s="5"/>
      <c r="F48" s="5"/>
      <c r="G48" s="5"/>
      <c r="H48" s="5"/>
      <c r="I48" s="5"/>
      <c r="J48" s="5"/>
      <c r="K48" s="5"/>
      <c r="L48" s="6"/>
      <c r="M48" s="6"/>
      <c r="N48" s="6"/>
    </row>
    <row r="49" spans="2:14" x14ac:dyDescent="0.45">
      <c r="B49" s="6"/>
      <c r="C49" s="5"/>
      <c r="D49" s="5"/>
      <c r="E49" s="5"/>
      <c r="F49" s="5"/>
      <c r="G49" s="5"/>
      <c r="H49" s="5"/>
      <c r="I49" s="5"/>
      <c r="J49" s="5"/>
      <c r="K49" s="5"/>
      <c r="L49" s="6"/>
      <c r="M49" s="6"/>
      <c r="N49" s="6"/>
    </row>
    <row r="50" spans="2:14" x14ac:dyDescent="0.45">
      <c r="B50" s="6"/>
      <c r="C50" s="5"/>
      <c r="D50" s="5"/>
      <c r="E50" s="5"/>
      <c r="F50" s="5"/>
      <c r="G50" s="5"/>
      <c r="H50" s="5"/>
      <c r="I50" s="5"/>
      <c r="J50" s="5"/>
      <c r="K50" s="5"/>
      <c r="L50" s="6"/>
      <c r="M50" s="6"/>
      <c r="N50" s="6"/>
    </row>
    <row r="51" spans="2:14" x14ac:dyDescent="0.45">
      <c r="B51" s="6"/>
      <c r="C51" s="5"/>
      <c r="D51" s="5"/>
      <c r="E51" s="5"/>
      <c r="F51" s="5"/>
      <c r="G51" s="5"/>
      <c r="H51" s="5"/>
      <c r="I51" s="5"/>
      <c r="J51" s="5"/>
      <c r="K51" s="5"/>
      <c r="L51" s="6"/>
      <c r="M51" s="6"/>
      <c r="N51" s="6"/>
    </row>
    <row r="52" spans="2:14" x14ac:dyDescent="0.45">
      <c r="B52" s="6"/>
      <c r="C52" s="5"/>
      <c r="D52" s="5"/>
      <c r="E52" s="5"/>
      <c r="F52" s="5"/>
      <c r="G52" s="5"/>
      <c r="H52" s="5"/>
      <c r="I52" s="5"/>
      <c r="J52" s="5"/>
      <c r="K52" s="5"/>
      <c r="L52" s="6"/>
      <c r="M52" s="6"/>
      <c r="N52" s="6"/>
    </row>
    <row r="53" spans="2:14" x14ac:dyDescent="0.45">
      <c r="B53" s="6"/>
      <c r="C53" s="5"/>
      <c r="D53" s="5"/>
      <c r="E53" s="5"/>
      <c r="F53" s="5"/>
      <c r="G53" s="5"/>
      <c r="H53" s="5"/>
      <c r="I53" s="5"/>
      <c r="J53" s="5"/>
      <c r="K53" s="5"/>
      <c r="L53" s="6"/>
      <c r="M53" s="6"/>
      <c r="N53" s="6"/>
    </row>
    <row r="54" spans="2:14" x14ac:dyDescent="0.45">
      <c r="B54" s="6"/>
      <c r="C54" s="5"/>
      <c r="D54" s="5"/>
      <c r="E54" s="5"/>
      <c r="F54" s="5"/>
      <c r="G54" s="5"/>
      <c r="H54" s="5"/>
      <c r="I54" s="5"/>
      <c r="J54" s="5"/>
      <c r="K54" s="5"/>
      <c r="L54" s="6"/>
      <c r="M54" s="6"/>
      <c r="N54" s="6"/>
    </row>
    <row r="55" spans="2:14" x14ac:dyDescent="0.45">
      <c r="B55" s="6"/>
      <c r="C55" s="5"/>
      <c r="D55" s="5"/>
      <c r="E55" s="5"/>
      <c r="F55" s="5"/>
      <c r="G55" s="5"/>
      <c r="H55" s="5"/>
      <c r="I55" s="5"/>
      <c r="J55" s="5"/>
      <c r="K55" s="5"/>
      <c r="L55" s="6"/>
      <c r="M55" s="6"/>
      <c r="N55" s="6"/>
    </row>
    <row r="56" spans="2:14" x14ac:dyDescent="0.45">
      <c r="B56" s="6"/>
      <c r="C56" s="5"/>
      <c r="D56" s="5"/>
      <c r="E56" s="5"/>
      <c r="F56" s="5"/>
      <c r="G56" s="5"/>
      <c r="H56" s="5"/>
      <c r="I56" s="5"/>
      <c r="J56" s="5"/>
      <c r="K56" s="5"/>
      <c r="L56" s="6"/>
      <c r="M56" s="6"/>
      <c r="N56" s="6"/>
    </row>
    <row r="57" spans="2:14" x14ac:dyDescent="0.45">
      <c r="B57" s="6"/>
      <c r="C57" s="5"/>
      <c r="D57" s="5"/>
      <c r="E57" s="5"/>
      <c r="F57" s="5"/>
      <c r="G57" s="5"/>
      <c r="H57" s="5"/>
      <c r="I57" s="5"/>
      <c r="J57" s="5"/>
      <c r="K57" s="5"/>
      <c r="L57" s="6"/>
      <c r="M57" s="6"/>
      <c r="N57" s="6"/>
    </row>
    <row r="58" spans="2:14" x14ac:dyDescent="0.45">
      <c r="B58" s="6"/>
      <c r="C58" s="5"/>
      <c r="D58" s="5"/>
      <c r="E58" s="5"/>
      <c r="F58" s="5"/>
      <c r="G58" s="5"/>
      <c r="H58" s="5"/>
      <c r="I58" s="5"/>
      <c r="J58" s="5"/>
      <c r="K58" s="5"/>
      <c r="L58" s="6"/>
      <c r="M58" s="6"/>
      <c r="N58" s="6"/>
    </row>
    <row r="59" spans="2:14" x14ac:dyDescent="0.45">
      <c r="B59" s="6"/>
      <c r="C59" s="5"/>
      <c r="D59" s="5"/>
      <c r="E59" s="5"/>
      <c r="F59" s="5"/>
      <c r="G59" s="5"/>
      <c r="H59" s="5"/>
      <c r="I59" s="5"/>
      <c r="J59" s="5"/>
      <c r="K59" s="5"/>
      <c r="L59" s="6"/>
      <c r="M59" s="6"/>
      <c r="N59" s="6"/>
    </row>
    <row r="60" spans="2:14" x14ac:dyDescent="0.45">
      <c r="B60" s="6"/>
      <c r="C60" s="5"/>
      <c r="D60" s="5"/>
      <c r="E60" s="5"/>
      <c r="F60" s="5"/>
      <c r="G60" s="5"/>
      <c r="H60" s="5"/>
      <c r="I60" s="5"/>
      <c r="J60" s="5"/>
      <c r="K60" s="5"/>
      <c r="L60" s="6"/>
      <c r="M60" s="6"/>
      <c r="N60" s="6"/>
    </row>
    <row r="61" spans="2:14" x14ac:dyDescent="0.45">
      <c r="B61" s="6"/>
      <c r="C61" s="5"/>
      <c r="D61" s="5"/>
      <c r="E61" s="5"/>
      <c r="F61" s="5"/>
      <c r="G61" s="5"/>
      <c r="H61" s="5"/>
      <c r="I61" s="5"/>
      <c r="J61" s="5"/>
      <c r="K61" s="5"/>
      <c r="L61" s="6"/>
      <c r="M61" s="6"/>
      <c r="N61" s="6"/>
    </row>
    <row r="62" spans="2:14" x14ac:dyDescent="0.45">
      <c r="B62" s="6"/>
      <c r="C62" s="5"/>
      <c r="D62" s="5"/>
      <c r="E62" s="5"/>
      <c r="F62" s="5"/>
      <c r="G62" s="5"/>
      <c r="H62" s="5"/>
      <c r="I62" s="5"/>
      <c r="J62" s="5"/>
      <c r="K62" s="5"/>
      <c r="L62" s="6"/>
      <c r="M62" s="6"/>
      <c r="N62" s="6"/>
    </row>
  </sheetData>
  <mergeCells count="2">
    <mergeCell ref="D4:G4"/>
    <mergeCell ref="D5:G5"/>
  </mergeCells>
  <phoneticPr fontId="1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27</vt:i4>
      </vt:variant>
    </vt:vector>
  </HeadingPairs>
  <TitlesOfParts>
    <vt:vector size="27" baseType="lpstr">
      <vt:lpstr>통계 및 응시자 수 입력 기능</vt:lpstr>
      <vt:lpstr>202306</vt:lpstr>
      <vt:lpstr>표준점수 등급컷 입력기능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물리학Ⅱ</vt:lpstr>
      <vt:lpstr>화학Ⅱ</vt:lpstr>
      <vt:lpstr>생명과학Ⅱ</vt:lpstr>
      <vt:lpstr>지구과학Ⅱ</vt:lpstr>
      <vt:lpstr>성공적인 직업생활</vt:lpstr>
      <vt:lpstr>농업 기초 기술</vt:lpstr>
      <vt:lpstr>공업 일반</vt:lpstr>
      <vt:lpstr>상업 경제</vt:lpstr>
      <vt:lpstr>수산·해운 산업 기초</vt:lpstr>
      <vt:lpstr>인간 발달</vt:lpstr>
      <vt:lpstr>등급컷 모아보기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환동</cp:lastModifiedBy>
  <dcterms:created xsi:type="dcterms:W3CDTF">2018-04-21T04:34:05Z</dcterms:created>
  <dcterms:modified xsi:type="dcterms:W3CDTF">2022-07-19T07:48:26Z</dcterms:modified>
</cp:coreProperties>
</file>