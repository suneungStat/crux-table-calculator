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대학/프로그래밍/개인프로젝트/계산기/xlsm/"/>
    </mc:Choice>
  </mc:AlternateContent>
  <xr:revisionPtr revIDLastSave="728" documentId="13_ncr:1_{1C631891-55DE-498F-B949-3FE1191B805A}" xr6:coauthVersionLast="47" xr6:coauthVersionMax="47" xr10:uidLastSave="{DC4E1A74-2547-49A1-B7ED-3FFC14CFAC1C}"/>
  <bookViews>
    <workbookView xWindow="-110" yWindow="-110" windowWidth="19420" windowHeight="11620" firstSheet="4" activeTab="4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3" i="26"/>
  <c r="H4" i="3"/>
  <c r="J3" i="2" l="1"/>
  <c r="J3" i="5"/>
  <c r="E15" i="25" l="1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Q8" i="26" l="1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D13" i="28" l="1"/>
  <c r="L13" i="28" s="1"/>
  <c r="D14" i="28"/>
  <c r="L14" i="28" s="1"/>
  <c r="D15" i="28"/>
  <c r="L15" i="28" s="1"/>
  <c r="D16" i="28"/>
  <c r="L16" i="28" s="1"/>
  <c r="D17" i="28"/>
  <c r="L17" i="28" s="1"/>
  <c r="D18" i="28"/>
  <c r="L18" i="28" s="1"/>
  <c r="D19" i="28"/>
  <c r="L19" i="28" s="1"/>
  <c r="D20" i="28"/>
  <c r="L20" i="28" s="1"/>
  <c r="D21" i="28"/>
  <c r="L21" i="28" s="1"/>
  <c r="L22" i="28"/>
  <c r="L23" i="28"/>
  <c r="D24" i="28"/>
  <c r="L24" i="28" s="1"/>
  <c r="D25" i="28"/>
  <c r="L25" i="28" s="1"/>
  <c r="D26" i="28"/>
  <c r="L26" i="28" s="1"/>
  <c r="D27" i="28"/>
  <c r="L27" i="28" s="1"/>
  <c r="D28" i="28"/>
  <c r="L28" i="28" s="1"/>
  <c r="D29" i="28"/>
  <c r="L29" i="28" s="1"/>
  <c r="D30" i="28"/>
  <c r="L30" i="28" s="1"/>
  <c r="D31" i="28"/>
  <c r="L31" i="28" s="1"/>
  <c r="D32" i="28"/>
  <c r="L32" i="28" s="1"/>
  <c r="D33" i="28"/>
  <c r="L33" i="28" s="1"/>
  <c r="D34" i="28"/>
  <c r="L34" i="28" s="1"/>
  <c r="D35" i="28"/>
  <c r="L35" i="28" s="1"/>
  <c r="D36" i="28"/>
  <c r="L36" i="28" s="1"/>
  <c r="D37" i="28"/>
  <c r="L37" i="28" s="1"/>
  <c r="D38" i="28"/>
  <c r="L38" i="28" s="1"/>
  <c r="D39" i="28"/>
  <c r="L39" i="28" s="1"/>
  <c r="D40" i="28"/>
  <c r="L40" i="28" s="1"/>
  <c r="D41" i="28"/>
  <c r="L41" i="28" s="1"/>
  <c r="D42" i="28"/>
  <c r="L42" i="28" s="1"/>
  <c r="D43" i="28"/>
  <c r="L43" i="28" s="1"/>
  <c r="D44" i="28"/>
  <c r="L44" i="28" s="1"/>
  <c r="D45" i="28"/>
  <c r="L45" i="28" s="1"/>
  <c r="D46" i="28"/>
  <c r="L46" i="28" s="1"/>
  <c r="D47" i="28"/>
  <c r="L47" i="28" s="1"/>
  <c r="D48" i="28"/>
  <c r="L48" i="28" s="1"/>
  <c r="D49" i="28"/>
  <c r="L49" i="28" s="1"/>
  <c r="D50" i="28"/>
  <c r="D51" i="28"/>
  <c r="L51" i="28" s="1"/>
  <c r="D52" i="28"/>
  <c r="L52" i="28" s="1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G50" i="28"/>
  <c r="H50" i="28" s="1"/>
  <c r="L50" i="28"/>
  <c r="G55" i="28"/>
  <c r="H55" i="28" s="1"/>
  <c r="G51" i="28"/>
  <c r="H51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19" i="28"/>
  <c r="H19" i="28" s="1"/>
  <c r="G15" i="28"/>
  <c r="H15" i="28" s="1"/>
  <c r="G52" i="28"/>
  <c r="H52" i="28" s="1"/>
  <c r="G48" i="28"/>
  <c r="H48" i="28" s="1"/>
  <c r="G44" i="28"/>
  <c r="H44" i="28" s="1"/>
  <c r="G40" i="28"/>
  <c r="H40" i="28" s="1"/>
  <c r="G36" i="28"/>
  <c r="H36" i="28" s="1"/>
  <c r="G32" i="28"/>
  <c r="H32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8" i="28"/>
  <c r="H38" i="28" s="1"/>
  <c r="G34" i="28"/>
  <c r="H34" i="28" s="1"/>
  <c r="G30" i="28"/>
  <c r="H30" i="28" s="1"/>
  <c r="G26" i="28"/>
  <c r="H26" i="28" s="1"/>
  <c r="G22" i="28"/>
  <c r="H22" i="28" s="1"/>
  <c r="G18" i="28"/>
  <c r="H18" i="28" s="1"/>
  <c r="G14" i="28"/>
  <c r="H14" i="28" s="1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5" i="28"/>
  <c r="H25" i="28" s="1"/>
  <c r="G21" i="28"/>
  <c r="H21" i="28" s="1"/>
  <c r="G17" i="28"/>
  <c r="H17" i="28" s="1"/>
  <c r="D57" i="37"/>
  <c r="D55" i="37"/>
  <c r="L55" i="37" s="1"/>
  <c r="D54" i="37"/>
  <c r="L54" i="37" s="1"/>
  <c r="L53" i="37"/>
  <c r="D52" i="37"/>
  <c r="L52" i="37" s="1"/>
  <c r="D51" i="37"/>
  <c r="L51" i="37" s="1"/>
  <c r="D50" i="37"/>
  <c r="L50" i="37" s="1"/>
  <c r="D49" i="37"/>
  <c r="L49" i="37" s="1"/>
  <c r="D48" i="37"/>
  <c r="L47" i="37"/>
  <c r="D46" i="37"/>
  <c r="L46" i="37" s="1"/>
  <c r="D45" i="37"/>
  <c r="L45" i="37" s="1"/>
  <c r="D44" i="37"/>
  <c r="D43" i="37"/>
  <c r="L43" i="37" s="1"/>
  <c r="D42" i="37"/>
  <c r="L42" i="37" s="1"/>
  <c r="L41" i="37"/>
  <c r="D40" i="37"/>
  <c r="L40" i="37" s="1"/>
  <c r="D39" i="37"/>
  <c r="L39" i="37" s="1"/>
  <c r="D38" i="37"/>
  <c r="L38" i="37" s="1"/>
  <c r="D37" i="37"/>
  <c r="L37" i="37" s="1"/>
  <c r="L36" i="37"/>
  <c r="D35" i="37"/>
  <c r="L35" i="37" s="1"/>
  <c r="D34" i="37"/>
  <c r="L34" i="37" s="1"/>
  <c r="D33" i="37"/>
  <c r="L33" i="37" s="1"/>
  <c r="D32" i="37"/>
  <c r="L32" i="37" s="1"/>
  <c r="D31" i="37"/>
  <c r="L31" i="37" s="1"/>
  <c r="L30" i="37"/>
  <c r="D29" i="37"/>
  <c r="L29" i="37" s="1"/>
  <c r="D28" i="37"/>
  <c r="L28" i="37" s="1"/>
  <c r="D27" i="37"/>
  <c r="L27" i="37" s="1"/>
  <c r="D26" i="37"/>
  <c r="L26" i="37" s="1"/>
  <c r="D25" i="37"/>
  <c r="L25" i="37" s="1"/>
  <c r="L24" i="37"/>
  <c r="D23" i="37"/>
  <c r="L23" i="37" s="1"/>
  <c r="D22" i="37"/>
  <c r="L22" i="37" s="1"/>
  <c r="D21" i="37"/>
  <c r="L21" i="37" s="1"/>
  <c r="D20" i="37"/>
  <c r="L20" i="37" s="1"/>
  <c r="L19" i="37"/>
  <c r="D18" i="37"/>
  <c r="L18" i="37" s="1"/>
  <c r="D17" i="37"/>
  <c r="L17" i="37" s="1"/>
  <c r="D16" i="37"/>
  <c r="L16" i="37" s="1"/>
  <c r="D15" i="37"/>
  <c r="L15" i="37" s="1"/>
  <c r="D14" i="37"/>
  <c r="L14" i="37" s="1"/>
  <c r="L13" i="37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D52" i="36"/>
  <c r="L52" i="36" s="1"/>
  <c r="D51" i="36"/>
  <c r="L51" i="36" s="1"/>
  <c r="L50" i="36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L42" i="36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L33" i="36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L25" i="36"/>
  <c r="D24" i="36"/>
  <c r="L24" i="36" s="1"/>
  <c r="D23" i="36"/>
  <c r="L23" i="36" s="1"/>
  <c r="D22" i="36"/>
  <c r="L22" i="36" s="1"/>
  <c r="D21" i="36"/>
  <c r="L21" i="36" s="1"/>
  <c r="D20" i="36"/>
  <c r="L20" i="36" s="1"/>
  <c r="D19" i="36"/>
  <c r="L19" i="36" s="1"/>
  <c r="D18" i="36"/>
  <c r="L18" i="36" s="1"/>
  <c r="D17" i="36"/>
  <c r="L17" i="36" s="1"/>
  <c r="L16" i="36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L48" i="35"/>
  <c r="D47" i="35"/>
  <c r="L47" i="35" s="1"/>
  <c r="D46" i="35"/>
  <c r="L46" i="35" s="1"/>
  <c r="D45" i="35"/>
  <c r="L45" i="35" s="1"/>
  <c r="D44" i="35"/>
  <c r="L44" i="35" s="1"/>
  <c r="D43" i="35"/>
  <c r="L43" i="35" s="1"/>
  <c r="D42" i="35"/>
  <c r="L42" i="35" s="1"/>
  <c r="D41" i="35"/>
  <c r="L41" i="35" s="1"/>
  <c r="D40" i="35"/>
  <c r="L40" i="35" s="1"/>
  <c r="L39" i="35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L30" i="35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L21" i="35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L13" i="35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L53" i="34"/>
  <c r="D52" i="34"/>
  <c r="L52" i="34" s="1"/>
  <c r="D51" i="34"/>
  <c r="L51" i="34" s="1"/>
  <c r="D50" i="34"/>
  <c r="L50" i="34" s="1"/>
  <c r="D49" i="34"/>
  <c r="L49" i="34" s="1"/>
  <c r="L48" i="34"/>
  <c r="D47" i="34"/>
  <c r="L47" i="34" s="1"/>
  <c r="D46" i="34"/>
  <c r="L46" i="34" s="1"/>
  <c r="D45" i="34"/>
  <c r="L45" i="34" s="1"/>
  <c r="D44" i="34"/>
  <c r="L44" i="34" s="1"/>
  <c r="L43" i="34"/>
  <c r="D42" i="34"/>
  <c r="L42" i="34" s="1"/>
  <c r="D41" i="34"/>
  <c r="L41" i="34" s="1"/>
  <c r="D40" i="34"/>
  <c r="L40" i="34" s="1"/>
  <c r="D39" i="34"/>
  <c r="L39" i="34" s="1"/>
  <c r="L38" i="34"/>
  <c r="D37" i="34"/>
  <c r="L37" i="34" s="1"/>
  <c r="D36" i="34"/>
  <c r="L36" i="34" s="1"/>
  <c r="D35" i="34"/>
  <c r="L35" i="34" s="1"/>
  <c r="D34" i="34"/>
  <c r="L34" i="34" s="1"/>
  <c r="L33" i="34"/>
  <c r="D32" i="34"/>
  <c r="L32" i="34" s="1"/>
  <c r="D31" i="34"/>
  <c r="L31" i="34" s="1"/>
  <c r="D30" i="34"/>
  <c r="L30" i="34" s="1"/>
  <c r="D29" i="34"/>
  <c r="L29" i="34" s="1"/>
  <c r="L28" i="34"/>
  <c r="D27" i="34"/>
  <c r="L27" i="34" s="1"/>
  <c r="D26" i="34"/>
  <c r="L26" i="34" s="1"/>
  <c r="D25" i="34"/>
  <c r="L25" i="34" s="1"/>
  <c r="D24" i="34"/>
  <c r="L24" i="34" s="1"/>
  <c r="L23" i="34"/>
  <c r="D22" i="34"/>
  <c r="L22" i="34" s="1"/>
  <c r="D21" i="34"/>
  <c r="L21" i="34" s="1"/>
  <c r="D20" i="34"/>
  <c r="L20" i="34" s="1"/>
  <c r="D19" i="34"/>
  <c r="L19" i="34" s="1"/>
  <c r="L18" i="34"/>
  <c r="D17" i="34"/>
  <c r="L17" i="34" s="1"/>
  <c r="D16" i="34"/>
  <c r="D14" i="34"/>
  <c r="L14" i="34" s="1"/>
  <c r="L13" i="34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D53" i="33"/>
  <c r="L53" i="33" s="1"/>
  <c r="D52" i="33"/>
  <c r="L52" i="33" s="1"/>
  <c r="D51" i="33"/>
  <c r="L51" i="33" s="1"/>
  <c r="L50" i="33"/>
  <c r="D49" i="33"/>
  <c r="L49" i="33" s="1"/>
  <c r="D48" i="33"/>
  <c r="L48" i="33" s="1"/>
  <c r="D47" i="33"/>
  <c r="L47" i="33" s="1"/>
  <c r="D46" i="33"/>
  <c r="L46" i="33" s="1"/>
  <c r="L45" i="33"/>
  <c r="D44" i="33"/>
  <c r="L44" i="33" s="1"/>
  <c r="D43" i="33"/>
  <c r="L43" i="33" s="1"/>
  <c r="D42" i="33"/>
  <c r="L42" i="33" s="1"/>
  <c r="D41" i="33"/>
  <c r="L41" i="33" s="1"/>
  <c r="L40" i="33"/>
  <c r="D39" i="33"/>
  <c r="L39" i="33" s="1"/>
  <c r="D38" i="33"/>
  <c r="L38" i="33" s="1"/>
  <c r="D37" i="33"/>
  <c r="L37" i="33" s="1"/>
  <c r="D36" i="33"/>
  <c r="L36" i="33" s="1"/>
  <c r="L35" i="33"/>
  <c r="D34" i="33"/>
  <c r="L34" i="33" s="1"/>
  <c r="D33" i="33"/>
  <c r="L33" i="33" s="1"/>
  <c r="D32" i="33"/>
  <c r="L32" i="33" s="1"/>
  <c r="D31" i="33"/>
  <c r="L31" i="33" s="1"/>
  <c r="D30" i="33"/>
  <c r="L30" i="33" s="1"/>
  <c r="L29" i="33"/>
  <c r="D28" i="33"/>
  <c r="L28" i="33" s="1"/>
  <c r="D27" i="33"/>
  <c r="L27" i="33" s="1"/>
  <c r="D26" i="33"/>
  <c r="L26" i="33" s="1"/>
  <c r="D25" i="33"/>
  <c r="L25" i="33" s="1"/>
  <c r="L24" i="33"/>
  <c r="D23" i="33"/>
  <c r="L23" i="33" s="1"/>
  <c r="D22" i="33"/>
  <c r="L22" i="33" s="1"/>
  <c r="D21" i="33"/>
  <c r="L21" i="33" s="1"/>
  <c r="D20" i="33"/>
  <c r="L20" i="33" s="1"/>
  <c r="L19" i="33"/>
  <c r="D18" i="33"/>
  <c r="L18" i="33" s="1"/>
  <c r="D17" i="33"/>
  <c r="L17" i="33" s="1"/>
  <c r="D16" i="33"/>
  <c r="L16" i="33" s="1"/>
  <c r="D15" i="33"/>
  <c r="L15" i="33" s="1"/>
  <c r="L14" i="33"/>
  <c r="D13" i="33"/>
  <c r="L13" i="33" s="1"/>
  <c r="D12" i="33"/>
  <c r="L12" i="33" s="1"/>
  <c r="D11" i="33"/>
  <c r="L11" i="33" s="1"/>
  <c r="D10" i="33"/>
  <c r="L10" i="33" s="1"/>
  <c r="D9" i="33"/>
  <c r="D7" i="33"/>
  <c r="D57" i="32"/>
  <c r="D55" i="32"/>
  <c r="L55" i="32" s="1"/>
  <c r="D54" i="32"/>
  <c r="L54" i="32" s="1"/>
  <c r="D53" i="32"/>
  <c r="L53" i="32" s="1"/>
  <c r="D52" i="32"/>
  <c r="L52" i="32" s="1"/>
  <c r="D51" i="32"/>
  <c r="L51" i="32" s="1"/>
  <c r="D50" i="32"/>
  <c r="L50" i="32" s="1"/>
  <c r="L49" i="32"/>
  <c r="D48" i="32"/>
  <c r="L48" i="32" s="1"/>
  <c r="D47" i="32"/>
  <c r="L47" i="32" s="1"/>
  <c r="D46" i="32"/>
  <c r="L46" i="32" s="1"/>
  <c r="D45" i="32"/>
  <c r="L45" i="32" s="1"/>
  <c r="D44" i="32"/>
  <c r="L44" i="32" s="1"/>
  <c r="D43" i="32"/>
  <c r="L43" i="32" s="1"/>
  <c r="L42" i="32"/>
  <c r="D41" i="32"/>
  <c r="L41" i="32" s="1"/>
  <c r="D40" i="32"/>
  <c r="L40" i="32" s="1"/>
  <c r="D39" i="32"/>
  <c r="L39" i="32" s="1"/>
  <c r="D38" i="32"/>
  <c r="L38" i="32" s="1"/>
  <c r="D37" i="32"/>
  <c r="L37" i="32" s="1"/>
  <c r="D36" i="32"/>
  <c r="L36" i="32" s="1"/>
  <c r="D35" i="32"/>
  <c r="L35" i="32" s="1"/>
  <c r="L34" i="32"/>
  <c r="D33" i="32"/>
  <c r="L33" i="32" s="1"/>
  <c r="D32" i="32"/>
  <c r="L32" i="32" s="1"/>
  <c r="D31" i="32"/>
  <c r="L31" i="32" s="1"/>
  <c r="D30" i="32"/>
  <c r="L30" i="32" s="1"/>
  <c r="D29" i="32"/>
  <c r="L29" i="32" s="1"/>
  <c r="D28" i="32"/>
  <c r="L28" i="32" s="1"/>
  <c r="D27" i="32"/>
  <c r="L27" i="32" s="1"/>
  <c r="L26" i="32"/>
  <c r="D25" i="32"/>
  <c r="L25" i="32" s="1"/>
  <c r="D24" i="32"/>
  <c r="L24" i="32" s="1"/>
  <c r="D23" i="32"/>
  <c r="L23" i="32" s="1"/>
  <c r="D22" i="32"/>
  <c r="L22" i="32" s="1"/>
  <c r="D21" i="32"/>
  <c r="L21" i="32" s="1"/>
  <c r="D20" i="32"/>
  <c r="L20" i="32" s="1"/>
  <c r="L19" i="32"/>
  <c r="D18" i="32"/>
  <c r="L18" i="32" s="1"/>
  <c r="D17" i="32"/>
  <c r="L17" i="32" s="1"/>
  <c r="D16" i="32"/>
  <c r="L16" i="32" s="1"/>
  <c r="D15" i="32"/>
  <c r="L15" i="32" s="1"/>
  <c r="D14" i="32"/>
  <c r="L14" i="32" s="1"/>
  <c r="D13" i="32"/>
  <c r="L13" i="32" s="1"/>
  <c r="D12" i="32"/>
  <c r="L12" i="32" s="1"/>
  <c r="L11" i="32"/>
  <c r="D10" i="32"/>
  <c r="L10" i="32" s="1"/>
  <c r="D9" i="32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D50" i="31"/>
  <c r="L50" i="31" s="1"/>
  <c r="D49" i="31"/>
  <c r="L49" i="31" s="1"/>
  <c r="D48" i="31"/>
  <c r="L48" i="31" s="1"/>
  <c r="D47" i="31"/>
  <c r="L47" i="31" s="1"/>
  <c r="D46" i="31"/>
  <c r="L46" i="31" s="1"/>
  <c r="D45" i="31"/>
  <c r="L45" i="31" s="1"/>
  <c r="D44" i="31"/>
  <c r="L44" i="31" s="1"/>
  <c r="D43" i="31"/>
  <c r="L43" i="31" s="1"/>
  <c r="D42" i="31"/>
  <c r="L42" i="31" s="1"/>
  <c r="D41" i="31"/>
  <c r="L41" i="31" s="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L34" i="31"/>
  <c r="L33" i="3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D21" i="31"/>
  <c r="L21" i="31" s="1"/>
  <c r="D20" i="31"/>
  <c r="L20" i="31" s="1"/>
  <c r="D19" i="31"/>
  <c r="L19" i="31" s="1"/>
  <c r="D18" i="31"/>
  <c r="L18" i="31" s="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D49" i="30"/>
  <c r="L49" i="30" s="1"/>
  <c r="D48" i="30"/>
  <c r="L48" i="30" s="1"/>
  <c r="D47" i="30"/>
  <c r="L47" i="30" s="1"/>
  <c r="D46" i="30"/>
  <c r="L46" i="30" s="1"/>
  <c r="D45" i="30"/>
  <c r="L45" i="30" s="1"/>
  <c r="L44" i="30"/>
  <c r="D43" i="30"/>
  <c r="L43" i="30" s="1"/>
  <c r="D42" i="30"/>
  <c r="L42" i="30" s="1"/>
  <c r="D41" i="30"/>
  <c r="L41" i="30" s="1"/>
  <c r="D40" i="30"/>
  <c r="L40" i="30" s="1"/>
  <c r="D39" i="30"/>
  <c r="L39" i="30" s="1"/>
  <c r="D38" i="30"/>
  <c r="L38" i="30" s="1"/>
  <c r="D37" i="30"/>
  <c r="L37" i="30" s="1"/>
  <c r="D36" i="30"/>
  <c r="L36" i="30" s="1"/>
  <c r="D35" i="30"/>
  <c r="L35" i="30" s="1"/>
  <c r="D34" i="30"/>
  <c r="L34" i="30" s="1"/>
  <c r="L33" i="30"/>
  <c r="D32" i="30"/>
  <c r="L32" i="30" s="1"/>
  <c r="D31" i="30"/>
  <c r="L31" i="30" s="1"/>
  <c r="D30" i="30"/>
  <c r="L30" i="30" s="1"/>
  <c r="D29" i="30"/>
  <c r="L29" i="30" s="1"/>
  <c r="D28" i="30"/>
  <c r="L28" i="30" s="1"/>
  <c r="D27" i="30"/>
  <c r="L27" i="30" s="1"/>
  <c r="D26" i="30"/>
  <c r="L26" i="30" s="1"/>
  <c r="D25" i="30"/>
  <c r="L25" i="30" s="1"/>
  <c r="D24" i="30"/>
  <c r="L24" i="30" s="1"/>
  <c r="D23" i="30"/>
  <c r="L23" i="30" s="1"/>
  <c r="D22" i="30"/>
  <c r="L22" i="30" s="1"/>
  <c r="L21" i="30"/>
  <c r="D20" i="30"/>
  <c r="L20" i="30" s="1"/>
  <c r="D19" i="30"/>
  <c r="L19" i="30" s="1"/>
  <c r="D18" i="30"/>
  <c r="L18" i="30" s="1"/>
  <c r="D17" i="30"/>
  <c r="L17" i="30" s="1"/>
  <c r="D16" i="30"/>
  <c r="L16" i="30" s="1"/>
  <c r="D15" i="30"/>
  <c r="L15" i="30" s="1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L52" i="29"/>
  <c r="D51" i="29"/>
  <c r="L51" i="29" s="1"/>
  <c r="D50" i="29"/>
  <c r="L50" i="29" s="1"/>
  <c r="D49" i="29"/>
  <c r="L49" i="29" s="1"/>
  <c r="D48" i="29"/>
  <c r="L48" i="29" s="1"/>
  <c r="D47" i="29"/>
  <c r="L47" i="29" s="1"/>
  <c r="L46" i="29"/>
  <c r="D45" i="29"/>
  <c r="L45" i="29" s="1"/>
  <c r="D44" i="29"/>
  <c r="L44" i="29" s="1"/>
  <c r="D43" i="29"/>
  <c r="L43" i="29" s="1"/>
  <c r="D42" i="29"/>
  <c r="L42" i="29" s="1"/>
  <c r="L41" i="29"/>
  <c r="D40" i="29"/>
  <c r="L40" i="29" s="1"/>
  <c r="D39" i="29"/>
  <c r="L39" i="29" s="1"/>
  <c r="D38" i="29"/>
  <c r="L38" i="29" s="1"/>
  <c r="D37" i="29"/>
  <c r="L37" i="29" s="1"/>
  <c r="L36" i="29"/>
  <c r="D35" i="29"/>
  <c r="L35" i="29" s="1"/>
  <c r="D34" i="29"/>
  <c r="L34" i="29" s="1"/>
  <c r="D33" i="29"/>
  <c r="L33" i="29" s="1"/>
  <c r="D32" i="29"/>
  <c r="L32" i="29" s="1"/>
  <c r="D31" i="29"/>
  <c r="L31" i="29" s="1"/>
  <c r="L30" i="29"/>
  <c r="D29" i="29"/>
  <c r="L29" i="29" s="1"/>
  <c r="D28" i="29"/>
  <c r="L28" i="29" s="1"/>
  <c r="D27" i="29"/>
  <c r="L27" i="29" s="1"/>
  <c r="D26" i="29"/>
  <c r="L26" i="29" s="1"/>
  <c r="L25" i="29"/>
  <c r="D24" i="29"/>
  <c r="L24" i="29" s="1"/>
  <c r="D23" i="29"/>
  <c r="L23" i="29" s="1"/>
  <c r="D22" i="29"/>
  <c r="L22" i="29" s="1"/>
  <c r="D21" i="29"/>
  <c r="L21" i="29" s="1"/>
  <c r="D20" i="29"/>
  <c r="L20" i="29" s="1"/>
  <c r="L19" i="29"/>
  <c r="D18" i="29"/>
  <c r="L18" i="29" s="1"/>
  <c r="D17" i="29"/>
  <c r="L17" i="29" s="1"/>
  <c r="D16" i="29"/>
  <c r="L16" i="29" s="1"/>
  <c r="D15" i="29"/>
  <c r="L15" i="29" s="1"/>
  <c r="L14" i="29"/>
  <c r="D13" i="29"/>
  <c r="L13" i="29" s="1"/>
  <c r="D12" i="29"/>
  <c r="L12" i="29" s="1"/>
  <c r="D11" i="29"/>
  <c r="L11" i="29" s="1"/>
  <c r="D10" i="29"/>
  <c r="L10" i="29" s="1"/>
  <c r="D9" i="29"/>
  <c r="D7" i="29"/>
  <c r="E57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2" i="28"/>
  <c r="E21" i="28"/>
  <c r="E20" i="28"/>
  <c r="E19" i="28"/>
  <c r="E18" i="28"/>
  <c r="E17" i="28"/>
  <c r="E16" i="28"/>
  <c r="E15" i="28"/>
  <c r="E14" i="28"/>
  <c r="E13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D50" i="27"/>
  <c r="L50" i="27" s="1"/>
  <c r="D49" i="27"/>
  <c r="L49" i="27" s="1"/>
  <c r="D48" i="27"/>
  <c r="L48" i="27" s="1"/>
  <c r="D47" i="27"/>
  <c r="L47" i="27" s="1"/>
  <c r="D46" i="27"/>
  <c r="L46" i="27" s="1"/>
  <c r="D45" i="27"/>
  <c r="L45" i="27" s="1"/>
  <c r="D44" i="27"/>
  <c r="L44" i="27" s="1"/>
  <c r="D43" i="27"/>
  <c r="L43" i="27" s="1"/>
  <c r="D42" i="27"/>
  <c r="L42" i="27" s="1"/>
  <c r="D41" i="27"/>
  <c r="L41" i="27" s="1"/>
  <c r="D40" i="27"/>
  <c r="L40" i="27" s="1"/>
  <c r="D39" i="27"/>
  <c r="L39" i="27" s="1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D31" i="27"/>
  <c r="L31" i="27" s="1"/>
  <c r="D30" i="27"/>
  <c r="L30" i="27" s="1"/>
  <c r="D29" i="27"/>
  <c r="L29" i="27" s="1"/>
  <c r="D28" i="27"/>
  <c r="L28" i="27" s="1"/>
  <c r="D27" i="27"/>
  <c r="L27" i="27" s="1"/>
  <c r="D26" i="27"/>
  <c r="L26" i="27" s="1"/>
  <c r="D25" i="27"/>
  <c r="L25" i="27" s="1"/>
  <c r="D24" i="27"/>
  <c r="L24" i="27" s="1"/>
  <c r="D23" i="27"/>
  <c r="L23" i="27" s="1"/>
  <c r="D22" i="27"/>
  <c r="L22" i="27" s="1"/>
  <c r="D21" i="27"/>
  <c r="L21" i="27" s="1"/>
  <c r="D20" i="27"/>
  <c r="L20" i="27" s="1"/>
  <c r="D19" i="27"/>
  <c r="L19" i="27" s="1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D12" i="27"/>
  <c r="L12" i="27" s="1"/>
  <c r="D11" i="27"/>
  <c r="L11" i="27" s="1"/>
  <c r="D10" i="27"/>
  <c r="L10" i="27" s="1"/>
  <c r="D9" i="27"/>
  <c r="D7" i="27"/>
  <c r="D57" i="26"/>
  <c r="D55" i="26"/>
  <c r="L55" i="26" s="1"/>
  <c r="D54" i="26"/>
  <c r="L54" i="26" s="1"/>
  <c r="D53" i="26"/>
  <c r="L53" i="26" s="1"/>
  <c r="D52" i="26"/>
  <c r="L52" i="26" s="1"/>
  <c r="D51" i="26"/>
  <c r="L51" i="26" s="1"/>
  <c r="D50" i="26"/>
  <c r="L50" i="26" s="1"/>
  <c r="D49" i="26"/>
  <c r="L49" i="26" s="1"/>
  <c r="D48" i="26"/>
  <c r="L48" i="26" s="1"/>
  <c r="L47" i="26"/>
  <c r="D46" i="26"/>
  <c r="L46" i="26" s="1"/>
  <c r="D45" i="26"/>
  <c r="L45" i="26" s="1"/>
  <c r="D44" i="26"/>
  <c r="L44" i="26" s="1"/>
  <c r="D43" i="26"/>
  <c r="L43" i="26" s="1"/>
  <c r="D42" i="26"/>
  <c r="L42" i="26" s="1"/>
  <c r="D41" i="26"/>
  <c r="L41" i="26" s="1"/>
  <c r="D40" i="26"/>
  <c r="L40" i="26" s="1"/>
  <c r="D39" i="26"/>
  <c r="L39" i="26" s="1"/>
  <c r="D38" i="26"/>
  <c r="L38" i="26" s="1"/>
  <c r="D37" i="26"/>
  <c r="L37" i="26" s="1"/>
  <c r="D36" i="26"/>
  <c r="L36" i="26" s="1"/>
  <c r="D35" i="26"/>
  <c r="L35" i="26" s="1"/>
  <c r="D34" i="26"/>
  <c r="L34" i="26" s="1"/>
  <c r="L33" i="26"/>
  <c r="D32" i="26"/>
  <c r="L32" i="26" s="1"/>
  <c r="D31" i="26"/>
  <c r="L31" i="26" s="1"/>
  <c r="D30" i="26"/>
  <c r="L30" i="26" s="1"/>
  <c r="D29" i="26"/>
  <c r="L29" i="26" s="1"/>
  <c r="D28" i="26"/>
  <c r="L28" i="26" s="1"/>
  <c r="D27" i="26"/>
  <c r="L27" i="26" s="1"/>
  <c r="D26" i="26"/>
  <c r="L26" i="26" s="1"/>
  <c r="D25" i="26"/>
  <c r="L25" i="26" s="1"/>
  <c r="D24" i="26"/>
  <c r="L24" i="26" s="1"/>
  <c r="D23" i="26"/>
  <c r="L23" i="26" s="1"/>
  <c r="D22" i="26"/>
  <c r="L22" i="26" s="1"/>
  <c r="D21" i="26"/>
  <c r="L21" i="26" s="1"/>
  <c r="D20" i="26"/>
  <c r="L20" i="26" s="1"/>
  <c r="D19" i="26"/>
  <c r="L19" i="26" s="1"/>
  <c r="L18" i="26"/>
  <c r="D17" i="26"/>
  <c r="L17" i="26" s="1"/>
  <c r="D16" i="26"/>
  <c r="L16" i="26" s="1"/>
  <c r="D15" i="26"/>
  <c r="L15" i="26" s="1"/>
  <c r="D14" i="26"/>
  <c r="L14" i="26" s="1"/>
  <c r="D13" i="26"/>
  <c r="L13" i="26" s="1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39" i="27"/>
  <c r="H39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1" i="29"/>
  <c r="H21" i="29" s="1"/>
  <c r="G29" i="29"/>
  <c r="H29" i="29" s="1"/>
  <c r="G33" i="29"/>
  <c r="H33" i="29" s="1"/>
  <c r="G37" i="29"/>
  <c r="H37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9" i="36"/>
  <c r="H29" i="36" s="1"/>
  <c r="G37" i="36"/>
  <c r="H37" i="36" s="1"/>
  <c r="G41" i="36"/>
  <c r="H41" i="36" s="1"/>
  <c r="G45" i="36"/>
  <c r="H45" i="36" s="1"/>
  <c r="G49" i="36"/>
  <c r="H49" i="36" s="1"/>
  <c r="G53" i="36"/>
  <c r="H53" i="36" s="1"/>
  <c r="G12" i="37"/>
  <c r="H12" i="37" s="1"/>
  <c r="G16" i="37"/>
  <c r="H16" i="37" s="1"/>
  <c r="G20" i="37"/>
  <c r="H20" i="37" s="1"/>
  <c r="G28" i="37"/>
  <c r="H28" i="37" s="1"/>
  <c r="G32" i="37"/>
  <c r="H32" i="37" s="1"/>
  <c r="G40" i="37"/>
  <c r="H40" i="37" s="1"/>
  <c r="G52" i="37"/>
  <c r="H52" i="37" s="1"/>
  <c r="G12" i="27"/>
  <c r="H12" i="27" s="1"/>
  <c r="G16" i="27"/>
  <c r="H16" i="27" s="1"/>
  <c r="G20" i="27"/>
  <c r="H20" i="27" s="1"/>
  <c r="G24" i="27"/>
  <c r="H24" i="27" s="1"/>
  <c r="G28" i="27"/>
  <c r="H28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0" i="29"/>
  <c r="H10" i="29" s="1"/>
  <c r="G18" i="29"/>
  <c r="H18" i="29" s="1"/>
  <c r="G22" i="29"/>
  <c r="H22" i="29" s="1"/>
  <c r="G26" i="29"/>
  <c r="H26" i="29" s="1"/>
  <c r="G34" i="29"/>
  <c r="H34" i="29" s="1"/>
  <c r="G38" i="29"/>
  <c r="H38" i="29" s="1"/>
  <c r="G42" i="29"/>
  <c r="H42" i="29" s="1"/>
  <c r="G50" i="29"/>
  <c r="H50" i="29" s="1"/>
  <c r="G54" i="29"/>
  <c r="H54" i="29" s="1"/>
  <c r="G13" i="30"/>
  <c r="H13" i="30" s="1"/>
  <c r="G17" i="26"/>
  <c r="H17" i="26" s="1"/>
  <c r="G25" i="26"/>
  <c r="H25" i="26" s="1"/>
  <c r="G41" i="26"/>
  <c r="H41" i="26" s="1"/>
  <c r="G49" i="26"/>
  <c r="H49" i="26" s="1"/>
  <c r="G13" i="26"/>
  <c r="H13" i="26" s="1"/>
  <c r="G21" i="26"/>
  <c r="H21" i="26" s="1"/>
  <c r="G29" i="26"/>
  <c r="H29" i="26" s="1"/>
  <c r="G37" i="26"/>
  <c r="H37" i="26" s="1"/>
  <c r="G45" i="26"/>
  <c r="H45" i="26" s="1"/>
  <c r="G53" i="26"/>
  <c r="H53" i="26" s="1"/>
  <c r="G17" i="30"/>
  <c r="H17" i="30" s="1"/>
  <c r="G25" i="30"/>
  <c r="H25" i="30" s="1"/>
  <c r="G29" i="30"/>
  <c r="H29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52" i="31"/>
  <c r="H52" i="31" s="1"/>
  <c r="G15" i="32"/>
  <c r="H15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8" i="33"/>
  <c r="H18" i="33" s="1"/>
  <c r="G22" i="33"/>
  <c r="H22" i="33" s="1"/>
  <c r="G26" i="33"/>
  <c r="H26" i="33" s="1"/>
  <c r="G30" i="33"/>
  <c r="H30" i="33" s="1"/>
  <c r="G34" i="33"/>
  <c r="H34" i="33" s="1"/>
  <c r="G38" i="33"/>
  <c r="H38" i="33" s="1"/>
  <c r="G42" i="33"/>
  <c r="H42" i="33" s="1"/>
  <c r="G46" i="33"/>
  <c r="H46" i="33" s="1"/>
  <c r="G54" i="33"/>
  <c r="H54" i="33" s="1"/>
  <c r="G22" i="34"/>
  <c r="H22" i="34" s="1"/>
  <c r="G26" i="34"/>
  <c r="H26" i="34" s="1"/>
  <c r="G30" i="34"/>
  <c r="H30" i="34" s="1"/>
  <c r="G34" i="34"/>
  <c r="H34" i="34" s="1"/>
  <c r="G42" i="34"/>
  <c r="H42" i="34" s="1"/>
  <c r="G46" i="34"/>
  <c r="H46" i="34" s="1"/>
  <c r="G50" i="34"/>
  <c r="H50" i="34" s="1"/>
  <c r="G54" i="34"/>
  <c r="H54" i="34" s="1"/>
  <c r="G17" i="35"/>
  <c r="H17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20" i="36"/>
  <c r="H20" i="36" s="1"/>
  <c r="G24" i="36"/>
  <c r="H24" i="36" s="1"/>
  <c r="G28" i="36"/>
  <c r="H28" i="36" s="1"/>
  <c r="G32" i="36"/>
  <c r="H32" i="36" s="1"/>
  <c r="G36" i="36"/>
  <c r="H36" i="36" s="1"/>
  <c r="G40" i="36"/>
  <c r="H40" i="36" s="1"/>
  <c r="G15" i="37"/>
  <c r="H15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51" i="37"/>
  <c r="H51" i="37" s="1"/>
  <c r="G55" i="37"/>
  <c r="H55" i="37" s="1"/>
  <c r="G10" i="26"/>
  <c r="H10" i="26" s="1"/>
  <c r="G14" i="26"/>
  <c r="H14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2" i="28"/>
  <c r="H12" i="28" s="1"/>
  <c r="G11" i="29"/>
  <c r="H11" i="29" s="1"/>
  <c r="G15" i="29"/>
  <c r="H15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1" i="31"/>
  <c r="H21" i="31" s="1"/>
  <c r="G25" i="31"/>
  <c r="H25" i="31" s="1"/>
  <c r="G29" i="31"/>
  <c r="H29" i="31" s="1"/>
  <c r="G33" i="31"/>
  <c r="H33" i="31" s="1"/>
  <c r="G37" i="31"/>
  <c r="H37" i="31" s="1"/>
  <c r="G41" i="31"/>
  <c r="H41" i="31" s="1"/>
  <c r="G45" i="31"/>
  <c r="H45" i="31" s="1"/>
  <c r="G49" i="31"/>
  <c r="H49" i="31" s="1"/>
  <c r="G53" i="31"/>
  <c r="H53" i="31" s="1"/>
  <c r="G12" i="32"/>
  <c r="H12" i="32" s="1"/>
  <c r="G16" i="32"/>
  <c r="H16" i="32" s="1"/>
  <c r="G20" i="32"/>
  <c r="H20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48" i="32"/>
  <c r="H48" i="32" s="1"/>
  <c r="G52" i="32"/>
  <c r="H52" i="32" s="1"/>
  <c r="G11" i="33"/>
  <c r="H11" i="33" s="1"/>
  <c r="G15" i="33"/>
  <c r="H15" i="33" s="1"/>
  <c r="G23" i="33"/>
  <c r="H23" i="33" s="1"/>
  <c r="G27" i="33"/>
  <c r="H27" i="33" s="1"/>
  <c r="G31" i="33"/>
  <c r="H31" i="33" s="1"/>
  <c r="G39" i="33"/>
  <c r="H39" i="33" s="1"/>
  <c r="G43" i="33"/>
  <c r="H43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7" i="34"/>
  <c r="H27" i="34" s="1"/>
  <c r="G31" i="34"/>
  <c r="H31" i="34" s="1"/>
  <c r="G35" i="34"/>
  <c r="H35" i="34" s="1"/>
  <c r="G39" i="34"/>
  <c r="H39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4" i="35"/>
  <c r="H34" i="35" s="1"/>
  <c r="G38" i="35"/>
  <c r="H38" i="35" s="1"/>
  <c r="G42" i="35"/>
  <c r="H42" i="35" s="1"/>
  <c r="G46" i="35"/>
  <c r="H46" i="35" s="1"/>
  <c r="G13" i="28"/>
  <c r="H13" i="28" s="1"/>
  <c r="G11" i="26"/>
  <c r="H11" i="26" s="1"/>
  <c r="G15" i="26"/>
  <c r="H15" i="26" s="1"/>
  <c r="G19" i="26"/>
  <c r="H19" i="26" s="1"/>
  <c r="G23" i="26"/>
  <c r="H23" i="26" s="1"/>
  <c r="G27" i="26"/>
  <c r="H27" i="26" s="1"/>
  <c r="G31" i="26"/>
  <c r="H31" i="26" s="1"/>
  <c r="G35" i="26"/>
  <c r="H35" i="26" s="1"/>
  <c r="G39" i="26"/>
  <c r="H39" i="26" s="1"/>
  <c r="G43" i="26"/>
  <c r="H43" i="26" s="1"/>
  <c r="G51" i="26"/>
  <c r="H51" i="26" s="1"/>
  <c r="G55" i="26"/>
  <c r="H55" i="26" s="1"/>
  <c r="G10" i="27"/>
  <c r="H10" i="27" s="1"/>
  <c r="G14" i="27"/>
  <c r="H14" i="27" s="1"/>
  <c r="G18" i="27"/>
  <c r="H18" i="27" s="1"/>
  <c r="G22" i="27"/>
  <c r="H22" i="27" s="1"/>
  <c r="G26" i="27"/>
  <c r="H26" i="27" s="1"/>
  <c r="G30" i="27"/>
  <c r="H30" i="27" s="1"/>
  <c r="G34" i="27"/>
  <c r="H34" i="27" s="1"/>
  <c r="G38" i="27"/>
  <c r="H38" i="27" s="1"/>
  <c r="G42" i="27"/>
  <c r="H42" i="27" s="1"/>
  <c r="G46" i="27"/>
  <c r="H46" i="27" s="1"/>
  <c r="G50" i="27"/>
  <c r="H50" i="27" s="1"/>
  <c r="G54" i="27"/>
  <c r="H54" i="27" s="1"/>
  <c r="G12" i="29"/>
  <c r="H12" i="29" s="1"/>
  <c r="G16" i="29"/>
  <c r="H16" i="29" s="1"/>
  <c r="G20" i="29"/>
  <c r="H20" i="29" s="1"/>
  <c r="G24" i="29"/>
  <c r="H24" i="29" s="1"/>
  <c r="G28" i="29"/>
  <c r="H28" i="29" s="1"/>
  <c r="G32" i="29"/>
  <c r="H32" i="29" s="1"/>
  <c r="G40" i="29"/>
  <c r="H40" i="29" s="1"/>
  <c r="G44" i="29"/>
  <c r="H44" i="29" s="1"/>
  <c r="G48" i="29"/>
  <c r="H48" i="29" s="1"/>
  <c r="G11" i="30"/>
  <c r="H11" i="30" s="1"/>
  <c r="G15" i="30"/>
  <c r="H15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0" i="31"/>
  <c r="H10" i="31" s="1"/>
  <c r="G14" i="31"/>
  <c r="H14" i="31" s="1"/>
  <c r="G18" i="31"/>
  <c r="H18" i="31" s="1"/>
  <c r="G22" i="31"/>
  <c r="H22" i="31" s="1"/>
  <c r="G26" i="31"/>
  <c r="H26" i="31" s="1"/>
  <c r="G30" i="31"/>
  <c r="H30" i="31" s="1"/>
  <c r="G38" i="31"/>
  <c r="H38" i="31" s="1"/>
  <c r="G42" i="31"/>
  <c r="H42" i="31" s="1"/>
  <c r="G46" i="31"/>
  <c r="H46" i="31" s="1"/>
  <c r="G50" i="31"/>
  <c r="H50" i="31" s="1"/>
  <c r="G54" i="31"/>
  <c r="H54" i="31" s="1"/>
  <c r="G13" i="32"/>
  <c r="H13" i="32" s="1"/>
  <c r="G17" i="32"/>
  <c r="H17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5" i="32"/>
  <c r="H45" i="32" s="1"/>
  <c r="G53" i="32"/>
  <c r="H53" i="32" s="1"/>
  <c r="G12" i="33"/>
  <c r="H12" i="33" s="1"/>
  <c r="G16" i="33"/>
  <c r="H16" i="33" s="1"/>
  <c r="G20" i="33"/>
  <c r="H20" i="33" s="1"/>
  <c r="G28" i="33"/>
  <c r="H28" i="33" s="1"/>
  <c r="G32" i="33"/>
  <c r="H32" i="33" s="1"/>
  <c r="G36" i="33"/>
  <c r="H36" i="33" s="1"/>
  <c r="G44" i="33"/>
  <c r="H44" i="33" s="1"/>
  <c r="G48" i="33"/>
  <c r="H48" i="33" s="1"/>
  <c r="G52" i="33"/>
  <c r="H52" i="33" s="1"/>
  <c r="G11" i="34"/>
  <c r="H11" i="34" s="1"/>
  <c r="G20" i="34"/>
  <c r="H20" i="34" s="1"/>
  <c r="G24" i="34"/>
  <c r="H24" i="34" s="1"/>
  <c r="G32" i="34"/>
  <c r="H32" i="34" s="1"/>
  <c r="G36" i="34"/>
  <c r="H36" i="34" s="1"/>
  <c r="G40" i="34"/>
  <c r="H40" i="34" s="1"/>
  <c r="G44" i="34"/>
  <c r="H44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2" i="36"/>
  <c r="H22" i="36" s="1"/>
  <c r="G26" i="36"/>
  <c r="H26" i="36" s="1"/>
  <c r="G30" i="36"/>
  <c r="H30" i="36" s="1"/>
  <c r="G34" i="36"/>
  <c r="H34" i="36" s="1"/>
  <c r="G38" i="36"/>
  <c r="H38" i="36" s="1"/>
  <c r="G46" i="36"/>
  <c r="H46" i="36" s="1"/>
  <c r="G54" i="36"/>
  <c r="H54" i="36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5" i="37"/>
  <c r="H45" i="37" s="1"/>
  <c r="G49" i="37"/>
  <c r="H49" i="37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0" i="32"/>
  <c r="H10" i="32" s="1"/>
  <c r="G14" i="32"/>
  <c r="H14" i="32" s="1"/>
  <c r="G18" i="32"/>
  <c r="H18" i="32" s="1"/>
  <c r="G22" i="32"/>
  <c r="H22" i="32" s="1"/>
  <c r="G30" i="32"/>
  <c r="H30" i="32" s="1"/>
  <c r="G38" i="32"/>
  <c r="H38" i="32" s="1"/>
  <c r="G46" i="32"/>
  <c r="H46" i="32" s="1"/>
  <c r="G50" i="32"/>
  <c r="H50" i="32" s="1"/>
  <c r="G54" i="32"/>
  <c r="H54" i="32" s="1"/>
  <c r="G13" i="33"/>
  <c r="H13" i="33" s="1"/>
  <c r="G17" i="33"/>
  <c r="H17" i="33" s="1"/>
  <c r="G21" i="33"/>
  <c r="H21" i="33" s="1"/>
  <c r="G25" i="33"/>
  <c r="H25" i="33" s="1"/>
  <c r="G33" i="33"/>
  <c r="H33" i="33" s="1"/>
  <c r="G37" i="33"/>
  <c r="H37" i="33" s="1"/>
  <c r="G41" i="33"/>
  <c r="H41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29" i="34"/>
  <c r="H29" i="34" s="1"/>
  <c r="G37" i="34"/>
  <c r="H37" i="34" s="1"/>
  <c r="G41" i="34"/>
  <c r="H41" i="34" s="1"/>
  <c r="G45" i="34"/>
  <c r="H45" i="34" s="1"/>
  <c r="G49" i="34"/>
  <c r="H49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43" i="29"/>
  <c r="E16" i="32"/>
  <c r="E23" i="32"/>
  <c r="E39" i="32"/>
  <c r="E13" i="32"/>
  <c r="E16" i="33"/>
  <c r="E32" i="33"/>
  <c r="E19" i="35"/>
  <c r="E51" i="35"/>
  <c r="E21" i="37"/>
  <c r="E37" i="37"/>
  <c r="E21" i="26"/>
  <c r="E37" i="26"/>
  <c r="E53" i="26"/>
  <c r="E35" i="36"/>
  <c r="E31" i="31"/>
  <c r="E35" i="31"/>
  <c r="E39" i="31"/>
  <c r="E43" i="31"/>
  <c r="E47" i="31"/>
  <c r="E51" i="31"/>
  <c r="E7" i="32"/>
  <c r="E10" i="32"/>
  <c r="E15" i="32"/>
  <c r="E41" i="32"/>
  <c r="E45" i="32"/>
  <c r="E10" i="33"/>
  <c r="E34" i="33"/>
  <c r="E53" i="36"/>
  <c r="E42" i="37"/>
  <c r="E7" i="31"/>
  <c r="E10" i="31"/>
  <c r="E14" i="31"/>
  <c r="E18" i="31"/>
  <c r="E22" i="31"/>
  <c r="E26" i="31"/>
  <c r="E30" i="31"/>
  <c r="E38" i="31"/>
  <c r="E42" i="31"/>
  <c r="E46" i="31"/>
  <c r="E50" i="31"/>
  <c r="E54" i="31"/>
  <c r="E57" i="31"/>
  <c r="E9" i="32"/>
  <c r="E14" i="32"/>
  <c r="E20" i="32"/>
  <c r="E32" i="32"/>
  <c r="E36" i="32"/>
  <c r="E38" i="32"/>
  <c r="E47" i="32"/>
  <c r="E51" i="32"/>
  <c r="E53" i="32"/>
  <c r="E9" i="33"/>
  <c r="E23" i="33"/>
  <c r="E28" i="33"/>
  <c r="E33" i="33"/>
  <c r="E36" i="33"/>
  <c r="E46" i="33"/>
  <c r="E53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4" i="32"/>
  <c r="E28" i="32"/>
  <c r="E30" i="32"/>
  <c r="E43" i="32"/>
  <c r="E7" i="33"/>
  <c r="E15" i="33"/>
  <c r="E20" i="33"/>
  <c r="E44" i="33"/>
  <c r="E10" i="34"/>
  <c r="E30" i="36"/>
  <c r="E44" i="36"/>
  <c r="E9" i="37"/>
  <c r="E9" i="31"/>
  <c r="E13" i="31"/>
  <c r="E17" i="31"/>
  <c r="E21" i="31"/>
  <c r="E25" i="31"/>
  <c r="E29" i="31"/>
  <c r="E33" i="31"/>
  <c r="E37" i="31"/>
  <c r="E41" i="31"/>
  <c r="E45" i="31"/>
  <c r="E49" i="31"/>
  <c r="E53" i="31"/>
  <c r="E12" i="32"/>
  <c r="E25" i="32"/>
  <c r="E27" i="32"/>
  <c r="E29" i="32"/>
  <c r="E40" i="32"/>
  <c r="E44" i="32"/>
  <c r="E46" i="32"/>
  <c r="E57" i="32"/>
  <c r="E13" i="33"/>
  <c r="E18" i="33"/>
  <c r="E22" i="33"/>
  <c r="E27" i="33"/>
  <c r="E31" i="33"/>
  <c r="E39" i="33"/>
  <c r="E42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11" i="31"/>
  <c r="E15" i="31"/>
  <c r="E19" i="31"/>
  <c r="E23" i="31"/>
  <c r="E55" i="31"/>
  <c r="E21" i="32"/>
  <c r="E25" i="33"/>
  <c r="E37" i="33"/>
  <c r="E42" i="34"/>
  <c r="E12" i="31"/>
  <c r="E16" i="31"/>
  <c r="E20" i="31"/>
  <c r="E24" i="31"/>
  <c r="E28" i="31"/>
  <c r="E32" i="31"/>
  <c r="E36" i="31"/>
  <c r="E40" i="31"/>
  <c r="E44" i="31"/>
  <c r="E48" i="31"/>
  <c r="E52" i="31"/>
  <c r="E17" i="32"/>
  <c r="E18" i="32"/>
  <c r="E22" i="32"/>
  <c r="E31" i="32"/>
  <c r="E33" i="32"/>
  <c r="E35" i="32"/>
  <c r="E37" i="32"/>
  <c r="E48" i="32"/>
  <c r="E50" i="32"/>
  <c r="E52" i="32"/>
  <c r="E54" i="32"/>
  <c r="E11" i="33"/>
  <c r="E12" i="33"/>
  <c r="E17" i="33"/>
  <c r="E21" i="33"/>
  <c r="E26" i="33"/>
  <c r="E30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52" i="37"/>
  <c r="E20" i="34"/>
  <c r="E24" i="34"/>
  <c r="E32" i="34"/>
  <c r="E36" i="34"/>
  <c r="E40" i="34"/>
  <c r="E45" i="34"/>
  <c r="E49" i="34"/>
  <c r="E17" i="35"/>
  <c r="E22" i="35"/>
  <c r="E26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8" i="36"/>
  <c r="E47" i="36"/>
  <c r="E52" i="36"/>
  <c r="E14" i="37"/>
  <c r="E35" i="37"/>
  <c r="E40" i="37"/>
  <c r="E46" i="37"/>
  <c r="E51" i="37"/>
  <c r="E57" i="33"/>
  <c r="E9" i="34"/>
  <c r="E19" i="34"/>
  <c r="E27" i="34"/>
  <c r="E31" i="34"/>
  <c r="E35" i="34"/>
  <c r="E39" i="34"/>
  <c r="E44" i="34"/>
  <c r="E52" i="34"/>
  <c r="E12" i="35"/>
  <c r="E16" i="35"/>
  <c r="E25" i="35"/>
  <c r="E34" i="35"/>
  <c r="E35" i="35"/>
  <c r="E44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1" i="36"/>
  <c r="E55" i="36"/>
  <c r="E7" i="37"/>
  <c r="E12" i="37"/>
  <c r="E18" i="37"/>
  <c r="E23" i="37"/>
  <c r="E28" i="37"/>
  <c r="E29" i="37"/>
  <c r="E34" i="37"/>
  <c r="E39" i="37"/>
  <c r="E44" i="37"/>
  <c r="E45" i="37"/>
  <c r="E50" i="37"/>
  <c r="E55" i="37"/>
  <c r="E38" i="33"/>
  <c r="E43" i="33"/>
  <c r="E47" i="33"/>
  <c r="E52" i="33"/>
  <c r="E12" i="34"/>
  <c r="E22" i="34"/>
  <c r="E26" i="34"/>
  <c r="E30" i="34"/>
  <c r="E34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22" i="29"/>
  <c r="E38" i="29"/>
  <c r="E42" i="29"/>
  <c r="E47" i="29"/>
  <c r="E7" i="30"/>
  <c r="E14" i="30"/>
  <c r="E18" i="30"/>
  <c r="E50" i="30"/>
  <c r="E54" i="30"/>
  <c r="E19" i="27"/>
  <c r="E24" i="27"/>
  <c r="E35" i="27"/>
  <c r="E40" i="27"/>
  <c r="E46" i="27"/>
  <c r="E51" i="27"/>
  <c r="E13" i="29"/>
  <c r="E17" i="29"/>
  <c r="E21" i="29"/>
  <c r="E29" i="29"/>
  <c r="E33" i="29"/>
  <c r="E37" i="29"/>
  <c r="E50" i="29"/>
  <c r="E54" i="29"/>
  <c r="E57" i="29"/>
  <c r="E9" i="30"/>
  <c r="E17" i="30"/>
  <c r="E25" i="30"/>
  <c r="E41" i="30"/>
  <c r="E45" i="30"/>
  <c r="E49" i="30"/>
  <c r="E53" i="30"/>
  <c r="E7" i="27"/>
  <c r="E12" i="27"/>
  <c r="E13" i="27"/>
  <c r="E18" i="27"/>
  <c r="E23" i="27"/>
  <c r="E28" i="27"/>
  <c r="E29" i="27"/>
  <c r="E34" i="27"/>
  <c r="E39" i="27"/>
  <c r="E44" i="27"/>
  <c r="E45" i="27"/>
  <c r="E50" i="27"/>
  <c r="E54" i="27"/>
  <c r="E57" i="27"/>
  <c r="E9" i="28"/>
  <c r="E10" i="28"/>
  <c r="E12" i="29"/>
  <c r="E16" i="29"/>
  <c r="E20" i="29"/>
  <c r="E24" i="29"/>
  <c r="E28" i="29"/>
  <c r="E32" i="29"/>
  <c r="E40" i="29"/>
  <c r="E45" i="29"/>
  <c r="E49" i="29"/>
  <c r="E53" i="29"/>
  <c r="E12" i="30"/>
  <c r="E16" i="30"/>
  <c r="E20" i="30"/>
  <c r="E24" i="30"/>
  <c r="E28" i="30"/>
  <c r="E32" i="30"/>
  <c r="E36" i="30"/>
  <c r="E40" i="30"/>
  <c r="E48" i="30"/>
  <c r="E52" i="30"/>
  <c r="E10" i="27"/>
  <c r="E20" i="27"/>
  <c r="E26" i="27"/>
  <c r="E31" i="27"/>
  <c r="E36" i="27"/>
  <c r="E42" i="27"/>
  <c r="E47" i="27"/>
  <c r="E52" i="27"/>
  <c r="E12" i="28"/>
  <c r="E9" i="29"/>
  <c r="E18" i="29"/>
  <c r="E26" i="29"/>
  <c r="E34" i="29"/>
  <c r="E51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30" i="27"/>
  <c r="E41" i="27"/>
  <c r="E55" i="27"/>
  <c r="E7" i="28"/>
  <c r="E11" i="28"/>
  <c r="E13" i="30"/>
  <c r="E29" i="30"/>
  <c r="E37" i="30"/>
  <c r="E11" i="27"/>
  <c r="E16" i="27"/>
  <c r="E22" i="27"/>
  <c r="E27" i="27"/>
  <c r="E32" i="27"/>
  <c r="E38" i="27"/>
  <c r="E43" i="27"/>
  <c r="E48" i="27"/>
  <c r="E53" i="27"/>
  <c r="E7" i="29"/>
  <c r="E10" i="29"/>
  <c r="E11" i="29"/>
  <c r="E15" i="29"/>
  <c r="E23" i="29"/>
  <c r="E27" i="29"/>
  <c r="E31" i="29"/>
  <c r="E35" i="29"/>
  <c r="E39" i="29"/>
  <c r="E44" i="29"/>
  <c r="E48" i="29"/>
  <c r="E11" i="30"/>
  <c r="E15" i="30"/>
  <c r="E19" i="30"/>
  <c r="E23" i="30"/>
  <c r="E27" i="30"/>
  <c r="E31" i="30"/>
  <c r="E35" i="30"/>
  <c r="E39" i="30"/>
  <c r="E43" i="30"/>
  <c r="E47" i="30"/>
  <c r="E51" i="30"/>
  <c r="E55" i="30"/>
  <c r="E9" i="26"/>
  <c r="E30" i="26"/>
  <c r="E35" i="26"/>
  <c r="E40" i="26"/>
  <c r="E7" i="26"/>
  <c r="E12" i="26"/>
  <c r="E13" i="26"/>
  <c r="E23" i="26"/>
  <c r="E28" i="26"/>
  <c r="E29" i="26"/>
  <c r="E34" i="26"/>
  <c r="E39" i="26"/>
  <c r="E44" i="26"/>
  <c r="E45" i="26"/>
  <c r="E50" i="26"/>
  <c r="E55" i="26"/>
  <c r="E11" i="26"/>
  <c r="E16" i="26"/>
  <c r="E17" i="26"/>
  <c r="E22" i="26"/>
  <c r="E27" i="26"/>
  <c r="E32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2" i="26"/>
  <c r="E52" i="26"/>
  <c r="I38" i="29" l="1"/>
  <c r="J38" i="29" s="1"/>
  <c r="I35" i="29"/>
  <c r="I48" i="29"/>
  <c r="I54" i="29"/>
  <c r="I13" i="29"/>
  <c r="I39" i="29"/>
  <c r="I9" i="29"/>
  <c r="I12" i="29"/>
  <c r="I18" i="29"/>
  <c r="I20" i="29"/>
  <c r="I7" i="29"/>
  <c r="J7" i="29" s="1"/>
  <c r="I32" i="29"/>
  <c r="I24" i="29"/>
  <c r="I33" i="29"/>
  <c r="I51" i="29"/>
  <c r="I47" i="29"/>
  <c r="I37" i="29"/>
  <c r="I43" i="29"/>
  <c r="I44" i="29"/>
  <c r="I45" i="29"/>
  <c r="I28" i="29"/>
  <c r="I16" i="29"/>
  <c r="I50" i="29"/>
  <c r="I31" i="29"/>
  <c r="I34" i="29"/>
  <c r="I27" i="29"/>
  <c r="I22" i="29"/>
  <c r="I49" i="29"/>
  <c r="I57" i="29"/>
  <c r="J57" i="29" s="1"/>
  <c r="Q17" i="29" s="1"/>
  <c r="I21" i="29"/>
  <c r="I15" i="29"/>
  <c r="I26" i="29"/>
  <c r="J26" i="29" s="1"/>
  <c r="I11" i="29"/>
  <c r="I55" i="29"/>
  <c r="J55" i="29" s="1"/>
  <c r="I53" i="29"/>
  <c r="I40" i="29"/>
  <c r="I29" i="29"/>
  <c r="I17" i="29"/>
  <c r="I23" i="29"/>
  <c r="I42" i="29"/>
  <c r="I10" i="29"/>
  <c r="I57" i="35"/>
  <c r="J57" i="35" s="1"/>
  <c r="Q17" i="35" s="1"/>
  <c r="I53" i="35"/>
  <c r="I44" i="35"/>
  <c r="I35" i="35"/>
  <c r="I34" i="35"/>
  <c r="I25" i="35"/>
  <c r="I16" i="35"/>
  <c r="I12" i="35"/>
  <c r="I54" i="35"/>
  <c r="I49" i="35"/>
  <c r="I45" i="35"/>
  <c r="I40" i="35"/>
  <c r="I36" i="35"/>
  <c r="I31" i="35"/>
  <c r="I27" i="35"/>
  <c r="I26" i="35"/>
  <c r="I22" i="35"/>
  <c r="I17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2" i="37"/>
  <c r="I7" i="37"/>
  <c r="J7" i="37" s="1"/>
  <c r="I51" i="37"/>
  <c r="I46" i="37"/>
  <c r="I40" i="37"/>
  <c r="I35" i="37"/>
  <c r="I25" i="37"/>
  <c r="I14" i="37"/>
  <c r="I9" i="37"/>
  <c r="I52" i="37"/>
  <c r="I42" i="37"/>
  <c r="I37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41" i="31"/>
  <c r="I37" i="31"/>
  <c r="I33" i="31"/>
  <c r="I29" i="31"/>
  <c r="I25" i="31"/>
  <c r="I21" i="31"/>
  <c r="I17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8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52" i="31"/>
  <c r="I48" i="31"/>
  <c r="I44" i="31"/>
  <c r="I40" i="31"/>
  <c r="I36" i="31"/>
  <c r="I32" i="31"/>
  <c r="I55" i="36"/>
  <c r="I51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3" i="36"/>
  <c r="I38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1" i="36"/>
  <c r="I12" i="36"/>
  <c r="I54" i="36"/>
  <c r="I45" i="36"/>
  <c r="I36" i="36"/>
  <c r="I31" i="36"/>
  <c r="I26" i="36"/>
  <c r="I17" i="36"/>
  <c r="I57" i="36"/>
  <c r="J57" i="36" s="1"/>
  <c r="Q17" i="36" s="1"/>
  <c r="I27" i="36"/>
  <c r="I22" i="36"/>
  <c r="I13" i="36"/>
  <c r="I49" i="36"/>
  <c r="I40" i="36"/>
  <c r="I13" i="32"/>
  <c r="I12" i="32"/>
  <c r="I18" i="32"/>
  <c r="I17" i="32"/>
  <c r="I20" i="32"/>
  <c r="I14" i="32"/>
  <c r="I9" i="32"/>
  <c r="I16" i="32"/>
  <c r="I15" i="32"/>
  <c r="I10" i="32"/>
  <c r="I7" i="32"/>
  <c r="J7" i="32" s="1"/>
  <c r="I15" i="34"/>
  <c r="I52" i="34"/>
  <c r="I44" i="34"/>
  <c r="I39" i="34"/>
  <c r="I35" i="34"/>
  <c r="I31" i="34"/>
  <c r="I27" i="34"/>
  <c r="I19" i="34"/>
  <c r="I9" i="34"/>
  <c r="I49" i="34"/>
  <c r="I45" i="34"/>
  <c r="I41" i="34"/>
  <c r="I40" i="34"/>
  <c r="I36" i="34"/>
  <c r="I32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29" i="34"/>
  <c r="I25" i="34"/>
  <c r="I21" i="34"/>
  <c r="I34" i="34"/>
  <c r="I11" i="34"/>
  <c r="I17" i="34"/>
  <c r="I55" i="34"/>
  <c r="I30" i="34"/>
  <c r="I12" i="34"/>
  <c r="I47" i="34"/>
  <c r="I22" i="34"/>
  <c r="I51" i="34"/>
  <c r="I26" i="34"/>
  <c r="I57" i="33"/>
  <c r="J57" i="33" s="1"/>
  <c r="Q17" i="33" s="1"/>
  <c r="I53" i="33"/>
  <c r="I49" i="33"/>
  <c r="I44" i="33"/>
  <c r="I39" i="33"/>
  <c r="I55" i="33"/>
  <c r="I52" i="33"/>
  <c r="I42" i="33"/>
  <c r="I32" i="33"/>
  <c r="I31" i="33"/>
  <c r="I27" i="33"/>
  <c r="I22" i="33"/>
  <c r="I18" i="33"/>
  <c r="I13" i="33"/>
  <c r="I54" i="33"/>
  <c r="I41" i="33"/>
  <c r="I38" i="33"/>
  <c r="I30" i="33"/>
  <c r="I46" i="33"/>
  <c r="I43" i="33"/>
  <c r="I36" i="33"/>
  <c r="I33" i="33"/>
  <c r="I28" i="33"/>
  <c r="I23" i="33"/>
  <c r="I9" i="33"/>
  <c r="I48" i="33"/>
  <c r="I21" i="33"/>
  <c r="I17" i="33"/>
  <c r="I12" i="33"/>
  <c r="I11" i="33"/>
  <c r="I47" i="33"/>
  <c r="I37" i="33"/>
  <c r="I34" i="33"/>
  <c r="I25" i="33"/>
  <c r="I20" i="33"/>
  <c r="I16" i="33"/>
  <c r="I15" i="33"/>
  <c r="I10" i="33"/>
  <c r="I7" i="33"/>
  <c r="J7" i="33" s="1"/>
  <c r="I51" i="33"/>
  <c r="I26" i="33"/>
  <c r="I52" i="30"/>
  <c r="I48" i="30"/>
  <c r="I40" i="30"/>
  <c r="I36" i="30"/>
  <c r="I32" i="30"/>
  <c r="I28" i="30"/>
  <c r="I24" i="30"/>
  <c r="I20" i="30"/>
  <c r="I16" i="30"/>
  <c r="I12" i="30"/>
  <c r="I46" i="30"/>
  <c r="I38" i="30"/>
  <c r="I30" i="30"/>
  <c r="I22" i="30"/>
  <c r="I14" i="30"/>
  <c r="I47" i="30"/>
  <c r="I43" i="30"/>
  <c r="I39" i="30"/>
  <c r="I35" i="30"/>
  <c r="I31" i="30"/>
  <c r="I27" i="30"/>
  <c r="I23" i="30"/>
  <c r="I11" i="30"/>
  <c r="I53" i="30"/>
  <c r="I49" i="30"/>
  <c r="I45" i="30"/>
  <c r="I41" i="30"/>
  <c r="I37" i="30"/>
  <c r="I29" i="30"/>
  <c r="I25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15" i="30"/>
  <c r="I55" i="28"/>
  <c r="I50" i="28"/>
  <c r="I46" i="28"/>
  <c r="I42" i="28"/>
  <c r="I38" i="28"/>
  <c r="I34" i="28"/>
  <c r="I30" i="28"/>
  <c r="I26" i="28"/>
  <c r="I22" i="28"/>
  <c r="I18" i="28"/>
  <c r="I14" i="28"/>
  <c r="I10" i="28"/>
  <c r="I9" i="28"/>
  <c r="I24" i="28"/>
  <c r="I20" i="28"/>
  <c r="I12" i="28"/>
  <c r="I45" i="28"/>
  <c r="I37" i="28"/>
  <c r="I29" i="28"/>
  <c r="I21" i="28"/>
  <c r="I13" i="28"/>
  <c r="I52" i="28"/>
  <c r="I51" i="28"/>
  <c r="I47" i="28"/>
  <c r="I43" i="28"/>
  <c r="I39" i="28"/>
  <c r="I35" i="28"/>
  <c r="I31" i="28"/>
  <c r="I27" i="28"/>
  <c r="I19" i="28"/>
  <c r="I15" i="28"/>
  <c r="I11" i="28"/>
  <c r="I7" i="28"/>
  <c r="J7" i="28" s="1"/>
  <c r="I53" i="28"/>
  <c r="I48" i="28"/>
  <c r="I44" i="28"/>
  <c r="I40" i="28"/>
  <c r="I36" i="28"/>
  <c r="I32" i="28"/>
  <c r="I28" i="28"/>
  <c r="I16" i="28"/>
  <c r="I57" i="28"/>
  <c r="J57" i="28" s="1"/>
  <c r="Q17" i="28" s="1"/>
  <c r="I54" i="28"/>
  <c r="I49" i="28"/>
  <c r="I41" i="28"/>
  <c r="I33" i="28"/>
  <c r="I25" i="28"/>
  <c r="I17" i="28"/>
  <c r="I57" i="27"/>
  <c r="J57" i="27" s="1"/>
  <c r="Q17" i="27" s="1"/>
  <c r="I54" i="27"/>
  <c r="I50" i="27"/>
  <c r="I45" i="27"/>
  <c r="I44" i="27"/>
  <c r="I39" i="27"/>
  <c r="I34" i="27"/>
  <c r="I29" i="27"/>
  <c r="I28" i="27"/>
  <c r="I23" i="27"/>
  <c r="I18" i="27"/>
  <c r="I13" i="27"/>
  <c r="I12" i="27"/>
  <c r="I7" i="27"/>
  <c r="J7" i="27" s="1"/>
  <c r="I42" i="27"/>
  <c r="I31" i="27"/>
  <c r="I15" i="27"/>
  <c r="I10" i="27"/>
  <c r="I53" i="27"/>
  <c r="I49" i="27"/>
  <c r="I48" i="27"/>
  <c r="I43" i="27"/>
  <c r="I38" i="27"/>
  <c r="I33" i="27"/>
  <c r="I32" i="27"/>
  <c r="I27" i="27"/>
  <c r="I22" i="27"/>
  <c r="I11" i="27"/>
  <c r="I55" i="27"/>
  <c r="I51" i="27"/>
  <c r="I46" i="27"/>
  <c r="I41" i="27"/>
  <c r="I40" i="27"/>
  <c r="I35" i="27"/>
  <c r="I30" i="27"/>
  <c r="I25" i="27"/>
  <c r="I24" i="27"/>
  <c r="I19" i="27"/>
  <c r="I14" i="27"/>
  <c r="I9" i="27"/>
  <c r="I52" i="27"/>
  <c r="I47" i="27"/>
  <c r="I37" i="27"/>
  <c r="I36" i="27"/>
  <c r="I26" i="27"/>
  <c r="I21" i="27"/>
  <c r="I20" i="27"/>
  <c r="I17" i="27"/>
  <c r="I16" i="27"/>
  <c r="I57" i="26"/>
  <c r="J57" i="26" s="1"/>
  <c r="Q17" i="26" s="1"/>
  <c r="I54" i="26"/>
  <c r="I49" i="26"/>
  <c r="I48" i="26"/>
  <c r="I43" i="26"/>
  <c r="I38" i="26"/>
  <c r="I32" i="26"/>
  <c r="I27" i="26"/>
  <c r="I22" i="26"/>
  <c r="I17" i="26"/>
  <c r="I16" i="26"/>
  <c r="I11" i="26"/>
  <c r="I53" i="26"/>
  <c r="I52" i="26"/>
  <c r="I42" i="26"/>
  <c r="I26" i="26"/>
  <c r="I21" i="26"/>
  <c r="I20" i="26"/>
  <c r="I15" i="26"/>
  <c r="I55" i="26"/>
  <c r="I50" i="26"/>
  <c r="I45" i="26"/>
  <c r="I44" i="26"/>
  <c r="I39" i="26"/>
  <c r="I34" i="26"/>
  <c r="I29" i="26"/>
  <c r="I28" i="26"/>
  <c r="I23" i="26"/>
  <c r="I13" i="26"/>
  <c r="I12" i="26"/>
  <c r="I7" i="26"/>
  <c r="J7" i="26" s="1"/>
  <c r="I51" i="26"/>
  <c r="I46" i="26"/>
  <c r="I41" i="26"/>
  <c r="I40" i="26"/>
  <c r="I35" i="26"/>
  <c r="I30" i="26"/>
  <c r="I25" i="26"/>
  <c r="I24" i="26"/>
  <c r="I19" i="26"/>
  <c r="I14" i="26"/>
  <c r="I9" i="26"/>
  <c r="I37" i="26"/>
  <c r="I36" i="26"/>
  <c r="I31" i="26"/>
  <c r="I10" i="26"/>
  <c r="F39" i="29" l="1"/>
  <c r="F20" i="26"/>
  <c r="J19" i="26"/>
  <c r="F35" i="26"/>
  <c r="J34" i="26"/>
  <c r="F53" i="26"/>
  <c r="J52" i="26"/>
  <c r="F50" i="26"/>
  <c r="J49" i="26"/>
  <c r="F10" i="27"/>
  <c r="J9" i="27"/>
  <c r="F40" i="26"/>
  <c r="J39" i="26"/>
  <c r="F54" i="26"/>
  <c r="J53" i="26"/>
  <c r="F39" i="26"/>
  <c r="J38" i="26"/>
  <c r="F21" i="27"/>
  <c r="J20" i="27"/>
  <c r="F31" i="27"/>
  <c r="J30" i="27"/>
  <c r="F23" i="27"/>
  <c r="J22" i="27"/>
  <c r="F54" i="27"/>
  <c r="J53" i="27"/>
  <c r="F35" i="27"/>
  <c r="J34" i="27"/>
  <c r="F55" i="28"/>
  <c r="J54" i="28"/>
  <c r="F48" i="28"/>
  <c r="J47" i="28"/>
  <c r="F32" i="26"/>
  <c r="J31" i="26"/>
  <c r="F15" i="26"/>
  <c r="J14" i="26"/>
  <c r="F31" i="26"/>
  <c r="J30" i="26"/>
  <c r="J46" i="26"/>
  <c r="F14" i="26"/>
  <c r="J13" i="26"/>
  <c r="F30" i="26"/>
  <c r="J29" i="26"/>
  <c r="F46" i="26"/>
  <c r="J45" i="26"/>
  <c r="F21" i="26"/>
  <c r="J20" i="26"/>
  <c r="F48" i="26"/>
  <c r="F17" i="26"/>
  <c r="J16" i="26"/>
  <c r="J32" i="26"/>
  <c r="F49" i="26"/>
  <c r="J48" i="26"/>
  <c r="F17" i="27"/>
  <c r="J16" i="27"/>
  <c r="F27" i="27"/>
  <c r="J26" i="27"/>
  <c r="F53" i="27"/>
  <c r="J52" i="27"/>
  <c r="F25" i="27"/>
  <c r="J24" i="27"/>
  <c r="F41" i="27"/>
  <c r="J40" i="27"/>
  <c r="F57" i="27"/>
  <c r="J55" i="27"/>
  <c r="F33" i="27"/>
  <c r="J32" i="27"/>
  <c r="F49" i="27"/>
  <c r="J48" i="27"/>
  <c r="F16" i="27"/>
  <c r="J15" i="27"/>
  <c r="F13" i="27"/>
  <c r="J12" i="27"/>
  <c r="F29" i="27"/>
  <c r="J28" i="27"/>
  <c r="F45" i="27"/>
  <c r="J44" i="27"/>
  <c r="F42" i="28"/>
  <c r="J41" i="28"/>
  <c r="F17" i="28"/>
  <c r="J16" i="28"/>
  <c r="F41" i="28"/>
  <c r="J40" i="28"/>
  <c r="F24" i="28"/>
  <c r="F40" i="28"/>
  <c r="J39" i="28"/>
  <c r="F53" i="28"/>
  <c r="J52" i="28"/>
  <c r="F38" i="28"/>
  <c r="J37" i="28"/>
  <c r="F25" i="28"/>
  <c r="J24" i="28"/>
  <c r="F19" i="28"/>
  <c r="J18" i="28"/>
  <c r="F35" i="28"/>
  <c r="J34" i="28"/>
  <c r="F51" i="28"/>
  <c r="J50" i="28"/>
  <c r="F52" i="30"/>
  <c r="J51" i="30"/>
  <c r="F19" i="30"/>
  <c r="J18" i="30"/>
  <c r="F51" i="30"/>
  <c r="J50" i="30"/>
  <c r="F14" i="30"/>
  <c r="J13" i="30"/>
  <c r="F30" i="30"/>
  <c r="J29" i="30"/>
  <c r="F46" i="30"/>
  <c r="J45" i="30"/>
  <c r="F24" i="30"/>
  <c r="J23" i="30"/>
  <c r="F40" i="30"/>
  <c r="J39" i="30"/>
  <c r="F23" i="30"/>
  <c r="J22" i="30"/>
  <c r="F13" i="30"/>
  <c r="J12" i="30"/>
  <c r="F29" i="30"/>
  <c r="J28" i="30"/>
  <c r="F45" i="30"/>
  <c r="F52" i="33"/>
  <c r="J51" i="33"/>
  <c r="F17" i="33"/>
  <c r="J16" i="33"/>
  <c r="J34" i="33"/>
  <c r="F12" i="33"/>
  <c r="J11" i="33"/>
  <c r="F49" i="33"/>
  <c r="J48" i="33"/>
  <c r="J23" i="33"/>
  <c r="F37" i="33"/>
  <c r="J36" i="33"/>
  <c r="F39" i="33"/>
  <c r="J38" i="33"/>
  <c r="J18" i="33"/>
  <c r="F33" i="33"/>
  <c r="J32" i="33"/>
  <c r="F57" i="33"/>
  <c r="J55" i="33"/>
  <c r="J44" i="33"/>
  <c r="F27" i="34"/>
  <c r="J26" i="34"/>
  <c r="J47" i="34"/>
  <c r="J17" i="34"/>
  <c r="F44" i="34"/>
  <c r="F34" i="34"/>
  <c r="F51" i="34"/>
  <c r="J50" i="34"/>
  <c r="F11" i="34"/>
  <c r="J10" i="34"/>
  <c r="F25" i="34"/>
  <c r="J24" i="34"/>
  <c r="F41" i="34"/>
  <c r="J40" i="34"/>
  <c r="F54" i="34"/>
  <c r="F24" i="34"/>
  <c r="F40" i="34"/>
  <c r="J39" i="34"/>
  <c r="F16" i="34"/>
  <c r="J15" i="34"/>
  <c r="F16" i="32"/>
  <c r="J15" i="32"/>
  <c r="J20" i="32"/>
  <c r="F14" i="32"/>
  <c r="J13" i="32"/>
  <c r="F14" i="36"/>
  <c r="J13" i="36"/>
  <c r="F18" i="36"/>
  <c r="J17" i="36"/>
  <c r="F46" i="36"/>
  <c r="J45" i="36"/>
  <c r="F22" i="36"/>
  <c r="J21" i="36"/>
  <c r="F36" i="36"/>
  <c r="J35" i="36"/>
  <c r="F54" i="36"/>
  <c r="J53" i="36"/>
  <c r="J15" i="36"/>
  <c r="F34" i="36"/>
  <c r="F48" i="36"/>
  <c r="J47" i="36"/>
  <c r="F19" i="36"/>
  <c r="J18" i="36"/>
  <c r="J32" i="36"/>
  <c r="F51" i="36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J25" i="31"/>
  <c r="F42" i="31"/>
  <c r="J41" i="31"/>
  <c r="F12" i="37"/>
  <c r="J11" i="37"/>
  <c r="F17" i="37"/>
  <c r="J16" i="37"/>
  <c r="F28" i="37"/>
  <c r="J27" i="37"/>
  <c r="F44" i="37"/>
  <c r="J43" i="37"/>
  <c r="F22" i="37"/>
  <c r="J21" i="37"/>
  <c r="F38" i="37"/>
  <c r="J37" i="37"/>
  <c r="F54" i="37"/>
  <c r="F25" i="37"/>
  <c r="J40" i="37"/>
  <c r="J23" i="37"/>
  <c r="F40" i="37"/>
  <c r="J39" i="37"/>
  <c r="F57" i="37"/>
  <c r="J55" i="37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F22" i="35"/>
  <c r="F36" i="35"/>
  <c r="J35" i="35"/>
  <c r="F54" i="35"/>
  <c r="J53" i="35"/>
  <c r="F20" i="29"/>
  <c r="F24" i="29"/>
  <c r="J23" i="29"/>
  <c r="J40" i="29"/>
  <c r="F35" i="29"/>
  <c r="J34" i="29"/>
  <c r="F29" i="29"/>
  <c r="J28" i="29"/>
  <c r="F44" i="29"/>
  <c r="J43" i="29"/>
  <c r="F26" i="29"/>
  <c r="F10" i="29"/>
  <c r="J9" i="29"/>
  <c r="F49" i="29"/>
  <c r="J48" i="29"/>
  <c r="F52" i="26"/>
  <c r="J51" i="26"/>
  <c r="J17" i="26"/>
  <c r="F18" i="27"/>
  <c r="J17" i="27"/>
  <c r="F37" i="27"/>
  <c r="J36" i="27"/>
  <c r="F42" i="27"/>
  <c r="J41" i="27"/>
  <c r="F12" i="27"/>
  <c r="J11" i="27"/>
  <c r="F34" i="27"/>
  <c r="J33" i="27"/>
  <c r="F50" i="27"/>
  <c r="J49" i="27"/>
  <c r="F32" i="27"/>
  <c r="J31" i="27"/>
  <c r="F14" i="27"/>
  <c r="J13" i="27"/>
  <c r="F30" i="27"/>
  <c r="J29" i="27"/>
  <c r="F46" i="27"/>
  <c r="J45" i="27"/>
  <c r="F18" i="28"/>
  <c r="J17" i="28"/>
  <c r="F50" i="28"/>
  <c r="J49" i="28"/>
  <c r="F29" i="28"/>
  <c r="J28" i="28"/>
  <c r="F45" i="28"/>
  <c r="J44" i="28"/>
  <c r="F12" i="28"/>
  <c r="J11" i="28"/>
  <c r="F28" i="28"/>
  <c r="J27" i="28"/>
  <c r="F44" i="28"/>
  <c r="J43" i="28"/>
  <c r="F14" i="28"/>
  <c r="J13" i="28"/>
  <c r="F46" i="28"/>
  <c r="J45" i="28"/>
  <c r="F10" i="28"/>
  <c r="J9" i="28"/>
  <c r="J22" i="28"/>
  <c r="F39" i="28"/>
  <c r="J38" i="28"/>
  <c r="F57" i="28"/>
  <c r="J55" i="28"/>
  <c r="F57" i="30"/>
  <c r="J55" i="30"/>
  <c r="F27" i="30"/>
  <c r="J26" i="30"/>
  <c r="F55" i="30"/>
  <c r="J54" i="30"/>
  <c r="F18" i="30"/>
  <c r="J17" i="30"/>
  <c r="F34" i="30"/>
  <c r="F50" i="30"/>
  <c r="J49" i="30"/>
  <c r="F28" i="30"/>
  <c r="J27" i="30"/>
  <c r="J43" i="30"/>
  <c r="F31" i="30"/>
  <c r="J30" i="30"/>
  <c r="F17" i="30"/>
  <c r="J16" i="30"/>
  <c r="J32" i="30"/>
  <c r="F49" i="30"/>
  <c r="J48" i="30"/>
  <c r="F21" i="33"/>
  <c r="J20" i="33"/>
  <c r="F38" i="33"/>
  <c r="J37" i="33"/>
  <c r="F13" i="33"/>
  <c r="J12" i="33"/>
  <c r="F10" i="33"/>
  <c r="J9" i="33"/>
  <c r="F25" i="33"/>
  <c r="F44" i="33"/>
  <c r="J43" i="33"/>
  <c r="F42" i="33"/>
  <c r="J41" i="33"/>
  <c r="F23" i="33"/>
  <c r="J22" i="33"/>
  <c r="F43" i="33"/>
  <c r="J42" i="33"/>
  <c r="F36" i="33"/>
  <c r="J49" i="33"/>
  <c r="F52" i="34"/>
  <c r="J51" i="34"/>
  <c r="J12" i="34"/>
  <c r="F12" i="34"/>
  <c r="J11" i="34"/>
  <c r="F22" i="34"/>
  <c r="J21" i="34"/>
  <c r="J37" i="34"/>
  <c r="F55" i="34"/>
  <c r="J54" i="34"/>
  <c r="F15" i="34"/>
  <c r="J14" i="34"/>
  <c r="F29" i="34"/>
  <c r="F42" i="34"/>
  <c r="J41" i="34"/>
  <c r="F10" i="34"/>
  <c r="J9" i="34"/>
  <c r="J27" i="34"/>
  <c r="F45" i="34"/>
  <c r="J44" i="34"/>
  <c r="F12" i="32"/>
  <c r="F17" i="32"/>
  <c r="J16" i="32"/>
  <c r="F18" i="32"/>
  <c r="J17" i="32"/>
  <c r="F20" i="32"/>
  <c r="F23" i="36"/>
  <c r="J22" i="36"/>
  <c r="F27" i="36"/>
  <c r="J26" i="36"/>
  <c r="F55" i="36"/>
  <c r="J54" i="36"/>
  <c r="F26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J51" i="36"/>
  <c r="F41" i="31"/>
  <c r="J40" i="31"/>
  <c r="F12" i="31"/>
  <c r="J11" i="31"/>
  <c r="F28" i="31"/>
  <c r="J27" i="31"/>
  <c r="F44" i="31"/>
  <c r="J43" i="31"/>
  <c r="F29" i="31"/>
  <c r="J28" i="31"/>
  <c r="F19" i="31"/>
  <c r="J18" i="31"/>
  <c r="F35" i="31"/>
  <c r="F51" i="31"/>
  <c r="J50" i="31"/>
  <c r="F17" i="31"/>
  <c r="J16" i="31"/>
  <c r="F14" i="31"/>
  <c r="J13" i="31"/>
  <c r="F30" i="31"/>
  <c r="J29" i="31"/>
  <c r="F46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J25" i="37"/>
  <c r="F42" i="37"/>
  <c r="J12" i="37"/>
  <c r="F29" i="37"/>
  <c r="J28" i="37"/>
  <c r="F45" i="37"/>
  <c r="J44" i="37"/>
  <c r="F11" i="35"/>
  <c r="J10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F53" i="29"/>
  <c r="F18" i="29"/>
  <c r="J17" i="29"/>
  <c r="F54" i="29"/>
  <c r="J53" i="29"/>
  <c r="F16" i="29"/>
  <c r="J15" i="29"/>
  <c r="F50" i="29"/>
  <c r="J49" i="29"/>
  <c r="F32" i="29"/>
  <c r="J31" i="29"/>
  <c r="F37" i="29"/>
  <c r="F38" i="29"/>
  <c r="J37" i="29"/>
  <c r="F34" i="29"/>
  <c r="J33" i="29"/>
  <c r="F21" i="29"/>
  <c r="J20" i="29"/>
  <c r="F40" i="29"/>
  <c r="J39" i="29"/>
  <c r="J35" i="29"/>
  <c r="F36" i="26"/>
  <c r="J35" i="26"/>
  <c r="F51" i="26"/>
  <c r="J50" i="26"/>
  <c r="F38" i="26"/>
  <c r="J37" i="26"/>
  <c r="F27" i="26"/>
  <c r="J26" i="26"/>
  <c r="F15" i="27"/>
  <c r="J14" i="27"/>
  <c r="F19" i="27"/>
  <c r="J18" i="27"/>
  <c r="F26" i="28"/>
  <c r="J25" i="28"/>
  <c r="F49" i="28"/>
  <c r="J48" i="28"/>
  <c r="F32" i="28"/>
  <c r="J31" i="28"/>
  <c r="F22" i="28"/>
  <c r="J21" i="28"/>
  <c r="F13" i="28"/>
  <c r="J12" i="28"/>
  <c r="F11" i="28"/>
  <c r="J10" i="28"/>
  <c r="F27" i="28"/>
  <c r="J26" i="28"/>
  <c r="F43" i="28"/>
  <c r="J42" i="28"/>
  <c r="F16" i="30"/>
  <c r="J15" i="30"/>
  <c r="F35" i="30"/>
  <c r="J34" i="30"/>
  <c r="F22" i="30"/>
  <c r="F38" i="30"/>
  <c r="J37" i="30"/>
  <c r="F54" i="30"/>
  <c r="J53" i="30"/>
  <c r="F32" i="30"/>
  <c r="J31" i="30"/>
  <c r="F48" i="30"/>
  <c r="J47" i="30"/>
  <c r="F39" i="30"/>
  <c r="J38" i="30"/>
  <c r="J20" i="30"/>
  <c r="F37" i="30"/>
  <c r="J36" i="30"/>
  <c r="F53" i="30"/>
  <c r="J52" i="30"/>
  <c r="F11" i="33"/>
  <c r="J10" i="33"/>
  <c r="F26" i="33"/>
  <c r="J25" i="33"/>
  <c r="F48" i="33"/>
  <c r="J47" i="33"/>
  <c r="F18" i="33"/>
  <c r="J17" i="33"/>
  <c r="F15" i="33"/>
  <c r="J28" i="33"/>
  <c r="F47" i="33"/>
  <c r="J46" i="33"/>
  <c r="F55" i="33"/>
  <c r="J54" i="33"/>
  <c r="F28" i="33"/>
  <c r="J27" i="33"/>
  <c r="F46" i="33"/>
  <c r="J39" i="33"/>
  <c r="F54" i="33"/>
  <c r="J53" i="33"/>
  <c r="J22" i="34"/>
  <c r="F31" i="34"/>
  <c r="J30" i="34"/>
  <c r="F19" i="34"/>
  <c r="F26" i="34"/>
  <c r="J25" i="34"/>
  <c r="J42" i="34"/>
  <c r="F17" i="34"/>
  <c r="J16" i="34"/>
  <c r="J32" i="34"/>
  <c r="F46" i="34"/>
  <c r="J45" i="34"/>
  <c r="F14" i="34"/>
  <c r="F32" i="34"/>
  <c r="J31" i="34"/>
  <c r="F49" i="34"/>
  <c r="F10" i="32"/>
  <c r="J9" i="32"/>
  <c r="J18" i="32"/>
  <c r="F41" i="36"/>
  <c r="J40" i="36"/>
  <c r="F28" i="36"/>
  <c r="J27" i="36"/>
  <c r="F32" i="36"/>
  <c r="J31" i="36"/>
  <c r="F13" i="36"/>
  <c r="J12" i="36"/>
  <c r="F31" i="36"/>
  <c r="J30" i="36"/>
  <c r="F45" i="36"/>
  <c r="J44" i="36"/>
  <c r="F11" i="36"/>
  <c r="J10" i="36"/>
  <c r="J24" i="36"/>
  <c r="F43" i="36"/>
  <c r="F10" i="36"/>
  <c r="J9" i="36"/>
  <c r="F24" i="36"/>
  <c r="J23" i="36"/>
  <c r="J41" i="36"/>
  <c r="F57" i="36"/>
  <c r="J55" i="36"/>
  <c r="F45" i="31"/>
  <c r="J44" i="31"/>
  <c r="F16" i="31"/>
  <c r="J15" i="31"/>
  <c r="F32" i="31"/>
  <c r="J31" i="31"/>
  <c r="F48" i="31"/>
  <c r="J47" i="31"/>
  <c r="F23" i="31"/>
  <c r="J22" i="31"/>
  <c r="F39" i="31"/>
  <c r="J38" i="31"/>
  <c r="F55" i="31"/>
  <c r="J54" i="31"/>
  <c r="F21" i="31"/>
  <c r="J20" i="31"/>
  <c r="F18" i="31"/>
  <c r="J17" i="31"/>
  <c r="J33" i="31"/>
  <c r="F50" i="31"/>
  <c r="J49" i="31"/>
  <c r="F50" i="37"/>
  <c r="J49" i="37"/>
  <c r="F39" i="37"/>
  <c r="J38" i="37"/>
  <c r="F18" i="37"/>
  <c r="J17" i="37"/>
  <c r="F16" i="37"/>
  <c r="J15" i="37"/>
  <c r="F32" i="37"/>
  <c r="J31" i="37"/>
  <c r="F48" i="37"/>
  <c r="F15" i="37"/>
  <c r="J14" i="37"/>
  <c r="F31" i="37"/>
  <c r="J46" i="37"/>
  <c r="F14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J12" i="35"/>
  <c r="F31" i="35"/>
  <c r="F45" i="35"/>
  <c r="J44" i="35"/>
  <c r="F11" i="29"/>
  <c r="J10" i="29"/>
  <c r="J29" i="29"/>
  <c r="F22" i="29"/>
  <c r="J21" i="29"/>
  <c r="F23" i="29"/>
  <c r="J22" i="29"/>
  <c r="F51" i="29"/>
  <c r="J50" i="29"/>
  <c r="J45" i="29"/>
  <c r="F48" i="29"/>
  <c r="J47" i="29"/>
  <c r="J24" i="29"/>
  <c r="J18" i="29"/>
  <c r="J13" i="29"/>
  <c r="F37" i="26"/>
  <c r="J36" i="26"/>
  <c r="F19" i="26"/>
  <c r="F22" i="26"/>
  <c r="J21" i="26"/>
  <c r="F34" i="26"/>
  <c r="F26" i="27"/>
  <c r="J25" i="27"/>
  <c r="F25" i="26"/>
  <c r="J24" i="26"/>
  <c r="F41" i="26"/>
  <c r="J40" i="26"/>
  <c r="F24" i="26"/>
  <c r="J23" i="26"/>
  <c r="F57" i="26"/>
  <c r="J55" i="26"/>
  <c r="F23" i="26"/>
  <c r="J22" i="26"/>
  <c r="F55" i="26"/>
  <c r="J54" i="26"/>
  <c r="F38" i="27"/>
  <c r="J37" i="27"/>
  <c r="F47" i="27"/>
  <c r="J46" i="27"/>
  <c r="F39" i="27"/>
  <c r="J38" i="27"/>
  <c r="F43" i="27"/>
  <c r="J42" i="27"/>
  <c r="F51" i="27"/>
  <c r="J50" i="27"/>
  <c r="F33" i="28"/>
  <c r="J32" i="28"/>
  <c r="F16" i="28"/>
  <c r="J15" i="28"/>
  <c r="F11" i="26"/>
  <c r="J10" i="26"/>
  <c r="F10" i="26"/>
  <c r="J9" i="26"/>
  <c r="F26" i="26"/>
  <c r="J25" i="26"/>
  <c r="F42" i="26"/>
  <c r="J41" i="26"/>
  <c r="F13" i="26"/>
  <c r="J12" i="26"/>
  <c r="F29" i="26"/>
  <c r="J28" i="26"/>
  <c r="F45" i="26"/>
  <c r="J44" i="26"/>
  <c r="F16" i="26"/>
  <c r="J15" i="26"/>
  <c r="F43" i="26"/>
  <c r="J42" i="26"/>
  <c r="F12" i="26"/>
  <c r="J11" i="26"/>
  <c r="F28" i="26"/>
  <c r="J27" i="26"/>
  <c r="F44" i="26"/>
  <c r="J43" i="26"/>
  <c r="F22" i="27"/>
  <c r="J21" i="27"/>
  <c r="F48" i="27"/>
  <c r="J47" i="27"/>
  <c r="F20" i="27"/>
  <c r="J19" i="27"/>
  <c r="F36" i="27"/>
  <c r="J35" i="27"/>
  <c r="F52" i="27"/>
  <c r="J51" i="27"/>
  <c r="F28" i="27"/>
  <c r="J27" i="27"/>
  <c r="F44" i="27"/>
  <c r="J43" i="27"/>
  <c r="F11" i="27"/>
  <c r="J10" i="27"/>
  <c r="F24" i="27"/>
  <c r="J23" i="27"/>
  <c r="F40" i="27"/>
  <c r="J39" i="27"/>
  <c r="F55" i="27"/>
  <c r="J54" i="27"/>
  <c r="F34" i="28"/>
  <c r="J33" i="28"/>
  <c r="F37" i="28"/>
  <c r="J36" i="28"/>
  <c r="F54" i="28"/>
  <c r="J53" i="28"/>
  <c r="F20" i="28"/>
  <c r="J19" i="28"/>
  <c r="F36" i="28"/>
  <c r="J35" i="28"/>
  <c r="F52" i="28"/>
  <c r="J51" i="28"/>
  <c r="F30" i="28"/>
  <c r="J29" i="28"/>
  <c r="F21" i="28"/>
  <c r="J20" i="28"/>
  <c r="F15" i="28"/>
  <c r="J14" i="28"/>
  <c r="F31" i="28"/>
  <c r="J30" i="28"/>
  <c r="F47" i="28"/>
  <c r="J46" i="28"/>
  <c r="F20" i="30"/>
  <c r="J19" i="30"/>
  <c r="F11" i="30"/>
  <c r="J10" i="30"/>
  <c r="F43" i="30"/>
  <c r="J42" i="30"/>
  <c r="F10" i="30"/>
  <c r="J9" i="30"/>
  <c r="F26" i="30"/>
  <c r="J25" i="30"/>
  <c r="F42" i="30"/>
  <c r="J41" i="30"/>
  <c r="F12" i="30"/>
  <c r="J11" i="30"/>
  <c r="F36" i="30"/>
  <c r="J35" i="30"/>
  <c r="F15" i="30"/>
  <c r="J14" i="30"/>
  <c r="F47" i="30"/>
  <c r="J46" i="30"/>
  <c r="F25" i="30"/>
  <c r="J24" i="30"/>
  <c r="F41" i="30"/>
  <c r="J40" i="30"/>
  <c r="F27" i="33"/>
  <c r="J26" i="33"/>
  <c r="F16" i="33"/>
  <c r="J15" i="33"/>
  <c r="F30" i="33"/>
  <c r="F51" i="33"/>
  <c r="F22" i="33"/>
  <c r="J21" i="33"/>
  <c r="F20" i="33"/>
  <c r="F34" i="33"/>
  <c r="J33" i="33"/>
  <c r="F31" i="33"/>
  <c r="J30" i="33"/>
  <c r="J13" i="33"/>
  <c r="F32" i="33"/>
  <c r="J31" i="33"/>
  <c r="F53" i="33"/>
  <c r="J52" i="33"/>
  <c r="F41" i="33"/>
  <c r="F39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J52" i="34"/>
  <c r="J10" i="32"/>
  <c r="F15" i="32"/>
  <c r="J14" i="32"/>
  <c r="F13" i="32"/>
  <c r="J12" i="32"/>
  <c r="J49" i="36"/>
  <c r="F37" i="36"/>
  <c r="J36" i="36"/>
  <c r="F17" i="36"/>
  <c r="F35" i="36"/>
  <c r="J34" i="36"/>
  <c r="F49" i="36"/>
  <c r="J48" i="36"/>
  <c r="F12" i="36"/>
  <c r="J11" i="36"/>
  <c r="F30" i="36"/>
  <c r="J29" i="36"/>
  <c r="F44" i="36"/>
  <c r="J43" i="36"/>
  <c r="F15" i="36"/>
  <c r="J14" i="36"/>
  <c r="F29" i="36"/>
  <c r="J28" i="36"/>
  <c r="F47" i="36"/>
  <c r="J46" i="36"/>
  <c r="F33" i="31"/>
  <c r="J32" i="31"/>
  <c r="F49" i="31"/>
  <c r="J48" i="31"/>
  <c r="F20" i="31"/>
  <c r="J19" i="31"/>
  <c r="F36" i="31"/>
  <c r="J35" i="31"/>
  <c r="F52" i="31"/>
  <c r="J51" i="31"/>
  <c r="F11" i="31"/>
  <c r="J10" i="31"/>
  <c r="F27" i="31"/>
  <c r="J26" i="31"/>
  <c r="F43" i="31"/>
  <c r="J42" i="31"/>
  <c r="F25" i="31"/>
  <c r="J24" i="31"/>
  <c r="F22" i="31"/>
  <c r="J21" i="31"/>
  <c r="F38" i="31"/>
  <c r="J37" i="31"/>
  <c r="F54" i="31"/>
  <c r="J53" i="31"/>
  <c r="F55" i="37"/>
  <c r="J54" i="37"/>
  <c r="F23" i="37"/>
  <c r="J22" i="37"/>
  <c r="F21" i="37"/>
  <c r="J20" i="37"/>
  <c r="F37" i="37"/>
  <c r="J52" i="37"/>
  <c r="F20" i="37"/>
  <c r="J35" i="37"/>
  <c r="F52" i="37"/>
  <c r="J51" i="37"/>
  <c r="J18" i="37"/>
  <c r="F35" i="37"/>
  <c r="J34" i="37"/>
  <c r="F51" i="37"/>
  <c r="J50" i="37"/>
  <c r="J20" i="35"/>
  <c r="J47" i="35"/>
  <c r="F15" i="35"/>
  <c r="J14" i="35"/>
  <c r="F29" i="35"/>
  <c r="J28" i="35"/>
  <c r="F47" i="35"/>
  <c r="J46" i="35"/>
  <c r="F14" i="35"/>
  <c r="F28" i="35"/>
  <c r="J27" i="35"/>
  <c r="F46" i="35"/>
  <c r="J45" i="35"/>
  <c r="F17" i="35"/>
  <c r="J16" i="35"/>
  <c r="F35" i="35"/>
  <c r="J34" i="35"/>
  <c r="F49" i="35"/>
  <c r="F31" i="29"/>
  <c r="F43" i="29"/>
  <c r="J42" i="29"/>
  <c r="F47" i="29"/>
  <c r="F12" i="29"/>
  <c r="J11" i="29"/>
  <c r="F42" i="29"/>
  <c r="F28" i="29"/>
  <c r="J27" i="29"/>
  <c r="F17" i="29"/>
  <c r="J16" i="29"/>
  <c r="F45" i="29"/>
  <c r="J44" i="29"/>
  <c r="J51" i="29"/>
  <c r="F33" i="29"/>
  <c r="J32" i="29"/>
  <c r="F13" i="29"/>
  <c r="J12" i="29"/>
  <c r="F55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1" i="3"/>
  <c r="L12" i="3"/>
  <c r="D13" i="3"/>
  <c r="L13" i="3" s="1"/>
  <c r="D14" i="3"/>
  <c r="L14" i="3" s="1"/>
  <c r="D15" i="3"/>
  <c r="D16" i="3"/>
  <c r="L16" i="3" s="1"/>
  <c r="D17" i="3"/>
  <c r="L17" i="3" s="1"/>
  <c r="D18" i="3"/>
  <c r="L18" i="3" s="1"/>
  <c r="D19" i="3"/>
  <c r="D20" i="3"/>
  <c r="L20" i="3" s="1"/>
  <c r="D21" i="3"/>
  <c r="L21" i="3" s="1"/>
  <c r="D22" i="3"/>
  <c r="L22" i="3" s="1"/>
  <c r="D23" i="3"/>
  <c r="D24" i="3"/>
  <c r="L24" i="3" s="1"/>
  <c r="D25" i="3"/>
  <c r="L25" i="3" s="1"/>
  <c r="D26" i="3"/>
  <c r="L26" i="3" s="1"/>
  <c r="D28" i="3"/>
  <c r="L28" i="3" s="1"/>
  <c r="D29" i="3"/>
  <c r="L29" i="3" s="1"/>
  <c r="D30" i="3"/>
  <c r="L30" i="3" s="1"/>
  <c r="D31" i="3"/>
  <c r="D32" i="3"/>
  <c r="L32" i="3" s="1"/>
  <c r="D33" i="3"/>
  <c r="L33" i="3" s="1"/>
  <c r="D34" i="3"/>
  <c r="L34" i="3" s="1"/>
  <c r="D35" i="3"/>
  <c r="D36" i="3"/>
  <c r="L36" i="3" s="1"/>
  <c r="D37" i="3"/>
  <c r="L37" i="3" s="1"/>
  <c r="D38" i="3"/>
  <c r="L38" i="3" s="1"/>
  <c r="D39" i="3"/>
  <c r="D40" i="3"/>
  <c r="L40" i="3" s="1"/>
  <c r="L41" i="3"/>
  <c r="D42" i="3"/>
  <c r="L42" i="3" s="1"/>
  <c r="D43" i="3"/>
  <c r="D44" i="3"/>
  <c r="L44" i="3" s="1"/>
  <c r="D45" i="3"/>
  <c r="L45" i="3" s="1"/>
  <c r="D46" i="3"/>
  <c r="L46" i="3" s="1"/>
  <c r="D47" i="3"/>
  <c r="D48" i="3"/>
  <c r="L48" i="3" s="1"/>
  <c r="D49" i="3"/>
  <c r="L49" i="3" s="1"/>
  <c r="D50" i="3"/>
  <c r="L50" i="3" s="1"/>
  <c r="D51" i="3"/>
  <c r="D52" i="3"/>
  <c r="L52" i="3" s="1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L12" i="5"/>
  <c r="D13" i="5"/>
  <c r="L13" i="5" s="1"/>
  <c r="D14" i="5"/>
  <c r="L14" i="5" s="1"/>
  <c r="D15" i="5"/>
  <c r="L15" i="5" s="1"/>
  <c r="D16" i="5"/>
  <c r="L16" i="5" s="1"/>
  <c r="D17" i="5"/>
  <c r="L17" i="5" s="1"/>
  <c r="D18" i="5"/>
  <c r="L18" i="5" s="1"/>
  <c r="D19" i="5"/>
  <c r="L19" i="5" s="1"/>
  <c r="D20" i="5"/>
  <c r="L20" i="5" s="1"/>
  <c r="D21" i="5"/>
  <c r="L21" i="5" s="1"/>
  <c r="D22" i="5"/>
  <c r="L22" i="5" s="1"/>
  <c r="D23" i="5"/>
  <c r="L23" i="5" s="1"/>
  <c r="D24" i="5"/>
  <c r="L24" i="5" s="1"/>
  <c r="D25" i="5"/>
  <c r="L25" i="5" s="1"/>
  <c r="L26" i="5"/>
  <c r="L27" i="5"/>
  <c r="D28" i="5"/>
  <c r="L28" i="5" s="1"/>
  <c r="D29" i="5"/>
  <c r="L29" i="5" s="1"/>
  <c r="D30" i="5"/>
  <c r="L30" i="5" s="1"/>
  <c r="D31" i="5"/>
  <c r="L31" i="5" s="1"/>
  <c r="D32" i="5"/>
  <c r="L32" i="5" s="1"/>
  <c r="D33" i="5"/>
  <c r="L33" i="5" s="1"/>
  <c r="D34" i="5"/>
  <c r="L34" i="5" s="1"/>
  <c r="D35" i="5"/>
  <c r="L35" i="5" s="1"/>
  <c r="D36" i="5"/>
  <c r="L36" i="5" s="1"/>
  <c r="D37" i="5"/>
  <c r="L37" i="5" s="1"/>
  <c r="D38" i="5"/>
  <c r="L38" i="5" s="1"/>
  <c r="D39" i="5"/>
  <c r="L39" i="5" s="1"/>
  <c r="D40" i="5"/>
  <c r="L40" i="5" s="1"/>
  <c r="L41" i="5"/>
  <c r="D42" i="5"/>
  <c r="L42" i="5" s="1"/>
  <c r="D43" i="5"/>
  <c r="L43" i="5" s="1"/>
  <c r="D44" i="5"/>
  <c r="L44" i="5" s="1"/>
  <c r="D45" i="5"/>
  <c r="L45" i="5" s="1"/>
  <c r="D46" i="5"/>
  <c r="L46" i="5" s="1"/>
  <c r="D47" i="5"/>
  <c r="L47" i="5" s="1"/>
  <c r="D48" i="5"/>
  <c r="L48" i="5" s="1"/>
  <c r="D49" i="5"/>
  <c r="L49" i="5" s="1"/>
  <c r="D50" i="5"/>
  <c r="L50" i="5" s="1"/>
  <c r="D51" i="5"/>
  <c r="L51" i="5" s="1"/>
  <c r="D52" i="5"/>
  <c r="L52" i="5" s="1"/>
  <c r="D53" i="5"/>
  <c r="L53" i="5" s="1"/>
  <c r="D54" i="5"/>
  <c r="L54" i="5" s="1"/>
  <c r="L55" i="5"/>
  <c r="D56" i="5"/>
  <c r="L56" i="5" s="1"/>
  <c r="D57" i="5"/>
  <c r="L57" i="5" s="1"/>
  <c r="D58" i="5"/>
  <c r="L58" i="5" s="1"/>
  <c r="D59" i="5"/>
  <c r="L59" i="5" s="1"/>
  <c r="D60" i="5"/>
  <c r="L60" i="5" s="1"/>
  <c r="D61" i="5"/>
  <c r="L61" i="5" s="1"/>
  <c r="D62" i="5"/>
  <c r="L62" i="5" s="1"/>
  <c r="D63" i="5"/>
  <c r="L63" i="5" s="1"/>
  <c r="D64" i="5"/>
  <c r="L64" i="5" s="1"/>
  <c r="D65" i="5"/>
  <c r="L65" i="5" s="1"/>
  <c r="D66" i="5"/>
  <c r="L66" i="5" s="1"/>
  <c r="D67" i="5"/>
  <c r="L67" i="5" s="1"/>
  <c r="D68" i="5"/>
  <c r="L68" i="5" s="1"/>
  <c r="L69" i="5"/>
  <c r="D70" i="5"/>
  <c r="L70" i="5" s="1"/>
  <c r="D71" i="5"/>
  <c r="L71" i="5" s="1"/>
  <c r="D72" i="5"/>
  <c r="L72" i="5" s="1"/>
  <c r="D73" i="5"/>
  <c r="L73" i="5" s="1"/>
  <c r="D74" i="5"/>
  <c r="L74" i="5" s="1"/>
  <c r="D75" i="5"/>
  <c r="L75" i="5" s="1"/>
  <c r="D76" i="5"/>
  <c r="L76" i="5" s="1"/>
  <c r="D77" i="5"/>
  <c r="L77" i="5" s="1"/>
  <c r="D78" i="5"/>
  <c r="L78" i="5" s="1"/>
  <c r="D79" i="5"/>
  <c r="L79" i="5" s="1"/>
  <c r="D80" i="5"/>
  <c r="L80" i="5" s="1"/>
  <c r="D81" i="5"/>
  <c r="L81" i="5" s="1"/>
  <c r="D82" i="5"/>
  <c r="L82" i="5" s="1"/>
  <c r="L83" i="5"/>
  <c r="D84" i="5"/>
  <c r="L84" i="5" s="1"/>
  <c r="D85" i="5"/>
  <c r="L85" i="5" s="1"/>
  <c r="D86" i="5"/>
  <c r="L86" i="5" s="1"/>
  <c r="D87" i="5"/>
  <c r="L87" i="5" s="1"/>
  <c r="D88" i="5"/>
  <c r="L88" i="5" s="1"/>
  <c r="D89" i="5"/>
  <c r="L89" i="5" s="1"/>
  <c r="D90" i="5"/>
  <c r="L90" i="5" s="1"/>
  <c r="D91" i="5"/>
  <c r="L91" i="5" s="1"/>
  <c r="D92" i="5"/>
  <c r="L92" i="5" s="1"/>
  <c r="D93" i="5"/>
  <c r="L93" i="5" s="1"/>
  <c r="D94" i="5"/>
  <c r="L94" i="5" s="1"/>
  <c r="D95" i="5"/>
  <c r="L95" i="5" s="1"/>
  <c r="D96" i="5"/>
  <c r="L96" i="5" s="1"/>
  <c r="L97" i="5"/>
  <c r="D98" i="5"/>
  <c r="L98" i="5" s="1"/>
  <c r="D99" i="5"/>
  <c r="L99" i="5" s="1"/>
  <c r="D100" i="5"/>
  <c r="L100" i="5" s="1"/>
  <c r="D101" i="5"/>
  <c r="L101" i="5" s="1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L27" i="3"/>
  <c r="G23" i="3"/>
  <c r="H23" i="3" s="1"/>
  <c r="L23" i="3"/>
  <c r="G19" i="3"/>
  <c r="H19" i="3" s="1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14" i="5"/>
  <c r="H14" i="5" s="1"/>
  <c r="G53" i="3"/>
  <c r="H53" i="3" s="1"/>
  <c r="G49" i="3"/>
  <c r="H49" i="3" s="1"/>
  <c r="G45" i="3"/>
  <c r="H45" i="3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5" i="5"/>
  <c r="H65" i="5" s="1"/>
  <c r="G61" i="5"/>
  <c r="H61" i="5" s="1"/>
  <c r="G57" i="5"/>
  <c r="H57" i="5" s="1"/>
  <c r="G53" i="5"/>
  <c r="H53" i="5" s="1"/>
  <c r="G49" i="5"/>
  <c r="H49" i="5" s="1"/>
  <c r="G45" i="5"/>
  <c r="H45" i="5" s="1"/>
  <c r="G37" i="5"/>
  <c r="H37" i="5" s="1"/>
  <c r="G33" i="5"/>
  <c r="H33" i="5" s="1"/>
  <c r="G29" i="5"/>
  <c r="H29" i="5" s="1"/>
  <c r="G25" i="5"/>
  <c r="H25" i="5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7" i="5"/>
  <c r="H17" i="5" s="1"/>
  <c r="G13" i="5"/>
  <c r="H13" i="5" s="1"/>
  <c r="G52" i="3"/>
  <c r="H52" i="3" s="1"/>
  <c r="G48" i="3"/>
  <c r="H48" i="3" s="1"/>
  <c r="G44" i="3"/>
  <c r="H44" i="3" s="1"/>
  <c r="G40" i="3"/>
  <c r="H40" i="3" s="1"/>
  <c r="G36" i="3"/>
  <c r="H36" i="3" s="1"/>
  <c r="G32" i="3"/>
  <c r="H32" i="3" s="1"/>
  <c r="G28" i="3"/>
  <c r="H28" i="3" s="1"/>
  <c r="G24" i="3"/>
  <c r="H24" i="3" s="1"/>
  <c r="G20" i="3"/>
  <c r="H20" i="3" s="1"/>
  <c r="G16" i="3"/>
  <c r="H16" i="3" s="1"/>
  <c r="G101" i="5"/>
  <c r="H101" i="5" s="1"/>
  <c r="G102" i="5"/>
  <c r="H102" i="5" s="1"/>
  <c r="G104" i="5"/>
  <c r="H104" i="5" s="1"/>
  <c r="G99" i="5"/>
  <c r="H99" i="5" s="1"/>
  <c r="G95" i="5"/>
  <c r="H95" i="5" s="1"/>
  <c r="G91" i="5"/>
  <c r="H91" i="5" s="1"/>
  <c r="G87" i="5"/>
  <c r="H87" i="5" s="1"/>
  <c r="G79" i="5"/>
  <c r="H79" i="5" s="1"/>
  <c r="G75" i="5"/>
  <c r="H75" i="5" s="1"/>
  <c r="G71" i="5"/>
  <c r="H71" i="5" s="1"/>
  <c r="G67" i="5"/>
  <c r="H67" i="5" s="1"/>
  <c r="G63" i="5"/>
  <c r="H63" i="5" s="1"/>
  <c r="G59" i="5"/>
  <c r="H59" i="5" s="1"/>
  <c r="G51" i="5"/>
  <c r="H51" i="5" s="1"/>
  <c r="G47" i="5"/>
  <c r="H47" i="5" s="1"/>
  <c r="G43" i="5"/>
  <c r="H43" i="5" s="1"/>
  <c r="G39" i="5"/>
  <c r="H39" i="5" s="1"/>
  <c r="G35" i="5"/>
  <c r="H35" i="5" s="1"/>
  <c r="G31" i="5"/>
  <c r="H31" i="5" s="1"/>
  <c r="G23" i="5"/>
  <c r="H23" i="5" s="1"/>
  <c r="G19" i="5"/>
  <c r="H19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10" i="3"/>
  <c r="H10" i="3" s="1"/>
  <c r="G90" i="5"/>
  <c r="H90" i="5" s="1"/>
  <c r="G10" i="5"/>
  <c r="H10" i="5" s="1"/>
  <c r="I7" i="3"/>
  <c r="J7" i="3" s="1"/>
  <c r="E96" i="5"/>
  <c r="E84" i="5"/>
  <c r="E72" i="5"/>
  <c r="E60" i="5"/>
  <c r="E48" i="5"/>
  <c r="E36" i="5"/>
  <c r="E24" i="5"/>
  <c r="E7" i="5"/>
  <c r="E103" i="5"/>
  <c r="E99" i="5"/>
  <c r="E95" i="5"/>
  <c r="E91" i="5"/>
  <c r="E87" i="5"/>
  <c r="E79" i="5"/>
  <c r="E75" i="5"/>
  <c r="E71" i="5"/>
  <c r="E67" i="5"/>
  <c r="E63" i="5"/>
  <c r="E59" i="5"/>
  <c r="E51" i="5"/>
  <c r="E47" i="5"/>
  <c r="E43" i="5"/>
  <c r="E39" i="5"/>
  <c r="E35" i="5"/>
  <c r="E31" i="5"/>
  <c r="E23" i="5"/>
  <c r="E19" i="5"/>
  <c r="E15" i="5"/>
  <c r="E11" i="5"/>
  <c r="E104" i="5"/>
  <c r="E92" i="5"/>
  <c r="E76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42" i="5"/>
  <c r="E38" i="5"/>
  <c r="E34" i="5"/>
  <c r="E30" i="5"/>
  <c r="E26" i="5"/>
  <c r="E22" i="5"/>
  <c r="E18" i="5"/>
  <c r="E14" i="5"/>
  <c r="E10" i="5"/>
  <c r="E100" i="5"/>
  <c r="E88" i="5"/>
  <c r="E80" i="5"/>
  <c r="E68" i="5"/>
  <c r="E56" i="5"/>
  <c r="E44" i="5"/>
  <c r="E32" i="5"/>
  <c r="E20" i="5"/>
  <c r="E105" i="5"/>
  <c r="E101" i="5"/>
  <c r="E93" i="5"/>
  <c r="E89" i="5"/>
  <c r="E85" i="5"/>
  <c r="E81" i="5"/>
  <c r="E77" i="5"/>
  <c r="E73" i="5"/>
  <c r="E65" i="5"/>
  <c r="E61" i="5"/>
  <c r="E57" i="5"/>
  <c r="E53" i="5"/>
  <c r="E49" i="5"/>
  <c r="E45" i="5"/>
  <c r="E37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L28" i="2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L48" i="2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L68" i="2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L87" i="2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29" i="3" l="1"/>
  <c r="J29" i="3" s="1"/>
  <c r="I48" i="3"/>
  <c r="J48" i="3" s="1"/>
  <c r="I21" i="3"/>
  <c r="I36" i="3"/>
  <c r="J36" i="3" s="1"/>
  <c r="I16" i="3"/>
  <c r="F17" i="3" s="1"/>
  <c r="I49" i="3"/>
  <c r="J49" i="3" s="1"/>
  <c r="I43" i="3"/>
  <c r="J43" i="3" s="1"/>
  <c r="I102" i="5"/>
  <c r="J102" i="5" s="1"/>
  <c r="I47" i="3"/>
  <c r="I54" i="3"/>
  <c r="I39" i="3"/>
  <c r="I38" i="3"/>
  <c r="F39" i="3" s="1"/>
  <c r="I25" i="3"/>
  <c r="J25" i="3" s="1"/>
  <c r="I15" i="3"/>
  <c r="J15" i="3" s="1"/>
  <c r="I9" i="3"/>
  <c r="I32" i="3"/>
  <c r="J32" i="3" s="1"/>
  <c r="I35" i="3"/>
  <c r="J35" i="3" s="1"/>
  <c r="I22" i="3"/>
  <c r="I17" i="3"/>
  <c r="I53" i="3"/>
  <c r="J53" i="3" s="1"/>
  <c r="I52" i="3"/>
  <c r="J52" i="3" s="1"/>
  <c r="I20" i="3"/>
  <c r="F21" i="3" s="1"/>
  <c r="I11" i="3"/>
  <c r="I10" i="3"/>
  <c r="F11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5" i="3"/>
  <c r="J45" i="3" s="1"/>
  <c r="I44" i="3"/>
  <c r="I50" i="3"/>
  <c r="I18" i="3"/>
  <c r="I31" i="3"/>
  <c r="J31" i="3" s="1"/>
  <c r="I13" i="3"/>
  <c r="I28" i="3"/>
  <c r="J28" i="3" s="1"/>
  <c r="I34" i="3"/>
  <c r="J34" i="3" s="1"/>
  <c r="I33" i="3"/>
  <c r="I55" i="3"/>
  <c r="J55" i="3" s="1"/>
  <c r="I23" i="3"/>
  <c r="J23" i="3" s="1"/>
  <c r="I37" i="3"/>
  <c r="J37" i="3" s="1"/>
  <c r="I40" i="3"/>
  <c r="F40" i="3" s="1"/>
  <c r="I24" i="3"/>
  <c r="I51" i="3"/>
  <c r="F52" i="3" s="1"/>
  <c r="I19" i="3"/>
  <c r="I46" i="3"/>
  <c r="I30" i="3"/>
  <c r="I14" i="3"/>
  <c r="J14" i="3" s="1"/>
  <c r="I42" i="3"/>
  <c r="I26" i="3"/>
  <c r="J21" i="3"/>
  <c r="J33" i="3"/>
  <c r="F10" i="3"/>
  <c r="J9" i="3"/>
  <c r="J11" i="3"/>
  <c r="J10" i="3"/>
  <c r="J54" i="3"/>
  <c r="J39" i="3"/>
  <c r="J18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4" i="2"/>
  <c r="H64" i="2" s="1"/>
  <c r="G60" i="2"/>
  <c r="H60" i="2" s="1"/>
  <c r="G56" i="2"/>
  <c r="H56" i="2" s="1"/>
  <c r="G52" i="2"/>
  <c r="H52" i="2" s="1"/>
  <c r="G44" i="2"/>
  <c r="H44" i="2" s="1"/>
  <c r="G40" i="2"/>
  <c r="H40" i="2" s="1"/>
  <c r="G36" i="2"/>
  <c r="H36" i="2" s="1"/>
  <c r="G32" i="2"/>
  <c r="H32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1" i="2"/>
  <c r="H101" i="2" s="1"/>
  <c r="G102" i="2"/>
  <c r="H102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J38" i="3" l="1"/>
  <c r="F32" i="3"/>
  <c r="F31" i="3"/>
  <c r="F57" i="3"/>
  <c r="F23" i="3"/>
  <c r="F55" i="3"/>
  <c r="F45" i="3"/>
  <c r="F22" i="3"/>
  <c r="F48" i="3"/>
  <c r="J16" i="3"/>
  <c r="F25" i="3"/>
  <c r="F14" i="3"/>
  <c r="F50" i="3"/>
  <c r="F15" i="3"/>
  <c r="F54" i="3"/>
  <c r="J22" i="3"/>
  <c r="J51" i="3"/>
  <c r="F29" i="3"/>
  <c r="F46" i="3"/>
  <c r="J44" i="3"/>
  <c r="F53" i="3"/>
  <c r="F26" i="3"/>
  <c r="F42" i="3"/>
  <c r="F33" i="3"/>
  <c r="F16" i="3"/>
  <c r="F51" i="3"/>
  <c r="F49" i="3"/>
  <c r="F30" i="3"/>
  <c r="J20" i="3"/>
  <c r="J47" i="3"/>
  <c r="F47" i="3"/>
  <c r="F28" i="3"/>
  <c r="F18" i="3"/>
  <c r="F44" i="3"/>
  <c r="F24" i="3"/>
  <c r="I102" i="2"/>
  <c r="F20" i="3"/>
  <c r="F13" i="3"/>
  <c r="J17" i="3"/>
  <c r="J30" i="3"/>
  <c r="J46" i="3"/>
  <c r="J24" i="3"/>
  <c r="J50" i="3"/>
  <c r="J13" i="3"/>
  <c r="J26" i="3"/>
  <c r="J40" i="3"/>
  <c r="F35" i="3"/>
  <c r="F38" i="3"/>
  <c r="J42" i="3"/>
  <c r="J19" i="3"/>
  <c r="F19" i="3"/>
  <c r="F43" i="3"/>
  <c r="F37" i="3"/>
  <c r="F34" i="3"/>
  <c r="F36" i="3"/>
  <c r="I14" i="2"/>
  <c r="I27" i="2"/>
  <c r="I107" i="5"/>
  <c r="J107" i="5" s="1"/>
  <c r="Q17" i="5" s="1"/>
  <c r="I105" i="5"/>
  <c r="I104" i="5"/>
  <c r="I103" i="5"/>
  <c r="I101" i="5"/>
  <c r="I100" i="5"/>
  <c r="I99" i="5"/>
  <c r="I98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1" i="5"/>
  <c r="I10" i="5"/>
  <c r="I9" i="5"/>
  <c r="I7" i="5"/>
  <c r="E7" i="3"/>
  <c r="E9" i="3"/>
  <c r="E10" i="3"/>
  <c r="E11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7" i="2"/>
  <c r="I47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9" i="2"/>
  <c r="I69" i="2"/>
  <c r="E70" i="2"/>
  <c r="I70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1" i="2"/>
  <c r="I101" i="2"/>
  <c r="E103" i="2"/>
  <c r="I103" i="2"/>
  <c r="E104" i="2"/>
  <c r="I104" i="2"/>
  <c r="E105" i="2"/>
  <c r="I105" i="2"/>
  <c r="E107" i="2"/>
  <c r="I107" i="2"/>
  <c r="J107" i="2" s="1"/>
  <c r="Q17" i="2" s="1"/>
  <c r="F103" i="2" l="1"/>
  <c r="F103" i="5"/>
  <c r="J102" i="2"/>
  <c r="F105" i="2"/>
  <c r="J104" i="2"/>
  <c r="F98" i="2"/>
  <c r="J97" i="2"/>
  <c r="F92" i="2"/>
  <c r="J91" i="2"/>
  <c r="F88" i="2"/>
  <c r="F82" i="2"/>
  <c r="J81" i="2"/>
  <c r="F78" i="2"/>
  <c r="J77" i="2"/>
  <c r="F72" i="2"/>
  <c r="J71" i="2"/>
  <c r="J67" i="2"/>
  <c r="F64" i="2"/>
  <c r="J63" i="2"/>
  <c r="F58" i="2"/>
  <c r="J57" i="2"/>
  <c r="F54" i="2"/>
  <c r="J53" i="2"/>
  <c r="F50" i="2"/>
  <c r="J49" i="2"/>
  <c r="F44" i="2"/>
  <c r="J43" i="2"/>
  <c r="F40" i="2"/>
  <c r="J39" i="2"/>
  <c r="F36" i="2"/>
  <c r="J35" i="2"/>
  <c r="F32" i="2"/>
  <c r="J31" i="2"/>
  <c r="F13" i="2"/>
  <c r="J12" i="2"/>
  <c r="F7" i="2"/>
  <c r="J7" i="2"/>
  <c r="F14" i="5"/>
  <c r="J13" i="5"/>
  <c r="F22" i="5"/>
  <c r="J21" i="5"/>
  <c r="F30" i="5"/>
  <c r="J29" i="5"/>
  <c r="F38" i="5"/>
  <c r="J37" i="5"/>
  <c r="F46" i="5"/>
  <c r="J45" i="5"/>
  <c r="F54" i="5"/>
  <c r="J53" i="5"/>
  <c r="F58" i="5"/>
  <c r="J57" i="5"/>
  <c r="F66" i="5"/>
  <c r="J65" i="5"/>
  <c r="F74" i="5"/>
  <c r="J73" i="5"/>
  <c r="F78" i="5"/>
  <c r="J77" i="5"/>
  <c r="F82" i="5"/>
  <c r="J81" i="5"/>
  <c r="F86" i="5"/>
  <c r="J85" i="5"/>
  <c r="F90" i="5"/>
  <c r="J89" i="5"/>
  <c r="F94" i="5"/>
  <c r="J93" i="5"/>
  <c r="F98" i="5"/>
  <c r="F102" i="5"/>
  <c r="J101" i="5"/>
  <c r="F27" i="2"/>
  <c r="J26" i="2"/>
  <c r="F25" i="2"/>
  <c r="J24" i="2"/>
  <c r="F23" i="2"/>
  <c r="J22" i="2"/>
  <c r="F21" i="2"/>
  <c r="J20" i="2"/>
  <c r="F19" i="2"/>
  <c r="J18" i="2"/>
  <c r="F17" i="2"/>
  <c r="J16" i="2"/>
  <c r="F11" i="5"/>
  <c r="J10" i="5"/>
  <c r="F15" i="5"/>
  <c r="J14" i="5"/>
  <c r="F19" i="5"/>
  <c r="J18" i="5"/>
  <c r="F23" i="5"/>
  <c r="J22" i="5"/>
  <c r="J26" i="5"/>
  <c r="F31" i="5"/>
  <c r="J30" i="5"/>
  <c r="F35" i="5"/>
  <c r="J34" i="5"/>
  <c r="F39" i="5"/>
  <c r="J38" i="5"/>
  <c r="F43" i="5"/>
  <c r="J42" i="5"/>
  <c r="F47" i="5"/>
  <c r="J46" i="5"/>
  <c r="F51" i="5"/>
  <c r="J50" i="5"/>
  <c r="J54" i="5"/>
  <c r="F59" i="5"/>
  <c r="J58" i="5"/>
  <c r="F63" i="5"/>
  <c r="J62" i="5"/>
  <c r="F67" i="5"/>
  <c r="J66" i="5"/>
  <c r="F71" i="5"/>
  <c r="J70" i="5"/>
  <c r="F75" i="5"/>
  <c r="J74" i="5"/>
  <c r="F79" i="5"/>
  <c r="J78" i="5"/>
  <c r="J82" i="5"/>
  <c r="F87" i="5"/>
  <c r="J86" i="5"/>
  <c r="F91" i="5"/>
  <c r="J90" i="5"/>
  <c r="F95" i="5"/>
  <c r="J94" i="5"/>
  <c r="F99" i="5"/>
  <c r="J98" i="5"/>
  <c r="F104" i="5"/>
  <c r="J103" i="5"/>
  <c r="J27" i="2"/>
  <c r="F100" i="2"/>
  <c r="J99" i="2"/>
  <c r="F96" i="2"/>
  <c r="J95" i="2"/>
  <c r="F90" i="2"/>
  <c r="J89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J55" i="2"/>
  <c r="F52" i="2"/>
  <c r="J51" i="2"/>
  <c r="J47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F26" i="5"/>
  <c r="J25" i="5"/>
  <c r="F34" i="5"/>
  <c r="J33" i="5"/>
  <c r="F42" i="5"/>
  <c r="F50" i="5"/>
  <c r="J49" i="5"/>
  <c r="F62" i="5"/>
  <c r="J61" i="5"/>
  <c r="F70" i="5"/>
  <c r="F107" i="2"/>
  <c r="J105" i="2"/>
  <c r="F104" i="2"/>
  <c r="J103" i="2"/>
  <c r="F101" i="2"/>
  <c r="J100" i="2"/>
  <c r="F99" i="2"/>
  <c r="J98" i="2"/>
  <c r="F97" i="2"/>
  <c r="J96" i="2"/>
  <c r="F95" i="2"/>
  <c r="J94" i="2"/>
  <c r="F93" i="2"/>
  <c r="J92" i="2"/>
  <c r="F91" i="2"/>
  <c r="J90" i="2"/>
  <c r="F89" i="2"/>
  <c r="J88" i="2"/>
  <c r="J86" i="2"/>
  <c r="F85" i="2"/>
  <c r="J84" i="2"/>
  <c r="F83" i="2"/>
  <c r="J82" i="2"/>
  <c r="F81" i="2"/>
  <c r="J80" i="2"/>
  <c r="F79" i="2"/>
  <c r="J78" i="2"/>
  <c r="F77" i="2"/>
  <c r="J76" i="2"/>
  <c r="F75" i="2"/>
  <c r="J74" i="2"/>
  <c r="F73" i="2"/>
  <c r="J72" i="2"/>
  <c r="F71" i="2"/>
  <c r="J70" i="2"/>
  <c r="F69" i="2"/>
  <c r="F67" i="2"/>
  <c r="J66" i="2"/>
  <c r="F65" i="2"/>
  <c r="J64" i="2"/>
  <c r="F63" i="2"/>
  <c r="J62" i="2"/>
  <c r="F61" i="2"/>
  <c r="J60" i="2"/>
  <c r="F59" i="2"/>
  <c r="J58" i="2"/>
  <c r="F57" i="2"/>
  <c r="J56" i="2"/>
  <c r="F55" i="2"/>
  <c r="J54" i="2"/>
  <c r="F53" i="2"/>
  <c r="J52" i="2"/>
  <c r="F51" i="2"/>
  <c r="J50" i="2"/>
  <c r="F49" i="2"/>
  <c r="F47" i="2"/>
  <c r="J46" i="2"/>
  <c r="F45" i="2"/>
  <c r="J44" i="2"/>
  <c r="F43" i="2"/>
  <c r="J42" i="2"/>
  <c r="F41" i="2"/>
  <c r="J40" i="2"/>
  <c r="F39" i="2"/>
  <c r="J38" i="2"/>
  <c r="F37" i="2"/>
  <c r="J36" i="2"/>
  <c r="F35" i="2"/>
  <c r="J34" i="2"/>
  <c r="F33" i="2"/>
  <c r="J32" i="2"/>
  <c r="F31" i="2"/>
  <c r="J30" i="2"/>
  <c r="F29" i="2"/>
  <c r="F14" i="2"/>
  <c r="J13" i="2"/>
  <c r="F12" i="2"/>
  <c r="J11" i="2"/>
  <c r="F10" i="2"/>
  <c r="J9" i="2"/>
  <c r="J11" i="5"/>
  <c r="F16" i="5"/>
  <c r="J15" i="5"/>
  <c r="F20" i="5"/>
  <c r="J19" i="5"/>
  <c r="F24" i="5"/>
  <c r="J23" i="5"/>
  <c r="F28" i="5"/>
  <c r="F32" i="5"/>
  <c r="J31" i="5"/>
  <c r="F36" i="5"/>
  <c r="J35" i="5"/>
  <c r="F40" i="5"/>
  <c r="J39" i="5"/>
  <c r="F44" i="5"/>
  <c r="J43" i="5"/>
  <c r="F48" i="5"/>
  <c r="J47" i="5"/>
  <c r="F52" i="5"/>
  <c r="J51" i="5"/>
  <c r="F56" i="5"/>
  <c r="F60" i="5"/>
  <c r="J59" i="5"/>
  <c r="F64" i="5"/>
  <c r="J63" i="5"/>
  <c r="F68" i="5"/>
  <c r="J67" i="5"/>
  <c r="F72" i="5"/>
  <c r="J71" i="5"/>
  <c r="F76" i="5"/>
  <c r="J75" i="5"/>
  <c r="F80" i="5"/>
  <c r="J79" i="5"/>
  <c r="F84" i="5"/>
  <c r="F88" i="5"/>
  <c r="J87" i="5"/>
  <c r="F92" i="5"/>
  <c r="J91" i="5"/>
  <c r="F96" i="5"/>
  <c r="J95" i="5"/>
  <c r="F100" i="5"/>
  <c r="J99" i="5"/>
  <c r="F105" i="5"/>
  <c r="J104" i="5"/>
  <c r="F15" i="2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F26" i="2"/>
  <c r="J25" i="2"/>
  <c r="F24" i="2"/>
  <c r="J23" i="2"/>
  <c r="F22" i="2"/>
  <c r="J21" i="2"/>
  <c r="F20" i="2"/>
  <c r="J19" i="2"/>
  <c r="F18" i="2"/>
  <c r="J17" i="2"/>
  <c r="F16" i="2"/>
  <c r="J15" i="2"/>
  <c r="F7" i="5"/>
  <c r="J7" i="5"/>
  <c r="F13" i="5"/>
  <c r="F17" i="5"/>
  <c r="J16" i="5"/>
  <c r="F21" i="5"/>
  <c r="J20" i="5"/>
  <c r="F25" i="5"/>
  <c r="J24" i="5"/>
  <c r="F29" i="5"/>
  <c r="J28" i="5"/>
  <c r="F33" i="5"/>
  <c r="J32" i="5"/>
  <c r="F37" i="5"/>
  <c r="J36" i="5"/>
  <c r="J40" i="5"/>
  <c r="F45" i="5"/>
  <c r="J44" i="5"/>
  <c r="F49" i="5"/>
  <c r="J48" i="5"/>
  <c r="F53" i="5"/>
  <c r="J52" i="5"/>
  <c r="F57" i="5"/>
  <c r="J56" i="5"/>
  <c r="F61" i="5"/>
  <c r="J60" i="5"/>
  <c r="F65" i="5"/>
  <c r="J64" i="5"/>
  <c r="J68" i="5"/>
  <c r="F73" i="5"/>
  <c r="J72" i="5"/>
  <c r="F77" i="5"/>
  <c r="J76" i="5"/>
  <c r="F81" i="5"/>
  <c r="J80" i="5"/>
  <c r="F85" i="5"/>
  <c r="J84" i="5"/>
  <c r="F89" i="5"/>
  <c r="J88" i="5"/>
  <c r="F93" i="5"/>
  <c r="J92" i="5"/>
  <c r="J96" i="5"/>
  <c r="F101" i="5"/>
  <c r="J100" i="5"/>
  <c r="F107" i="5"/>
  <c r="J105" i="5"/>
  <c r="F9" i="2"/>
  <c r="F9" i="5"/>
  <c r="I52" i="32"/>
  <c r="I46" i="32"/>
  <c r="I38" i="32"/>
  <c r="I30" i="32"/>
  <c r="I22" i="32"/>
  <c r="I43" i="32"/>
  <c r="I33" i="32"/>
  <c r="I29" i="32"/>
  <c r="I51" i="32"/>
  <c r="I39" i="32"/>
  <c r="I50" i="32"/>
  <c r="I54" i="32"/>
  <c r="I48" i="32"/>
  <c r="I44" i="32"/>
  <c r="I40" i="32"/>
  <c r="I36" i="32"/>
  <c r="I32" i="32"/>
  <c r="I28" i="32"/>
  <c r="I24" i="32"/>
  <c r="I57" i="32"/>
  <c r="J57" i="32" s="1"/>
  <c r="Q17" i="32" s="1"/>
  <c r="I41" i="32"/>
  <c r="I31" i="32"/>
  <c r="I27" i="32"/>
  <c r="I55" i="32"/>
  <c r="I37" i="32"/>
  <c r="I23" i="32"/>
  <c r="I45" i="32"/>
  <c r="I25" i="32"/>
  <c r="I53" i="32"/>
  <c r="I47" i="32"/>
  <c r="I21" i="32"/>
  <c r="F21" i="32" s="1"/>
  <c r="I35" i="32"/>
  <c r="F28" i="32" l="1"/>
  <c r="J27" i="32"/>
  <c r="F25" i="32"/>
  <c r="J24" i="32"/>
  <c r="F41" i="32"/>
  <c r="J40" i="32"/>
  <c r="F51" i="32"/>
  <c r="J50" i="32"/>
  <c r="J33" i="32"/>
  <c r="F31" i="32"/>
  <c r="J30" i="32"/>
  <c r="F47" i="32"/>
  <c r="J46" i="32"/>
  <c r="F48" i="32"/>
  <c r="J47" i="32"/>
  <c r="F38" i="32"/>
  <c r="J37" i="32"/>
  <c r="F45" i="32"/>
  <c r="J44" i="32"/>
  <c r="F40" i="32"/>
  <c r="J39" i="32"/>
  <c r="F44" i="32"/>
  <c r="J43" i="32"/>
  <c r="F35" i="32"/>
  <c r="F53" i="32"/>
  <c r="J52" i="32"/>
  <c r="F24" i="32"/>
  <c r="J23" i="32"/>
  <c r="F32" i="32"/>
  <c r="J31" i="32"/>
  <c r="F50" i="32"/>
  <c r="F33" i="32"/>
  <c r="J32" i="32"/>
  <c r="F52" i="32"/>
  <c r="J51" i="32"/>
  <c r="F23" i="32"/>
  <c r="J22" i="32"/>
  <c r="F39" i="32"/>
  <c r="J38" i="32"/>
  <c r="F54" i="32"/>
  <c r="J53" i="32"/>
  <c r="F29" i="32"/>
  <c r="J28" i="32"/>
  <c r="F36" i="32"/>
  <c r="J35" i="32"/>
  <c r="J25" i="32"/>
  <c r="J41" i="32"/>
  <c r="J48" i="32"/>
  <c r="F22" i="32"/>
  <c r="J21" i="32"/>
  <c r="F46" i="32"/>
  <c r="J45" i="32"/>
  <c r="F57" i="32"/>
  <c r="J55" i="32"/>
  <c r="F37" i="32"/>
  <c r="J36" i="32"/>
  <c r="F55" i="32"/>
  <c r="J54" i="32"/>
  <c r="F30" i="32"/>
  <c r="J29" i="32"/>
  <c r="F27" i="32"/>
  <c r="F43" i="32"/>
</calcChain>
</file>

<file path=xl/sharedStrings.xml><?xml version="1.0" encoding="utf-8"?>
<sst xmlns="http://schemas.openxmlformats.org/spreadsheetml/2006/main" count="607" uniqueCount="137">
  <si>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</si>
  <si>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</si>
  <si>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</si>
  <si>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</si>
  <si>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</si>
  <si>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</si>
  <si>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</si>
  <si>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</si>
  <si>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</si>
  <si>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</si>
  <si>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</si>
  <si>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</si>
  <si>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</si>
  <si>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</si>
  <si>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</si>
  <si>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</si>
  <si>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</si>
  <si>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</si>
  <si>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</si>
  <si>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</si>
  <si>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</si>
  <si>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</si>
  <si>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</si>
  <si>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</si>
  <si>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</si>
  <si>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</si>
  <si>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</si>
  <si>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</si>
  <si>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</si>
  <si>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</si>
  <si>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</si>
  <si>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</si>
  <si>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</si>
  <si>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</si>
  <si>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</si>
  <si>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</si>
  <si>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</si>
  <si>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</si>
  <si>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</si>
  <si>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</si>
  <si>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</si>
  <si>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</si>
  <si>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</si>
  <si>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</si>
  <si>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</si>
  <si>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</si>
  <si>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</si>
  <si>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</si>
  <si>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</si>
  <si>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</si>
  <si>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</si>
  <si>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</si>
  <si>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</si>
  <si>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</si>
  <si>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</si>
  <si>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</si>
  <si>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</si>
  <si>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</si>
  <si>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</si>
  <si>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</si>
  <si>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</si>
  <si>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</si>
  <si>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</si>
  <si>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</si>
  <si>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</si>
  <si>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</si>
  <si>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</si>
  <si>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</si>
  <si>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</si>
  <si>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</si>
  <si>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</si>
  <si>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</si>
  <si>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</si>
  <si>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</si>
  <si>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</si>
  <si>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</si>
  <si>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</si>
  <si>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</si>
  <si>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</si>
  <si>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</si>
  <si>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</si>
  <si>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</si>
  <si>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</si>
  <si>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</si>
  <si>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</si>
  <si>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</si>
  <si>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</si>
  <si>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</si>
  <si>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</si>
  <si>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</si>
  <si>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</si>
  <si>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</si>
  <si>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</si>
  <si>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</si>
  <si>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</si>
  <si>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</si>
  <si>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</si>
  <si>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</si>
  <si>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</si>
  <si>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</si>
  <si>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</si>
  <si>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</si>
  <si>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</si>
  <si>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</si>
  <si>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</si>
  <si>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</si>
  <si>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</si>
  <si>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</si>
  <si>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</si>
  <si>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</si>
  <si>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</si>
  <si>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</si>
  <si>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</si>
  <si>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</si>
  <si>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</si>
  <si>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</si>
  <si>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</si>
  <si>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</si>
  <si>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</si>
  <si>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</si>
  <si>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</si>
  <si>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</si>
  <si>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</si>
  <si>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</si>
  <si>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</si>
  <si>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</si>
  <si>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</si>
  <si>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</si>
  <si>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</si>
  <si>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</si>
  <si>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</si>
  <si>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</si>
  <si>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t>B2:K16</t>
    <phoneticPr fontId="1" type="noConversion"/>
  </si>
  <si>
    <t>B2:K58</t>
    <phoneticPr fontId="1" type="noConversion"/>
  </si>
  <si>
    <t>2023학년도 9월 고2 전국연합학력평가</t>
  </si>
  <si>
    <t>-</t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</si>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</sst>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9"/>
      <name val="돋움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</fills>
  <borders count="77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rgb="FFD4D4D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2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2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" xfId="1" applyNumberFormat="1" applyFont="1" applyBorder="1" applyAlignment="1">
      <alignment horizontal="center" vertical="center"/>
    </xf>
    <xf numFmtId="177" fontId="32" fillId="0" borderId="10" xfId="0" applyNumberFormat="1" applyFont="1" applyBorder="1" applyAlignment="1">
      <alignment horizontal="center" vertical="center"/>
    </xf>
    <xf numFmtId="10" fontId="34" fillId="0" borderId="5" xfId="1" applyNumberFormat="1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4" borderId="8" xfId="0" applyFont="1" applyFill="1" applyBorder="1" applyAlignment="1">
      <alignment horizontal="center" vertical="center"/>
    </xf>
    <xf numFmtId="178" fontId="32" fillId="4" borderId="8" xfId="0" applyNumberFormat="1" applyFont="1" applyFill="1" applyBorder="1" applyAlignment="1">
      <alignment horizontal="center" vertical="center"/>
    </xf>
    <xf numFmtId="0" fontId="32" fillId="4" borderId="6" xfId="0" applyFont="1" applyFill="1" applyBorder="1">
      <alignment vertical="center"/>
    </xf>
    <xf numFmtId="0" fontId="34" fillId="4" borderId="7" xfId="1" applyFont="1" applyFill="1" applyBorder="1" applyAlignment="1">
      <alignment horizontal="center" vertical="center"/>
    </xf>
    <xf numFmtId="177" fontId="32" fillId="4" borderId="8" xfId="0" applyNumberFormat="1" applyFont="1" applyFill="1" applyBorder="1" applyAlignment="1">
      <alignment horizontal="center" vertical="center"/>
    </xf>
    <xf numFmtId="176" fontId="34" fillId="4" borderId="5" xfId="1" applyNumberFormat="1" applyFont="1" applyFill="1" applyBorder="1" applyAlignment="1">
      <alignment horizontal="center" vertical="center"/>
    </xf>
    <xf numFmtId="177" fontId="32" fillId="0" borderId="6" xfId="0" applyNumberFormat="1" applyFont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7" fontId="32" fillId="6" borderId="6" xfId="0" applyNumberFormat="1" applyFont="1" applyFill="1" applyBorder="1" applyAlignment="1">
      <alignment horizontal="center" vertical="center"/>
    </xf>
    <xf numFmtId="177" fontId="32" fillId="4" borderId="6" xfId="0" applyNumberFormat="1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78" fontId="32" fillId="2" borderId="2" xfId="0" applyNumberFormat="1" applyFont="1" applyFill="1" applyBorder="1" applyAlignment="1">
      <alignment horizontal="center" vertical="center"/>
    </xf>
    <xf numFmtId="177" fontId="34" fillId="2" borderId="2" xfId="1" applyNumberFormat="1" applyFont="1" applyFill="1" applyBorder="1" applyAlignment="1">
      <alignment horizontal="center" vertical="center"/>
    </xf>
    <xf numFmtId="10" fontId="34" fillId="2" borderId="2" xfId="1" applyNumberFormat="1" applyFont="1" applyFill="1" applyBorder="1" applyAlignment="1">
      <alignment horizontal="center" vertical="center"/>
    </xf>
    <xf numFmtId="177" fontId="32" fillId="2" borderId="2" xfId="0" applyNumberFormat="1" applyFont="1" applyFill="1" applyBorder="1" applyAlignment="1">
      <alignment horizontal="center" vertical="center"/>
    </xf>
    <xf numFmtId="10" fontId="34" fillId="2" borderId="1" xfId="1" applyNumberFormat="1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46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3" fontId="32" fillId="0" borderId="48" xfId="0" applyNumberFormat="1" applyFont="1" applyBorder="1" applyAlignment="1">
      <alignment horizontal="center" vertical="center"/>
    </xf>
    <xf numFmtId="10" fontId="32" fillId="0" borderId="10" xfId="0" applyNumberFormat="1" applyFont="1" applyBorder="1" applyAlignment="1">
      <alignment horizontal="center" vertical="center"/>
    </xf>
    <xf numFmtId="3" fontId="32" fillId="0" borderId="10" xfId="0" applyNumberFormat="1" applyFont="1" applyBorder="1" applyAlignment="1">
      <alignment horizontal="center" vertical="center"/>
    </xf>
    <xf numFmtId="10" fontId="32" fillId="0" borderId="42" xfId="0" applyNumberFormat="1" applyFont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59" xfId="0" applyFont="1" applyFill="1" applyBorder="1" applyAlignment="1">
      <alignment horizontal="center" vertical="center"/>
    </xf>
    <xf numFmtId="3" fontId="32" fillId="0" borderId="57" xfId="0" applyNumberFormat="1" applyFont="1" applyBorder="1" applyAlignment="1">
      <alignment horizontal="center" vertical="center"/>
    </xf>
    <xf numFmtId="10" fontId="32" fillId="0" borderId="8" xfId="0" applyNumberFormat="1" applyFont="1" applyBorder="1" applyAlignment="1">
      <alignment horizontal="center" vertical="center"/>
    </xf>
    <xf numFmtId="3" fontId="32" fillId="0" borderId="6" xfId="0" applyNumberFormat="1" applyFont="1" applyBorder="1" applyAlignment="1">
      <alignment horizontal="center" vertical="center"/>
    </xf>
    <xf numFmtId="10" fontId="32" fillId="0" borderId="25" xfId="0" applyNumberFormat="1" applyFont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3" fontId="32" fillId="0" borderId="58" xfId="0" applyNumberFormat="1" applyFont="1" applyBorder="1" applyAlignment="1">
      <alignment horizontal="center" vertical="center"/>
    </xf>
    <xf numFmtId="10" fontId="32" fillId="0" borderId="24" xfId="0" applyNumberFormat="1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10" fontId="32" fillId="0" borderId="43" xfId="0" applyNumberFormat="1" applyFont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176" fontId="34" fillId="4" borderId="7" xfId="1" applyNumberFormat="1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177" fontId="34" fillId="2" borderId="24" xfId="1" applyNumberFormat="1" applyFont="1" applyFill="1" applyBorder="1" applyAlignment="1">
      <alignment horizontal="center" vertical="center"/>
    </xf>
    <xf numFmtId="10" fontId="34" fillId="2" borderId="16" xfId="1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8" fillId="6" borderId="0" xfId="0" applyFont="1" applyFill="1">
      <alignment vertical="center"/>
    </xf>
    <xf numFmtId="0" fontId="38" fillId="6" borderId="64" xfId="0" applyFont="1" applyFill="1" applyBorder="1">
      <alignment vertical="center"/>
    </xf>
    <xf numFmtId="0" fontId="38" fillId="6" borderId="65" xfId="0" applyFont="1" applyFill="1" applyBorder="1">
      <alignment vertical="center"/>
    </xf>
    <xf numFmtId="0" fontId="38" fillId="0" borderId="0" xfId="0" applyFont="1">
      <alignment vertical="center"/>
    </xf>
    <xf numFmtId="0" fontId="39" fillId="6" borderId="0" xfId="0" applyFont="1" applyFill="1">
      <alignment vertical="center"/>
    </xf>
    <xf numFmtId="0" fontId="39" fillId="6" borderId="64" xfId="0" applyFont="1" applyFill="1" applyBorder="1">
      <alignment vertical="center"/>
    </xf>
    <xf numFmtId="0" fontId="36" fillId="39" borderId="45" xfId="0" applyFont="1" applyFill="1" applyBorder="1" applyAlignment="1">
      <alignment horizontal="center" vertical="center"/>
    </xf>
    <xf numFmtId="0" fontId="36" fillId="39" borderId="46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39" fillId="6" borderId="65" xfId="0" applyFont="1" applyFill="1" applyBorder="1">
      <alignment vertical="center"/>
    </xf>
    <xf numFmtId="0" fontId="39" fillId="0" borderId="0" xfId="0" applyFont="1">
      <alignment vertical="center"/>
    </xf>
    <xf numFmtId="0" fontId="36" fillId="39" borderId="4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6" fillId="39" borderId="49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6" fillId="39" borderId="51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16" xfId="0" applyFont="1" applyFill="1" applyBorder="1" applyAlignment="1">
      <alignment horizontal="center" vertical="center"/>
    </xf>
    <xf numFmtId="0" fontId="36" fillId="39" borderId="60" xfId="0" applyFont="1" applyFill="1" applyBorder="1" applyAlignment="1">
      <alignment horizontal="center" vertical="center"/>
    </xf>
    <xf numFmtId="0" fontId="36" fillId="39" borderId="15" xfId="0" applyFont="1" applyFill="1" applyBorder="1" applyAlignment="1">
      <alignment horizontal="center" vertical="center"/>
    </xf>
    <xf numFmtId="0" fontId="36" fillId="39" borderId="14" xfId="0" applyFont="1" applyFill="1" applyBorder="1" applyAlignment="1">
      <alignment horizontal="center" vertical="center"/>
    </xf>
    <xf numFmtId="0" fontId="36" fillId="39" borderId="53" xfId="0" applyFont="1" applyFill="1" applyBorder="1" applyAlignment="1">
      <alignment horizontal="center" vertical="center"/>
    </xf>
    <xf numFmtId="0" fontId="32" fillId="6" borderId="25" xfId="0" applyFont="1" applyFill="1" applyBorder="1" applyAlignment="1">
      <alignment horizontal="center" vertical="center"/>
    </xf>
    <xf numFmtId="0" fontId="36" fillId="39" borderId="54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55" xfId="0" applyFont="1" applyFill="1" applyBorder="1" applyAlignment="1">
      <alignment horizontal="center" vertical="center"/>
    </xf>
    <xf numFmtId="0" fontId="36" fillId="39" borderId="56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4" xfId="0" applyFont="1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/>
    </xf>
    <xf numFmtId="0" fontId="32" fillId="6" borderId="52" xfId="0" applyFont="1" applyFill="1" applyBorder="1" applyAlignment="1">
      <alignment horizontal="center" vertical="center"/>
    </xf>
    <xf numFmtId="0" fontId="42" fillId="6" borderId="0" xfId="0" applyFont="1" applyFill="1" applyAlignment="1">
      <alignment vertical="center" wrapText="1"/>
    </xf>
    <xf numFmtId="0" fontId="37" fillId="39" borderId="11" xfId="0" applyFont="1" applyFill="1" applyBorder="1" applyAlignment="1">
      <alignment horizontal="center" vertical="center"/>
    </xf>
    <xf numFmtId="0" fontId="36" fillId="39" borderId="11" xfId="0" applyFont="1" applyFill="1" applyBorder="1" applyAlignment="1">
      <alignment horizontal="center" vertical="center"/>
    </xf>
    <xf numFmtId="0" fontId="28" fillId="6" borderId="69" xfId="0" applyFont="1" applyFill="1" applyBorder="1">
      <alignment vertical="center"/>
    </xf>
    <xf numFmtId="0" fontId="0" fillId="6" borderId="69" xfId="0" applyFill="1" applyBorder="1">
      <alignment vertical="center"/>
    </xf>
    <xf numFmtId="0" fontId="42" fillId="6" borderId="67" xfId="0" applyFont="1" applyFill="1" applyBorder="1" applyAlignment="1">
      <alignment vertical="center" wrapText="1"/>
    </xf>
    <xf numFmtId="0" fontId="42" fillId="6" borderId="65" xfId="0" applyFont="1" applyFill="1" applyBorder="1" applyAlignment="1">
      <alignment vertical="center" wrapText="1"/>
    </xf>
    <xf numFmtId="0" fontId="36" fillId="39" borderId="70" xfId="0" applyFont="1" applyFill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7" fillId="39" borderId="70" xfId="0" applyFont="1" applyFill="1" applyBorder="1" applyAlignment="1">
      <alignment horizontal="center" vertical="center"/>
    </xf>
    <xf numFmtId="177" fontId="43" fillId="0" borderId="71" xfId="45" applyNumberFormat="1" applyFont="1" applyBorder="1" applyAlignment="1">
      <alignment horizontal="center" vertical="center"/>
    </xf>
    <xf numFmtId="177" fontId="43" fillId="0" borderId="6" xfId="45" applyNumberFormat="1" applyFont="1" applyBorder="1" applyAlignment="1">
      <alignment horizontal="center" vertical="center"/>
    </xf>
    <xf numFmtId="177" fontId="43" fillId="0" borderId="2" xfId="45" applyNumberFormat="1" applyFont="1" applyBorder="1" applyAlignment="1">
      <alignment horizontal="center" vertical="center"/>
    </xf>
    <xf numFmtId="0" fontId="43" fillId="0" borderId="71" xfId="45" applyFont="1" applyBorder="1" applyAlignment="1">
      <alignment horizontal="center" vertical="center"/>
    </xf>
    <xf numFmtId="0" fontId="43" fillId="0" borderId="6" xfId="45" applyFont="1" applyBorder="1" applyAlignment="1">
      <alignment horizontal="center" vertical="center"/>
    </xf>
    <xf numFmtId="0" fontId="43" fillId="0" borderId="2" xfId="45" applyFont="1" applyBorder="1" applyAlignment="1">
      <alignment horizontal="center" vertical="center"/>
    </xf>
    <xf numFmtId="0" fontId="43" fillId="0" borderId="72" xfId="45" applyFont="1" applyBorder="1" applyAlignment="1">
      <alignment horizontal="center" vertical="center"/>
    </xf>
    <xf numFmtId="0" fontId="43" fillId="0" borderId="55" xfId="45" applyFont="1" applyBorder="1" applyAlignment="1">
      <alignment horizontal="center" vertical="center"/>
    </xf>
    <xf numFmtId="0" fontId="43" fillId="0" borderId="44" xfId="45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9" xfId="34" applyFont="1" applyBorder="1" applyAlignment="1">
      <alignment horizontal="center" vertical="center"/>
    </xf>
    <xf numFmtId="38" fontId="43" fillId="0" borderId="6" xfId="34" applyNumberFormat="1" applyFont="1" applyBorder="1" applyAlignment="1">
      <alignment horizontal="center" vertical="center"/>
    </xf>
    <xf numFmtId="0" fontId="43" fillId="0" borderId="9" xfId="45" applyFont="1" applyBorder="1" applyAlignment="1">
      <alignment horizontal="center" vertical="center"/>
    </xf>
    <xf numFmtId="38" fontId="43" fillId="0" borderId="55" xfId="45" applyNumberFormat="1" applyFont="1" applyBorder="1" applyAlignment="1">
      <alignment horizontal="center" vertical="center"/>
    </xf>
    <xf numFmtId="38" fontId="43" fillId="0" borderId="55" xfId="34" applyNumberFormat="1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57" xfId="45" applyFont="1" applyBorder="1" applyAlignment="1">
      <alignment horizontal="center" vertical="center"/>
    </xf>
    <xf numFmtId="0" fontId="43" fillId="0" borderId="73" xfId="45" applyFont="1" applyBorder="1" applyAlignment="1">
      <alignment horizontal="center" vertical="center"/>
    </xf>
    <xf numFmtId="0" fontId="44" fillId="0" borderId="9" xfId="45" applyFont="1" applyBorder="1" applyAlignment="1">
      <alignment horizontal="center" vertical="center"/>
    </xf>
    <xf numFmtId="38" fontId="44" fillId="0" borderId="6" xfId="45" applyNumberFormat="1" applyFont="1" applyBorder="1" applyAlignment="1">
      <alignment horizontal="center" vertical="center"/>
    </xf>
    <xf numFmtId="38" fontId="44" fillId="0" borderId="55" xfId="45" applyNumberFormat="1" applyFont="1" applyBorder="1" applyAlignment="1">
      <alignment horizontal="center" vertical="center"/>
    </xf>
    <xf numFmtId="0" fontId="44" fillId="0" borderId="73" xfId="45" applyFont="1" applyBorder="1" applyAlignment="1">
      <alignment horizontal="center" vertical="center"/>
    </xf>
    <xf numFmtId="38" fontId="43" fillId="0" borderId="72" xfId="45" applyNumberFormat="1" applyFont="1" applyBorder="1" applyAlignment="1">
      <alignment horizontal="center" vertical="center"/>
    </xf>
    <xf numFmtId="38" fontId="44" fillId="0" borderId="71" xfId="45" applyNumberFormat="1" applyFont="1" applyBorder="1" applyAlignment="1">
      <alignment horizontal="center" vertical="center"/>
    </xf>
    <xf numFmtId="38" fontId="44" fillId="0" borderId="72" xfId="45" applyNumberFormat="1" applyFont="1" applyBorder="1" applyAlignment="1">
      <alignment horizontal="center" vertical="center"/>
    </xf>
    <xf numFmtId="38" fontId="43" fillId="0" borderId="8" xfId="45" applyNumberFormat="1" applyFont="1" applyBorder="1" applyAlignment="1">
      <alignment horizontal="center" vertical="center"/>
    </xf>
    <xf numFmtId="0" fontId="43" fillId="0" borderId="8" xfId="45" applyFont="1" applyBorder="1" applyAlignment="1">
      <alignment horizontal="center" vertical="center"/>
    </xf>
    <xf numFmtId="38" fontId="43" fillId="0" borderId="2" xfId="45" applyNumberFormat="1" applyFont="1" applyBorder="1" applyAlignment="1">
      <alignment horizontal="center" vertical="center"/>
    </xf>
    <xf numFmtId="38" fontId="43" fillId="0" borderId="9" xfId="45" applyNumberFormat="1" applyFont="1" applyBorder="1" applyAlignment="1">
      <alignment horizontal="center" vertical="center"/>
    </xf>
    <xf numFmtId="38" fontId="43" fillId="0" borderId="75" xfId="45" applyNumberFormat="1" applyFont="1" applyBorder="1" applyAlignment="1">
      <alignment horizontal="center" vertical="center"/>
    </xf>
    <xf numFmtId="38" fontId="43" fillId="0" borderId="75" xfId="34" applyNumberFormat="1" applyFont="1" applyBorder="1" applyAlignment="1">
      <alignment horizontal="center" vertical="center"/>
    </xf>
    <xf numFmtId="38" fontId="43" fillId="0" borderId="73" xfId="45" applyNumberFormat="1" applyFont="1" applyBorder="1" applyAlignment="1">
      <alignment horizontal="center" vertical="center"/>
    </xf>
    <xf numFmtId="38" fontId="43" fillId="0" borderId="57" xfId="45" applyNumberFormat="1" applyFont="1" applyBorder="1" applyAlignment="1">
      <alignment horizontal="center" vertical="center"/>
    </xf>
    <xf numFmtId="38" fontId="43" fillId="0" borderId="9" xfId="34" applyNumberFormat="1" applyFont="1" applyBorder="1" applyAlignment="1">
      <alignment horizontal="center" vertical="center"/>
    </xf>
    <xf numFmtId="0" fontId="32" fillId="40" borderId="9" xfId="0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177" fontId="32" fillId="6" borderId="74" xfId="0" applyNumberFormat="1" applyFont="1" applyFill="1" applyBorder="1" applyAlignment="1">
      <alignment horizontal="center" vertical="center"/>
    </xf>
    <xf numFmtId="177" fontId="32" fillId="6" borderId="8" xfId="0" applyNumberFormat="1" applyFont="1" applyFill="1" applyBorder="1" applyAlignment="1">
      <alignment horizontal="center" vertical="center"/>
    </xf>
    <xf numFmtId="10" fontId="34" fillId="0" borderId="76" xfId="1" applyNumberFormat="1" applyFont="1" applyBorder="1" applyAlignment="1">
      <alignment horizontal="center" vertical="center"/>
    </xf>
    <xf numFmtId="10" fontId="34" fillId="0" borderId="25" xfId="1" applyNumberFormat="1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6" borderId="74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8" fontId="32" fillId="0" borderId="74" xfId="0" applyNumberFormat="1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74" xfId="1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4" xfId="1" applyNumberFormat="1" applyFont="1" applyBorder="1" applyAlignment="1">
      <alignment horizontal="center" vertical="center"/>
    </xf>
    <xf numFmtId="10" fontId="34" fillId="0" borderId="8" xfId="1" applyNumberFormat="1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2" fillId="6" borderId="40" xfId="0" applyFont="1" applyFill="1" applyBorder="1" applyAlignment="1">
      <alignment horizontal="center" vertical="center" wrapText="1"/>
    </xf>
    <xf numFmtId="0" fontId="42" fillId="6" borderId="40" xfId="0" applyFont="1" applyFill="1" applyBorder="1" applyAlignment="1">
      <alignment horizontal="center" vertical="center"/>
    </xf>
    <xf numFmtId="0" fontId="42" fillId="6" borderId="41" xfId="0" applyFont="1" applyFill="1" applyBorder="1" applyAlignment="1">
      <alignment horizontal="center" vertical="center"/>
    </xf>
    <xf numFmtId="177" fontId="32" fillId="0" borderId="74" xfId="0" applyNumberFormat="1" applyFont="1" applyBorder="1" applyAlignment="1">
      <alignment horizontal="center" vertical="center"/>
    </xf>
    <xf numFmtId="177" fontId="32" fillId="0" borderId="8" xfId="0" applyNumberFormat="1" applyFont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177" fontId="32" fillId="40" borderId="74" xfId="0" applyNumberFormat="1" applyFont="1" applyFill="1" applyBorder="1" applyAlignment="1">
      <alignment horizontal="center" vertical="center"/>
    </xf>
    <xf numFmtId="177" fontId="32" fillId="40" borderId="8" xfId="0" applyNumberFormat="1" applyFont="1" applyFill="1" applyBorder="1" applyAlignment="1">
      <alignment horizontal="center" vertical="center"/>
    </xf>
    <xf numFmtId="10" fontId="34" fillId="40" borderId="76" xfId="1" applyNumberFormat="1" applyFont="1" applyFill="1" applyBorder="1" applyAlignment="1">
      <alignment horizontal="center" vertical="center"/>
    </xf>
    <xf numFmtId="10" fontId="34" fillId="40" borderId="25" xfId="1" applyNumberFormat="1" applyFont="1" applyFill="1" applyBorder="1" applyAlignment="1">
      <alignment horizontal="center" vertical="center"/>
    </xf>
    <xf numFmtId="0" fontId="32" fillId="40" borderId="74" xfId="0" applyFont="1" applyFill="1" applyBorder="1" applyAlignment="1">
      <alignment horizontal="center" vertical="center"/>
    </xf>
    <xf numFmtId="0" fontId="32" fillId="40" borderId="8" xfId="0" applyFont="1" applyFill="1" applyBorder="1" applyAlignment="1">
      <alignment horizontal="center" vertical="center"/>
    </xf>
    <xf numFmtId="178" fontId="32" fillId="40" borderId="74" xfId="0" applyNumberFormat="1" applyFont="1" applyFill="1" applyBorder="1" applyAlignment="1">
      <alignment horizontal="center" vertical="center"/>
    </xf>
    <xf numFmtId="178" fontId="32" fillId="40" borderId="8" xfId="0" applyNumberFormat="1" applyFont="1" applyFill="1" applyBorder="1" applyAlignment="1">
      <alignment horizontal="center" vertical="center"/>
    </xf>
    <xf numFmtId="177" fontId="34" fillId="40" borderId="74" xfId="1" applyNumberFormat="1" applyFont="1" applyFill="1" applyBorder="1" applyAlignment="1">
      <alignment horizontal="center" vertical="center"/>
    </xf>
    <xf numFmtId="177" fontId="34" fillId="40" borderId="8" xfId="1" applyNumberFormat="1" applyFont="1" applyFill="1" applyBorder="1" applyAlignment="1">
      <alignment horizontal="center" vertical="center"/>
    </xf>
    <xf numFmtId="10" fontId="34" fillId="40" borderId="74" xfId="1" applyNumberFormat="1" applyFont="1" applyFill="1" applyBorder="1" applyAlignment="1">
      <alignment horizontal="center" vertical="center"/>
    </xf>
    <xf numFmtId="10" fontId="34" fillId="40" borderId="8" xfId="1" applyNumberFormat="1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2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4786" y="104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70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2197100"/>
          <a:ext cx="64770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46125" y="88741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746125" y="41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746125" y="13636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38909" y="902854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38909" y="1387763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ht="17.5" thickBot="1" x14ac:dyDescent="0.5">
      <c r="C3" s="1" t="s">
        <v>1</v>
      </c>
      <c r="D3" s="1" t="s">
        <v>2</v>
      </c>
      <c r="E3" s="1" t="s">
        <v>0</v>
      </c>
    </row>
    <row r="4" spans="2:5" ht="17.5" thickTop="1" x14ac:dyDescent="0.45">
      <c r="B4" s="16" t="s">
        <v>3</v>
      </c>
      <c r="C4" s="162">
        <v>324006</v>
      </c>
      <c r="D4" s="165">
        <v>47.91</v>
      </c>
      <c r="E4" s="168">
        <v>21.06</v>
      </c>
    </row>
    <row r="5" spans="2:5" x14ac:dyDescent="0.45">
      <c r="B5" s="16" t="s">
        <v>59</v>
      </c>
      <c r="C5" s="163">
        <v>321468</v>
      </c>
      <c r="D5" s="166">
        <v>37.42</v>
      </c>
      <c r="E5" s="169">
        <v>21.52</v>
      </c>
    </row>
    <row r="6" spans="2:5" x14ac:dyDescent="0.45">
      <c r="B6" s="16" t="s">
        <v>4</v>
      </c>
      <c r="C6" s="163">
        <v>318686</v>
      </c>
      <c r="D6" s="166">
        <v>55.38</v>
      </c>
      <c r="E6" s="169">
        <v>22.04</v>
      </c>
    </row>
    <row r="7" spans="2:5" x14ac:dyDescent="0.45">
      <c r="B7" s="16" t="s">
        <v>5</v>
      </c>
      <c r="C7" s="163">
        <v>317095</v>
      </c>
      <c r="D7" s="166">
        <v>24.56</v>
      </c>
      <c r="E7" s="169">
        <v>12.38</v>
      </c>
    </row>
    <row r="8" spans="2:5" x14ac:dyDescent="0.45">
      <c r="B8" s="16" t="s">
        <v>9</v>
      </c>
      <c r="C8" s="163">
        <v>76657</v>
      </c>
      <c r="D8" s="166">
        <v>21.89</v>
      </c>
      <c r="E8" s="169">
        <v>10.73</v>
      </c>
    </row>
    <row r="9" spans="2:5" x14ac:dyDescent="0.45">
      <c r="B9" s="16" t="s">
        <v>10</v>
      </c>
      <c r="C9" s="163">
        <v>43610</v>
      </c>
      <c r="D9" s="166">
        <v>22.32</v>
      </c>
      <c r="E9" s="169">
        <v>10.73</v>
      </c>
    </row>
    <row r="10" spans="2:5" x14ac:dyDescent="0.45">
      <c r="B10" s="16" t="s">
        <v>11</v>
      </c>
      <c r="C10" s="163">
        <v>27659</v>
      </c>
      <c r="D10" s="166">
        <v>21.27</v>
      </c>
      <c r="E10" s="169">
        <v>9.9499999999999993</v>
      </c>
    </row>
    <row r="11" spans="2:5" x14ac:dyDescent="0.45">
      <c r="B11" s="16" t="s">
        <v>12</v>
      </c>
      <c r="C11" s="163">
        <v>22970</v>
      </c>
      <c r="D11" s="166">
        <v>20.22</v>
      </c>
      <c r="E11" s="169">
        <v>10.19</v>
      </c>
    </row>
    <row r="12" spans="2:5" x14ac:dyDescent="0.45">
      <c r="B12" s="16" t="s">
        <v>13</v>
      </c>
      <c r="C12" s="163">
        <v>11370</v>
      </c>
      <c r="D12" s="166">
        <v>21.41</v>
      </c>
      <c r="E12" s="169">
        <v>12.28</v>
      </c>
    </row>
    <row r="13" spans="2:5" x14ac:dyDescent="0.45">
      <c r="B13" s="16" t="s">
        <v>14</v>
      </c>
      <c r="C13" s="163">
        <v>18652</v>
      </c>
      <c r="D13" s="166">
        <v>18.989999999999998</v>
      </c>
      <c r="E13" s="169">
        <v>10.93</v>
      </c>
    </row>
    <row r="14" spans="2:5" x14ac:dyDescent="0.45">
      <c r="B14" s="16" t="s">
        <v>58</v>
      </c>
      <c r="C14" s="163">
        <v>13567</v>
      </c>
      <c r="D14" s="166">
        <v>18.3</v>
      </c>
      <c r="E14" s="169">
        <v>10.36</v>
      </c>
    </row>
    <row r="15" spans="2:5" x14ac:dyDescent="0.45">
      <c r="B15" s="16" t="s">
        <v>15</v>
      </c>
      <c r="C15" s="163">
        <v>35316</v>
      </c>
      <c r="D15" s="166">
        <v>21.21</v>
      </c>
      <c r="E15" s="169">
        <v>11.52</v>
      </c>
    </row>
    <row r="16" spans="2:5" x14ac:dyDescent="0.45">
      <c r="B16" s="16" t="s">
        <v>16</v>
      </c>
      <c r="C16" s="163">
        <v>60984</v>
      </c>
      <c r="D16" s="166">
        <v>22.41</v>
      </c>
      <c r="E16" s="169">
        <v>12.34</v>
      </c>
    </row>
    <row r="17" spans="2:5" x14ac:dyDescent="0.45">
      <c r="B17" s="16" t="s">
        <v>57</v>
      </c>
      <c r="C17" s="163">
        <v>52650</v>
      </c>
      <c r="D17" s="166">
        <v>23.16</v>
      </c>
      <c r="E17" s="169">
        <v>12.52</v>
      </c>
    </row>
    <row r="18" spans="2:5" x14ac:dyDescent="0.45">
      <c r="B18" s="16" t="s">
        <v>17</v>
      </c>
      <c r="C18" s="163">
        <v>69583</v>
      </c>
      <c r="D18" s="166">
        <v>21.93</v>
      </c>
      <c r="E18" s="169">
        <v>11.26</v>
      </c>
    </row>
    <row r="19" spans="2:5" x14ac:dyDescent="0.45">
      <c r="B19" s="16" t="s">
        <v>18</v>
      </c>
      <c r="C19" s="163">
        <v>109673</v>
      </c>
      <c r="D19" s="166">
        <v>23.38</v>
      </c>
      <c r="E19" s="169">
        <v>11.35</v>
      </c>
    </row>
    <row r="20" spans="2:5" ht="17.5" thickBot="1" x14ac:dyDescent="0.5">
      <c r="B20" s="16" t="s">
        <v>19</v>
      </c>
      <c r="C20" s="164">
        <v>84461</v>
      </c>
      <c r="D20" s="167">
        <v>22.62</v>
      </c>
      <c r="E20" s="170">
        <v>12.14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topLeftCell="A108"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ht="17.5" thickBot="1" x14ac:dyDescent="0.5">
      <c r="C3" s="197" t="s">
        <v>55</v>
      </c>
      <c r="D3" s="197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23</v>
      </c>
      <c r="P3" s="1" t="s">
        <v>17</v>
      </c>
      <c r="Q3" s="1" t="s">
        <v>18</v>
      </c>
      <c r="R3" s="1" t="s">
        <v>19</v>
      </c>
      <c r="S3" s="1" t="s">
        <v>24</v>
      </c>
      <c r="T3" s="1" t="s">
        <v>20</v>
      </c>
      <c r="U3" s="1" t="s">
        <v>21</v>
      </c>
      <c r="V3" s="1" t="s">
        <v>22</v>
      </c>
    </row>
    <row r="4" spans="1:22" ht="17.5" thickTop="1" x14ac:dyDescent="0.45">
      <c r="A4" t="s">
        <v>43</v>
      </c>
      <c r="B4" s="1" t="s">
        <v>25</v>
      </c>
      <c r="C4" s="165">
        <v>135</v>
      </c>
      <c r="D4" s="177">
        <v>13187</v>
      </c>
    </row>
    <row r="5" spans="1:22" x14ac:dyDescent="0.45">
      <c r="B5" s="1" t="s">
        <v>26</v>
      </c>
      <c r="C5" s="166">
        <v>127</v>
      </c>
      <c r="D5" s="171">
        <v>23730</v>
      </c>
    </row>
    <row r="6" spans="1:22" x14ac:dyDescent="0.45">
      <c r="B6" s="1" t="s">
        <v>27</v>
      </c>
      <c r="C6" s="166">
        <v>117</v>
      </c>
      <c r="D6" s="171">
        <v>38319</v>
      </c>
    </row>
    <row r="7" spans="1:22" x14ac:dyDescent="0.45">
      <c r="B7" s="1" t="s">
        <v>28</v>
      </c>
      <c r="C7" s="166">
        <v>106</v>
      </c>
      <c r="D7" s="171">
        <v>56957</v>
      </c>
    </row>
    <row r="8" spans="1:22" x14ac:dyDescent="0.45">
      <c r="B8" s="1" t="s">
        <v>29</v>
      </c>
      <c r="C8" s="166">
        <v>93</v>
      </c>
      <c r="D8" s="171">
        <v>64058</v>
      </c>
    </row>
    <row r="9" spans="1:22" x14ac:dyDescent="0.45">
      <c r="B9" s="1" t="s">
        <v>30</v>
      </c>
      <c r="C9" s="166">
        <v>82</v>
      </c>
      <c r="D9" s="171">
        <v>55643</v>
      </c>
    </row>
    <row r="10" spans="1:22" x14ac:dyDescent="0.45">
      <c r="B10" s="1" t="s">
        <v>31</v>
      </c>
      <c r="C10" s="166">
        <v>74</v>
      </c>
      <c r="D10" s="171">
        <v>43087</v>
      </c>
    </row>
    <row r="11" spans="1:22" x14ac:dyDescent="0.45">
      <c r="B11" s="1" t="s">
        <v>32</v>
      </c>
      <c r="C11" s="166">
        <v>70</v>
      </c>
      <c r="D11" s="171">
        <v>19277</v>
      </c>
    </row>
    <row r="12" spans="1:22" ht="17.5" thickBot="1" x14ac:dyDescent="0.5">
      <c r="B12" s="1" t="s">
        <v>34</v>
      </c>
      <c r="C12" s="167">
        <v>55</v>
      </c>
      <c r="D12" s="189">
        <v>9748</v>
      </c>
    </row>
    <row r="13" spans="1:22" x14ac:dyDescent="0.45">
      <c r="A13" t="s">
        <v>61</v>
      </c>
      <c r="B13" s="1" t="s">
        <v>35</v>
      </c>
      <c r="C13" s="188">
        <v>140</v>
      </c>
      <c r="D13" s="187">
        <v>16080</v>
      </c>
    </row>
    <row r="14" spans="1:22" x14ac:dyDescent="0.45">
      <c r="B14" s="1" t="s">
        <v>36</v>
      </c>
      <c r="C14" s="166">
        <v>128</v>
      </c>
      <c r="D14" s="171">
        <v>23761</v>
      </c>
    </row>
    <row r="15" spans="1:22" x14ac:dyDescent="0.45">
      <c r="B15" s="1" t="s">
        <v>37</v>
      </c>
      <c r="C15" s="166">
        <v>115</v>
      </c>
      <c r="D15" s="171">
        <v>36493</v>
      </c>
    </row>
    <row r="16" spans="1:22" x14ac:dyDescent="0.45">
      <c r="B16" s="1" t="s">
        <v>38</v>
      </c>
      <c r="C16" s="166">
        <v>102</v>
      </c>
      <c r="D16" s="171">
        <v>52767</v>
      </c>
    </row>
    <row r="17" spans="1:4" x14ac:dyDescent="0.45">
      <c r="B17" s="1" t="s">
        <v>39</v>
      </c>
      <c r="C17" s="166">
        <v>90</v>
      </c>
      <c r="D17" s="171">
        <v>65703</v>
      </c>
    </row>
    <row r="18" spans="1:4" x14ac:dyDescent="0.45">
      <c r="B18" s="1" t="s">
        <v>40</v>
      </c>
      <c r="C18" s="166">
        <v>82</v>
      </c>
      <c r="D18" s="171">
        <v>57389</v>
      </c>
    </row>
    <row r="19" spans="1:4" x14ac:dyDescent="0.45">
      <c r="B19" s="1" t="s">
        <v>41</v>
      </c>
      <c r="C19" s="166">
        <v>79</v>
      </c>
      <c r="D19" s="171">
        <v>34824</v>
      </c>
    </row>
    <row r="20" spans="1:4" x14ac:dyDescent="0.45">
      <c r="B20" s="1" t="s">
        <v>42</v>
      </c>
      <c r="C20" s="166">
        <v>75</v>
      </c>
      <c r="D20" s="171">
        <v>22604</v>
      </c>
    </row>
    <row r="21" spans="1:4" ht="17.5" thickBot="1" x14ac:dyDescent="0.5">
      <c r="B21" s="1" t="s">
        <v>33</v>
      </c>
      <c r="C21" s="167">
        <v>65</v>
      </c>
      <c r="D21" s="189">
        <v>11847</v>
      </c>
    </row>
    <row r="22" spans="1:4" x14ac:dyDescent="0.45">
      <c r="A22" t="s">
        <v>62</v>
      </c>
      <c r="B22" s="1" t="s">
        <v>25</v>
      </c>
      <c r="C22" s="188">
        <v>90</v>
      </c>
      <c r="D22" s="187">
        <v>16506</v>
      </c>
    </row>
    <row r="23" spans="1:4" x14ac:dyDescent="0.45">
      <c r="B23" s="1" t="s">
        <v>26</v>
      </c>
      <c r="C23" s="166">
        <v>80</v>
      </c>
      <c r="D23" s="171">
        <v>31326</v>
      </c>
    </row>
    <row r="24" spans="1:4" x14ac:dyDescent="0.45">
      <c r="B24" s="1" t="s">
        <v>27</v>
      </c>
      <c r="C24" s="166">
        <v>70</v>
      </c>
      <c r="D24" s="171">
        <v>46872</v>
      </c>
    </row>
    <row r="25" spans="1:4" x14ac:dyDescent="0.45">
      <c r="B25" s="1" t="s">
        <v>28</v>
      </c>
      <c r="C25" s="166">
        <v>60</v>
      </c>
      <c r="D25" s="171">
        <v>52654</v>
      </c>
    </row>
    <row r="26" spans="1:4" x14ac:dyDescent="0.45">
      <c r="B26" s="1" t="s">
        <v>29</v>
      </c>
      <c r="C26" s="166">
        <v>50</v>
      </c>
      <c r="D26" s="171">
        <v>47389</v>
      </c>
    </row>
    <row r="27" spans="1:4" x14ac:dyDescent="0.45">
      <c r="B27" s="1" t="s">
        <v>30</v>
      </c>
      <c r="C27" s="166">
        <v>40</v>
      </c>
      <c r="D27" s="171">
        <v>39792</v>
      </c>
    </row>
    <row r="28" spans="1:4" x14ac:dyDescent="0.45">
      <c r="B28" s="1" t="s">
        <v>31</v>
      </c>
      <c r="C28" s="166">
        <v>30</v>
      </c>
      <c r="D28" s="171">
        <v>33621</v>
      </c>
    </row>
    <row r="29" spans="1:4" x14ac:dyDescent="0.45">
      <c r="B29" s="1" t="s">
        <v>32</v>
      </c>
      <c r="C29" s="166">
        <v>20</v>
      </c>
      <c r="D29" s="171">
        <v>31299</v>
      </c>
    </row>
    <row r="30" spans="1:4" ht="17.5" thickBot="1" x14ac:dyDescent="0.5">
      <c r="B30" s="1" t="s">
        <v>34</v>
      </c>
      <c r="C30" s="167">
        <v>0</v>
      </c>
      <c r="D30" s="189">
        <v>19227</v>
      </c>
    </row>
    <row r="31" spans="1:4" x14ac:dyDescent="0.45">
      <c r="A31" t="s">
        <v>63</v>
      </c>
      <c r="B31" s="1" t="s">
        <v>25</v>
      </c>
      <c r="C31" s="188">
        <v>40</v>
      </c>
      <c r="D31" s="187">
        <v>47833</v>
      </c>
    </row>
    <row r="32" spans="1:4" x14ac:dyDescent="0.45">
      <c r="B32" s="1" t="s">
        <v>26</v>
      </c>
      <c r="C32" s="166">
        <v>35</v>
      </c>
      <c r="D32" s="171">
        <v>29821</v>
      </c>
    </row>
    <row r="33" spans="1:4" x14ac:dyDescent="0.45">
      <c r="B33" s="1" t="s">
        <v>27</v>
      </c>
      <c r="C33" s="166">
        <v>30</v>
      </c>
      <c r="D33" s="171">
        <v>35444</v>
      </c>
    </row>
    <row r="34" spans="1:4" x14ac:dyDescent="0.45">
      <c r="B34" s="1" t="s">
        <v>28</v>
      </c>
      <c r="C34" s="166">
        <v>25</v>
      </c>
      <c r="D34" s="171">
        <v>39201</v>
      </c>
    </row>
    <row r="35" spans="1:4" x14ac:dyDescent="0.45">
      <c r="B35" s="1" t="s">
        <v>29</v>
      </c>
      <c r="C35" s="166">
        <v>20</v>
      </c>
      <c r="D35" s="171">
        <v>39812</v>
      </c>
    </row>
    <row r="36" spans="1:4" x14ac:dyDescent="0.45">
      <c r="B36" s="1" t="s">
        <v>30</v>
      </c>
      <c r="C36" s="166">
        <v>15</v>
      </c>
      <c r="D36" s="171">
        <v>39217</v>
      </c>
    </row>
    <row r="37" spans="1:4" x14ac:dyDescent="0.45">
      <c r="B37" s="1" t="s">
        <v>31</v>
      </c>
      <c r="C37" s="166">
        <v>10</v>
      </c>
      <c r="D37" s="171">
        <v>51208</v>
      </c>
    </row>
    <row r="38" spans="1:4" x14ac:dyDescent="0.45">
      <c r="B38" s="1" t="s">
        <v>32</v>
      </c>
      <c r="C38" s="166">
        <v>5</v>
      </c>
      <c r="D38" s="171">
        <v>29509</v>
      </c>
    </row>
    <row r="39" spans="1:4" ht="17.5" thickBot="1" x14ac:dyDescent="0.5">
      <c r="B39" s="1" t="s">
        <v>34</v>
      </c>
      <c r="C39" s="167">
        <v>0</v>
      </c>
      <c r="D39" s="189">
        <v>5050</v>
      </c>
    </row>
    <row r="40" spans="1:4" x14ac:dyDescent="0.45">
      <c r="A40" t="s">
        <v>44</v>
      </c>
      <c r="B40" s="1" t="s">
        <v>35</v>
      </c>
      <c r="C40" s="188">
        <v>69</v>
      </c>
      <c r="D40" s="187">
        <v>3650</v>
      </c>
    </row>
    <row r="41" spans="1:4" x14ac:dyDescent="0.45">
      <c r="B41" s="1" t="s">
        <v>36</v>
      </c>
      <c r="C41" s="166">
        <v>63</v>
      </c>
      <c r="D41" s="171">
        <v>5782</v>
      </c>
    </row>
    <row r="42" spans="1:4" x14ac:dyDescent="0.45">
      <c r="B42" s="1" t="s">
        <v>37</v>
      </c>
      <c r="C42" s="166">
        <v>58</v>
      </c>
      <c r="D42" s="171">
        <v>10083</v>
      </c>
    </row>
    <row r="43" spans="1:4" x14ac:dyDescent="0.45">
      <c r="B43" s="1" t="s">
        <v>38</v>
      </c>
      <c r="C43" s="166">
        <v>52</v>
      </c>
      <c r="D43" s="171">
        <v>13059</v>
      </c>
    </row>
    <row r="44" spans="1:4" x14ac:dyDescent="0.45">
      <c r="B44" s="1" t="s">
        <v>39</v>
      </c>
      <c r="C44" s="166">
        <v>45</v>
      </c>
      <c r="D44" s="171">
        <v>17616</v>
      </c>
    </row>
    <row r="45" spans="1:4" x14ac:dyDescent="0.45">
      <c r="B45" s="1" t="s">
        <v>40</v>
      </c>
      <c r="C45" s="166">
        <v>41</v>
      </c>
      <c r="D45" s="171">
        <v>8855</v>
      </c>
    </row>
    <row r="46" spans="1:4" x14ac:dyDescent="0.45">
      <c r="B46" s="1" t="s">
        <v>41</v>
      </c>
      <c r="C46" s="166">
        <v>39</v>
      </c>
      <c r="D46" s="171">
        <v>10218</v>
      </c>
    </row>
    <row r="47" spans="1:4" x14ac:dyDescent="0.45">
      <c r="B47" s="1" t="s">
        <v>42</v>
      </c>
      <c r="C47" s="166">
        <v>36</v>
      </c>
      <c r="D47" s="171">
        <v>4568</v>
      </c>
    </row>
    <row r="48" spans="1:4" x14ac:dyDescent="0.45">
      <c r="B48" s="1" t="s">
        <v>33</v>
      </c>
      <c r="C48" s="166">
        <v>30</v>
      </c>
      <c r="D48" s="171">
        <v>2826</v>
      </c>
    </row>
    <row r="49" spans="1:4" x14ac:dyDescent="0.45">
      <c r="A49" t="s">
        <v>45</v>
      </c>
      <c r="B49" s="1" t="s">
        <v>25</v>
      </c>
      <c r="C49" s="166">
        <v>69</v>
      </c>
      <c r="D49" s="171">
        <v>1870</v>
      </c>
    </row>
    <row r="50" spans="1:4" x14ac:dyDescent="0.45">
      <c r="B50" s="1" t="s">
        <v>26</v>
      </c>
      <c r="C50" s="166">
        <v>64</v>
      </c>
      <c r="D50" s="171">
        <v>3093</v>
      </c>
    </row>
    <row r="51" spans="1:4" x14ac:dyDescent="0.45">
      <c r="B51" s="1" t="s">
        <v>27</v>
      </c>
      <c r="C51" s="166">
        <v>58</v>
      </c>
      <c r="D51" s="171">
        <v>5532</v>
      </c>
    </row>
    <row r="52" spans="1:4" x14ac:dyDescent="0.45">
      <c r="B52" s="1" t="s">
        <v>28</v>
      </c>
      <c r="C52" s="166">
        <v>52</v>
      </c>
      <c r="D52" s="171">
        <v>8482</v>
      </c>
    </row>
    <row r="53" spans="1:4" x14ac:dyDescent="0.45">
      <c r="B53" s="1" t="s">
        <v>29</v>
      </c>
      <c r="C53" s="166">
        <v>46</v>
      </c>
      <c r="D53" s="171">
        <v>7595</v>
      </c>
    </row>
    <row r="54" spans="1:4" x14ac:dyDescent="0.45">
      <c r="B54" s="1" t="s">
        <v>30</v>
      </c>
      <c r="C54" s="166">
        <v>40</v>
      </c>
      <c r="D54" s="171">
        <v>10084</v>
      </c>
    </row>
    <row r="55" spans="1:4" x14ac:dyDescent="0.45">
      <c r="B55" s="1" t="s">
        <v>31</v>
      </c>
      <c r="C55" s="166">
        <v>39</v>
      </c>
      <c r="D55" s="171">
        <v>3149</v>
      </c>
    </row>
    <row r="56" spans="1:4" x14ac:dyDescent="0.45">
      <c r="B56" s="1" t="s">
        <v>32</v>
      </c>
      <c r="C56" s="166">
        <v>36</v>
      </c>
      <c r="D56" s="171">
        <v>2658</v>
      </c>
    </row>
    <row r="57" spans="1:4" x14ac:dyDescent="0.45">
      <c r="B57" s="1" t="s">
        <v>34</v>
      </c>
      <c r="C57" s="166">
        <v>29</v>
      </c>
      <c r="D57" s="171">
        <v>1147</v>
      </c>
    </row>
    <row r="58" spans="1:4" x14ac:dyDescent="0.45">
      <c r="A58" t="s">
        <v>46</v>
      </c>
      <c r="B58" s="1" t="s">
        <v>35</v>
      </c>
      <c r="C58" s="166">
        <v>70</v>
      </c>
      <c r="D58" s="171">
        <v>1327</v>
      </c>
    </row>
    <row r="59" spans="1:4" x14ac:dyDescent="0.45">
      <c r="B59" s="1" t="s">
        <v>36</v>
      </c>
      <c r="C59" s="166">
        <v>64</v>
      </c>
      <c r="D59" s="171">
        <v>1870</v>
      </c>
    </row>
    <row r="60" spans="1:4" x14ac:dyDescent="0.45">
      <c r="B60" s="1" t="s">
        <v>37</v>
      </c>
      <c r="C60" s="166">
        <v>58</v>
      </c>
      <c r="D60" s="171">
        <v>3230</v>
      </c>
    </row>
    <row r="61" spans="1:4" x14ac:dyDescent="0.45">
      <c r="B61" s="1" t="s">
        <v>38</v>
      </c>
      <c r="C61" s="166">
        <v>52</v>
      </c>
      <c r="D61" s="171">
        <v>4960</v>
      </c>
    </row>
    <row r="62" spans="1:4" x14ac:dyDescent="0.45">
      <c r="B62" s="1" t="s">
        <v>39</v>
      </c>
      <c r="C62" s="166">
        <v>46</v>
      </c>
      <c r="D62" s="171">
        <v>5628</v>
      </c>
    </row>
    <row r="63" spans="1:4" x14ac:dyDescent="0.45">
      <c r="B63" s="1" t="s">
        <v>40</v>
      </c>
      <c r="C63" s="166">
        <v>42</v>
      </c>
      <c r="D63" s="171">
        <v>5041</v>
      </c>
    </row>
    <row r="64" spans="1:4" x14ac:dyDescent="0.45">
      <c r="B64" s="1" t="s">
        <v>41</v>
      </c>
      <c r="C64" s="166">
        <v>39</v>
      </c>
      <c r="D64" s="171">
        <v>2797</v>
      </c>
    </row>
    <row r="65" spans="1:4" x14ac:dyDescent="0.45">
      <c r="B65" s="1" t="s">
        <v>42</v>
      </c>
      <c r="C65" s="166">
        <v>36</v>
      </c>
      <c r="D65" s="171">
        <v>1952</v>
      </c>
    </row>
    <row r="66" spans="1:4" x14ac:dyDescent="0.45">
      <c r="B66" s="1" t="s">
        <v>33</v>
      </c>
      <c r="C66" s="166">
        <v>29</v>
      </c>
      <c r="D66" s="171">
        <v>854</v>
      </c>
    </row>
    <row r="67" spans="1:4" x14ac:dyDescent="0.45">
      <c r="A67" t="s">
        <v>47</v>
      </c>
      <c r="B67" s="1" t="s">
        <v>25</v>
      </c>
      <c r="C67" s="166">
        <v>69</v>
      </c>
      <c r="D67" s="171">
        <v>1103</v>
      </c>
    </row>
    <row r="68" spans="1:4" x14ac:dyDescent="0.45">
      <c r="B68" s="1" t="s">
        <v>26</v>
      </c>
      <c r="C68" s="166">
        <v>64</v>
      </c>
      <c r="D68" s="171">
        <v>1758</v>
      </c>
    </row>
    <row r="69" spans="1:4" x14ac:dyDescent="0.45">
      <c r="B69" s="1" t="s">
        <v>27</v>
      </c>
      <c r="C69" s="166">
        <v>58</v>
      </c>
      <c r="D69" s="171">
        <v>2735</v>
      </c>
    </row>
    <row r="70" spans="1:4" x14ac:dyDescent="0.45">
      <c r="B70" s="1" t="s">
        <v>28</v>
      </c>
      <c r="C70" s="166">
        <v>52</v>
      </c>
      <c r="D70" s="171">
        <v>3742</v>
      </c>
    </row>
    <row r="71" spans="1:4" x14ac:dyDescent="0.45">
      <c r="B71" s="1" t="s">
        <v>29</v>
      </c>
      <c r="C71" s="166">
        <v>46</v>
      </c>
      <c r="D71" s="171">
        <v>4604</v>
      </c>
    </row>
    <row r="72" spans="1:4" x14ac:dyDescent="0.45">
      <c r="B72" s="1" t="s">
        <v>30</v>
      </c>
      <c r="C72" s="166">
        <v>41</v>
      </c>
      <c r="D72" s="171">
        <v>5282</v>
      </c>
    </row>
    <row r="73" spans="1:4" x14ac:dyDescent="0.45">
      <c r="B73" s="1" t="s">
        <v>31</v>
      </c>
      <c r="C73" s="166">
        <v>39</v>
      </c>
      <c r="D73" s="171">
        <v>1459</v>
      </c>
    </row>
    <row r="74" spans="1:4" x14ac:dyDescent="0.45">
      <c r="B74" s="1" t="s">
        <v>32</v>
      </c>
      <c r="C74" s="166">
        <v>37</v>
      </c>
      <c r="D74" s="171">
        <v>1417</v>
      </c>
    </row>
    <row r="75" spans="1:4" x14ac:dyDescent="0.45">
      <c r="B75" s="1" t="s">
        <v>34</v>
      </c>
      <c r="C75" s="166">
        <v>30</v>
      </c>
      <c r="D75" s="171">
        <v>870</v>
      </c>
    </row>
    <row r="76" spans="1:4" x14ac:dyDescent="0.45">
      <c r="A76" t="s">
        <v>48</v>
      </c>
      <c r="B76" s="1" t="s">
        <v>35</v>
      </c>
      <c r="C76" s="166">
        <v>70</v>
      </c>
      <c r="D76" s="171">
        <v>487</v>
      </c>
    </row>
    <row r="77" spans="1:4" x14ac:dyDescent="0.45">
      <c r="B77" s="1" t="s">
        <v>36</v>
      </c>
      <c r="C77" s="166">
        <v>65</v>
      </c>
      <c r="D77" s="171">
        <v>809</v>
      </c>
    </row>
    <row r="78" spans="1:4" x14ac:dyDescent="0.45">
      <c r="B78" s="1" t="s">
        <v>37</v>
      </c>
      <c r="C78" s="166">
        <v>59</v>
      </c>
      <c r="D78" s="171">
        <v>1322</v>
      </c>
    </row>
    <row r="79" spans="1:4" x14ac:dyDescent="0.45">
      <c r="B79" s="1" t="s">
        <v>38</v>
      </c>
      <c r="C79" s="166">
        <v>50</v>
      </c>
      <c r="D79" s="171">
        <v>2425</v>
      </c>
    </row>
    <row r="80" spans="1:4" x14ac:dyDescent="0.45">
      <c r="B80" s="1" t="s">
        <v>39</v>
      </c>
      <c r="C80" s="166">
        <v>45</v>
      </c>
      <c r="D80" s="171">
        <v>1890</v>
      </c>
    </row>
    <row r="81" spans="1:4" x14ac:dyDescent="0.45">
      <c r="B81" s="1" t="s">
        <v>40</v>
      </c>
      <c r="C81" s="166">
        <v>42</v>
      </c>
      <c r="D81" s="171">
        <v>1861</v>
      </c>
    </row>
    <row r="82" spans="1:4" x14ac:dyDescent="0.45">
      <c r="B82" s="1" t="s">
        <v>41</v>
      </c>
      <c r="C82" s="166">
        <v>40</v>
      </c>
      <c r="D82" s="171">
        <v>1369</v>
      </c>
    </row>
    <row r="83" spans="1:4" x14ac:dyDescent="0.45">
      <c r="B83" s="1" t="s">
        <v>42</v>
      </c>
      <c r="C83" s="166">
        <v>37</v>
      </c>
      <c r="D83" s="171">
        <v>976</v>
      </c>
    </row>
    <row r="84" spans="1:4" x14ac:dyDescent="0.45">
      <c r="B84" s="1" t="s">
        <v>33</v>
      </c>
      <c r="C84" s="166">
        <v>33</v>
      </c>
      <c r="D84" s="171">
        <v>231</v>
      </c>
    </row>
    <row r="85" spans="1:4" x14ac:dyDescent="0.45">
      <c r="A85" t="s">
        <v>47</v>
      </c>
      <c r="B85" s="1" t="s">
        <v>25</v>
      </c>
      <c r="C85" s="166">
        <v>73</v>
      </c>
      <c r="D85" s="171">
        <v>796</v>
      </c>
    </row>
    <row r="86" spans="1:4" x14ac:dyDescent="0.45">
      <c r="B86" s="1" t="s">
        <v>26</v>
      </c>
      <c r="C86" s="166">
        <v>65</v>
      </c>
      <c r="D86" s="171">
        <v>1381</v>
      </c>
    </row>
    <row r="87" spans="1:4" x14ac:dyDescent="0.45">
      <c r="B87" s="1" t="s">
        <v>27</v>
      </c>
      <c r="C87" s="166">
        <v>56</v>
      </c>
      <c r="D87" s="171">
        <v>2289</v>
      </c>
    </row>
    <row r="88" spans="1:4" x14ac:dyDescent="0.45">
      <c r="B88" s="1" t="s">
        <v>28</v>
      </c>
      <c r="C88" s="166">
        <v>50</v>
      </c>
      <c r="D88" s="171">
        <v>3168</v>
      </c>
    </row>
    <row r="89" spans="1:4" x14ac:dyDescent="0.45">
      <c r="B89" s="1" t="s">
        <v>29</v>
      </c>
      <c r="C89" s="166">
        <v>45</v>
      </c>
      <c r="D89" s="171">
        <v>4166</v>
      </c>
    </row>
    <row r="90" spans="1:4" x14ac:dyDescent="0.45">
      <c r="B90" s="1" t="s">
        <v>30</v>
      </c>
      <c r="C90" s="166">
        <v>42</v>
      </c>
      <c r="D90" s="171">
        <v>4283</v>
      </c>
    </row>
    <row r="91" spans="1:4" x14ac:dyDescent="0.45">
      <c r="B91" s="1" t="s">
        <v>31</v>
      </c>
      <c r="C91" s="166">
        <v>41</v>
      </c>
      <c r="D91" s="171">
        <v>675</v>
      </c>
    </row>
    <row r="92" spans="1:4" x14ac:dyDescent="0.45">
      <c r="B92" s="1" t="s">
        <v>32</v>
      </c>
      <c r="C92" s="166">
        <v>38</v>
      </c>
      <c r="D92" s="171">
        <v>1212</v>
      </c>
    </row>
    <row r="93" spans="1:4" x14ac:dyDescent="0.45">
      <c r="B93" s="1" t="s">
        <v>34</v>
      </c>
      <c r="C93" s="166">
        <v>33</v>
      </c>
      <c r="D93" s="171">
        <v>682</v>
      </c>
    </row>
    <row r="94" spans="1:4" x14ac:dyDescent="0.45">
      <c r="A94" t="s">
        <v>60</v>
      </c>
      <c r="B94" s="1" t="s">
        <v>35</v>
      </c>
      <c r="C94" s="166">
        <v>72</v>
      </c>
      <c r="D94" s="171">
        <v>559</v>
      </c>
    </row>
    <row r="95" spans="1:4" x14ac:dyDescent="0.45">
      <c r="B95" s="1" t="s">
        <v>36</v>
      </c>
      <c r="C95" s="166">
        <v>64</v>
      </c>
      <c r="D95" s="171">
        <v>1008</v>
      </c>
    </row>
    <row r="96" spans="1:4" x14ac:dyDescent="0.45">
      <c r="B96" s="1" t="s">
        <v>37</v>
      </c>
      <c r="C96" s="166">
        <v>57</v>
      </c>
      <c r="D96" s="171">
        <v>1598</v>
      </c>
    </row>
    <row r="97" spans="1:4" x14ac:dyDescent="0.45">
      <c r="B97" s="1" t="s">
        <v>38</v>
      </c>
      <c r="C97" s="166">
        <v>50</v>
      </c>
      <c r="D97" s="171">
        <v>2618</v>
      </c>
    </row>
    <row r="98" spans="1:4" x14ac:dyDescent="0.45">
      <c r="B98" s="1" t="s">
        <v>39</v>
      </c>
      <c r="C98" s="166">
        <v>45</v>
      </c>
      <c r="D98" s="171">
        <v>2450</v>
      </c>
    </row>
    <row r="99" spans="1:4" x14ac:dyDescent="0.45">
      <c r="B99" s="1" t="s">
        <v>40</v>
      </c>
      <c r="C99" s="166">
        <v>42</v>
      </c>
      <c r="D99" s="171">
        <v>2758</v>
      </c>
    </row>
    <row r="100" spans="1:4" x14ac:dyDescent="0.45">
      <c r="B100" s="1" t="s">
        <v>41</v>
      </c>
      <c r="C100" s="166">
        <v>39</v>
      </c>
      <c r="D100" s="171">
        <v>1845</v>
      </c>
    </row>
    <row r="101" spans="1:4" x14ac:dyDescent="0.45">
      <c r="B101" s="1" t="s">
        <v>42</v>
      </c>
      <c r="C101" s="166">
        <v>38</v>
      </c>
      <c r="D101" s="171">
        <v>199</v>
      </c>
    </row>
    <row r="102" spans="1:4" x14ac:dyDescent="0.45">
      <c r="B102" s="1" t="s">
        <v>33</v>
      </c>
      <c r="C102" s="166">
        <v>32</v>
      </c>
      <c r="D102" s="171">
        <v>532</v>
      </c>
    </row>
    <row r="103" spans="1:4" x14ac:dyDescent="0.45">
      <c r="A103" t="s">
        <v>49</v>
      </c>
      <c r="B103" s="1" t="s">
        <v>25</v>
      </c>
      <c r="C103" s="166">
        <v>70</v>
      </c>
      <c r="D103" s="171">
        <v>1671</v>
      </c>
    </row>
    <row r="104" spans="1:4" x14ac:dyDescent="0.45">
      <c r="B104" s="1" t="s">
        <v>26</v>
      </c>
      <c r="C104" s="166">
        <v>64</v>
      </c>
      <c r="D104" s="171">
        <v>2756</v>
      </c>
    </row>
    <row r="105" spans="1:4" x14ac:dyDescent="0.45">
      <c r="B105" s="1" t="s">
        <v>27</v>
      </c>
      <c r="C105" s="166">
        <v>58</v>
      </c>
      <c r="D105" s="171">
        <v>4202</v>
      </c>
    </row>
    <row r="106" spans="1:4" x14ac:dyDescent="0.45">
      <c r="B106" s="1" t="s">
        <v>28</v>
      </c>
      <c r="C106" s="166">
        <v>52</v>
      </c>
      <c r="D106" s="171">
        <v>5752</v>
      </c>
    </row>
    <row r="107" spans="1:4" x14ac:dyDescent="0.45">
      <c r="B107" s="1" t="s">
        <v>29</v>
      </c>
      <c r="C107" s="166">
        <v>45</v>
      </c>
      <c r="D107" s="171">
        <v>8372</v>
      </c>
    </row>
    <row r="108" spans="1:4" x14ac:dyDescent="0.45">
      <c r="B108" s="1" t="s">
        <v>30</v>
      </c>
      <c r="C108" s="166">
        <v>42</v>
      </c>
      <c r="D108" s="171">
        <v>4571</v>
      </c>
    </row>
    <row r="109" spans="1:4" x14ac:dyDescent="0.45">
      <c r="B109" s="1" t="s">
        <v>31</v>
      </c>
      <c r="C109" s="166">
        <v>38</v>
      </c>
      <c r="D109" s="171">
        <v>6478</v>
      </c>
    </row>
    <row r="110" spans="1:4" x14ac:dyDescent="0.45">
      <c r="B110" s="1" t="s">
        <v>32</v>
      </c>
      <c r="C110" s="166">
        <v>37</v>
      </c>
      <c r="D110" s="171">
        <v>344</v>
      </c>
    </row>
    <row r="111" spans="1:4" x14ac:dyDescent="0.45">
      <c r="B111" s="1" t="s">
        <v>34</v>
      </c>
      <c r="C111" s="166">
        <v>32</v>
      </c>
      <c r="D111" s="171">
        <v>1170</v>
      </c>
    </row>
    <row r="112" spans="1:4" x14ac:dyDescent="0.45">
      <c r="A112" t="s">
        <v>50</v>
      </c>
      <c r="B112" s="1" t="s">
        <v>35</v>
      </c>
      <c r="C112" s="166">
        <v>70</v>
      </c>
      <c r="D112" s="171">
        <v>3041</v>
      </c>
    </row>
    <row r="113" spans="1:4" x14ac:dyDescent="0.45">
      <c r="B113" s="1" t="s">
        <v>36</v>
      </c>
      <c r="C113" s="166">
        <v>65</v>
      </c>
      <c r="D113" s="171">
        <v>3977</v>
      </c>
    </row>
    <row r="114" spans="1:4" x14ac:dyDescent="0.45">
      <c r="B114" s="1" t="s">
        <v>37</v>
      </c>
      <c r="C114" s="166">
        <v>58</v>
      </c>
      <c r="D114" s="171">
        <v>7738</v>
      </c>
    </row>
    <row r="115" spans="1:4" x14ac:dyDescent="0.45">
      <c r="B115" s="1" t="s">
        <v>38</v>
      </c>
      <c r="C115" s="166">
        <v>51</v>
      </c>
      <c r="D115" s="171">
        <v>10076</v>
      </c>
    </row>
    <row r="116" spans="1:4" x14ac:dyDescent="0.45">
      <c r="B116" s="1" t="s">
        <v>39</v>
      </c>
      <c r="C116" s="166">
        <v>46</v>
      </c>
      <c r="D116" s="171">
        <v>11943</v>
      </c>
    </row>
    <row r="117" spans="1:4" x14ac:dyDescent="0.45">
      <c r="B117" s="1" t="s">
        <v>40</v>
      </c>
      <c r="C117" s="166">
        <v>42</v>
      </c>
      <c r="D117" s="171">
        <v>11204</v>
      </c>
    </row>
    <row r="118" spans="1:4" x14ac:dyDescent="0.45">
      <c r="B118" s="1" t="s">
        <v>41</v>
      </c>
      <c r="C118" s="166">
        <v>38</v>
      </c>
      <c r="D118" s="171">
        <v>10586</v>
      </c>
    </row>
    <row r="119" spans="1:4" x14ac:dyDescent="0.45">
      <c r="B119" s="1" t="s">
        <v>42</v>
      </c>
      <c r="C119" s="166" t="s">
        <v>135</v>
      </c>
      <c r="D119" s="171" t="s">
        <v>135</v>
      </c>
    </row>
    <row r="120" spans="1:4" ht="17.5" thickBot="1" x14ac:dyDescent="0.5">
      <c r="B120" s="1" t="s">
        <v>33</v>
      </c>
      <c r="C120" s="167">
        <v>32</v>
      </c>
      <c r="D120" s="189">
        <v>2419</v>
      </c>
    </row>
    <row r="121" spans="1:4" x14ac:dyDescent="0.45">
      <c r="A121" t="s">
        <v>51</v>
      </c>
      <c r="B121" s="1" t="s">
        <v>25</v>
      </c>
      <c r="C121" s="188">
        <v>69</v>
      </c>
      <c r="D121" s="187">
        <v>2679</v>
      </c>
    </row>
    <row r="122" spans="1:4" x14ac:dyDescent="0.45">
      <c r="B122" s="1" t="s">
        <v>26</v>
      </c>
      <c r="C122" s="166">
        <v>64</v>
      </c>
      <c r="D122" s="171">
        <v>3952</v>
      </c>
    </row>
    <row r="123" spans="1:4" x14ac:dyDescent="0.45">
      <c r="B123" s="1" t="s">
        <v>27</v>
      </c>
      <c r="C123" s="166">
        <v>59</v>
      </c>
      <c r="D123" s="171">
        <v>5803</v>
      </c>
    </row>
    <row r="124" spans="1:4" x14ac:dyDescent="0.45">
      <c r="B124" s="1" t="s">
        <v>28</v>
      </c>
      <c r="C124" s="166">
        <v>51</v>
      </c>
      <c r="D124" s="171">
        <v>10753</v>
      </c>
    </row>
    <row r="125" spans="1:4" x14ac:dyDescent="0.45">
      <c r="B125" s="1" t="s">
        <v>29</v>
      </c>
      <c r="C125" s="166">
        <v>45</v>
      </c>
      <c r="D125" s="171">
        <v>9762</v>
      </c>
    </row>
    <row r="126" spans="1:4" x14ac:dyDescent="0.45">
      <c r="B126" s="1" t="s">
        <v>30</v>
      </c>
      <c r="C126" s="166">
        <v>41</v>
      </c>
      <c r="D126" s="171">
        <v>8659</v>
      </c>
    </row>
    <row r="127" spans="1:4" x14ac:dyDescent="0.45">
      <c r="B127" s="1" t="s">
        <v>31</v>
      </c>
      <c r="C127" s="166">
        <v>38</v>
      </c>
      <c r="D127" s="171">
        <v>5787</v>
      </c>
    </row>
    <row r="128" spans="1:4" x14ac:dyDescent="0.45">
      <c r="B128" s="1" t="s">
        <v>32</v>
      </c>
      <c r="C128" s="166">
        <v>37</v>
      </c>
      <c r="D128" s="171">
        <v>3150</v>
      </c>
    </row>
    <row r="129" spans="1:4" x14ac:dyDescent="0.45">
      <c r="B129" s="1" t="s">
        <v>34</v>
      </c>
      <c r="C129" s="166">
        <v>32</v>
      </c>
      <c r="D129" s="171">
        <v>2105</v>
      </c>
    </row>
    <row r="130" spans="1:4" x14ac:dyDescent="0.45">
      <c r="A130" t="s">
        <v>52</v>
      </c>
      <c r="B130" s="1" t="s">
        <v>35</v>
      </c>
      <c r="C130" s="166">
        <v>70</v>
      </c>
      <c r="D130" s="171">
        <v>4262</v>
      </c>
    </row>
    <row r="131" spans="1:4" x14ac:dyDescent="0.45">
      <c r="B131" s="1" t="s">
        <v>36</v>
      </c>
      <c r="C131" s="166">
        <v>65</v>
      </c>
      <c r="D131" s="171">
        <v>3460</v>
      </c>
    </row>
    <row r="132" spans="1:4" x14ac:dyDescent="0.45">
      <c r="B132" s="1" t="s">
        <v>37</v>
      </c>
      <c r="C132" s="166">
        <v>57</v>
      </c>
      <c r="D132" s="171">
        <v>9091</v>
      </c>
    </row>
    <row r="133" spans="1:4" x14ac:dyDescent="0.45">
      <c r="B133" s="1" t="s">
        <v>38</v>
      </c>
      <c r="C133" s="166">
        <v>51</v>
      </c>
      <c r="D133" s="171">
        <v>11213</v>
      </c>
    </row>
    <row r="134" spans="1:4" x14ac:dyDescent="0.45">
      <c r="B134" s="1" t="s">
        <v>39</v>
      </c>
      <c r="C134" s="166">
        <v>46</v>
      </c>
      <c r="D134" s="171">
        <v>14207</v>
      </c>
    </row>
    <row r="135" spans="1:4" x14ac:dyDescent="0.45">
      <c r="B135" s="1" t="s">
        <v>40</v>
      </c>
      <c r="C135" s="166">
        <v>42</v>
      </c>
      <c r="D135" s="171">
        <v>11532</v>
      </c>
    </row>
    <row r="136" spans="1:4" x14ac:dyDescent="0.45">
      <c r="B136" s="1" t="s">
        <v>41</v>
      </c>
      <c r="C136" s="166">
        <v>39</v>
      </c>
      <c r="D136" s="171">
        <v>11757</v>
      </c>
    </row>
    <row r="137" spans="1:4" x14ac:dyDescent="0.45">
      <c r="B137" s="1" t="s">
        <v>42</v>
      </c>
      <c r="C137" s="166">
        <v>37</v>
      </c>
      <c r="D137" s="171">
        <v>2178</v>
      </c>
    </row>
    <row r="138" spans="1:4" x14ac:dyDescent="0.45">
      <c r="B138" s="1" t="s">
        <v>33</v>
      </c>
      <c r="C138" s="166">
        <v>31</v>
      </c>
      <c r="D138" s="171">
        <v>1883</v>
      </c>
    </row>
    <row r="139" spans="1:4" x14ac:dyDescent="0.45">
      <c r="A139" t="s">
        <v>53</v>
      </c>
      <c r="B139" s="1" t="s">
        <v>25</v>
      </c>
      <c r="C139" s="166">
        <v>70</v>
      </c>
      <c r="D139" s="171">
        <v>4475</v>
      </c>
    </row>
    <row r="140" spans="1:4" x14ac:dyDescent="0.45">
      <c r="B140" s="1" t="s">
        <v>26</v>
      </c>
      <c r="C140" s="166">
        <v>65</v>
      </c>
      <c r="D140" s="171">
        <v>7870</v>
      </c>
    </row>
    <row r="141" spans="1:4" x14ac:dyDescent="0.45">
      <c r="B141" s="1" t="s">
        <v>27</v>
      </c>
      <c r="C141" s="166">
        <v>58</v>
      </c>
      <c r="D141" s="171">
        <v>14504</v>
      </c>
    </row>
    <row r="142" spans="1:4" x14ac:dyDescent="0.45">
      <c r="B142" s="1" t="s">
        <v>28</v>
      </c>
      <c r="C142" s="166">
        <v>51</v>
      </c>
      <c r="D142" s="171">
        <v>21665</v>
      </c>
    </row>
    <row r="143" spans="1:4" x14ac:dyDescent="0.45">
      <c r="B143" s="1" t="s">
        <v>29</v>
      </c>
      <c r="C143" s="166">
        <v>46</v>
      </c>
      <c r="D143" s="171">
        <v>17892</v>
      </c>
    </row>
    <row r="144" spans="1:4" x14ac:dyDescent="0.45">
      <c r="B144" s="1" t="s">
        <v>30</v>
      </c>
      <c r="C144" s="166">
        <v>42</v>
      </c>
      <c r="D144" s="171">
        <v>19041</v>
      </c>
    </row>
    <row r="145" spans="1:4" x14ac:dyDescent="0.45">
      <c r="B145" s="1" t="s">
        <v>31</v>
      </c>
      <c r="C145" s="166">
        <v>38</v>
      </c>
      <c r="D145" s="171">
        <v>13652</v>
      </c>
    </row>
    <row r="146" spans="1:4" x14ac:dyDescent="0.45">
      <c r="B146" s="1" t="s">
        <v>32</v>
      </c>
      <c r="C146" s="166">
        <v>36</v>
      </c>
      <c r="D146" s="171">
        <v>8018</v>
      </c>
    </row>
    <row r="147" spans="1:4" x14ac:dyDescent="0.45">
      <c r="B147" s="1" t="s">
        <v>34</v>
      </c>
      <c r="C147" s="166">
        <v>29</v>
      </c>
      <c r="D147" s="171">
        <v>2556</v>
      </c>
    </row>
    <row r="148" spans="1:4" x14ac:dyDescent="0.45">
      <c r="A148" t="s">
        <v>54</v>
      </c>
      <c r="B148" s="1" t="s">
        <v>35</v>
      </c>
      <c r="C148" s="166">
        <v>68</v>
      </c>
      <c r="D148" s="171">
        <v>5739</v>
      </c>
    </row>
    <row r="149" spans="1:4" x14ac:dyDescent="0.45">
      <c r="B149" s="1" t="s">
        <v>36</v>
      </c>
      <c r="C149" s="166">
        <v>64</v>
      </c>
      <c r="D149" s="171">
        <v>4398</v>
      </c>
    </row>
    <row r="150" spans="1:4" x14ac:dyDescent="0.45">
      <c r="B150" s="1" t="s">
        <v>37</v>
      </c>
      <c r="C150" s="166">
        <v>59</v>
      </c>
      <c r="D150" s="171">
        <v>10336</v>
      </c>
    </row>
    <row r="151" spans="1:4" x14ac:dyDescent="0.45">
      <c r="B151" s="1" t="s">
        <v>38</v>
      </c>
      <c r="C151" s="166">
        <v>51</v>
      </c>
      <c r="D151" s="171">
        <v>15157</v>
      </c>
    </row>
    <row r="152" spans="1:4" x14ac:dyDescent="0.45">
      <c r="B152" s="1" t="s">
        <v>39</v>
      </c>
      <c r="C152" s="166">
        <v>45</v>
      </c>
      <c r="D152" s="171">
        <v>18103</v>
      </c>
    </row>
    <row r="153" spans="1:4" x14ac:dyDescent="0.45">
      <c r="B153" s="1" t="s">
        <v>40</v>
      </c>
      <c r="C153" s="166">
        <v>41</v>
      </c>
      <c r="D153" s="171">
        <v>14257</v>
      </c>
    </row>
    <row r="154" spans="1:4" x14ac:dyDescent="0.45">
      <c r="B154" s="1" t="s">
        <v>41</v>
      </c>
      <c r="C154" s="166">
        <v>39</v>
      </c>
      <c r="D154" s="171">
        <v>7606</v>
      </c>
    </row>
    <row r="155" spans="1:4" x14ac:dyDescent="0.45">
      <c r="B155" s="1" t="s">
        <v>42</v>
      </c>
      <c r="C155" s="166">
        <v>36</v>
      </c>
      <c r="D155" s="171">
        <v>6250</v>
      </c>
    </row>
    <row r="156" spans="1:4" ht="17.5" thickBot="1" x14ac:dyDescent="0.5">
      <c r="B156" s="1" t="s">
        <v>33</v>
      </c>
      <c r="C156" s="167">
        <v>31</v>
      </c>
      <c r="D156" s="189">
        <v>2615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J102"/>
  <sheetViews>
    <sheetView workbookViewId="0">
      <selection activeCell="A5" sqref="A5:J99"/>
    </sheetView>
  </sheetViews>
  <sheetFormatPr defaultRowHeight="17" x14ac:dyDescent="0.45"/>
  <sheetData>
    <row r="1" spans="1:10" x14ac:dyDescent="0.45">
      <c r="A1" s="15"/>
    </row>
    <row r="2" spans="1:10" ht="17.5" thickBot="1" x14ac:dyDescent="0.5"/>
    <row r="3" spans="1:10" x14ac:dyDescent="0.45">
      <c r="A3" s="45" t="s">
        <v>8</v>
      </c>
      <c r="B3" s="46"/>
      <c r="C3" s="46"/>
      <c r="D3" s="47"/>
      <c r="F3" s="45" t="s">
        <v>59</v>
      </c>
      <c r="G3" s="46"/>
      <c r="H3" s="46"/>
      <c r="I3" s="47"/>
    </row>
    <row r="4" spans="1:10" ht="17.5" thickBot="1" x14ac:dyDescent="0.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</row>
    <row r="5" spans="1:10" ht="17.5" thickTop="1" x14ac:dyDescent="0.45">
      <c r="A5" s="179">
        <v>149</v>
      </c>
      <c r="B5" s="177">
        <v>25</v>
      </c>
      <c r="C5" s="177">
        <v>31</v>
      </c>
      <c r="D5" s="177">
        <v>56</v>
      </c>
      <c r="E5" s="184">
        <v>56</v>
      </c>
      <c r="F5" s="183">
        <v>158</v>
      </c>
      <c r="G5" s="185">
        <v>491</v>
      </c>
      <c r="H5" s="185">
        <v>134</v>
      </c>
      <c r="I5" s="185">
        <v>633</v>
      </c>
      <c r="J5" s="186">
        <v>633</v>
      </c>
    </row>
    <row r="6" spans="1:10" x14ac:dyDescent="0.45">
      <c r="A6" s="174">
        <v>148</v>
      </c>
      <c r="B6" s="171">
        <v>46</v>
      </c>
      <c r="C6" s="171">
        <v>64</v>
      </c>
      <c r="D6" s="171">
        <v>111</v>
      </c>
      <c r="E6" s="175">
        <v>167</v>
      </c>
      <c r="F6" s="180">
        <v>156</v>
      </c>
      <c r="G6" s="181">
        <v>4</v>
      </c>
      <c r="H6" s="181">
        <v>2</v>
      </c>
      <c r="I6" s="181">
        <v>6</v>
      </c>
      <c r="J6" s="182">
        <v>639</v>
      </c>
    </row>
    <row r="7" spans="1:10" x14ac:dyDescent="0.45">
      <c r="A7" s="174">
        <v>147</v>
      </c>
      <c r="B7" s="171">
        <v>105</v>
      </c>
      <c r="C7" s="171">
        <v>154</v>
      </c>
      <c r="D7" s="171">
        <v>264</v>
      </c>
      <c r="E7" s="175">
        <v>431</v>
      </c>
      <c r="F7" s="180">
        <v>155</v>
      </c>
      <c r="G7" s="181">
        <v>29</v>
      </c>
      <c r="H7" s="181">
        <v>5</v>
      </c>
      <c r="I7" s="181">
        <v>34</v>
      </c>
      <c r="J7" s="182">
        <v>673</v>
      </c>
    </row>
    <row r="8" spans="1:10" x14ac:dyDescent="0.45">
      <c r="A8" s="174">
        <v>146</v>
      </c>
      <c r="B8" s="171">
        <v>40</v>
      </c>
      <c r="C8" s="171">
        <v>51</v>
      </c>
      <c r="D8" s="171">
        <v>93</v>
      </c>
      <c r="E8" s="175">
        <v>524</v>
      </c>
      <c r="F8" s="180">
        <v>154</v>
      </c>
      <c r="G8" s="181">
        <v>931</v>
      </c>
      <c r="H8" s="181">
        <v>278</v>
      </c>
      <c r="I8" s="181">
        <v>1223</v>
      </c>
      <c r="J8" s="182">
        <v>1896</v>
      </c>
    </row>
    <row r="9" spans="1:10" x14ac:dyDescent="0.45">
      <c r="A9" s="174">
        <v>145</v>
      </c>
      <c r="B9" s="171">
        <v>228</v>
      </c>
      <c r="C9" s="171">
        <v>277</v>
      </c>
      <c r="D9" s="171">
        <v>515</v>
      </c>
      <c r="E9" s="175">
        <v>1039</v>
      </c>
      <c r="F9" s="180">
        <v>153</v>
      </c>
      <c r="G9" s="181">
        <v>4</v>
      </c>
      <c r="H9" s="181">
        <v>2</v>
      </c>
      <c r="I9" s="181">
        <v>6</v>
      </c>
      <c r="J9" s="182">
        <v>1902</v>
      </c>
    </row>
    <row r="10" spans="1:10" x14ac:dyDescent="0.45">
      <c r="A10" s="174">
        <v>144</v>
      </c>
      <c r="B10" s="171">
        <v>221</v>
      </c>
      <c r="C10" s="171">
        <v>260</v>
      </c>
      <c r="D10" s="171">
        <v>492</v>
      </c>
      <c r="E10" s="175">
        <v>1531</v>
      </c>
      <c r="F10" s="180">
        <v>152</v>
      </c>
      <c r="G10" s="181">
        <v>87</v>
      </c>
      <c r="H10" s="181">
        <v>22</v>
      </c>
      <c r="I10" s="181">
        <v>109</v>
      </c>
      <c r="J10" s="182">
        <v>2011</v>
      </c>
    </row>
    <row r="11" spans="1:10" x14ac:dyDescent="0.45">
      <c r="A11" s="174">
        <v>143</v>
      </c>
      <c r="B11" s="171">
        <v>316</v>
      </c>
      <c r="C11" s="171">
        <v>327</v>
      </c>
      <c r="D11" s="171">
        <v>654</v>
      </c>
      <c r="E11" s="175">
        <v>2185</v>
      </c>
      <c r="F11" s="180">
        <v>151</v>
      </c>
      <c r="G11" s="181">
        <v>1278</v>
      </c>
      <c r="H11" s="181">
        <v>471</v>
      </c>
      <c r="I11" s="181">
        <v>1773</v>
      </c>
      <c r="J11" s="182">
        <v>3784</v>
      </c>
    </row>
    <row r="12" spans="1:10" x14ac:dyDescent="0.45">
      <c r="A12" s="174">
        <v>142</v>
      </c>
      <c r="B12" s="171">
        <v>403</v>
      </c>
      <c r="C12" s="171">
        <v>499</v>
      </c>
      <c r="D12" s="171">
        <v>932</v>
      </c>
      <c r="E12" s="175">
        <v>3117</v>
      </c>
      <c r="F12" s="180">
        <v>150</v>
      </c>
      <c r="G12" s="181">
        <v>1</v>
      </c>
      <c r="H12" s="181">
        <v>0</v>
      </c>
      <c r="I12" s="181">
        <v>1</v>
      </c>
      <c r="J12" s="182">
        <v>3785</v>
      </c>
    </row>
    <row r="13" spans="1:10" x14ac:dyDescent="0.45">
      <c r="A13" s="174">
        <v>141</v>
      </c>
      <c r="B13" s="171">
        <v>347</v>
      </c>
      <c r="C13" s="171">
        <v>425</v>
      </c>
      <c r="D13" s="171">
        <v>781</v>
      </c>
      <c r="E13" s="175">
        <v>3898</v>
      </c>
      <c r="F13" s="180">
        <v>149</v>
      </c>
      <c r="G13" s="181">
        <v>16</v>
      </c>
      <c r="H13" s="181">
        <v>8</v>
      </c>
      <c r="I13" s="181">
        <v>24</v>
      </c>
      <c r="J13" s="182">
        <v>3809</v>
      </c>
    </row>
    <row r="14" spans="1:10" x14ac:dyDescent="0.45">
      <c r="A14" s="174">
        <v>140</v>
      </c>
      <c r="B14" s="171">
        <v>605</v>
      </c>
      <c r="C14" s="171">
        <v>748</v>
      </c>
      <c r="D14" s="171">
        <v>1376</v>
      </c>
      <c r="E14" s="175">
        <v>5274</v>
      </c>
      <c r="F14" s="180">
        <v>148</v>
      </c>
      <c r="G14" s="181">
        <v>119</v>
      </c>
      <c r="H14" s="181">
        <v>47</v>
      </c>
      <c r="I14" s="181">
        <v>170</v>
      </c>
      <c r="J14" s="182">
        <v>3979</v>
      </c>
    </row>
    <row r="15" spans="1:10" x14ac:dyDescent="0.45">
      <c r="A15" s="174">
        <v>139</v>
      </c>
      <c r="B15" s="171">
        <v>463</v>
      </c>
      <c r="C15" s="171">
        <v>605</v>
      </c>
      <c r="D15" s="171">
        <v>1082</v>
      </c>
      <c r="E15" s="175">
        <v>6356</v>
      </c>
      <c r="F15" s="180">
        <v>147</v>
      </c>
      <c r="G15" s="181">
        <v>1770</v>
      </c>
      <c r="H15" s="181">
        <v>770</v>
      </c>
      <c r="I15" s="181">
        <v>2573</v>
      </c>
      <c r="J15" s="182">
        <v>6552</v>
      </c>
    </row>
    <row r="16" spans="1:10" x14ac:dyDescent="0.45">
      <c r="A16" s="174">
        <v>138</v>
      </c>
      <c r="B16" s="171">
        <v>718</v>
      </c>
      <c r="C16" s="171">
        <v>990</v>
      </c>
      <c r="D16" s="171">
        <v>1751</v>
      </c>
      <c r="E16" s="175">
        <v>8107</v>
      </c>
      <c r="F16" s="180">
        <v>146</v>
      </c>
      <c r="G16" s="181">
        <v>4</v>
      </c>
      <c r="H16" s="181">
        <v>1</v>
      </c>
      <c r="I16" s="181">
        <v>5</v>
      </c>
      <c r="J16" s="182">
        <v>6557</v>
      </c>
    </row>
    <row r="17" spans="1:10" x14ac:dyDescent="0.45">
      <c r="A17" s="174">
        <v>137</v>
      </c>
      <c r="B17" s="171">
        <v>623</v>
      </c>
      <c r="C17" s="171">
        <v>763</v>
      </c>
      <c r="D17" s="171">
        <v>1408</v>
      </c>
      <c r="E17" s="175">
        <v>9515</v>
      </c>
      <c r="F17" s="180">
        <v>145</v>
      </c>
      <c r="G17" s="181">
        <v>39</v>
      </c>
      <c r="H17" s="181">
        <v>7</v>
      </c>
      <c r="I17" s="181">
        <v>46</v>
      </c>
      <c r="J17" s="182">
        <v>6603</v>
      </c>
    </row>
    <row r="18" spans="1:10" x14ac:dyDescent="0.45">
      <c r="A18" s="174">
        <v>136</v>
      </c>
      <c r="B18" s="171">
        <v>792</v>
      </c>
      <c r="C18" s="171">
        <v>1077</v>
      </c>
      <c r="D18" s="171">
        <v>1910</v>
      </c>
      <c r="E18" s="175">
        <v>11425</v>
      </c>
      <c r="F18" s="180">
        <v>144</v>
      </c>
      <c r="G18" s="181">
        <v>253</v>
      </c>
      <c r="H18" s="181">
        <v>102</v>
      </c>
      <c r="I18" s="181">
        <v>362</v>
      </c>
      <c r="J18" s="182">
        <v>6965</v>
      </c>
    </row>
    <row r="19" spans="1:10" x14ac:dyDescent="0.45">
      <c r="A19" s="174">
        <v>135</v>
      </c>
      <c r="B19" s="171">
        <v>744</v>
      </c>
      <c r="C19" s="171">
        <v>990</v>
      </c>
      <c r="D19" s="171">
        <v>1762</v>
      </c>
      <c r="E19" s="175">
        <v>13187</v>
      </c>
      <c r="F19" s="180">
        <v>143</v>
      </c>
      <c r="G19" s="181">
        <v>2339</v>
      </c>
      <c r="H19" s="181">
        <v>1195</v>
      </c>
      <c r="I19" s="181">
        <v>3596</v>
      </c>
      <c r="J19" s="182">
        <v>10561</v>
      </c>
    </row>
    <row r="20" spans="1:10" x14ac:dyDescent="0.45">
      <c r="A20" s="174">
        <v>134</v>
      </c>
      <c r="B20" s="171">
        <v>903</v>
      </c>
      <c r="C20" s="171">
        <v>1177</v>
      </c>
      <c r="D20" s="171">
        <v>2130</v>
      </c>
      <c r="E20" s="175">
        <v>15317</v>
      </c>
      <c r="F20" s="180">
        <v>142</v>
      </c>
      <c r="G20" s="181">
        <v>4</v>
      </c>
      <c r="H20" s="181">
        <v>8</v>
      </c>
      <c r="I20" s="181">
        <v>12</v>
      </c>
      <c r="J20" s="182">
        <v>10573</v>
      </c>
    </row>
    <row r="21" spans="1:10" x14ac:dyDescent="0.45">
      <c r="A21" s="174">
        <v>133</v>
      </c>
      <c r="B21" s="171">
        <v>926</v>
      </c>
      <c r="C21" s="171">
        <v>1149</v>
      </c>
      <c r="D21" s="171">
        <v>2114</v>
      </c>
      <c r="E21" s="175">
        <v>17431</v>
      </c>
      <c r="F21" s="180">
        <v>141</v>
      </c>
      <c r="G21" s="181">
        <v>61</v>
      </c>
      <c r="H21" s="181">
        <v>43</v>
      </c>
      <c r="I21" s="181">
        <v>105</v>
      </c>
      <c r="J21" s="182">
        <v>10678</v>
      </c>
    </row>
    <row r="22" spans="1:10" x14ac:dyDescent="0.45">
      <c r="A22" s="174">
        <v>132</v>
      </c>
      <c r="B22" s="171">
        <v>1026</v>
      </c>
      <c r="C22" s="171">
        <v>1277</v>
      </c>
      <c r="D22" s="171">
        <v>2349</v>
      </c>
      <c r="E22" s="175">
        <v>19780</v>
      </c>
      <c r="F22" s="180">
        <v>140</v>
      </c>
      <c r="G22" s="181">
        <v>3397</v>
      </c>
      <c r="H22" s="181">
        <v>1919</v>
      </c>
      <c r="I22" s="181">
        <v>5402</v>
      </c>
      <c r="J22" s="182">
        <v>16080</v>
      </c>
    </row>
    <row r="23" spans="1:10" x14ac:dyDescent="0.45">
      <c r="A23" s="174">
        <v>131</v>
      </c>
      <c r="B23" s="171">
        <v>1050</v>
      </c>
      <c r="C23" s="171">
        <v>1353</v>
      </c>
      <c r="D23" s="171">
        <v>2456</v>
      </c>
      <c r="E23" s="175">
        <v>22236</v>
      </c>
      <c r="F23" s="180">
        <v>139</v>
      </c>
      <c r="G23" s="181">
        <v>18</v>
      </c>
      <c r="H23" s="181">
        <v>5</v>
      </c>
      <c r="I23" s="181">
        <v>23</v>
      </c>
      <c r="J23" s="182">
        <v>16103</v>
      </c>
    </row>
    <row r="24" spans="1:10" x14ac:dyDescent="0.45">
      <c r="A24" s="174">
        <v>130</v>
      </c>
      <c r="B24" s="171">
        <v>2382</v>
      </c>
      <c r="C24" s="171">
        <v>2951</v>
      </c>
      <c r="D24" s="171">
        <v>5431</v>
      </c>
      <c r="E24" s="175">
        <v>27667</v>
      </c>
      <c r="F24" s="180">
        <v>138</v>
      </c>
      <c r="G24" s="181">
        <v>137</v>
      </c>
      <c r="H24" s="181">
        <v>67</v>
      </c>
      <c r="I24" s="181">
        <v>210</v>
      </c>
      <c r="J24" s="182">
        <v>16313</v>
      </c>
    </row>
    <row r="25" spans="1:10" x14ac:dyDescent="0.45">
      <c r="A25" s="174">
        <v>129</v>
      </c>
      <c r="B25" s="171">
        <v>1251</v>
      </c>
      <c r="C25" s="171">
        <v>1621</v>
      </c>
      <c r="D25" s="171">
        <v>2926</v>
      </c>
      <c r="E25" s="175">
        <v>30593</v>
      </c>
      <c r="F25" s="180">
        <v>137</v>
      </c>
      <c r="G25" s="181">
        <v>803</v>
      </c>
      <c r="H25" s="181">
        <v>499</v>
      </c>
      <c r="I25" s="181">
        <v>1328</v>
      </c>
      <c r="J25" s="182">
        <v>17641</v>
      </c>
    </row>
    <row r="26" spans="1:10" x14ac:dyDescent="0.45">
      <c r="A26" s="174">
        <v>128</v>
      </c>
      <c r="B26" s="171">
        <v>1340</v>
      </c>
      <c r="C26" s="171">
        <v>1853</v>
      </c>
      <c r="D26" s="171">
        <v>3262</v>
      </c>
      <c r="E26" s="175">
        <v>33855</v>
      </c>
      <c r="F26" s="180">
        <v>136</v>
      </c>
      <c r="G26" s="181">
        <v>3258</v>
      </c>
      <c r="H26" s="181">
        <v>2086</v>
      </c>
      <c r="I26" s="181">
        <v>5443</v>
      </c>
      <c r="J26" s="182">
        <v>23084</v>
      </c>
    </row>
    <row r="27" spans="1:10" x14ac:dyDescent="0.45">
      <c r="A27" s="174">
        <v>127</v>
      </c>
      <c r="B27" s="171">
        <v>1335</v>
      </c>
      <c r="C27" s="171">
        <v>1666</v>
      </c>
      <c r="D27" s="171">
        <v>3062</v>
      </c>
      <c r="E27" s="175">
        <v>36917</v>
      </c>
      <c r="F27" s="180">
        <v>135</v>
      </c>
      <c r="G27" s="181">
        <v>35</v>
      </c>
      <c r="H27" s="181">
        <v>12</v>
      </c>
      <c r="I27" s="181">
        <v>50</v>
      </c>
      <c r="J27" s="182">
        <v>23134</v>
      </c>
    </row>
    <row r="28" spans="1:10" x14ac:dyDescent="0.45">
      <c r="A28" s="174">
        <v>126</v>
      </c>
      <c r="B28" s="171">
        <v>1403</v>
      </c>
      <c r="C28" s="171">
        <v>1852</v>
      </c>
      <c r="D28" s="171">
        <v>3327</v>
      </c>
      <c r="E28" s="175">
        <v>40244</v>
      </c>
      <c r="F28" s="180">
        <v>134</v>
      </c>
      <c r="G28" s="181">
        <v>231</v>
      </c>
      <c r="H28" s="181">
        <v>124</v>
      </c>
      <c r="I28" s="181">
        <v>361</v>
      </c>
      <c r="J28" s="182">
        <v>23495</v>
      </c>
    </row>
    <row r="29" spans="1:10" x14ac:dyDescent="0.45">
      <c r="A29" s="174">
        <v>125</v>
      </c>
      <c r="B29" s="171">
        <v>1487</v>
      </c>
      <c r="C29" s="171">
        <v>1821</v>
      </c>
      <c r="D29" s="171">
        <v>3368</v>
      </c>
      <c r="E29" s="175">
        <v>43612</v>
      </c>
      <c r="F29" s="180">
        <v>133</v>
      </c>
      <c r="G29" s="181">
        <v>1283</v>
      </c>
      <c r="H29" s="181">
        <v>876</v>
      </c>
      <c r="I29" s="181">
        <v>2208</v>
      </c>
      <c r="J29" s="182">
        <v>25703</v>
      </c>
    </row>
    <row r="30" spans="1:10" x14ac:dyDescent="0.45">
      <c r="A30" s="174">
        <v>124</v>
      </c>
      <c r="B30" s="171">
        <v>1494</v>
      </c>
      <c r="C30" s="171">
        <v>1959</v>
      </c>
      <c r="D30" s="171">
        <v>3522</v>
      </c>
      <c r="E30" s="175">
        <v>47134</v>
      </c>
      <c r="F30" s="180">
        <v>132</v>
      </c>
      <c r="G30" s="181">
        <v>3213</v>
      </c>
      <c r="H30" s="181">
        <v>2114</v>
      </c>
      <c r="I30" s="181">
        <v>5413</v>
      </c>
      <c r="J30" s="182">
        <v>31116</v>
      </c>
    </row>
    <row r="31" spans="1:10" x14ac:dyDescent="0.45">
      <c r="A31" s="174">
        <v>123</v>
      </c>
      <c r="B31" s="171">
        <v>1572</v>
      </c>
      <c r="C31" s="171">
        <v>2095</v>
      </c>
      <c r="D31" s="171">
        <v>3745</v>
      </c>
      <c r="E31" s="175">
        <v>50879</v>
      </c>
      <c r="F31" s="180">
        <v>131</v>
      </c>
      <c r="G31" s="181">
        <v>60</v>
      </c>
      <c r="H31" s="181">
        <v>48</v>
      </c>
      <c r="I31" s="181">
        <v>109</v>
      </c>
      <c r="J31" s="182">
        <v>31225</v>
      </c>
    </row>
    <row r="32" spans="1:10" x14ac:dyDescent="0.45">
      <c r="A32" s="174">
        <v>122</v>
      </c>
      <c r="B32" s="171">
        <v>1604</v>
      </c>
      <c r="C32" s="171">
        <v>2070</v>
      </c>
      <c r="D32" s="171">
        <v>3750</v>
      </c>
      <c r="E32" s="175">
        <v>54629</v>
      </c>
      <c r="F32" s="180">
        <v>130</v>
      </c>
      <c r="G32" s="181">
        <v>413</v>
      </c>
      <c r="H32" s="181">
        <v>299</v>
      </c>
      <c r="I32" s="181">
        <v>730</v>
      </c>
      <c r="J32" s="182">
        <v>31955</v>
      </c>
    </row>
    <row r="33" spans="1:10" x14ac:dyDescent="0.45">
      <c r="A33" s="174">
        <v>121</v>
      </c>
      <c r="B33" s="171">
        <v>1712</v>
      </c>
      <c r="C33" s="171">
        <v>2144</v>
      </c>
      <c r="D33" s="171">
        <v>3931</v>
      </c>
      <c r="E33" s="175">
        <v>58560</v>
      </c>
      <c r="F33" s="180">
        <v>129</v>
      </c>
      <c r="G33" s="181">
        <v>1755</v>
      </c>
      <c r="H33" s="181">
        <v>1304</v>
      </c>
      <c r="I33" s="181">
        <v>3123</v>
      </c>
      <c r="J33" s="182">
        <v>35078</v>
      </c>
    </row>
    <row r="34" spans="1:10" x14ac:dyDescent="0.45">
      <c r="A34" s="174">
        <v>120</v>
      </c>
      <c r="B34" s="171">
        <v>1714</v>
      </c>
      <c r="C34" s="171">
        <v>2130</v>
      </c>
      <c r="D34" s="171">
        <v>3910</v>
      </c>
      <c r="E34" s="175">
        <v>62470</v>
      </c>
      <c r="F34" s="180">
        <v>128</v>
      </c>
      <c r="G34" s="181">
        <v>2784</v>
      </c>
      <c r="H34" s="181">
        <v>1906</v>
      </c>
      <c r="I34" s="181">
        <v>4763</v>
      </c>
      <c r="J34" s="182">
        <v>39841</v>
      </c>
    </row>
    <row r="35" spans="1:10" x14ac:dyDescent="0.45">
      <c r="A35" s="174">
        <v>119</v>
      </c>
      <c r="B35" s="171">
        <v>1775</v>
      </c>
      <c r="C35" s="171">
        <v>2274</v>
      </c>
      <c r="D35" s="171">
        <v>4132</v>
      </c>
      <c r="E35" s="175">
        <v>66602</v>
      </c>
      <c r="F35" s="180">
        <v>127</v>
      </c>
      <c r="G35" s="181">
        <v>863</v>
      </c>
      <c r="H35" s="181">
        <v>714</v>
      </c>
      <c r="I35" s="181">
        <v>1620</v>
      </c>
      <c r="J35" s="182">
        <v>41461</v>
      </c>
    </row>
    <row r="36" spans="1:10" x14ac:dyDescent="0.45">
      <c r="A36" s="174">
        <v>118</v>
      </c>
      <c r="B36" s="171">
        <v>1806</v>
      </c>
      <c r="C36" s="171">
        <v>2284</v>
      </c>
      <c r="D36" s="171">
        <v>4181</v>
      </c>
      <c r="E36" s="175">
        <v>70783</v>
      </c>
      <c r="F36" s="180">
        <v>126</v>
      </c>
      <c r="G36" s="181">
        <v>2153</v>
      </c>
      <c r="H36" s="181">
        <v>1762</v>
      </c>
      <c r="I36" s="181">
        <v>4002</v>
      </c>
      <c r="J36" s="182">
        <v>45463</v>
      </c>
    </row>
    <row r="37" spans="1:10" x14ac:dyDescent="0.45">
      <c r="A37" s="174">
        <v>117</v>
      </c>
      <c r="B37" s="171">
        <v>1925</v>
      </c>
      <c r="C37" s="171">
        <v>2434</v>
      </c>
      <c r="D37" s="171">
        <v>4453</v>
      </c>
      <c r="E37" s="175">
        <v>75236</v>
      </c>
      <c r="F37" s="180">
        <v>125</v>
      </c>
      <c r="G37" s="181">
        <v>2013</v>
      </c>
      <c r="H37" s="181">
        <v>1553</v>
      </c>
      <c r="I37" s="181">
        <v>3625</v>
      </c>
      <c r="J37" s="182">
        <v>49088</v>
      </c>
    </row>
    <row r="38" spans="1:10" x14ac:dyDescent="0.45">
      <c r="A38" s="174">
        <v>116</v>
      </c>
      <c r="B38" s="171">
        <v>1894</v>
      </c>
      <c r="C38" s="171">
        <v>2373</v>
      </c>
      <c r="D38" s="171">
        <v>4380</v>
      </c>
      <c r="E38" s="175">
        <v>79616</v>
      </c>
      <c r="F38" s="180">
        <v>124</v>
      </c>
      <c r="G38" s="181">
        <v>295</v>
      </c>
      <c r="H38" s="181">
        <v>225</v>
      </c>
      <c r="I38" s="181">
        <v>530</v>
      </c>
      <c r="J38" s="182">
        <v>49618</v>
      </c>
    </row>
    <row r="39" spans="1:10" x14ac:dyDescent="0.45">
      <c r="A39" s="174">
        <v>115</v>
      </c>
      <c r="B39" s="171">
        <v>1946</v>
      </c>
      <c r="C39" s="171">
        <v>2390</v>
      </c>
      <c r="D39" s="171">
        <v>4421</v>
      </c>
      <c r="E39" s="175">
        <v>84037</v>
      </c>
      <c r="F39" s="180">
        <v>123</v>
      </c>
      <c r="G39" s="181">
        <v>1152</v>
      </c>
      <c r="H39" s="181">
        <v>1086</v>
      </c>
      <c r="I39" s="181">
        <v>2277</v>
      </c>
      <c r="J39" s="182">
        <v>51895</v>
      </c>
    </row>
    <row r="40" spans="1:10" x14ac:dyDescent="0.45">
      <c r="A40" s="174">
        <v>114</v>
      </c>
      <c r="B40" s="171">
        <v>1961</v>
      </c>
      <c r="C40" s="171">
        <v>2525</v>
      </c>
      <c r="D40" s="171">
        <v>4587</v>
      </c>
      <c r="E40" s="175">
        <v>88624</v>
      </c>
      <c r="F40" s="180">
        <v>122</v>
      </c>
      <c r="G40" s="181">
        <v>2271</v>
      </c>
      <c r="H40" s="181">
        <v>2071</v>
      </c>
      <c r="I40" s="181">
        <v>4438</v>
      </c>
      <c r="J40" s="182">
        <v>56333</v>
      </c>
    </row>
    <row r="41" spans="1:10" x14ac:dyDescent="0.45">
      <c r="A41" s="174">
        <v>113</v>
      </c>
      <c r="B41" s="171">
        <v>1991</v>
      </c>
      <c r="C41" s="171">
        <v>2569</v>
      </c>
      <c r="D41" s="171">
        <v>4672</v>
      </c>
      <c r="E41" s="175">
        <v>93296</v>
      </c>
      <c r="F41" s="180">
        <v>121</v>
      </c>
      <c r="G41" s="181">
        <v>1405</v>
      </c>
      <c r="H41" s="181">
        <v>1090</v>
      </c>
      <c r="I41" s="181">
        <v>2534</v>
      </c>
      <c r="J41" s="182">
        <v>58867</v>
      </c>
    </row>
    <row r="42" spans="1:10" x14ac:dyDescent="0.45">
      <c r="A42" s="174">
        <v>112</v>
      </c>
      <c r="B42" s="171">
        <v>2127</v>
      </c>
      <c r="C42" s="171">
        <v>2574</v>
      </c>
      <c r="D42" s="171">
        <v>4801</v>
      </c>
      <c r="E42" s="175">
        <v>98097</v>
      </c>
      <c r="F42" s="180">
        <v>120</v>
      </c>
      <c r="G42" s="181">
        <v>604</v>
      </c>
      <c r="H42" s="181">
        <v>529</v>
      </c>
      <c r="I42" s="181">
        <v>1153</v>
      </c>
      <c r="J42" s="182">
        <v>60020</v>
      </c>
    </row>
    <row r="43" spans="1:10" x14ac:dyDescent="0.45">
      <c r="A43" s="174">
        <v>111</v>
      </c>
      <c r="B43" s="171">
        <v>4130</v>
      </c>
      <c r="C43" s="171">
        <v>5157</v>
      </c>
      <c r="D43" s="171">
        <v>9542</v>
      </c>
      <c r="E43" s="175">
        <v>107639</v>
      </c>
      <c r="F43" s="180">
        <v>119</v>
      </c>
      <c r="G43" s="181">
        <v>1802</v>
      </c>
      <c r="H43" s="181">
        <v>1607</v>
      </c>
      <c r="I43" s="181">
        <v>3474</v>
      </c>
      <c r="J43" s="182">
        <v>63494</v>
      </c>
    </row>
    <row r="44" spans="1:10" x14ac:dyDescent="0.45">
      <c r="A44" s="174">
        <v>110</v>
      </c>
      <c r="B44" s="171">
        <v>2114</v>
      </c>
      <c r="C44" s="171">
        <v>2600</v>
      </c>
      <c r="D44" s="171">
        <v>4835</v>
      </c>
      <c r="E44" s="175">
        <v>112474</v>
      </c>
      <c r="F44" s="180">
        <v>118</v>
      </c>
      <c r="G44" s="181">
        <v>2187</v>
      </c>
      <c r="H44" s="181">
        <v>2005</v>
      </c>
      <c r="I44" s="181">
        <v>4294</v>
      </c>
      <c r="J44" s="182">
        <v>67788</v>
      </c>
    </row>
    <row r="45" spans="1:10" x14ac:dyDescent="0.45">
      <c r="A45" s="174">
        <v>109</v>
      </c>
      <c r="B45" s="171">
        <v>2165</v>
      </c>
      <c r="C45" s="171">
        <v>2710</v>
      </c>
      <c r="D45" s="171">
        <v>4989</v>
      </c>
      <c r="E45" s="175">
        <v>117463</v>
      </c>
      <c r="F45" s="180">
        <v>117</v>
      </c>
      <c r="G45" s="181">
        <v>949</v>
      </c>
      <c r="H45" s="181">
        <v>907</v>
      </c>
      <c r="I45" s="181">
        <v>1891</v>
      </c>
      <c r="J45" s="182">
        <v>69679</v>
      </c>
    </row>
    <row r="46" spans="1:10" x14ac:dyDescent="0.45">
      <c r="A46" s="174">
        <v>108</v>
      </c>
      <c r="B46" s="171">
        <v>2153</v>
      </c>
      <c r="C46" s="171">
        <v>2614</v>
      </c>
      <c r="D46" s="171">
        <v>4906</v>
      </c>
      <c r="E46" s="175">
        <v>122369</v>
      </c>
      <c r="F46" s="180">
        <v>116</v>
      </c>
      <c r="G46" s="181">
        <v>1159</v>
      </c>
      <c r="H46" s="181">
        <v>1138</v>
      </c>
      <c r="I46" s="181">
        <v>2352</v>
      </c>
      <c r="J46" s="182">
        <v>72031</v>
      </c>
    </row>
    <row r="47" spans="1:10" x14ac:dyDescent="0.45">
      <c r="A47" s="174">
        <v>107</v>
      </c>
      <c r="B47" s="171">
        <v>2257</v>
      </c>
      <c r="C47" s="171">
        <v>2572</v>
      </c>
      <c r="D47" s="171">
        <v>4933</v>
      </c>
      <c r="E47" s="175">
        <v>127302</v>
      </c>
      <c r="F47" s="180">
        <v>115</v>
      </c>
      <c r="G47" s="181">
        <v>2093</v>
      </c>
      <c r="H47" s="181">
        <v>2123</v>
      </c>
      <c r="I47" s="181">
        <v>4303</v>
      </c>
      <c r="J47" s="182">
        <v>76334</v>
      </c>
    </row>
    <row r="48" spans="1:10" x14ac:dyDescent="0.45">
      <c r="A48" s="174">
        <v>106</v>
      </c>
      <c r="B48" s="171">
        <v>2142</v>
      </c>
      <c r="C48" s="171">
        <v>2616</v>
      </c>
      <c r="D48" s="171">
        <v>4891</v>
      </c>
      <c r="E48" s="175">
        <v>132193</v>
      </c>
      <c r="F48" s="180">
        <v>114</v>
      </c>
      <c r="G48" s="181">
        <v>2651</v>
      </c>
      <c r="H48" s="181">
        <v>2679</v>
      </c>
      <c r="I48" s="181">
        <v>5452</v>
      </c>
      <c r="J48" s="182">
        <v>81786</v>
      </c>
    </row>
    <row r="49" spans="1:10" x14ac:dyDescent="0.45">
      <c r="A49" s="174">
        <v>105</v>
      </c>
      <c r="B49" s="171">
        <v>2139</v>
      </c>
      <c r="C49" s="171">
        <v>2597</v>
      </c>
      <c r="D49" s="171">
        <v>4851</v>
      </c>
      <c r="E49" s="175">
        <v>137044</v>
      </c>
      <c r="F49" s="180">
        <v>113</v>
      </c>
      <c r="G49" s="181">
        <v>1949</v>
      </c>
      <c r="H49" s="181">
        <v>1905</v>
      </c>
      <c r="I49" s="181">
        <v>3930</v>
      </c>
      <c r="J49" s="182">
        <v>85716</v>
      </c>
    </row>
    <row r="50" spans="1:10" x14ac:dyDescent="0.45">
      <c r="A50" s="174">
        <v>104</v>
      </c>
      <c r="B50" s="171">
        <v>2273</v>
      </c>
      <c r="C50" s="171">
        <v>2583</v>
      </c>
      <c r="D50" s="171">
        <v>4965</v>
      </c>
      <c r="E50" s="175">
        <v>142009</v>
      </c>
      <c r="F50" s="180">
        <v>112</v>
      </c>
      <c r="G50" s="181">
        <v>2009</v>
      </c>
      <c r="H50" s="181">
        <v>2168</v>
      </c>
      <c r="I50" s="181">
        <v>4272</v>
      </c>
      <c r="J50" s="182">
        <v>89988</v>
      </c>
    </row>
    <row r="51" spans="1:10" x14ac:dyDescent="0.45">
      <c r="A51" s="174">
        <v>103</v>
      </c>
      <c r="B51" s="171">
        <v>2235</v>
      </c>
      <c r="C51" s="171">
        <v>2465</v>
      </c>
      <c r="D51" s="171">
        <v>4809</v>
      </c>
      <c r="E51" s="175">
        <v>146818</v>
      </c>
      <c r="F51" s="180">
        <v>111</v>
      </c>
      <c r="G51" s="181">
        <v>1273</v>
      </c>
      <c r="H51" s="181">
        <v>1283</v>
      </c>
      <c r="I51" s="181">
        <v>2603</v>
      </c>
      <c r="J51" s="182">
        <v>92591</v>
      </c>
    </row>
    <row r="52" spans="1:10" x14ac:dyDescent="0.45">
      <c r="A52" s="174">
        <v>102</v>
      </c>
      <c r="B52" s="171">
        <v>2260</v>
      </c>
      <c r="C52" s="171">
        <v>2606</v>
      </c>
      <c r="D52" s="171">
        <v>4997</v>
      </c>
      <c r="E52" s="175">
        <v>151815</v>
      </c>
      <c r="F52" s="180">
        <v>110</v>
      </c>
      <c r="G52" s="181">
        <v>1676</v>
      </c>
      <c r="H52" s="181">
        <v>1829</v>
      </c>
      <c r="I52" s="181">
        <v>3577</v>
      </c>
      <c r="J52" s="182">
        <v>96168</v>
      </c>
    </row>
    <row r="53" spans="1:10" x14ac:dyDescent="0.45">
      <c r="A53" s="174">
        <v>101</v>
      </c>
      <c r="B53" s="171">
        <v>2257</v>
      </c>
      <c r="C53" s="171">
        <v>2645</v>
      </c>
      <c r="D53" s="171">
        <v>5005</v>
      </c>
      <c r="E53" s="175">
        <v>156820</v>
      </c>
      <c r="F53" s="180">
        <v>109</v>
      </c>
      <c r="G53" s="181">
        <v>2131</v>
      </c>
      <c r="H53" s="181">
        <v>2544</v>
      </c>
      <c r="I53" s="181">
        <v>4776</v>
      </c>
      <c r="J53" s="182">
        <v>100944</v>
      </c>
    </row>
    <row r="54" spans="1:10" x14ac:dyDescent="0.45">
      <c r="A54" s="174">
        <v>100</v>
      </c>
      <c r="B54" s="171">
        <v>2315</v>
      </c>
      <c r="C54" s="171">
        <v>2570</v>
      </c>
      <c r="D54" s="171">
        <v>5031</v>
      </c>
      <c r="E54" s="175">
        <v>161851</v>
      </c>
      <c r="F54" s="180">
        <v>108</v>
      </c>
      <c r="G54" s="181">
        <v>1456</v>
      </c>
      <c r="H54" s="181">
        <v>1726</v>
      </c>
      <c r="I54" s="181">
        <v>3239</v>
      </c>
      <c r="J54" s="182">
        <v>104183</v>
      </c>
    </row>
    <row r="55" spans="1:10" x14ac:dyDescent="0.45">
      <c r="A55" s="174">
        <v>99</v>
      </c>
      <c r="B55" s="171">
        <v>2196</v>
      </c>
      <c r="C55" s="171">
        <v>2494</v>
      </c>
      <c r="D55" s="171">
        <v>4820</v>
      </c>
      <c r="E55" s="175">
        <v>166671</v>
      </c>
      <c r="F55" s="180">
        <v>107</v>
      </c>
      <c r="G55" s="181">
        <v>1607</v>
      </c>
      <c r="H55" s="181">
        <v>1779</v>
      </c>
      <c r="I55" s="181">
        <v>3472</v>
      </c>
      <c r="J55" s="182">
        <v>107655</v>
      </c>
    </row>
    <row r="56" spans="1:10" x14ac:dyDescent="0.45">
      <c r="A56" s="174">
        <v>98</v>
      </c>
      <c r="B56" s="171">
        <v>2323</v>
      </c>
      <c r="C56" s="171">
        <v>2494</v>
      </c>
      <c r="D56" s="171">
        <v>4948</v>
      </c>
      <c r="E56" s="175">
        <v>171619</v>
      </c>
      <c r="F56" s="180">
        <v>106</v>
      </c>
      <c r="G56" s="181">
        <v>2261</v>
      </c>
      <c r="H56" s="181">
        <v>2646</v>
      </c>
      <c r="I56" s="181">
        <v>5025</v>
      </c>
      <c r="J56" s="182">
        <v>112680</v>
      </c>
    </row>
    <row r="57" spans="1:10" x14ac:dyDescent="0.45">
      <c r="A57" s="174">
        <v>97</v>
      </c>
      <c r="B57" s="171">
        <v>2284</v>
      </c>
      <c r="C57" s="171">
        <v>2576</v>
      </c>
      <c r="D57" s="171">
        <v>4987</v>
      </c>
      <c r="E57" s="175">
        <v>176606</v>
      </c>
      <c r="F57" s="180">
        <v>105</v>
      </c>
      <c r="G57" s="181">
        <v>1577</v>
      </c>
      <c r="H57" s="181">
        <v>1912</v>
      </c>
      <c r="I57" s="181">
        <v>3575</v>
      </c>
      <c r="J57" s="182">
        <v>116255</v>
      </c>
    </row>
    <row r="58" spans="1:10" x14ac:dyDescent="0.45">
      <c r="A58" s="174">
        <v>96</v>
      </c>
      <c r="B58" s="171">
        <v>2317</v>
      </c>
      <c r="C58" s="171">
        <v>2537</v>
      </c>
      <c r="D58" s="171">
        <v>5012</v>
      </c>
      <c r="E58" s="175">
        <v>181618</v>
      </c>
      <c r="F58" s="180">
        <v>104</v>
      </c>
      <c r="G58" s="181">
        <v>1625</v>
      </c>
      <c r="H58" s="181">
        <v>1803</v>
      </c>
      <c r="I58" s="181">
        <v>3496</v>
      </c>
      <c r="J58" s="182">
        <v>119751</v>
      </c>
    </row>
    <row r="59" spans="1:10" x14ac:dyDescent="0.45">
      <c r="A59" s="174">
        <v>95</v>
      </c>
      <c r="B59" s="171">
        <v>2299</v>
      </c>
      <c r="C59" s="171">
        <v>2412</v>
      </c>
      <c r="D59" s="171">
        <v>4865</v>
      </c>
      <c r="E59" s="175">
        <v>186483</v>
      </c>
      <c r="F59" s="180">
        <v>103</v>
      </c>
      <c r="G59" s="181">
        <v>2370</v>
      </c>
      <c r="H59" s="181">
        <v>2857</v>
      </c>
      <c r="I59" s="181">
        <v>5354</v>
      </c>
      <c r="J59" s="182">
        <v>125105</v>
      </c>
    </row>
    <row r="60" spans="1:10" x14ac:dyDescent="0.45">
      <c r="A60" s="174">
        <v>94</v>
      </c>
      <c r="B60" s="171">
        <v>2245</v>
      </c>
      <c r="C60" s="171">
        <v>2557</v>
      </c>
      <c r="D60" s="171">
        <v>4945</v>
      </c>
      <c r="E60" s="175">
        <v>191428</v>
      </c>
      <c r="F60" s="180">
        <v>102</v>
      </c>
      <c r="G60" s="181">
        <v>1720</v>
      </c>
      <c r="H60" s="181">
        <v>2183</v>
      </c>
      <c r="I60" s="181">
        <v>3996</v>
      </c>
      <c r="J60" s="182">
        <v>129101</v>
      </c>
    </row>
    <row r="61" spans="1:10" x14ac:dyDescent="0.45">
      <c r="A61" s="174">
        <v>93</v>
      </c>
      <c r="B61" s="171">
        <v>2308</v>
      </c>
      <c r="C61" s="171">
        <v>2382</v>
      </c>
      <c r="D61" s="171">
        <v>4823</v>
      </c>
      <c r="E61" s="175">
        <v>196251</v>
      </c>
      <c r="F61" s="180">
        <v>101</v>
      </c>
      <c r="G61" s="181">
        <v>4269</v>
      </c>
      <c r="H61" s="181">
        <v>4983</v>
      </c>
      <c r="I61" s="181">
        <v>9483</v>
      </c>
      <c r="J61" s="182">
        <v>138584</v>
      </c>
    </row>
    <row r="62" spans="1:10" x14ac:dyDescent="0.45">
      <c r="A62" s="174">
        <v>92</v>
      </c>
      <c r="B62" s="171">
        <v>4511</v>
      </c>
      <c r="C62" s="171">
        <v>4700</v>
      </c>
      <c r="D62" s="171">
        <v>9524</v>
      </c>
      <c r="E62" s="175">
        <v>205775</v>
      </c>
      <c r="F62" s="180">
        <v>100</v>
      </c>
      <c r="G62" s="181">
        <v>1858</v>
      </c>
      <c r="H62" s="181">
        <v>2284</v>
      </c>
      <c r="I62" s="181">
        <v>4231</v>
      </c>
      <c r="J62" s="182">
        <v>142815</v>
      </c>
    </row>
    <row r="63" spans="1:10" x14ac:dyDescent="0.45">
      <c r="A63" s="174">
        <v>91</v>
      </c>
      <c r="B63" s="171">
        <v>2185</v>
      </c>
      <c r="C63" s="171">
        <v>2325</v>
      </c>
      <c r="D63" s="171">
        <v>4664</v>
      </c>
      <c r="E63" s="175">
        <v>210439</v>
      </c>
      <c r="F63" s="180">
        <v>99</v>
      </c>
      <c r="G63" s="181">
        <v>1668</v>
      </c>
      <c r="H63" s="181">
        <v>2135</v>
      </c>
      <c r="I63" s="181">
        <v>3890</v>
      </c>
      <c r="J63" s="182">
        <v>146705</v>
      </c>
    </row>
    <row r="64" spans="1:10" x14ac:dyDescent="0.45">
      <c r="A64" s="174">
        <v>90</v>
      </c>
      <c r="B64" s="171">
        <v>2224</v>
      </c>
      <c r="C64" s="171">
        <v>2287</v>
      </c>
      <c r="D64" s="171">
        <v>4671</v>
      </c>
      <c r="E64" s="175">
        <v>215110</v>
      </c>
      <c r="F64" s="180">
        <v>98</v>
      </c>
      <c r="G64" s="181">
        <v>2716</v>
      </c>
      <c r="H64" s="181">
        <v>3318</v>
      </c>
      <c r="I64" s="181">
        <v>6181</v>
      </c>
      <c r="J64" s="182">
        <v>152886</v>
      </c>
    </row>
    <row r="65" spans="1:10" x14ac:dyDescent="0.45">
      <c r="A65" s="174">
        <v>89</v>
      </c>
      <c r="B65" s="171">
        <v>2311</v>
      </c>
      <c r="C65" s="171">
        <v>2268</v>
      </c>
      <c r="D65" s="171">
        <v>4745</v>
      </c>
      <c r="E65" s="175">
        <v>219855</v>
      </c>
      <c r="F65" s="180">
        <v>97</v>
      </c>
      <c r="G65" s="181">
        <v>2068</v>
      </c>
      <c r="H65" s="181">
        <v>2506</v>
      </c>
      <c r="I65" s="181">
        <v>4697</v>
      </c>
      <c r="J65" s="182">
        <v>157583</v>
      </c>
    </row>
    <row r="66" spans="1:10" x14ac:dyDescent="0.45">
      <c r="A66" s="174">
        <v>88</v>
      </c>
      <c r="B66" s="171">
        <v>2392</v>
      </c>
      <c r="C66" s="171">
        <v>2157</v>
      </c>
      <c r="D66" s="171">
        <v>4734</v>
      </c>
      <c r="E66" s="175">
        <v>224589</v>
      </c>
      <c r="F66" s="180">
        <v>96</v>
      </c>
      <c r="G66" s="181">
        <v>1847</v>
      </c>
      <c r="H66" s="181">
        <v>2302</v>
      </c>
      <c r="I66" s="181">
        <v>4246</v>
      </c>
      <c r="J66" s="182">
        <v>161829</v>
      </c>
    </row>
    <row r="67" spans="1:10" x14ac:dyDescent="0.45">
      <c r="A67" s="174">
        <v>87</v>
      </c>
      <c r="B67" s="171">
        <v>2228</v>
      </c>
      <c r="C67" s="171">
        <v>2198</v>
      </c>
      <c r="D67" s="171">
        <v>4560</v>
      </c>
      <c r="E67" s="175">
        <v>229149</v>
      </c>
      <c r="F67" s="180">
        <v>95</v>
      </c>
      <c r="G67" s="181">
        <v>2873</v>
      </c>
      <c r="H67" s="181">
        <v>3299</v>
      </c>
      <c r="I67" s="181">
        <v>6320</v>
      </c>
      <c r="J67" s="182">
        <v>168149</v>
      </c>
    </row>
    <row r="68" spans="1:10" x14ac:dyDescent="0.45">
      <c r="A68" s="174">
        <v>86</v>
      </c>
      <c r="B68" s="171">
        <v>2321</v>
      </c>
      <c r="C68" s="171">
        <v>2090</v>
      </c>
      <c r="D68" s="171">
        <v>4576</v>
      </c>
      <c r="E68" s="175">
        <v>233725</v>
      </c>
      <c r="F68" s="180">
        <v>94</v>
      </c>
      <c r="G68" s="181">
        <v>2230</v>
      </c>
      <c r="H68" s="181">
        <v>2727</v>
      </c>
      <c r="I68" s="181">
        <v>5067</v>
      </c>
      <c r="J68" s="182">
        <v>173216</v>
      </c>
    </row>
    <row r="69" spans="1:10" x14ac:dyDescent="0.45">
      <c r="A69" s="174">
        <v>85</v>
      </c>
      <c r="B69" s="171">
        <v>2259</v>
      </c>
      <c r="C69" s="171">
        <v>2056</v>
      </c>
      <c r="D69" s="171">
        <v>4484</v>
      </c>
      <c r="E69" s="175">
        <v>238209</v>
      </c>
      <c r="F69" s="180">
        <v>93</v>
      </c>
      <c r="G69" s="181">
        <v>2055</v>
      </c>
      <c r="H69" s="181">
        <v>2617</v>
      </c>
      <c r="I69" s="181">
        <v>4800</v>
      </c>
      <c r="J69" s="182">
        <v>178016</v>
      </c>
    </row>
    <row r="70" spans="1:10" x14ac:dyDescent="0.45">
      <c r="A70" s="174">
        <v>84</v>
      </c>
      <c r="B70" s="171">
        <v>2379</v>
      </c>
      <c r="C70" s="171">
        <v>2060</v>
      </c>
      <c r="D70" s="171">
        <v>4630</v>
      </c>
      <c r="E70" s="175">
        <v>242839</v>
      </c>
      <c r="F70" s="180">
        <v>92</v>
      </c>
      <c r="G70" s="181">
        <v>2862</v>
      </c>
      <c r="H70" s="181">
        <v>3169</v>
      </c>
      <c r="I70" s="181">
        <v>6190</v>
      </c>
      <c r="J70" s="182">
        <v>184206</v>
      </c>
    </row>
    <row r="71" spans="1:10" x14ac:dyDescent="0.45">
      <c r="A71" s="174">
        <v>83</v>
      </c>
      <c r="B71" s="171">
        <v>2322</v>
      </c>
      <c r="C71" s="171">
        <v>1916</v>
      </c>
      <c r="D71" s="171">
        <v>4433</v>
      </c>
      <c r="E71" s="175">
        <v>247272</v>
      </c>
      <c r="F71" s="180">
        <v>91</v>
      </c>
      <c r="G71" s="181">
        <v>2229</v>
      </c>
      <c r="H71" s="181">
        <v>2802</v>
      </c>
      <c r="I71" s="181">
        <v>5150</v>
      </c>
      <c r="J71" s="182">
        <v>189356</v>
      </c>
    </row>
    <row r="72" spans="1:10" x14ac:dyDescent="0.45">
      <c r="A72" s="174">
        <v>82</v>
      </c>
      <c r="B72" s="171">
        <v>2510</v>
      </c>
      <c r="C72" s="171">
        <v>1871</v>
      </c>
      <c r="D72" s="171">
        <v>4622</v>
      </c>
      <c r="E72" s="175">
        <v>251894</v>
      </c>
      <c r="F72" s="180">
        <v>90</v>
      </c>
      <c r="G72" s="181">
        <v>2425</v>
      </c>
      <c r="H72" s="181">
        <v>2888</v>
      </c>
      <c r="I72" s="181">
        <v>5448</v>
      </c>
      <c r="J72" s="182">
        <v>194804</v>
      </c>
    </row>
    <row r="73" spans="1:10" x14ac:dyDescent="0.45">
      <c r="A73" s="174">
        <v>81</v>
      </c>
      <c r="B73" s="171">
        <v>2338</v>
      </c>
      <c r="C73" s="171">
        <v>1805</v>
      </c>
      <c r="D73" s="171">
        <v>4345</v>
      </c>
      <c r="E73" s="175">
        <v>256239</v>
      </c>
      <c r="F73" s="180">
        <v>89</v>
      </c>
      <c r="G73" s="181">
        <v>2929</v>
      </c>
      <c r="H73" s="181">
        <v>3027</v>
      </c>
      <c r="I73" s="181">
        <v>6102</v>
      </c>
      <c r="J73" s="182">
        <v>200906</v>
      </c>
    </row>
    <row r="74" spans="1:10" x14ac:dyDescent="0.45">
      <c r="A74" s="174">
        <v>80</v>
      </c>
      <c r="B74" s="171">
        <v>2647</v>
      </c>
      <c r="C74" s="171">
        <v>1860</v>
      </c>
      <c r="D74" s="171">
        <v>4734</v>
      </c>
      <c r="E74" s="175">
        <v>260973</v>
      </c>
      <c r="F74" s="180">
        <v>88</v>
      </c>
      <c r="G74" s="181">
        <v>5565</v>
      </c>
      <c r="H74" s="181">
        <v>6410</v>
      </c>
      <c r="I74" s="181">
        <v>12297</v>
      </c>
      <c r="J74" s="182">
        <v>213203</v>
      </c>
    </row>
    <row r="75" spans="1:10" x14ac:dyDescent="0.45">
      <c r="A75" s="174">
        <v>79</v>
      </c>
      <c r="B75" s="171">
        <v>3028</v>
      </c>
      <c r="C75" s="171">
        <v>1939</v>
      </c>
      <c r="D75" s="171">
        <v>5262</v>
      </c>
      <c r="E75" s="175">
        <v>266235</v>
      </c>
      <c r="F75" s="180">
        <v>87</v>
      </c>
      <c r="G75" s="181">
        <v>2656</v>
      </c>
      <c r="H75" s="181">
        <v>2744</v>
      </c>
      <c r="I75" s="181">
        <v>5545</v>
      </c>
      <c r="J75" s="182">
        <v>218748</v>
      </c>
    </row>
    <row r="76" spans="1:10" x14ac:dyDescent="0.45">
      <c r="A76" s="174">
        <v>78</v>
      </c>
      <c r="B76" s="171">
        <v>2514</v>
      </c>
      <c r="C76" s="171">
        <v>1717</v>
      </c>
      <c r="D76" s="171">
        <v>4472</v>
      </c>
      <c r="E76" s="175">
        <v>270707</v>
      </c>
      <c r="F76" s="180">
        <v>86</v>
      </c>
      <c r="G76" s="181">
        <v>2698</v>
      </c>
      <c r="H76" s="181">
        <v>3079</v>
      </c>
      <c r="I76" s="181">
        <v>5937</v>
      </c>
      <c r="J76" s="182">
        <v>224685</v>
      </c>
    </row>
    <row r="77" spans="1:10" x14ac:dyDescent="0.45">
      <c r="A77" s="174">
        <v>77</v>
      </c>
      <c r="B77" s="171">
        <v>2311</v>
      </c>
      <c r="C77" s="171">
        <v>1533</v>
      </c>
      <c r="D77" s="171">
        <v>4040</v>
      </c>
      <c r="E77" s="175">
        <v>274747</v>
      </c>
      <c r="F77" s="180">
        <v>85</v>
      </c>
      <c r="G77" s="181">
        <v>3361</v>
      </c>
      <c r="H77" s="181">
        <v>3615</v>
      </c>
      <c r="I77" s="181">
        <v>7204</v>
      </c>
      <c r="J77" s="182">
        <v>231889</v>
      </c>
    </row>
    <row r="78" spans="1:10" x14ac:dyDescent="0.45">
      <c r="A78" s="174">
        <v>76</v>
      </c>
      <c r="B78" s="171">
        <v>2556</v>
      </c>
      <c r="C78" s="171">
        <v>1542</v>
      </c>
      <c r="D78" s="171">
        <v>4332</v>
      </c>
      <c r="E78" s="175">
        <v>279079</v>
      </c>
      <c r="F78" s="180">
        <v>84</v>
      </c>
      <c r="G78" s="181">
        <v>3130</v>
      </c>
      <c r="H78" s="181">
        <v>3416</v>
      </c>
      <c r="I78" s="181">
        <v>6777</v>
      </c>
      <c r="J78" s="182">
        <v>238666</v>
      </c>
    </row>
    <row r="79" spans="1:10" x14ac:dyDescent="0.45">
      <c r="A79" s="174">
        <v>75</v>
      </c>
      <c r="B79" s="171">
        <v>2339</v>
      </c>
      <c r="C79" s="171">
        <v>1443</v>
      </c>
      <c r="D79" s="171">
        <v>4026</v>
      </c>
      <c r="E79" s="175">
        <v>283105</v>
      </c>
      <c r="F79" s="180">
        <v>83</v>
      </c>
      <c r="G79" s="181">
        <v>3481</v>
      </c>
      <c r="H79" s="181">
        <v>3852</v>
      </c>
      <c r="I79" s="181">
        <v>7569</v>
      </c>
      <c r="J79" s="182">
        <v>246235</v>
      </c>
    </row>
    <row r="80" spans="1:10" x14ac:dyDescent="0.45">
      <c r="A80" s="174">
        <v>74</v>
      </c>
      <c r="B80" s="171">
        <v>7280</v>
      </c>
      <c r="C80" s="171">
        <v>3680</v>
      </c>
      <c r="D80" s="171">
        <v>11876</v>
      </c>
      <c r="E80" s="175">
        <v>294981</v>
      </c>
      <c r="F80" s="180">
        <v>82</v>
      </c>
      <c r="G80" s="181">
        <v>2693</v>
      </c>
      <c r="H80" s="181">
        <v>3105</v>
      </c>
      <c r="I80" s="181">
        <v>5958</v>
      </c>
      <c r="J80" s="182">
        <v>252193</v>
      </c>
    </row>
    <row r="81" spans="1:10" x14ac:dyDescent="0.45">
      <c r="A81" s="174">
        <v>73</v>
      </c>
      <c r="B81" s="171">
        <v>1990</v>
      </c>
      <c r="C81" s="171">
        <v>1074</v>
      </c>
      <c r="D81" s="171">
        <v>3251</v>
      </c>
      <c r="E81" s="175">
        <v>298232</v>
      </c>
      <c r="F81" s="180">
        <v>81</v>
      </c>
      <c r="G81" s="181">
        <v>9533</v>
      </c>
      <c r="H81" s="181">
        <v>7367</v>
      </c>
      <c r="I81" s="181">
        <v>17779</v>
      </c>
      <c r="J81" s="182">
        <v>269972</v>
      </c>
    </row>
    <row r="82" spans="1:10" x14ac:dyDescent="0.45">
      <c r="A82" s="174">
        <v>72</v>
      </c>
      <c r="B82" s="171">
        <v>2491</v>
      </c>
      <c r="C82" s="171">
        <v>1265</v>
      </c>
      <c r="D82" s="171">
        <v>4067</v>
      </c>
      <c r="E82" s="175">
        <v>302299</v>
      </c>
      <c r="F82" s="180">
        <v>80</v>
      </c>
      <c r="G82" s="181">
        <v>6155</v>
      </c>
      <c r="H82" s="181">
        <v>6086</v>
      </c>
      <c r="I82" s="181">
        <v>12819</v>
      </c>
      <c r="J82" s="182">
        <v>282791</v>
      </c>
    </row>
    <row r="83" spans="1:10" x14ac:dyDescent="0.45">
      <c r="A83" s="174">
        <v>71</v>
      </c>
      <c r="B83" s="171">
        <v>1625</v>
      </c>
      <c r="C83" s="171">
        <v>859</v>
      </c>
      <c r="D83" s="171">
        <v>2666</v>
      </c>
      <c r="E83" s="175">
        <v>304965</v>
      </c>
      <c r="F83" s="180">
        <v>79</v>
      </c>
      <c r="G83" s="181">
        <v>1903</v>
      </c>
      <c r="H83" s="181">
        <v>2184</v>
      </c>
      <c r="I83" s="181">
        <v>4226</v>
      </c>
      <c r="J83" s="182">
        <v>287017</v>
      </c>
    </row>
    <row r="84" spans="1:10" x14ac:dyDescent="0.45">
      <c r="A84" s="174">
        <v>70</v>
      </c>
      <c r="B84" s="171">
        <v>6186</v>
      </c>
      <c r="C84" s="171">
        <v>2255</v>
      </c>
      <c r="D84" s="171">
        <v>9293</v>
      </c>
      <c r="E84" s="175">
        <v>314258</v>
      </c>
      <c r="F84" s="180">
        <v>78</v>
      </c>
      <c r="G84" s="181">
        <v>3236</v>
      </c>
      <c r="H84" s="181">
        <v>3481</v>
      </c>
      <c r="I84" s="181">
        <v>6980</v>
      </c>
      <c r="J84" s="182">
        <v>293997</v>
      </c>
    </row>
    <row r="85" spans="1:10" x14ac:dyDescent="0.45">
      <c r="A85" s="174">
        <v>69</v>
      </c>
      <c r="B85" s="171">
        <v>1100</v>
      </c>
      <c r="C85" s="171">
        <v>561</v>
      </c>
      <c r="D85" s="171">
        <v>1769</v>
      </c>
      <c r="E85" s="175">
        <v>316027</v>
      </c>
      <c r="F85" s="180">
        <v>77</v>
      </c>
      <c r="G85" s="181">
        <v>3036</v>
      </c>
      <c r="H85" s="181">
        <v>3035</v>
      </c>
      <c r="I85" s="181">
        <v>6350</v>
      </c>
      <c r="J85" s="182">
        <v>300347</v>
      </c>
    </row>
    <row r="86" spans="1:10" x14ac:dyDescent="0.45">
      <c r="A86" s="174">
        <v>68</v>
      </c>
      <c r="B86" s="171">
        <v>964</v>
      </c>
      <c r="C86" s="171">
        <v>448</v>
      </c>
      <c r="D86" s="171">
        <v>1517</v>
      </c>
      <c r="E86" s="175">
        <v>317544</v>
      </c>
      <c r="F86" s="180">
        <v>76</v>
      </c>
      <c r="G86" s="181">
        <v>1385</v>
      </c>
      <c r="H86" s="181">
        <v>1494</v>
      </c>
      <c r="I86" s="181">
        <v>2971</v>
      </c>
      <c r="J86" s="182">
        <v>303318</v>
      </c>
    </row>
    <row r="87" spans="1:10" x14ac:dyDescent="0.45">
      <c r="A87" s="174">
        <v>67</v>
      </c>
      <c r="B87" s="171">
        <v>712</v>
      </c>
      <c r="C87" s="171">
        <v>321</v>
      </c>
      <c r="D87" s="171">
        <v>1109</v>
      </c>
      <c r="E87" s="175">
        <v>318653</v>
      </c>
      <c r="F87" s="180">
        <v>75</v>
      </c>
      <c r="G87" s="181">
        <v>3081</v>
      </c>
      <c r="H87" s="181">
        <v>2972</v>
      </c>
      <c r="I87" s="181">
        <v>6303</v>
      </c>
      <c r="J87" s="182">
        <v>309621</v>
      </c>
    </row>
    <row r="88" spans="1:10" x14ac:dyDescent="0.45">
      <c r="A88" s="174">
        <v>66</v>
      </c>
      <c r="B88" s="171">
        <v>648</v>
      </c>
      <c r="C88" s="171">
        <v>260</v>
      </c>
      <c r="D88" s="171">
        <v>977</v>
      </c>
      <c r="E88" s="175">
        <v>319630</v>
      </c>
      <c r="F88" s="180">
        <v>74</v>
      </c>
      <c r="G88" s="181">
        <v>1014</v>
      </c>
      <c r="H88" s="181">
        <v>1073</v>
      </c>
      <c r="I88" s="181">
        <v>2176</v>
      </c>
      <c r="J88" s="182">
        <v>311797</v>
      </c>
    </row>
    <row r="89" spans="1:10" x14ac:dyDescent="0.45">
      <c r="A89" s="174">
        <v>65</v>
      </c>
      <c r="B89" s="171">
        <v>470</v>
      </c>
      <c r="C89" s="171">
        <v>238</v>
      </c>
      <c r="D89" s="171">
        <v>753</v>
      </c>
      <c r="E89" s="175">
        <v>320383</v>
      </c>
      <c r="F89" s="180">
        <v>73</v>
      </c>
      <c r="G89" s="181">
        <v>1357</v>
      </c>
      <c r="H89" s="181">
        <v>1093</v>
      </c>
      <c r="I89" s="181">
        <v>2554</v>
      </c>
      <c r="J89" s="182">
        <v>314351</v>
      </c>
    </row>
    <row r="90" spans="1:10" x14ac:dyDescent="0.45">
      <c r="A90" s="174">
        <v>64</v>
      </c>
      <c r="B90" s="171">
        <v>343</v>
      </c>
      <c r="C90" s="171">
        <v>144</v>
      </c>
      <c r="D90" s="171">
        <v>520</v>
      </c>
      <c r="E90" s="175">
        <v>320903</v>
      </c>
      <c r="F90" s="180">
        <v>72</v>
      </c>
      <c r="G90" s="181">
        <v>860</v>
      </c>
      <c r="H90" s="181">
        <v>829</v>
      </c>
      <c r="I90" s="181">
        <v>1770</v>
      </c>
      <c r="J90" s="182">
        <v>316121</v>
      </c>
    </row>
    <row r="91" spans="1:10" x14ac:dyDescent="0.45">
      <c r="A91" s="174">
        <v>63</v>
      </c>
      <c r="B91" s="171">
        <v>204</v>
      </c>
      <c r="C91" s="171">
        <v>109</v>
      </c>
      <c r="D91" s="171">
        <v>334</v>
      </c>
      <c r="E91" s="175">
        <v>321237</v>
      </c>
      <c r="F91" s="180">
        <v>71</v>
      </c>
      <c r="G91" s="181">
        <v>588</v>
      </c>
      <c r="H91" s="181">
        <v>542</v>
      </c>
      <c r="I91" s="181">
        <v>1187</v>
      </c>
      <c r="J91" s="182">
        <v>317308</v>
      </c>
    </row>
    <row r="92" spans="1:10" x14ac:dyDescent="0.45">
      <c r="A92" s="174">
        <v>62</v>
      </c>
      <c r="B92" s="171">
        <v>191</v>
      </c>
      <c r="C92" s="171">
        <v>67</v>
      </c>
      <c r="D92" s="171">
        <v>282</v>
      </c>
      <c r="E92" s="175">
        <v>321519</v>
      </c>
      <c r="F92" s="180">
        <v>70</v>
      </c>
      <c r="G92" s="181">
        <v>265</v>
      </c>
      <c r="H92" s="181">
        <v>278</v>
      </c>
      <c r="I92" s="181">
        <v>561</v>
      </c>
      <c r="J92" s="182">
        <v>317869</v>
      </c>
    </row>
    <row r="93" spans="1:10" x14ac:dyDescent="0.45">
      <c r="A93" s="174">
        <v>61</v>
      </c>
      <c r="B93" s="171">
        <v>160</v>
      </c>
      <c r="C93" s="171">
        <v>53</v>
      </c>
      <c r="D93" s="171">
        <v>229</v>
      </c>
      <c r="E93" s="175">
        <v>321748</v>
      </c>
      <c r="F93" s="180">
        <v>69</v>
      </c>
      <c r="G93" s="181">
        <v>276</v>
      </c>
      <c r="H93" s="181">
        <v>225</v>
      </c>
      <c r="I93" s="181">
        <v>516</v>
      </c>
      <c r="J93" s="182">
        <v>318385</v>
      </c>
    </row>
    <row r="94" spans="1:10" x14ac:dyDescent="0.45">
      <c r="A94" s="174">
        <v>60</v>
      </c>
      <c r="B94" s="171">
        <v>109</v>
      </c>
      <c r="C94" s="171">
        <v>28</v>
      </c>
      <c r="D94" s="171">
        <v>147</v>
      </c>
      <c r="E94" s="175">
        <v>321895</v>
      </c>
      <c r="F94" s="178">
        <v>68</v>
      </c>
      <c r="G94" s="171">
        <v>288</v>
      </c>
      <c r="H94" s="171">
        <v>283</v>
      </c>
      <c r="I94" s="171">
        <v>595</v>
      </c>
      <c r="J94" s="175">
        <v>318980</v>
      </c>
    </row>
    <row r="95" spans="1:10" x14ac:dyDescent="0.45">
      <c r="A95" s="172">
        <v>59</v>
      </c>
      <c r="B95" s="173">
        <v>75</v>
      </c>
      <c r="C95" s="173">
        <v>17</v>
      </c>
      <c r="D95" s="173">
        <v>99</v>
      </c>
      <c r="E95" s="176">
        <v>321994</v>
      </c>
      <c r="F95" s="174">
        <v>67</v>
      </c>
      <c r="G95" s="171">
        <v>120</v>
      </c>
      <c r="H95" s="171">
        <v>97</v>
      </c>
      <c r="I95" s="171">
        <v>227</v>
      </c>
      <c r="J95" s="175">
        <v>319207</v>
      </c>
    </row>
    <row r="96" spans="1:10" x14ac:dyDescent="0.45">
      <c r="A96" s="172">
        <v>58</v>
      </c>
      <c r="B96" s="173">
        <v>60</v>
      </c>
      <c r="C96" s="173">
        <v>21</v>
      </c>
      <c r="D96" s="173">
        <v>95</v>
      </c>
      <c r="E96" s="176">
        <v>322089</v>
      </c>
      <c r="F96" s="174">
        <v>65</v>
      </c>
      <c r="G96" s="171">
        <v>1424</v>
      </c>
      <c r="H96" s="171">
        <v>623</v>
      </c>
      <c r="I96" s="171">
        <v>2261</v>
      </c>
      <c r="J96" s="175">
        <v>321468</v>
      </c>
    </row>
    <row r="97" spans="1:10" x14ac:dyDescent="0.45">
      <c r="A97" s="172">
        <v>57</v>
      </c>
      <c r="B97" s="173">
        <v>24</v>
      </c>
      <c r="C97" s="173">
        <v>13</v>
      </c>
      <c r="D97" s="173">
        <v>41</v>
      </c>
      <c r="E97" s="176">
        <v>322130</v>
      </c>
      <c r="F97" s="174"/>
      <c r="G97" s="171"/>
      <c r="H97" s="171"/>
      <c r="I97" s="171"/>
      <c r="J97" s="175"/>
    </row>
    <row r="98" spans="1:10" x14ac:dyDescent="0.45">
      <c r="A98" s="172">
        <v>56</v>
      </c>
      <c r="B98" s="173">
        <v>85</v>
      </c>
      <c r="C98" s="173">
        <v>25</v>
      </c>
      <c r="D98" s="173">
        <v>121</v>
      </c>
      <c r="E98" s="176">
        <v>322251</v>
      </c>
      <c r="F98" s="174"/>
      <c r="G98" s="171"/>
      <c r="H98" s="171"/>
      <c r="I98" s="171"/>
      <c r="J98" s="175"/>
    </row>
    <row r="99" spans="1:10" x14ac:dyDescent="0.45">
      <c r="A99" s="172">
        <v>55</v>
      </c>
      <c r="B99" s="173">
        <v>1108</v>
      </c>
      <c r="C99" s="173">
        <v>376</v>
      </c>
      <c r="D99" s="173">
        <v>1755</v>
      </c>
      <c r="E99" s="176">
        <v>324006</v>
      </c>
      <c r="F99" s="174"/>
      <c r="G99" s="171"/>
      <c r="H99" s="171"/>
      <c r="I99" s="171"/>
      <c r="J99" s="175"/>
    </row>
    <row r="100" spans="1:10" x14ac:dyDescent="0.45">
      <c r="A100" s="9"/>
      <c r="D100" s="10"/>
      <c r="F100" s="9"/>
      <c r="I100" s="10"/>
    </row>
    <row r="101" spans="1:10" x14ac:dyDescent="0.45">
      <c r="A101" s="9"/>
      <c r="D101" s="10"/>
      <c r="F101" s="9"/>
      <c r="I101" s="10"/>
    </row>
    <row r="102" spans="1:10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T224"/>
  <sheetViews>
    <sheetView topLeftCell="A171" workbookViewId="0">
      <selection activeCell="A177" sqref="A177:T220"/>
    </sheetView>
  </sheetViews>
  <sheetFormatPr defaultRowHeight="17" x14ac:dyDescent="0.45"/>
  <sheetData>
    <row r="1" spans="1:20" x14ac:dyDescent="0.45">
      <c r="A1" s="15"/>
    </row>
    <row r="2" spans="1:20" ht="17.5" thickBot="1" x14ac:dyDescent="0.5"/>
    <row r="3" spans="1:20" x14ac:dyDescent="0.45">
      <c r="A3" s="45" t="s">
        <v>9</v>
      </c>
      <c r="B3" s="46"/>
      <c r="C3" s="46"/>
      <c r="D3" s="47"/>
      <c r="F3" s="45" t="s">
        <v>10</v>
      </c>
      <c r="G3" s="46"/>
      <c r="H3" s="46"/>
      <c r="I3" s="47"/>
      <c r="K3" s="45" t="s">
        <v>11</v>
      </c>
      <c r="L3" s="46"/>
      <c r="M3" s="46"/>
      <c r="N3" s="47"/>
      <c r="P3" s="45" t="s">
        <v>12</v>
      </c>
      <c r="Q3" s="46"/>
      <c r="R3" s="46"/>
      <c r="S3" s="47"/>
    </row>
    <row r="4" spans="1:20" ht="17.5" thickBot="1" x14ac:dyDescent="0.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  <c r="K4" s="6" t="s">
        <v>6</v>
      </c>
      <c r="L4" s="1"/>
      <c r="M4" s="1"/>
      <c r="N4" s="7" t="s">
        <v>7</v>
      </c>
      <c r="P4" s="6" t="s">
        <v>6</v>
      </c>
      <c r="Q4" s="1"/>
      <c r="R4" s="1"/>
      <c r="S4" s="7" t="s">
        <v>7</v>
      </c>
    </row>
    <row r="5" spans="1:20" ht="17.5" thickTop="1" x14ac:dyDescent="0.45">
      <c r="A5" s="193">
        <v>76</v>
      </c>
      <c r="B5" s="177">
        <v>136</v>
      </c>
      <c r="C5" s="177">
        <v>317</v>
      </c>
      <c r="D5" s="177">
        <v>455</v>
      </c>
      <c r="E5" s="184">
        <v>455</v>
      </c>
      <c r="F5" s="193">
        <v>76</v>
      </c>
      <c r="G5" s="177">
        <v>104</v>
      </c>
      <c r="H5" s="177">
        <v>151</v>
      </c>
      <c r="I5" s="177">
        <v>255</v>
      </c>
      <c r="J5" s="184">
        <v>255</v>
      </c>
      <c r="K5" s="193">
        <v>79</v>
      </c>
      <c r="L5" s="177">
        <v>58</v>
      </c>
      <c r="M5" s="177">
        <v>32</v>
      </c>
      <c r="N5" s="177">
        <v>91</v>
      </c>
      <c r="O5" s="184">
        <v>91</v>
      </c>
      <c r="P5" s="193">
        <v>79</v>
      </c>
      <c r="Q5" s="177">
        <v>37</v>
      </c>
      <c r="R5" s="177">
        <v>29</v>
      </c>
      <c r="S5" s="177">
        <v>67</v>
      </c>
      <c r="T5" s="184">
        <v>67</v>
      </c>
    </row>
    <row r="6" spans="1:20" x14ac:dyDescent="0.45">
      <c r="A6" s="190">
        <v>74</v>
      </c>
      <c r="B6" s="171">
        <v>101</v>
      </c>
      <c r="C6" s="171">
        <v>160</v>
      </c>
      <c r="D6" s="171">
        <v>264</v>
      </c>
      <c r="E6" s="175">
        <v>719</v>
      </c>
      <c r="F6" s="190">
        <v>74</v>
      </c>
      <c r="G6" s="171">
        <v>88</v>
      </c>
      <c r="H6" s="171">
        <v>158</v>
      </c>
      <c r="I6" s="171">
        <v>249</v>
      </c>
      <c r="J6" s="175">
        <v>504</v>
      </c>
      <c r="K6" s="190">
        <v>77</v>
      </c>
      <c r="L6" s="171">
        <v>16</v>
      </c>
      <c r="M6" s="171">
        <v>12</v>
      </c>
      <c r="N6" s="171">
        <v>30</v>
      </c>
      <c r="O6" s="175">
        <v>121</v>
      </c>
      <c r="P6" s="190">
        <v>77</v>
      </c>
      <c r="Q6" s="171">
        <v>21</v>
      </c>
      <c r="R6" s="171">
        <v>20</v>
      </c>
      <c r="S6" s="171">
        <v>41</v>
      </c>
      <c r="T6" s="175">
        <v>108</v>
      </c>
    </row>
    <row r="7" spans="1:20" x14ac:dyDescent="0.45">
      <c r="A7" s="190">
        <v>73</v>
      </c>
      <c r="B7" s="171">
        <v>160</v>
      </c>
      <c r="C7" s="171">
        <v>364</v>
      </c>
      <c r="D7" s="171">
        <v>525</v>
      </c>
      <c r="E7" s="175">
        <v>1244</v>
      </c>
      <c r="F7" s="190">
        <v>73</v>
      </c>
      <c r="G7" s="171">
        <v>75</v>
      </c>
      <c r="H7" s="171">
        <v>158</v>
      </c>
      <c r="I7" s="171">
        <v>233</v>
      </c>
      <c r="J7" s="175">
        <v>737</v>
      </c>
      <c r="K7" s="190">
        <v>76</v>
      </c>
      <c r="L7" s="171">
        <v>126</v>
      </c>
      <c r="M7" s="171">
        <v>83</v>
      </c>
      <c r="N7" s="171">
        <v>211</v>
      </c>
      <c r="O7" s="175">
        <v>332</v>
      </c>
      <c r="P7" s="190">
        <v>76</v>
      </c>
      <c r="Q7" s="171">
        <v>40</v>
      </c>
      <c r="R7" s="171">
        <v>58</v>
      </c>
      <c r="S7" s="171">
        <v>98</v>
      </c>
      <c r="T7" s="175">
        <v>206</v>
      </c>
    </row>
    <row r="8" spans="1:20" x14ac:dyDescent="0.45">
      <c r="A8" s="190">
        <v>72</v>
      </c>
      <c r="B8" s="171">
        <v>221</v>
      </c>
      <c r="C8" s="171">
        <v>470</v>
      </c>
      <c r="D8" s="171">
        <v>695</v>
      </c>
      <c r="E8" s="175">
        <v>1939</v>
      </c>
      <c r="F8" s="190">
        <v>72</v>
      </c>
      <c r="G8" s="171">
        <v>53</v>
      </c>
      <c r="H8" s="171">
        <v>95</v>
      </c>
      <c r="I8" s="171">
        <v>149</v>
      </c>
      <c r="J8" s="175">
        <v>886</v>
      </c>
      <c r="K8" s="190">
        <v>75</v>
      </c>
      <c r="L8" s="171">
        <v>7</v>
      </c>
      <c r="M8" s="171">
        <v>6</v>
      </c>
      <c r="N8" s="171">
        <v>13</v>
      </c>
      <c r="O8" s="175">
        <v>345</v>
      </c>
      <c r="P8" s="190">
        <v>75</v>
      </c>
      <c r="Q8" s="171">
        <v>12</v>
      </c>
      <c r="R8" s="171">
        <v>4</v>
      </c>
      <c r="S8" s="171">
        <v>16</v>
      </c>
      <c r="T8" s="175">
        <v>222</v>
      </c>
    </row>
    <row r="9" spans="1:20" x14ac:dyDescent="0.45">
      <c r="A9" s="190">
        <v>71</v>
      </c>
      <c r="B9" s="171">
        <v>130</v>
      </c>
      <c r="C9" s="171">
        <v>393</v>
      </c>
      <c r="D9" s="171">
        <v>528</v>
      </c>
      <c r="E9" s="175">
        <v>2467</v>
      </c>
      <c r="F9" s="190">
        <v>71</v>
      </c>
      <c r="G9" s="171">
        <v>125</v>
      </c>
      <c r="H9" s="171">
        <v>263</v>
      </c>
      <c r="I9" s="171">
        <v>392</v>
      </c>
      <c r="J9" s="175">
        <v>1278</v>
      </c>
      <c r="K9" s="190">
        <v>74</v>
      </c>
      <c r="L9" s="171">
        <v>51</v>
      </c>
      <c r="M9" s="171">
        <v>47</v>
      </c>
      <c r="N9" s="171">
        <v>98</v>
      </c>
      <c r="O9" s="175">
        <v>443</v>
      </c>
      <c r="P9" s="190">
        <v>74</v>
      </c>
      <c r="Q9" s="171">
        <v>75</v>
      </c>
      <c r="R9" s="171">
        <v>80</v>
      </c>
      <c r="S9" s="171">
        <v>155</v>
      </c>
      <c r="T9" s="175">
        <v>377</v>
      </c>
    </row>
    <row r="10" spans="1:20" x14ac:dyDescent="0.45">
      <c r="A10" s="190">
        <v>70</v>
      </c>
      <c r="B10" s="171">
        <v>109</v>
      </c>
      <c r="C10" s="171">
        <v>258</v>
      </c>
      <c r="D10" s="171">
        <v>371</v>
      </c>
      <c r="E10" s="175">
        <v>2838</v>
      </c>
      <c r="F10" s="190">
        <v>70</v>
      </c>
      <c r="G10" s="171">
        <v>58</v>
      </c>
      <c r="H10" s="171">
        <v>137</v>
      </c>
      <c r="I10" s="171">
        <v>196</v>
      </c>
      <c r="J10" s="175">
        <v>1474</v>
      </c>
      <c r="K10" s="190">
        <v>73</v>
      </c>
      <c r="L10" s="171">
        <v>144</v>
      </c>
      <c r="M10" s="171">
        <v>159</v>
      </c>
      <c r="N10" s="171">
        <v>305</v>
      </c>
      <c r="O10" s="175">
        <v>748</v>
      </c>
      <c r="P10" s="190">
        <v>73</v>
      </c>
      <c r="Q10" s="171">
        <v>50</v>
      </c>
      <c r="R10" s="171">
        <v>65</v>
      </c>
      <c r="S10" s="171">
        <v>115</v>
      </c>
      <c r="T10" s="175">
        <v>492</v>
      </c>
    </row>
    <row r="11" spans="1:20" x14ac:dyDescent="0.45">
      <c r="A11" s="190">
        <v>69</v>
      </c>
      <c r="B11" s="171">
        <v>257</v>
      </c>
      <c r="C11" s="171">
        <v>543</v>
      </c>
      <c r="D11" s="171">
        <v>812</v>
      </c>
      <c r="E11" s="175">
        <v>3650</v>
      </c>
      <c r="F11" s="190">
        <v>69</v>
      </c>
      <c r="G11" s="171">
        <v>126</v>
      </c>
      <c r="H11" s="171">
        <v>262</v>
      </c>
      <c r="I11" s="171">
        <v>396</v>
      </c>
      <c r="J11" s="175">
        <v>1870</v>
      </c>
      <c r="K11" s="190">
        <v>72</v>
      </c>
      <c r="L11" s="171">
        <v>22</v>
      </c>
      <c r="M11" s="171">
        <v>11</v>
      </c>
      <c r="N11" s="171">
        <v>33</v>
      </c>
      <c r="O11" s="175">
        <v>781</v>
      </c>
      <c r="P11" s="190">
        <v>72</v>
      </c>
      <c r="Q11" s="171">
        <v>43</v>
      </c>
      <c r="R11" s="171">
        <v>38</v>
      </c>
      <c r="S11" s="171">
        <v>81</v>
      </c>
      <c r="T11" s="175">
        <v>573</v>
      </c>
    </row>
    <row r="12" spans="1:20" x14ac:dyDescent="0.45">
      <c r="A12" s="190">
        <v>68</v>
      </c>
      <c r="B12" s="171">
        <v>195</v>
      </c>
      <c r="C12" s="171">
        <v>424</v>
      </c>
      <c r="D12" s="171">
        <v>620</v>
      </c>
      <c r="E12" s="175">
        <v>4270</v>
      </c>
      <c r="F12" s="190">
        <v>68</v>
      </c>
      <c r="G12" s="171">
        <v>108</v>
      </c>
      <c r="H12" s="171">
        <v>285</v>
      </c>
      <c r="I12" s="171">
        <v>400</v>
      </c>
      <c r="J12" s="175">
        <v>2270</v>
      </c>
      <c r="K12" s="190">
        <v>71</v>
      </c>
      <c r="L12" s="171">
        <v>113</v>
      </c>
      <c r="M12" s="171">
        <v>117</v>
      </c>
      <c r="N12" s="171">
        <v>230</v>
      </c>
      <c r="O12" s="175">
        <v>1011</v>
      </c>
      <c r="P12" s="190">
        <v>71</v>
      </c>
      <c r="Q12" s="171">
        <v>92</v>
      </c>
      <c r="R12" s="171">
        <v>109</v>
      </c>
      <c r="S12" s="171">
        <v>202</v>
      </c>
      <c r="T12" s="175">
        <v>775</v>
      </c>
    </row>
    <row r="13" spans="1:20" x14ac:dyDescent="0.45">
      <c r="A13" s="190">
        <v>67</v>
      </c>
      <c r="B13" s="171">
        <v>235</v>
      </c>
      <c r="C13" s="171">
        <v>546</v>
      </c>
      <c r="D13" s="171">
        <v>791</v>
      </c>
      <c r="E13" s="175">
        <v>5061</v>
      </c>
      <c r="F13" s="190">
        <v>67</v>
      </c>
      <c r="G13" s="171">
        <v>109</v>
      </c>
      <c r="H13" s="171">
        <v>264</v>
      </c>
      <c r="I13" s="171">
        <v>384</v>
      </c>
      <c r="J13" s="175">
        <v>2654</v>
      </c>
      <c r="K13" s="190">
        <v>70</v>
      </c>
      <c r="L13" s="171">
        <v>127</v>
      </c>
      <c r="M13" s="171">
        <v>186</v>
      </c>
      <c r="N13" s="171">
        <v>316</v>
      </c>
      <c r="O13" s="175">
        <v>1327</v>
      </c>
      <c r="P13" s="190">
        <v>70</v>
      </c>
      <c r="Q13" s="171">
        <v>63</v>
      </c>
      <c r="R13" s="171">
        <v>74</v>
      </c>
      <c r="S13" s="171">
        <v>138</v>
      </c>
      <c r="T13" s="175">
        <v>913</v>
      </c>
    </row>
    <row r="14" spans="1:20" x14ac:dyDescent="0.45">
      <c r="A14" s="190">
        <v>66</v>
      </c>
      <c r="B14" s="171">
        <v>301</v>
      </c>
      <c r="C14" s="171">
        <v>720</v>
      </c>
      <c r="D14" s="171">
        <v>1027</v>
      </c>
      <c r="E14" s="175">
        <v>6088</v>
      </c>
      <c r="F14" s="190">
        <v>66</v>
      </c>
      <c r="G14" s="171">
        <v>292</v>
      </c>
      <c r="H14" s="171">
        <v>699</v>
      </c>
      <c r="I14" s="171">
        <v>997</v>
      </c>
      <c r="J14" s="175">
        <v>3651</v>
      </c>
      <c r="K14" s="190">
        <v>69</v>
      </c>
      <c r="L14" s="171">
        <v>57</v>
      </c>
      <c r="M14" s="171">
        <v>50</v>
      </c>
      <c r="N14" s="171">
        <v>107</v>
      </c>
      <c r="O14" s="175">
        <v>1434</v>
      </c>
      <c r="P14" s="190">
        <v>69</v>
      </c>
      <c r="Q14" s="171">
        <v>104</v>
      </c>
      <c r="R14" s="171">
        <v>84</v>
      </c>
      <c r="S14" s="171">
        <v>190</v>
      </c>
      <c r="T14" s="175">
        <v>1103</v>
      </c>
    </row>
    <row r="15" spans="1:20" x14ac:dyDescent="0.45">
      <c r="A15" s="190">
        <v>65</v>
      </c>
      <c r="B15" s="171">
        <v>229</v>
      </c>
      <c r="C15" s="171">
        <v>567</v>
      </c>
      <c r="D15" s="171">
        <v>801</v>
      </c>
      <c r="E15" s="175">
        <v>6889</v>
      </c>
      <c r="F15" s="190">
        <v>65</v>
      </c>
      <c r="G15" s="171">
        <v>166</v>
      </c>
      <c r="H15" s="171">
        <v>475</v>
      </c>
      <c r="I15" s="171">
        <v>647</v>
      </c>
      <c r="J15" s="175">
        <v>4298</v>
      </c>
      <c r="K15" s="190">
        <v>68</v>
      </c>
      <c r="L15" s="171">
        <v>163</v>
      </c>
      <c r="M15" s="171">
        <v>196</v>
      </c>
      <c r="N15" s="171">
        <v>361</v>
      </c>
      <c r="O15" s="175">
        <v>1795</v>
      </c>
      <c r="P15" s="190">
        <v>68</v>
      </c>
      <c r="Q15" s="171">
        <v>125</v>
      </c>
      <c r="R15" s="171">
        <v>136</v>
      </c>
      <c r="S15" s="171">
        <v>262</v>
      </c>
      <c r="T15" s="175">
        <v>1365</v>
      </c>
    </row>
    <row r="16" spans="1:20" x14ac:dyDescent="0.45">
      <c r="A16" s="190">
        <v>64</v>
      </c>
      <c r="B16" s="171">
        <v>360</v>
      </c>
      <c r="C16" s="171">
        <v>885</v>
      </c>
      <c r="D16" s="171">
        <v>1261</v>
      </c>
      <c r="E16" s="175">
        <v>8150</v>
      </c>
      <c r="F16" s="190">
        <v>64</v>
      </c>
      <c r="G16" s="171">
        <v>180</v>
      </c>
      <c r="H16" s="171">
        <v>477</v>
      </c>
      <c r="I16" s="171">
        <v>665</v>
      </c>
      <c r="J16" s="175">
        <v>4963</v>
      </c>
      <c r="K16" s="190">
        <v>67</v>
      </c>
      <c r="L16" s="171">
        <v>154</v>
      </c>
      <c r="M16" s="171">
        <v>210</v>
      </c>
      <c r="N16" s="171">
        <v>365</v>
      </c>
      <c r="O16" s="175">
        <v>2160</v>
      </c>
      <c r="P16" s="190">
        <v>67</v>
      </c>
      <c r="Q16" s="171">
        <v>77</v>
      </c>
      <c r="R16" s="171">
        <v>85</v>
      </c>
      <c r="S16" s="171">
        <v>162</v>
      </c>
      <c r="T16" s="175">
        <v>1527</v>
      </c>
    </row>
    <row r="17" spans="1:20" x14ac:dyDescent="0.45">
      <c r="A17" s="190">
        <v>63</v>
      </c>
      <c r="B17" s="171">
        <v>372</v>
      </c>
      <c r="C17" s="171">
        <v>897</v>
      </c>
      <c r="D17" s="171">
        <v>1282</v>
      </c>
      <c r="E17" s="175">
        <v>9432</v>
      </c>
      <c r="F17" s="190">
        <v>63</v>
      </c>
      <c r="G17" s="171">
        <v>200</v>
      </c>
      <c r="H17" s="171">
        <v>509</v>
      </c>
      <c r="I17" s="171">
        <v>716</v>
      </c>
      <c r="J17" s="175">
        <v>5679</v>
      </c>
      <c r="K17" s="190">
        <v>66</v>
      </c>
      <c r="L17" s="171">
        <v>98</v>
      </c>
      <c r="M17" s="171">
        <v>127</v>
      </c>
      <c r="N17" s="171">
        <v>227</v>
      </c>
      <c r="O17" s="175">
        <v>2387</v>
      </c>
      <c r="P17" s="190">
        <v>66</v>
      </c>
      <c r="Q17" s="171">
        <v>171</v>
      </c>
      <c r="R17" s="171">
        <v>142</v>
      </c>
      <c r="S17" s="171">
        <v>314</v>
      </c>
      <c r="T17" s="175">
        <v>1841</v>
      </c>
    </row>
    <row r="18" spans="1:20" x14ac:dyDescent="0.45">
      <c r="A18" s="190">
        <v>62</v>
      </c>
      <c r="B18" s="171">
        <v>348</v>
      </c>
      <c r="C18" s="171">
        <v>983</v>
      </c>
      <c r="D18" s="171">
        <v>1344</v>
      </c>
      <c r="E18" s="175">
        <v>10776</v>
      </c>
      <c r="F18" s="190">
        <v>62</v>
      </c>
      <c r="G18" s="171">
        <v>253</v>
      </c>
      <c r="H18" s="171">
        <v>576</v>
      </c>
      <c r="I18" s="171">
        <v>837</v>
      </c>
      <c r="J18" s="175">
        <v>6516</v>
      </c>
      <c r="K18" s="190">
        <v>65</v>
      </c>
      <c r="L18" s="171">
        <v>206</v>
      </c>
      <c r="M18" s="171">
        <v>249</v>
      </c>
      <c r="N18" s="171">
        <v>457</v>
      </c>
      <c r="O18" s="175">
        <v>2844</v>
      </c>
      <c r="P18" s="190">
        <v>65</v>
      </c>
      <c r="Q18" s="171">
        <v>146</v>
      </c>
      <c r="R18" s="171">
        <v>168</v>
      </c>
      <c r="S18" s="171">
        <v>317</v>
      </c>
      <c r="T18" s="175">
        <v>2158</v>
      </c>
    </row>
    <row r="19" spans="1:20" x14ac:dyDescent="0.45">
      <c r="A19" s="190">
        <v>61</v>
      </c>
      <c r="B19" s="171">
        <v>485</v>
      </c>
      <c r="C19" s="171">
        <v>1133</v>
      </c>
      <c r="D19" s="171">
        <v>1635</v>
      </c>
      <c r="E19" s="175">
        <v>12411</v>
      </c>
      <c r="F19" s="190">
        <v>61</v>
      </c>
      <c r="G19" s="171">
        <v>254</v>
      </c>
      <c r="H19" s="171">
        <v>597</v>
      </c>
      <c r="I19" s="171">
        <v>859</v>
      </c>
      <c r="J19" s="175">
        <v>7375</v>
      </c>
      <c r="K19" s="190">
        <v>64</v>
      </c>
      <c r="L19" s="171">
        <v>136</v>
      </c>
      <c r="M19" s="171">
        <v>212</v>
      </c>
      <c r="N19" s="171">
        <v>353</v>
      </c>
      <c r="O19" s="175">
        <v>3197</v>
      </c>
      <c r="P19" s="190">
        <v>64</v>
      </c>
      <c r="Q19" s="171">
        <v>315</v>
      </c>
      <c r="R19" s="171">
        <v>385</v>
      </c>
      <c r="S19" s="171">
        <v>703</v>
      </c>
      <c r="T19" s="175">
        <v>2861</v>
      </c>
    </row>
    <row r="20" spans="1:20" x14ac:dyDescent="0.45">
      <c r="A20" s="190">
        <v>60</v>
      </c>
      <c r="B20" s="171">
        <v>395</v>
      </c>
      <c r="C20" s="171">
        <v>1025</v>
      </c>
      <c r="D20" s="171">
        <v>1434</v>
      </c>
      <c r="E20" s="175">
        <v>13845</v>
      </c>
      <c r="F20" s="190">
        <v>60</v>
      </c>
      <c r="G20" s="171">
        <v>259</v>
      </c>
      <c r="H20" s="171">
        <v>745</v>
      </c>
      <c r="I20" s="171">
        <v>1018</v>
      </c>
      <c r="J20" s="175">
        <v>8393</v>
      </c>
      <c r="K20" s="190">
        <v>63</v>
      </c>
      <c r="L20" s="171">
        <v>176</v>
      </c>
      <c r="M20" s="171">
        <v>205</v>
      </c>
      <c r="N20" s="171">
        <v>385</v>
      </c>
      <c r="O20" s="175">
        <v>3582</v>
      </c>
      <c r="P20" s="190">
        <v>63</v>
      </c>
      <c r="Q20" s="171">
        <v>162</v>
      </c>
      <c r="R20" s="171">
        <v>178</v>
      </c>
      <c r="S20" s="171">
        <v>343</v>
      </c>
      <c r="T20" s="175">
        <v>3204</v>
      </c>
    </row>
    <row r="21" spans="1:20" x14ac:dyDescent="0.45">
      <c r="A21" s="190">
        <v>59</v>
      </c>
      <c r="B21" s="171">
        <v>556</v>
      </c>
      <c r="C21" s="171">
        <v>1287</v>
      </c>
      <c r="D21" s="171">
        <v>1858</v>
      </c>
      <c r="E21" s="175">
        <v>15703</v>
      </c>
      <c r="F21" s="190">
        <v>59</v>
      </c>
      <c r="G21" s="171">
        <v>321</v>
      </c>
      <c r="H21" s="171">
        <v>645</v>
      </c>
      <c r="I21" s="171">
        <v>979</v>
      </c>
      <c r="J21" s="175">
        <v>9372</v>
      </c>
      <c r="K21" s="190">
        <v>62</v>
      </c>
      <c r="L21" s="171">
        <v>228</v>
      </c>
      <c r="M21" s="171">
        <v>328</v>
      </c>
      <c r="N21" s="171">
        <v>560</v>
      </c>
      <c r="O21" s="175">
        <v>4142</v>
      </c>
      <c r="P21" s="190">
        <v>62</v>
      </c>
      <c r="Q21" s="171">
        <v>171</v>
      </c>
      <c r="R21" s="171">
        <v>216</v>
      </c>
      <c r="S21" s="171">
        <v>389</v>
      </c>
      <c r="T21" s="175">
        <v>3593</v>
      </c>
    </row>
    <row r="22" spans="1:20" x14ac:dyDescent="0.45">
      <c r="A22" s="190">
        <v>58</v>
      </c>
      <c r="B22" s="171">
        <v>1103</v>
      </c>
      <c r="C22" s="171">
        <v>2677</v>
      </c>
      <c r="D22" s="171">
        <v>3812</v>
      </c>
      <c r="E22" s="175">
        <v>19515</v>
      </c>
      <c r="F22" s="190">
        <v>58</v>
      </c>
      <c r="G22" s="171">
        <v>322</v>
      </c>
      <c r="H22" s="171">
        <v>785</v>
      </c>
      <c r="I22" s="171">
        <v>1123</v>
      </c>
      <c r="J22" s="175">
        <v>10495</v>
      </c>
      <c r="K22" s="190">
        <v>61</v>
      </c>
      <c r="L22" s="171">
        <v>211</v>
      </c>
      <c r="M22" s="171">
        <v>279</v>
      </c>
      <c r="N22" s="171">
        <v>499</v>
      </c>
      <c r="O22" s="175">
        <v>4641</v>
      </c>
      <c r="P22" s="190">
        <v>61</v>
      </c>
      <c r="Q22" s="171">
        <v>228</v>
      </c>
      <c r="R22" s="171">
        <v>274</v>
      </c>
      <c r="S22" s="171">
        <v>507</v>
      </c>
      <c r="T22" s="175">
        <v>4100</v>
      </c>
    </row>
    <row r="23" spans="1:20" x14ac:dyDescent="0.45">
      <c r="A23" s="190">
        <v>57</v>
      </c>
      <c r="B23" s="171">
        <v>599</v>
      </c>
      <c r="C23" s="171">
        <v>1578</v>
      </c>
      <c r="D23" s="171">
        <v>2194</v>
      </c>
      <c r="E23" s="175">
        <v>21709</v>
      </c>
      <c r="F23" s="190">
        <v>57</v>
      </c>
      <c r="G23" s="171">
        <v>337</v>
      </c>
      <c r="H23" s="171">
        <v>808</v>
      </c>
      <c r="I23" s="171">
        <v>1159</v>
      </c>
      <c r="J23" s="175">
        <v>11654</v>
      </c>
      <c r="K23" s="190">
        <v>60</v>
      </c>
      <c r="L23" s="171">
        <v>257</v>
      </c>
      <c r="M23" s="171">
        <v>324</v>
      </c>
      <c r="N23" s="171">
        <v>586</v>
      </c>
      <c r="O23" s="175">
        <v>5227</v>
      </c>
      <c r="P23" s="190">
        <v>60</v>
      </c>
      <c r="Q23" s="171">
        <v>193</v>
      </c>
      <c r="R23" s="171">
        <v>209</v>
      </c>
      <c r="S23" s="171">
        <v>405</v>
      </c>
      <c r="T23" s="175">
        <v>4505</v>
      </c>
    </row>
    <row r="24" spans="1:20" x14ac:dyDescent="0.45">
      <c r="A24" s="190">
        <v>56</v>
      </c>
      <c r="B24" s="171">
        <v>539</v>
      </c>
      <c r="C24" s="171">
        <v>1380</v>
      </c>
      <c r="D24" s="171">
        <v>1937</v>
      </c>
      <c r="E24" s="175">
        <v>23646</v>
      </c>
      <c r="F24" s="190">
        <v>56</v>
      </c>
      <c r="G24" s="171">
        <v>312</v>
      </c>
      <c r="H24" s="171">
        <v>840</v>
      </c>
      <c r="I24" s="171">
        <v>1163</v>
      </c>
      <c r="J24" s="175">
        <v>12817</v>
      </c>
      <c r="K24" s="190">
        <v>59</v>
      </c>
      <c r="L24" s="171">
        <v>256</v>
      </c>
      <c r="M24" s="171">
        <v>359</v>
      </c>
      <c r="N24" s="171">
        <v>619</v>
      </c>
      <c r="O24" s="175">
        <v>5846</v>
      </c>
      <c r="P24" s="190">
        <v>59</v>
      </c>
      <c r="Q24" s="171">
        <v>244</v>
      </c>
      <c r="R24" s="171">
        <v>287</v>
      </c>
      <c r="S24" s="171">
        <v>537</v>
      </c>
      <c r="T24" s="175">
        <v>5042</v>
      </c>
    </row>
    <row r="25" spans="1:20" x14ac:dyDescent="0.45">
      <c r="A25" s="190">
        <v>55</v>
      </c>
      <c r="B25" s="171">
        <v>628</v>
      </c>
      <c r="C25" s="171">
        <v>1548</v>
      </c>
      <c r="D25" s="171">
        <v>2194</v>
      </c>
      <c r="E25" s="175">
        <v>25840</v>
      </c>
      <c r="F25" s="190">
        <v>55</v>
      </c>
      <c r="G25" s="171">
        <v>360</v>
      </c>
      <c r="H25" s="171">
        <v>922</v>
      </c>
      <c r="I25" s="171">
        <v>1289</v>
      </c>
      <c r="J25" s="175">
        <v>14106</v>
      </c>
      <c r="K25" s="190">
        <v>58</v>
      </c>
      <c r="L25" s="171">
        <v>246</v>
      </c>
      <c r="M25" s="171">
        <v>332</v>
      </c>
      <c r="N25" s="171">
        <v>581</v>
      </c>
      <c r="O25" s="175">
        <v>6427</v>
      </c>
      <c r="P25" s="190">
        <v>58</v>
      </c>
      <c r="Q25" s="171">
        <v>267</v>
      </c>
      <c r="R25" s="171">
        <v>282</v>
      </c>
      <c r="S25" s="171">
        <v>554</v>
      </c>
      <c r="T25" s="175">
        <v>5596</v>
      </c>
    </row>
    <row r="26" spans="1:20" x14ac:dyDescent="0.45">
      <c r="A26" s="190">
        <v>54</v>
      </c>
      <c r="B26" s="171">
        <v>655</v>
      </c>
      <c r="C26" s="171">
        <v>1513</v>
      </c>
      <c r="D26" s="171">
        <v>2191</v>
      </c>
      <c r="E26" s="175">
        <v>28031</v>
      </c>
      <c r="F26" s="190">
        <v>54</v>
      </c>
      <c r="G26" s="171">
        <v>364</v>
      </c>
      <c r="H26" s="171">
        <v>777</v>
      </c>
      <c r="I26" s="171">
        <v>1152</v>
      </c>
      <c r="J26" s="175">
        <v>15258</v>
      </c>
      <c r="K26" s="190">
        <v>57</v>
      </c>
      <c r="L26" s="171">
        <v>297</v>
      </c>
      <c r="M26" s="171">
        <v>448</v>
      </c>
      <c r="N26" s="171">
        <v>755</v>
      </c>
      <c r="O26" s="175">
        <v>7182</v>
      </c>
      <c r="P26" s="190">
        <v>57</v>
      </c>
      <c r="Q26" s="171">
        <v>228</v>
      </c>
      <c r="R26" s="171">
        <v>296</v>
      </c>
      <c r="S26" s="171">
        <v>528</v>
      </c>
      <c r="T26" s="175">
        <v>6124</v>
      </c>
    </row>
    <row r="27" spans="1:20" x14ac:dyDescent="0.45">
      <c r="A27" s="190">
        <v>53</v>
      </c>
      <c r="B27" s="171">
        <v>643</v>
      </c>
      <c r="C27" s="171">
        <v>1549</v>
      </c>
      <c r="D27" s="171">
        <v>2212</v>
      </c>
      <c r="E27" s="175">
        <v>30243</v>
      </c>
      <c r="F27" s="190">
        <v>53</v>
      </c>
      <c r="G27" s="171">
        <v>363</v>
      </c>
      <c r="H27" s="171">
        <v>894</v>
      </c>
      <c r="I27" s="171">
        <v>1263</v>
      </c>
      <c r="J27" s="175">
        <v>16521</v>
      </c>
      <c r="K27" s="190">
        <v>56</v>
      </c>
      <c r="L27" s="171">
        <v>273</v>
      </c>
      <c r="M27" s="171">
        <v>460</v>
      </c>
      <c r="N27" s="171">
        <v>739</v>
      </c>
      <c r="O27" s="175">
        <v>7921</v>
      </c>
      <c r="P27" s="190">
        <v>56</v>
      </c>
      <c r="Q27" s="171">
        <v>276</v>
      </c>
      <c r="R27" s="171">
        <v>314</v>
      </c>
      <c r="S27" s="171">
        <v>594</v>
      </c>
      <c r="T27" s="175">
        <v>6718</v>
      </c>
    </row>
    <row r="28" spans="1:20" x14ac:dyDescent="0.45">
      <c r="A28" s="190">
        <v>52</v>
      </c>
      <c r="B28" s="171">
        <v>699</v>
      </c>
      <c r="C28" s="171">
        <v>1614</v>
      </c>
      <c r="D28" s="171">
        <v>2331</v>
      </c>
      <c r="E28" s="175">
        <v>32574</v>
      </c>
      <c r="F28" s="190">
        <v>52</v>
      </c>
      <c r="G28" s="171">
        <v>695</v>
      </c>
      <c r="H28" s="171">
        <v>1739</v>
      </c>
      <c r="I28" s="171">
        <v>2456</v>
      </c>
      <c r="J28" s="175">
        <v>18977</v>
      </c>
      <c r="K28" s="190">
        <v>55</v>
      </c>
      <c r="L28" s="171">
        <v>333</v>
      </c>
      <c r="M28" s="171">
        <v>493</v>
      </c>
      <c r="N28" s="171">
        <v>832</v>
      </c>
      <c r="O28" s="175">
        <v>8753</v>
      </c>
      <c r="P28" s="190">
        <v>55</v>
      </c>
      <c r="Q28" s="171">
        <v>265</v>
      </c>
      <c r="R28" s="171">
        <v>305</v>
      </c>
      <c r="S28" s="171">
        <v>574</v>
      </c>
      <c r="T28" s="175">
        <v>7292</v>
      </c>
    </row>
    <row r="29" spans="1:20" x14ac:dyDescent="0.45">
      <c r="A29" s="190">
        <v>51</v>
      </c>
      <c r="B29" s="171">
        <v>640</v>
      </c>
      <c r="C29" s="171">
        <v>1458</v>
      </c>
      <c r="D29" s="171">
        <v>2119</v>
      </c>
      <c r="E29" s="175">
        <v>34693</v>
      </c>
      <c r="F29" s="190">
        <v>51</v>
      </c>
      <c r="G29" s="171">
        <v>425</v>
      </c>
      <c r="H29" s="171">
        <v>872</v>
      </c>
      <c r="I29" s="171">
        <v>1310</v>
      </c>
      <c r="J29" s="175">
        <v>20287</v>
      </c>
      <c r="K29" s="190">
        <v>54</v>
      </c>
      <c r="L29" s="171">
        <v>317</v>
      </c>
      <c r="M29" s="171">
        <v>508</v>
      </c>
      <c r="N29" s="171">
        <v>832</v>
      </c>
      <c r="O29" s="175">
        <v>9585</v>
      </c>
      <c r="P29" s="190">
        <v>54</v>
      </c>
      <c r="Q29" s="171">
        <v>302</v>
      </c>
      <c r="R29" s="171">
        <v>371</v>
      </c>
      <c r="S29" s="171">
        <v>678</v>
      </c>
      <c r="T29" s="175">
        <v>7970</v>
      </c>
    </row>
    <row r="30" spans="1:20" x14ac:dyDescent="0.45">
      <c r="A30" s="190">
        <v>50</v>
      </c>
      <c r="B30" s="171">
        <v>747</v>
      </c>
      <c r="C30" s="171">
        <v>1480</v>
      </c>
      <c r="D30" s="171">
        <v>2248</v>
      </c>
      <c r="E30" s="175">
        <v>36941</v>
      </c>
      <c r="F30" s="190">
        <v>50</v>
      </c>
      <c r="G30" s="171">
        <v>410</v>
      </c>
      <c r="H30" s="171">
        <v>787</v>
      </c>
      <c r="I30" s="171">
        <v>1211</v>
      </c>
      <c r="J30" s="175">
        <v>21498</v>
      </c>
      <c r="K30" s="190">
        <v>53</v>
      </c>
      <c r="L30" s="171">
        <v>349</v>
      </c>
      <c r="M30" s="171">
        <v>495</v>
      </c>
      <c r="N30" s="171">
        <v>856</v>
      </c>
      <c r="O30" s="175">
        <v>10441</v>
      </c>
      <c r="P30" s="190">
        <v>53</v>
      </c>
      <c r="Q30" s="171">
        <v>305</v>
      </c>
      <c r="R30" s="171">
        <v>367</v>
      </c>
      <c r="S30" s="171">
        <v>676</v>
      </c>
      <c r="T30" s="175">
        <v>8646</v>
      </c>
    </row>
    <row r="31" spans="1:20" x14ac:dyDescent="0.45">
      <c r="A31" s="190">
        <v>49</v>
      </c>
      <c r="B31" s="171">
        <v>681</v>
      </c>
      <c r="C31" s="171">
        <v>1526</v>
      </c>
      <c r="D31" s="171">
        <v>2228</v>
      </c>
      <c r="E31" s="175">
        <v>39169</v>
      </c>
      <c r="F31" s="190">
        <v>49</v>
      </c>
      <c r="G31" s="171">
        <v>395</v>
      </c>
      <c r="H31" s="171">
        <v>837</v>
      </c>
      <c r="I31" s="171">
        <v>1245</v>
      </c>
      <c r="J31" s="175">
        <v>22743</v>
      </c>
      <c r="K31" s="190">
        <v>52</v>
      </c>
      <c r="L31" s="171">
        <v>416</v>
      </c>
      <c r="M31" s="171">
        <v>516</v>
      </c>
      <c r="N31" s="171">
        <v>946</v>
      </c>
      <c r="O31" s="175">
        <v>11387</v>
      </c>
      <c r="P31" s="190">
        <v>52</v>
      </c>
      <c r="Q31" s="171">
        <v>324</v>
      </c>
      <c r="R31" s="171">
        <v>366</v>
      </c>
      <c r="S31" s="171">
        <v>692</v>
      </c>
      <c r="T31" s="175">
        <v>9338</v>
      </c>
    </row>
    <row r="32" spans="1:20" x14ac:dyDescent="0.45">
      <c r="A32" s="190">
        <v>48</v>
      </c>
      <c r="B32" s="171">
        <v>661</v>
      </c>
      <c r="C32" s="171">
        <v>1425</v>
      </c>
      <c r="D32" s="171">
        <v>2103</v>
      </c>
      <c r="E32" s="175">
        <v>41272</v>
      </c>
      <c r="F32" s="190">
        <v>48</v>
      </c>
      <c r="G32" s="171">
        <v>474</v>
      </c>
      <c r="H32" s="171">
        <v>817</v>
      </c>
      <c r="I32" s="171">
        <v>1301</v>
      </c>
      <c r="J32" s="175">
        <v>24044</v>
      </c>
      <c r="K32" s="190">
        <v>51</v>
      </c>
      <c r="L32" s="171">
        <v>334</v>
      </c>
      <c r="M32" s="171">
        <v>513</v>
      </c>
      <c r="N32" s="171">
        <v>857</v>
      </c>
      <c r="O32" s="175">
        <v>12244</v>
      </c>
      <c r="P32" s="190">
        <v>51</v>
      </c>
      <c r="Q32" s="171">
        <v>339</v>
      </c>
      <c r="R32" s="171">
        <v>385</v>
      </c>
      <c r="S32" s="171">
        <v>728</v>
      </c>
      <c r="T32" s="175">
        <v>10066</v>
      </c>
    </row>
    <row r="33" spans="1:20" x14ac:dyDescent="0.45">
      <c r="A33" s="190">
        <v>47</v>
      </c>
      <c r="B33" s="171">
        <v>801</v>
      </c>
      <c r="C33" s="171">
        <v>1599</v>
      </c>
      <c r="D33" s="171">
        <v>2417</v>
      </c>
      <c r="E33" s="175">
        <v>43689</v>
      </c>
      <c r="F33" s="190">
        <v>47</v>
      </c>
      <c r="G33" s="171">
        <v>452</v>
      </c>
      <c r="H33" s="171">
        <v>769</v>
      </c>
      <c r="I33" s="171">
        <v>1234</v>
      </c>
      <c r="J33" s="175">
        <v>25278</v>
      </c>
      <c r="K33" s="190">
        <v>50</v>
      </c>
      <c r="L33" s="171">
        <v>422</v>
      </c>
      <c r="M33" s="171">
        <v>538</v>
      </c>
      <c r="N33" s="171">
        <v>974</v>
      </c>
      <c r="O33" s="175">
        <v>13218</v>
      </c>
      <c r="P33" s="190">
        <v>50</v>
      </c>
      <c r="Q33" s="171">
        <v>298</v>
      </c>
      <c r="R33" s="171">
        <v>383</v>
      </c>
      <c r="S33" s="171">
        <v>686</v>
      </c>
      <c r="T33" s="175">
        <v>10752</v>
      </c>
    </row>
    <row r="34" spans="1:20" x14ac:dyDescent="0.45">
      <c r="A34" s="190">
        <v>46</v>
      </c>
      <c r="B34" s="171">
        <v>732</v>
      </c>
      <c r="C34" s="171">
        <v>1369</v>
      </c>
      <c r="D34" s="171">
        <v>2122</v>
      </c>
      <c r="E34" s="175">
        <v>45811</v>
      </c>
      <c r="F34" s="190">
        <v>46</v>
      </c>
      <c r="G34" s="171">
        <v>481</v>
      </c>
      <c r="H34" s="171">
        <v>797</v>
      </c>
      <c r="I34" s="171">
        <v>1294</v>
      </c>
      <c r="J34" s="175">
        <v>26572</v>
      </c>
      <c r="K34" s="190">
        <v>49</v>
      </c>
      <c r="L34" s="171">
        <v>411</v>
      </c>
      <c r="M34" s="171">
        <v>542</v>
      </c>
      <c r="N34" s="171">
        <v>963</v>
      </c>
      <c r="O34" s="175">
        <v>14181</v>
      </c>
      <c r="P34" s="190">
        <v>49</v>
      </c>
      <c r="Q34" s="171">
        <v>355</v>
      </c>
      <c r="R34" s="171">
        <v>407</v>
      </c>
      <c r="S34" s="171">
        <v>771</v>
      </c>
      <c r="T34" s="175">
        <v>11523</v>
      </c>
    </row>
    <row r="35" spans="1:20" x14ac:dyDescent="0.45">
      <c r="A35" s="190">
        <v>45</v>
      </c>
      <c r="B35" s="171">
        <v>1575</v>
      </c>
      <c r="C35" s="171">
        <v>2760</v>
      </c>
      <c r="D35" s="171">
        <v>4379</v>
      </c>
      <c r="E35" s="175">
        <v>50190</v>
      </c>
      <c r="F35" s="190">
        <v>45</v>
      </c>
      <c r="G35" s="171">
        <v>453</v>
      </c>
      <c r="H35" s="171">
        <v>716</v>
      </c>
      <c r="I35" s="171">
        <v>1182</v>
      </c>
      <c r="J35" s="175">
        <v>27754</v>
      </c>
      <c r="K35" s="190">
        <v>48</v>
      </c>
      <c r="L35" s="171">
        <v>416</v>
      </c>
      <c r="M35" s="171">
        <v>532</v>
      </c>
      <c r="N35" s="171">
        <v>954</v>
      </c>
      <c r="O35" s="175">
        <v>15135</v>
      </c>
      <c r="P35" s="190">
        <v>48</v>
      </c>
      <c r="Q35" s="171">
        <v>390</v>
      </c>
      <c r="R35" s="171">
        <v>405</v>
      </c>
      <c r="S35" s="171">
        <v>799</v>
      </c>
      <c r="T35" s="175">
        <v>12322</v>
      </c>
    </row>
    <row r="36" spans="1:20" x14ac:dyDescent="0.45">
      <c r="A36" s="190">
        <v>44</v>
      </c>
      <c r="B36" s="171">
        <v>902</v>
      </c>
      <c r="C36" s="171">
        <v>1321</v>
      </c>
      <c r="D36" s="171">
        <v>2246</v>
      </c>
      <c r="E36" s="175">
        <v>52436</v>
      </c>
      <c r="F36" s="190">
        <v>44</v>
      </c>
      <c r="G36" s="171">
        <v>529</v>
      </c>
      <c r="H36" s="171">
        <v>751</v>
      </c>
      <c r="I36" s="171">
        <v>1291</v>
      </c>
      <c r="J36" s="175">
        <v>29045</v>
      </c>
      <c r="K36" s="190">
        <v>47</v>
      </c>
      <c r="L36" s="171">
        <v>439</v>
      </c>
      <c r="M36" s="171">
        <v>541</v>
      </c>
      <c r="N36" s="171">
        <v>988</v>
      </c>
      <c r="O36" s="175">
        <v>16123</v>
      </c>
      <c r="P36" s="190">
        <v>47</v>
      </c>
      <c r="Q36" s="171">
        <v>391</v>
      </c>
      <c r="R36" s="171">
        <v>388</v>
      </c>
      <c r="S36" s="171">
        <v>785</v>
      </c>
      <c r="T36" s="175">
        <v>13107</v>
      </c>
    </row>
    <row r="37" spans="1:20" x14ac:dyDescent="0.45">
      <c r="A37" s="190">
        <v>43</v>
      </c>
      <c r="B37" s="171">
        <v>835</v>
      </c>
      <c r="C37" s="171">
        <v>1303</v>
      </c>
      <c r="D37" s="171">
        <v>2163</v>
      </c>
      <c r="E37" s="175">
        <v>54599</v>
      </c>
      <c r="F37" s="190">
        <v>43</v>
      </c>
      <c r="G37" s="171">
        <v>517</v>
      </c>
      <c r="H37" s="171">
        <v>695</v>
      </c>
      <c r="I37" s="171">
        <v>1226</v>
      </c>
      <c r="J37" s="175">
        <v>30271</v>
      </c>
      <c r="K37" s="190">
        <v>46</v>
      </c>
      <c r="L37" s="171">
        <v>375</v>
      </c>
      <c r="M37" s="171">
        <v>507</v>
      </c>
      <c r="N37" s="171">
        <v>892</v>
      </c>
      <c r="O37" s="175">
        <v>17015</v>
      </c>
      <c r="P37" s="190">
        <v>46</v>
      </c>
      <c r="Q37" s="171">
        <v>423</v>
      </c>
      <c r="R37" s="171">
        <v>405</v>
      </c>
      <c r="S37" s="171">
        <v>835</v>
      </c>
      <c r="T37" s="175">
        <v>13942</v>
      </c>
    </row>
    <row r="38" spans="1:20" x14ac:dyDescent="0.45">
      <c r="A38" s="190">
        <v>42</v>
      </c>
      <c r="B38" s="171">
        <v>946</v>
      </c>
      <c r="C38" s="171">
        <v>1334</v>
      </c>
      <c r="D38" s="171">
        <v>2307</v>
      </c>
      <c r="E38" s="175">
        <v>56906</v>
      </c>
      <c r="F38" s="190">
        <v>42</v>
      </c>
      <c r="G38" s="171">
        <v>716</v>
      </c>
      <c r="H38" s="171">
        <v>793</v>
      </c>
      <c r="I38" s="171">
        <v>1536</v>
      </c>
      <c r="J38" s="175">
        <v>31807</v>
      </c>
      <c r="K38" s="190">
        <v>45</v>
      </c>
      <c r="L38" s="171">
        <v>505</v>
      </c>
      <c r="M38" s="171">
        <v>508</v>
      </c>
      <c r="N38" s="171">
        <v>1026</v>
      </c>
      <c r="O38" s="175">
        <v>18041</v>
      </c>
      <c r="P38" s="190">
        <v>45</v>
      </c>
      <c r="Q38" s="171">
        <v>394</v>
      </c>
      <c r="R38" s="171">
        <v>407</v>
      </c>
      <c r="S38" s="171">
        <v>805</v>
      </c>
      <c r="T38" s="175">
        <v>14747</v>
      </c>
    </row>
    <row r="39" spans="1:20" x14ac:dyDescent="0.45">
      <c r="A39" s="190">
        <v>41</v>
      </c>
      <c r="B39" s="171">
        <v>947</v>
      </c>
      <c r="C39" s="171">
        <v>1172</v>
      </c>
      <c r="D39" s="171">
        <v>2139</v>
      </c>
      <c r="E39" s="175">
        <v>59045</v>
      </c>
      <c r="F39" s="190">
        <v>41</v>
      </c>
      <c r="G39" s="171">
        <v>525</v>
      </c>
      <c r="H39" s="171">
        <v>652</v>
      </c>
      <c r="I39" s="171">
        <v>1193</v>
      </c>
      <c r="J39" s="175">
        <v>33000</v>
      </c>
      <c r="K39" s="190">
        <v>44</v>
      </c>
      <c r="L39" s="171">
        <v>423</v>
      </c>
      <c r="M39" s="171">
        <v>465</v>
      </c>
      <c r="N39" s="171">
        <v>895</v>
      </c>
      <c r="O39" s="175">
        <v>18936</v>
      </c>
      <c r="P39" s="190">
        <v>44</v>
      </c>
      <c r="Q39" s="171">
        <v>430</v>
      </c>
      <c r="R39" s="171">
        <v>384</v>
      </c>
      <c r="S39" s="171">
        <v>821</v>
      </c>
      <c r="T39" s="175">
        <v>15568</v>
      </c>
    </row>
    <row r="40" spans="1:20" x14ac:dyDescent="0.45">
      <c r="A40" s="190">
        <v>40</v>
      </c>
      <c r="B40" s="171">
        <v>4391</v>
      </c>
      <c r="C40" s="171">
        <v>3337</v>
      </c>
      <c r="D40" s="171">
        <v>7865</v>
      </c>
      <c r="E40" s="175">
        <v>66910</v>
      </c>
      <c r="F40" s="190">
        <v>40</v>
      </c>
      <c r="G40" s="171">
        <v>2124</v>
      </c>
      <c r="H40" s="171">
        <v>1491</v>
      </c>
      <c r="I40" s="171">
        <v>3656</v>
      </c>
      <c r="J40" s="175">
        <v>36656</v>
      </c>
      <c r="K40" s="190">
        <v>43</v>
      </c>
      <c r="L40" s="171">
        <v>1478</v>
      </c>
      <c r="M40" s="171">
        <v>828</v>
      </c>
      <c r="N40" s="171">
        <v>2337</v>
      </c>
      <c r="O40" s="175">
        <v>21273</v>
      </c>
      <c r="P40" s="190">
        <v>43</v>
      </c>
      <c r="Q40" s="171">
        <v>460</v>
      </c>
      <c r="R40" s="171">
        <v>443</v>
      </c>
      <c r="S40" s="171">
        <v>920</v>
      </c>
      <c r="T40" s="175">
        <v>16488</v>
      </c>
    </row>
    <row r="41" spans="1:20" x14ac:dyDescent="0.45">
      <c r="A41" s="190">
        <v>39</v>
      </c>
      <c r="B41" s="171">
        <v>1132</v>
      </c>
      <c r="C41" s="171">
        <v>1184</v>
      </c>
      <c r="D41" s="171">
        <v>2353</v>
      </c>
      <c r="E41" s="175">
        <v>69263</v>
      </c>
      <c r="F41" s="190">
        <v>39</v>
      </c>
      <c r="G41" s="171">
        <v>1616</v>
      </c>
      <c r="H41" s="171">
        <v>1499</v>
      </c>
      <c r="I41" s="171">
        <v>3149</v>
      </c>
      <c r="J41" s="175">
        <v>39805</v>
      </c>
      <c r="K41" s="190">
        <v>42</v>
      </c>
      <c r="L41" s="171">
        <v>403</v>
      </c>
      <c r="M41" s="171">
        <v>364</v>
      </c>
      <c r="N41" s="171">
        <v>783</v>
      </c>
      <c r="O41" s="175">
        <v>22056</v>
      </c>
      <c r="P41" s="190">
        <v>42</v>
      </c>
      <c r="Q41" s="171">
        <v>460</v>
      </c>
      <c r="R41" s="171">
        <v>412</v>
      </c>
      <c r="S41" s="171">
        <v>882</v>
      </c>
      <c r="T41" s="175">
        <v>17370</v>
      </c>
    </row>
    <row r="42" spans="1:20" x14ac:dyDescent="0.45">
      <c r="A42" s="190">
        <v>38</v>
      </c>
      <c r="B42" s="171">
        <v>734</v>
      </c>
      <c r="C42" s="171">
        <v>828</v>
      </c>
      <c r="D42" s="171">
        <v>1590</v>
      </c>
      <c r="E42" s="175">
        <v>70853</v>
      </c>
      <c r="F42" s="190">
        <v>38</v>
      </c>
      <c r="G42" s="171">
        <v>357</v>
      </c>
      <c r="H42" s="171">
        <v>340</v>
      </c>
      <c r="I42" s="171">
        <v>705</v>
      </c>
      <c r="J42" s="175">
        <v>40510</v>
      </c>
      <c r="K42" s="190">
        <v>41</v>
      </c>
      <c r="L42" s="171">
        <v>848</v>
      </c>
      <c r="M42" s="171">
        <v>612</v>
      </c>
      <c r="N42" s="171">
        <v>1477</v>
      </c>
      <c r="O42" s="175">
        <v>23533</v>
      </c>
      <c r="P42" s="190">
        <v>41</v>
      </c>
      <c r="Q42" s="171">
        <v>1161</v>
      </c>
      <c r="R42" s="171">
        <v>658</v>
      </c>
      <c r="S42" s="171">
        <v>1854</v>
      </c>
      <c r="T42" s="175">
        <v>19224</v>
      </c>
    </row>
    <row r="43" spans="1:20" x14ac:dyDescent="0.45">
      <c r="A43" s="190">
        <v>37</v>
      </c>
      <c r="B43" s="171">
        <v>713</v>
      </c>
      <c r="C43" s="171">
        <v>716</v>
      </c>
      <c r="D43" s="171">
        <v>1444</v>
      </c>
      <c r="E43" s="175">
        <v>72297</v>
      </c>
      <c r="F43" s="190">
        <v>37</v>
      </c>
      <c r="G43" s="171">
        <v>345</v>
      </c>
      <c r="H43" s="171">
        <v>347</v>
      </c>
      <c r="I43" s="171">
        <v>699</v>
      </c>
      <c r="J43" s="175">
        <v>41209</v>
      </c>
      <c r="K43" s="190">
        <v>40</v>
      </c>
      <c r="L43" s="171">
        <v>348</v>
      </c>
      <c r="M43" s="171">
        <v>324</v>
      </c>
      <c r="N43" s="171">
        <v>679</v>
      </c>
      <c r="O43" s="175">
        <v>24212</v>
      </c>
      <c r="P43" s="190">
        <v>40</v>
      </c>
      <c r="Q43" s="171">
        <v>359</v>
      </c>
      <c r="R43" s="171">
        <v>274</v>
      </c>
      <c r="S43" s="171">
        <v>638</v>
      </c>
      <c r="T43" s="175">
        <v>19862</v>
      </c>
    </row>
    <row r="44" spans="1:20" x14ac:dyDescent="0.45">
      <c r="A44" s="190">
        <v>36</v>
      </c>
      <c r="B44" s="171">
        <v>791</v>
      </c>
      <c r="C44" s="171">
        <v>728</v>
      </c>
      <c r="D44" s="171">
        <v>1534</v>
      </c>
      <c r="E44" s="175">
        <v>73831</v>
      </c>
      <c r="F44" s="190">
        <v>36</v>
      </c>
      <c r="G44" s="171">
        <v>677</v>
      </c>
      <c r="H44" s="171">
        <v>552</v>
      </c>
      <c r="I44" s="171">
        <v>1254</v>
      </c>
      <c r="J44" s="175">
        <v>42463</v>
      </c>
      <c r="K44" s="190">
        <v>39</v>
      </c>
      <c r="L44" s="171">
        <v>361</v>
      </c>
      <c r="M44" s="171">
        <v>271</v>
      </c>
      <c r="N44" s="171">
        <v>641</v>
      </c>
      <c r="O44" s="175">
        <v>24853</v>
      </c>
      <c r="P44" s="190">
        <v>39</v>
      </c>
      <c r="Q44" s="171">
        <v>460</v>
      </c>
      <c r="R44" s="171">
        <v>352</v>
      </c>
      <c r="S44" s="171">
        <v>821</v>
      </c>
      <c r="T44" s="175">
        <v>20683</v>
      </c>
    </row>
    <row r="45" spans="1:20" x14ac:dyDescent="0.45">
      <c r="A45" s="190">
        <v>35</v>
      </c>
      <c r="B45" s="171">
        <v>386</v>
      </c>
      <c r="C45" s="171">
        <v>349</v>
      </c>
      <c r="D45" s="171">
        <v>750</v>
      </c>
      <c r="E45" s="175">
        <v>74581</v>
      </c>
      <c r="F45" s="190">
        <v>35</v>
      </c>
      <c r="G45" s="171">
        <v>171</v>
      </c>
      <c r="H45" s="171">
        <v>147</v>
      </c>
      <c r="I45" s="171">
        <v>323</v>
      </c>
      <c r="J45" s="175">
        <v>42786</v>
      </c>
      <c r="K45" s="190">
        <v>38</v>
      </c>
      <c r="L45" s="171">
        <v>507</v>
      </c>
      <c r="M45" s="171">
        <v>319</v>
      </c>
      <c r="N45" s="171">
        <v>838</v>
      </c>
      <c r="O45" s="175">
        <v>25691</v>
      </c>
      <c r="P45" s="190">
        <v>38</v>
      </c>
      <c r="Q45" s="171">
        <v>243</v>
      </c>
      <c r="R45" s="171">
        <v>216</v>
      </c>
      <c r="S45" s="171">
        <v>469</v>
      </c>
      <c r="T45" s="175">
        <v>21152</v>
      </c>
    </row>
    <row r="46" spans="1:20" x14ac:dyDescent="0.45">
      <c r="A46" s="190">
        <v>34</v>
      </c>
      <c r="B46" s="171">
        <v>426</v>
      </c>
      <c r="C46" s="171">
        <v>389</v>
      </c>
      <c r="D46" s="171">
        <v>823</v>
      </c>
      <c r="E46" s="175">
        <v>75404</v>
      </c>
      <c r="F46" s="190">
        <v>34</v>
      </c>
      <c r="G46" s="171">
        <v>189</v>
      </c>
      <c r="H46" s="171">
        <v>169</v>
      </c>
      <c r="I46" s="171">
        <v>363</v>
      </c>
      <c r="J46" s="175">
        <v>43149</v>
      </c>
      <c r="K46" s="190">
        <v>37</v>
      </c>
      <c r="L46" s="171">
        <v>295</v>
      </c>
      <c r="M46" s="171">
        <v>220</v>
      </c>
      <c r="N46" s="171">
        <v>520</v>
      </c>
      <c r="O46" s="175">
        <v>26211</v>
      </c>
      <c r="P46" s="194">
        <v>37</v>
      </c>
      <c r="Q46" s="171">
        <v>598</v>
      </c>
      <c r="R46" s="171">
        <v>340</v>
      </c>
      <c r="S46" s="171">
        <v>948</v>
      </c>
      <c r="T46" s="175">
        <v>22100</v>
      </c>
    </row>
    <row r="47" spans="1:20" x14ac:dyDescent="0.45">
      <c r="A47" s="190">
        <v>33</v>
      </c>
      <c r="B47" s="171">
        <v>198</v>
      </c>
      <c r="C47" s="171">
        <v>209</v>
      </c>
      <c r="D47" s="171">
        <v>413</v>
      </c>
      <c r="E47" s="191">
        <v>75817</v>
      </c>
      <c r="F47" s="190">
        <v>33</v>
      </c>
      <c r="G47" s="171">
        <v>93</v>
      </c>
      <c r="H47" s="171">
        <v>69</v>
      </c>
      <c r="I47" s="171">
        <v>162</v>
      </c>
      <c r="J47" s="175">
        <v>43311</v>
      </c>
      <c r="K47" s="190">
        <v>36</v>
      </c>
      <c r="L47" s="171">
        <v>349</v>
      </c>
      <c r="M47" s="171">
        <v>235</v>
      </c>
      <c r="N47" s="171">
        <v>594</v>
      </c>
      <c r="O47" s="175">
        <v>26805</v>
      </c>
      <c r="P47" s="194">
        <v>36</v>
      </c>
      <c r="Q47" s="171">
        <v>125</v>
      </c>
      <c r="R47" s="171">
        <v>116</v>
      </c>
      <c r="S47" s="171">
        <v>247</v>
      </c>
      <c r="T47" s="175">
        <v>22347</v>
      </c>
    </row>
    <row r="48" spans="1:20" x14ac:dyDescent="0.45">
      <c r="A48" s="195">
        <v>32</v>
      </c>
      <c r="B48" s="173">
        <v>284</v>
      </c>
      <c r="C48" s="173">
        <v>163</v>
      </c>
      <c r="D48" s="173">
        <v>453</v>
      </c>
      <c r="E48" s="192">
        <v>76270</v>
      </c>
      <c r="F48" s="190">
        <v>32</v>
      </c>
      <c r="G48" s="171">
        <v>64</v>
      </c>
      <c r="H48" s="171">
        <v>52</v>
      </c>
      <c r="I48" s="171">
        <v>118</v>
      </c>
      <c r="J48" s="175">
        <v>43429</v>
      </c>
      <c r="K48" s="190">
        <v>35</v>
      </c>
      <c r="L48" s="171">
        <v>140</v>
      </c>
      <c r="M48" s="171">
        <v>107</v>
      </c>
      <c r="N48" s="171">
        <v>249</v>
      </c>
      <c r="O48" s="175">
        <v>27054</v>
      </c>
      <c r="P48" s="194">
        <v>35</v>
      </c>
      <c r="Q48" s="171">
        <v>152</v>
      </c>
      <c r="R48" s="171">
        <v>99</v>
      </c>
      <c r="S48" s="171">
        <v>255</v>
      </c>
      <c r="T48" s="175">
        <v>22602</v>
      </c>
    </row>
    <row r="49" spans="1:20" x14ac:dyDescent="0.45">
      <c r="A49" s="195">
        <v>31</v>
      </c>
      <c r="B49" s="173">
        <v>154</v>
      </c>
      <c r="C49" s="173">
        <v>109</v>
      </c>
      <c r="D49" s="173">
        <v>265</v>
      </c>
      <c r="E49" s="192">
        <v>76535</v>
      </c>
      <c r="F49" s="190">
        <v>31</v>
      </c>
      <c r="G49" s="171">
        <v>67</v>
      </c>
      <c r="H49" s="171">
        <v>55</v>
      </c>
      <c r="I49" s="171">
        <v>125</v>
      </c>
      <c r="J49" s="175">
        <v>43554</v>
      </c>
      <c r="K49" s="190">
        <v>34</v>
      </c>
      <c r="L49" s="171">
        <v>159</v>
      </c>
      <c r="M49" s="171">
        <v>100</v>
      </c>
      <c r="N49" s="171">
        <v>261</v>
      </c>
      <c r="O49" s="175">
        <v>27315</v>
      </c>
      <c r="P49" s="194">
        <v>34</v>
      </c>
      <c r="Q49" s="171">
        <v>79</v>
      </c>
      <c r="R49" s="171">
        <v>75</v>
      </c>
      <c r="S49" s="171">
        <v>155</v>
      </c>
      <c r="T49" s="175">
        <v>22757</v>
      </c>
    </row>
    <row r="50" spans="1:20" x14ac:dyDescent="0.45">
      <c r="A50" s="195">
        <v>30</v>
      </c>
      <c r="B50" s="173">
        <v>70</v>
      </c>
      <c r="C50" s="173">
        <v>51</v>
      </c>
      <c r="D50" s="173">
        <v>122</v>
      </c>
      <c r="E50" s="192">
        <v>76657</v>
      </c>
      <c r="F50" s="190">
        <v>29</v>
      </c>
      <c r="G50" s="171">
        <v>29</v>
      </c>
      <c r="H50" s="171">
        <v>25</v>
      </c>
      <c r="I50" s="171">
        <v>56</v>
      </c>
      <c r="J50" s="175">
        <v>43610</v>
      </c>
      <c r="K50" s="190">
        <v>33</v>
      </c>
      <c r="L50" s="171">
        <v>77</v>
      </c>
      <c r="M50" s="171">
        <v>51</v>
      </c>
      <c r="N50" s="171">
        <v>132</v>
      </c>
      <c r="O50" s="175">
        <v>27447</v>
      </c>
      <c r="P50" s="194">
        <v>33</v>
      </c>
      <c r="Q50" s="171">
        <v>39</v>
      </c>
      <c r="R50" s="171">
        <v>30</v>
      </c>
      <c r="S50" s="171">
        <v>71</v>
      </c>
      <c r="T50" s="175">
        <v>22828</v>
      </c>
    </row>
    <row r="51" spans="1:20" x14ac:dyDescent="0.45">
      <c r="A51" s="195"/>
      <c r="B51" s="173"/>
      <c r="C51" s="173"/>
      <c r="D51" s="173"/>
      <c r="E51" s="192"/>
      <c r="F51" s="190"/>
      <c r="G51" s="171"/>
      <c r="H51" s="171"/>
      <c r="I51" s="171"/>
      <c r="J51" s="175"/>
      <c r="K51" s="194">
        <v>32</v>
      </c>
      <c r="L51" s="171">
        <v>43</v>
      </c>
      <c r="M51" s="171">
        <v>27</v>
      </c>
      <c r="N51" s="171">
        <v>71</v>
      </c>
      <c r="O51" s="175">
        <v>27518</v>
      </c>
      <c r="P51" s="190">
        <v>32</v>
      </c>
      <c r="Q51" s="171">
        <v>59</v>
      </c>
      <c r="R51" s="171">
        <v>47</v>
      </c>
      <c r="S51" s="171">
        <v>108</v>
      </c>
      <c r="T51" s="175">
        <v>22936</v>
      </c>
    </row>
    <row r="52" spans="1:20" x14ac:dyDescent="0.45">
      <c r="A52" s="195"/>
      <c r="B52" s="173"/>
      <c r="C52" s="173"/>
      <c r="D52" s="173"/>
      <c r="E52" s="192"/>
      <c r="F52" s="190"/>
      <c r="G52" s="171"/>
      <c r="H52" s="171"/>
      <c r="I52" s="171"/>
      <c r="J52" s="175"/>
      <c r="K52" s="194">
        <v>31</v>
      </c>
      <c r="L52" s="171">
        <v>62</v>
      </c>
      <c r="M52" s="171">
        <v>47</v>
      </c>
      <c r="N52" s="171">
        <v>112</v>
      </c>
      <c r="O52" s="175">
        <v>27630</v>
      </c>
      <c r="P52" s="190">
        <v>30</v>
      </c>
      <c r="Q52" s="171">
        <v>19</v>
      </c>
      <c r="R52" s="171">
        <v>14</v>
      </c>
      <c r="S52" s="171">
        <v>34</v>
      </c>
      <c r="T52" s="175">
        <v>22970</v>
      </c>
    </row>
    <row r="53" spans="1:20" x14ac:dyDescent="0.45">
      <c r="A53" s="195"/>
      <c r="B53" s="173"/>
      <c r="C53" s="173"/>
      <c r="D53" s="173"/>
      <c r="E53" s="176"/>
      <c r="F53" s="190"/>
      <c r="G53" s="171"/>
      <c r="H53" s="171"/>
      <c r="I53" s="171"/>
      <c r="J53" s="175"/>
      <c r="K53" s="190">
        <v>29</v>
      </c>
      <c r="L53" s="171">
        <v>16</v>
      </c>
      <c r="M53" s="171">
        <v>12</v>
      </c>
      <c r="N53" s="171">
        <v>29</v>
      </c>
      <c r="O53" s="175">
        <v>27659</v>
      </c>
      <c r="P53" s="190"/>
      <c r="Q53" s="171"/>
      <c r="R53" s="171"/>
      <c r="S53" s="171"/>
      <c r="T53" s="175"/>
    </row>
    <row r="61" spans="1:20" ht="17.5" thickBot="1" x14ac:dyDescent="0.5"/>
    <row r="62" spans="1:20" x14ac:dyDescent="0.45">
      <c r="A62" s="45" t="s">
        <v>13</v>
      </c>
      <c r="B62" s="46"/>
      <c r="C62" s="46"/>
      <c r="D62" s="47"/>
      <c r="F62" s="45" t="s">
        <v>14</v>
      </c>
      <c r="G62" s="46"/>
      <c r="H62" s="46"/>
      <c r="I62" s="47"/>
      <c r="K62" s="45" t="s">
        <v>15</v>
      </c>
      <c r="L62" s="46"/>
      <c r="M62" s="46"/>
      <c r="N62" s="47"/>
      <c r="P62" s="45" t="s">
        <v>58</v>
      </c>
      <c r="Q62" s="46"/>
      <c r="R62" s="46"/>
      <c r="S62" s="47"/>
    </row>
    <row r="63" spans="1:20" ht="17.5" thickBot="1" x14ac:dyDescent="0.5">
      <c r="A63" s="6" t="s">
        <v>6</v>
      </c>
      <c r="B63" s="1"/>
      <c r="C63" s="1"/>
      <c r="D63" s="7" t="s">
        <v>7</v>
      </c>
      <c r="F63" s="6" t="s">
        <v>6</v>
      </c>
      <c r="G63" s="1"/>
      <c r="H63" s="1"/>
      <c r="I63" s="7" t="s">
        <v>7</v>
      </c>
      <c r="K63" s="6" t="s">
        <v>6</v>
      </c>
      <c r="L63" s="1"/>
      <c r="M63" s="1"/>
      <c r="N63" s="7" t="s">
        <v>7</v>
      </c>
      <c r="P63" s="6" t="s">
        <v>6</v>
      </c>
      <c r="Q63" s="1"/>
      <c r="R63" s="1"/>
      <c r="S63" s="7" t="s">
        <v>7</v>
      </c>
    </row>
    <row r="64" spans="1:20" ht="17.5" thickTop="1" x14ac:dyDescent="0.45">
      <c r="A64" s="179">
        <v>73</v>
      </c>
      <c r="B64" s="177">
        <v>147</v>
      </c>
      <c r="C64" s="177">
        <v>56</v>
      </c>
      <c r="D64" s="177">
        <v>204</v>
      </c>
      <c r="E64" s="184">
        <v>204</v>
      </c>
      <c r="F64" s="179">
        <v>78</v>
      </c>
      <c r="G64" s="177">
        <v>172</v>
      </c>
      <c r="H64" s="177">
        <v>36</v>
      </c>
      <c r="I64" s="177">
        <v>208</v>
      </c>
      <c r="J64" s="184">
        <v>208</v>
      </c>
      <c r="K64" s="179">
        <v>81</v>
      </c>
      <c r="L64" s="177">
        <v>54</v>
      </c>
      <c r="M64" s="177">
        <v>26</v>
      </c>
      <c r="N64" s="177">
        <v>80</v>
      </c>
      <c r="O64" s="184">
        <v>80</v>
      </c>
      <c r="P64" s="179">
        <v>75</v>
      </c>
      <c r="Q64" s="177">
        <v>200</v>
      </c>
      <c r="R64" s="177">
        <v>167</v>
      </c>
      <c r="S64" s="177">
        <v>370</v>
      </c>
      <c r="T64" s="184">
        <v>370</v>
      </c>
    </row>
    <row r="65" spans="1:20" x14ac:dyDescent="0.45">
      <c r="A65" s="174">
        <v>72</v>
      </c>
      <c r="B65" s="171">
        <v>38</v>
      </c>
      <c r="C65" s="171">
        <v>12</v>
      </c>
      <c r="D65" s="171">
        <v>51</v>
      </c>
      <c r="E65" s="175">
        <v>255</v>
      </c>
      <c r="F65" s="174">
        <v>77</v>
      </c>
      <c r="G65" s="171">
        <v>37</v>
      </c>
      <c r="H65" s="171">
        <v>13</v>
      </c>
      <c r="I65" s="171">
        <v>50</v>
      </c>
      <c r="J65" s="175">
        <v>258</v>
      </c>
      <c r="K65" s="174">
        <v>79</v>
      </c>
      <c r="L65" s="171">
        <v>17</v>
      </c>
      <c r="M65" s="171">
        <v>14</v>
      </c>
      <c r="N65" s="171">
        <v>31</v>
      </c>
      <c r="O65" s="175">
        <v>111</v>
      </c>
      <c r="P65" s="174">
        <v>73</v>
      </c>
      <c r="Q65" s="171">
        <v>73</v>
      </c>
      <c r="R65" s="171">
        <v>100</v>
      </c>
      <c r="S65" s="171">
        <v>173</v>
      </c>
      <c r="T65" s="175">
        <v>543</v>
      </c>
    </row>
    <row r="66" spans="1:20" x14ac:dyDescent="0.45">
      <c r="A66" s="174">
        <v>71</v>
      </c>
      <c r="B66" s="171">
        <v>131</v>
      </c>
      <c r="C66" s="171">
        <v>64</v>
      </c>
      <c r="D66" s="171">
        <v>196</v>
      </c>
      <c r="E66" s="175">
        <v>451</v>
      </c>
      <c r="F66" s="174">
        <v>76</v>
      </c>
      <c r="G66" s="171">
        <v>169</v>
      </c>
      <c r="H66" s="171">
        <v>54</v>
      </c>
      <c r="I66" s="171">
        <v>224</v>
      </c>
      <c r="J66" s="175">
        <v>482</v>
      </c>
      <c r="K66" s="174">
        <v>78</v>
      </c>
      <c r="L66" s="171">
        <v>61</v>
      </c>
      <c r="M66" s="171">
        <v>27</v>
      </c>
      <c r="N66" s="171">
        <v>88</v>
      </c>
      <c r="O66" s="175">
        <v>199</v>
      </c>
      <c r="P66" s="174">
        <v>72</v>
      </c>
      <c r="Q66" s="171">
        <v>217</v>
      </c>
      <c r="R66" s="171">
        <v>238</v>
      </c>
      <c r="S66" s="171">
        <v>461</v>
      </c>
      <c r="T66" s="175">
        <v>1004</v>
      </c>
    </row>
    <row r="67" spans="1:20" x14ac:dyDescent="0.45">
      <c r="A67" s="174">
        <v>70</v>
      </c>
      <c r="B67" s="171">
        <v>30</v>
      </c>
      <c r="C67" s="171">
        <v>6</v>
      </c>
      <c r="D67" s="171">
        <v>36</v>
      </c>
      <c r="E67" s="175">
        <v>487</v>
      </c>
      <c r="F67" s="174">
        <v>75</v>
      </c>
      <c r="G67" s="171">
        <v>13</v>
      </c>
      <c r="H67" s="171">
        <v>4</v>
      </c>
      <c r="I67" s="171">
        <v>17</v>
      </c>
      <c r="J67" s="175">
        <v>499</v>
      </c>
      <c r="K67" s="174">
        <v>77</v>
      </c>
      <c r="L67" s="171">
        <v>7</v>
      </c>
      <c r="M67" s="171">
        <v>4</v>
      </c>
      <c r="N67" s="171">
        <v>11</v>
      </c>
      <c r="O67" s="175">
        <v>210</v>
      </c>
      <c r="P67" s="174">
        <v>71</v>
      </c>
      <c r="Q67" s="171">
        <v>129</v>
      </c>
      <c r="R67" s="171">
        <v>203</v>
      </c>
      <c r="S67" s="171">
        <v>337</v>
      </c>
      <c r="T67" s="175">
        <v>1341</v>
      </c>
    </row>
    <row r="68" spans="1:20" x14ac:dyDescent="0.45">
      <c r="A68" s="174">
        <v>69</v>
      </c>
      <c r="B68" s="171">
        <v>84</v>
      </c>
      <c r="C68" s="171">
        <v>50</v>
      </c>
      <c r="D68" s="171">
        <v>134</v>
      </c>
      <c r="E68" s="175">
        <v>621</v>
      </c>
      <c r="F68" s="174">
        <v>74</v>
      </c>
      <c r="G68" s="171">
        <v>90</v>
      </c>
      <c r="H68" s="171">
        <v>35</v>
      </c>
      <c r="I68" s="171">
        <v>126</v>
      </c>
      <c r="J68" s="175">
        <v>625</v>
      </c>
      <c r="K68" s="174">
        <v>76</v>
      </c>
      <c r="L68" s="171">
        <v>48</v>
      </c>
      <c r="M68" s="171">
        <v>20</v>
      </c>
      <c r="N68" s="171">
        <v>69</v>
      </c>
      <c r="O68" s="175">
        <v>279</v>
      </c>
      <c r="P68" s="174">
        <v>70</v>
      </c>
      <c r="Q68" s="171">
        <v>149</v>
      </c>
      <c r="R68" s="171">
        <v>180</v>
      </c>
      <c r="S68" s="171">
        <v>330</v>
      </c>
      <c r="T68" s="175">
        <v>1671</v>
      </c>
    </row>
    <row r="69" spans="1:20" x14ac:dyDescent="0.45">
      <c r="A69" s="174">
        <v>68</v>
      </c>
      <c r="B69" s="171">
        <v>136</v>
      </c>
      <c r="C69" s="171">
        <v>92</v>
      </c>
      <c r="D69" s="171">
        <v>229</v>
      </c>
      <c r="E69" s="175">
        <v>850</v>
      </c>
      <c r="F69" s="174">
        <v>73</v>
      </c>
      <c r="G69" s="171">
        <v>127</v>
      </c>
      <c r="H69" s="171">
        <v>44</v>
      </c>
      <c r="I69" s="171">
        <v>171</v>
      </c>
      <c r="J69" s="175">
        <v>796</v>
      </c>
      <c r="K69" s="174">
        <v>75</v>
      </c>
      <c r="L69" s="171">
        <v>56</v>
      </c>
      <c r="M69" s="171">
        <v>15</v>
      </c>
      <c r="N69" s="171">
        <v>72</v>
      </c>
      <c r="O69" s="175">
        <v>351</v>
      </c>
      <c r="P69" s="174">
        <v>69</v>
      </c>
      <c r="Q69" s="171">
        <v>63</v>
      </c>
      <c r="R69" s="171">
        <v>114</v>
      </c>
      <c r="S69" s="171">
        <v>177</v>
      </c>
      <c r="T69" s="175">
        <v>1848</v>
      </c>
    </row>
    <row r="70" spans="1:20" x14ac:dyDescent="0.45">
      <c r="A70" s="174">
        <v>67</v>
      </c>
      <c r="B70" s="171">
        <v>90</v>
      </c>
      <c r="C70" s="171">
        <v>69</v>
      </c>
      <c r="D70" s="171">
        <v>159</v>
      </c>
      <c r="E70" s="175">
        <v>1009</v>
      </c>
      <c r="F70" s="174">
        <v>72</v>
      </c>
      <c r="G70" s="171">
        <v>52</v>
      </c>
      <c r="H70" s="171">
        <v>18</v>
      </c>
      <c r="I70" s="171">
        <v>70</v>
      </c>
      <c r="J70" s="175">
        <v>866</v>
      </c>
      <c r="K70" s="174">
        <v>74</v>
      </c>
      <c r="L70" s="171">
        <v>18</v>
      </c>
      <c r="M70" s="171">
        <v>7</v>
      </c>
      <c r="N70" s="171">
        <v>25</v>
      </c>
      <c r="O70" s="175">
        <v>376</v>
      </c>
      <c r="P70" s="174">
        <v>68</v>
      </c>
      <c r="Q70" s="171">
        <v>187</v>
      </c>
      <c r="R70" s="171">
        <v>307</v>
      </c>
      <c r="S70" s="171">
        <v>496</v>
      </c>
      <c r="T70" s="175">
        <v>2344</v>
      </c>
    </row>
    <row r="71" spans="1:20" x14ac:dyDescent="0.45">
      <c r="A71" s="174">
        <v>66</v>
      </c>
      <c r="B71" s="171">
        <v>73</v>
      </c>
      <c r="C71" s="171">
        <v>70</v>
      </c>
      <c r="D71" s="171">
        <v>144</v>
      </c>
      <c r="E71" s="175">
        <v>1153</v>
      </c>
      <c r="F71" s="174">
        <v>71</v>
      </c>
      <c r="G71" s="171">
        <v>127</v>
      </c>
      <c r="H71" s="171">
        <v>47</v>
      </c>
      <c r="I71" s="171">
        <v>174</v>
      </c>
      <c r="J71" s="175">
        <v>1040</v>
      </c>
      <c r="K71" s="174">
        <v>73</v>
      </c>
      <c r="L71" s="171">
        <v>73</v>
      </c>
      <c r="M71" s="171">
        <v>43</v>
      </c>
      <c r="N71" s="171">
        <v>117</v>
      </c>
      <c r="O71" s="175">
        <v>493</v>
      </c>
      <c r="P71" s="174">
        <v>67</v>
      </c>
      <c r="Q71" s="171">
        <v>124</v>
      </c>
      <c r="R71" s="171">
        <v>194</v>
      </c>
      <c r="S71" s="171">
        <v>319</v>
      </c>
      <c r="T71" s="175">
        <v>2663</v>
      </c>
    </row>
    <row r="72" spans="1:20" x14ac:dyDescent="0.45">
      <c r="A72" s="174">
        <v>65</v>
      </c>
      <c r="B72" s="171">
        <v>88</v>
      </c>
      <c r="C72" s="171">
        <v>53</v>
      </c>
      <c r="D72" s="171">
        <v>143</v>
      </c>
      <c r="E72" s="175">
        <v>1296</v>
      </c>
      <c r="F72" s="174">
        <v>70</v>
      </c>
      <c r="G72" s="171">
        <v>90</v>
      </c>
      <c r="H72" s="171">
        <v>33</v>
      </c>
      <c r="I72" s="171">
        <v>123</v>
      </c>
      <c r="J72" s="175">
        <v>1163</v>
      </c>
      <c r="K72" s="174">
        <v>72</v>
      </c>
      <c r="L72" s="171">
        <v>40</v>
      </c>
      <c r="M72" s="171">
        <v>26</v>
      </c>
      <c r="N72" s="171">
        <v>66</v>
      </c>
      <c r="O72" s="175">
        <v>559</v>
      </c>
      <c r="P72" s="174">
        <v>66</v>
      </c>
      <c r="Q72" s="171">
        <v>113</v>
      </c>
      <c r="R72" s="171">
        <v>208</v>
      </c>
      <c r="S72" s="171">
        <v>323</v>
      </c>
      <c r="T72" s="175">
        <v>2986</v>
      </c>
    </row>
    <row r="73" spans="1:20" x14ac:dyDescent="0.45">
      <c r="A73" s="174">
        <v>64</v>
      </c>
      <c r="B73" s="171">
        <v>166</v>
      </c>
      <c r="C73" s="171">
        <v>139</v>
      </c>
      <c r="D73" s="171">
        <v>307</v>
      </c>
      <c r="E73" s="175">
        <v>1603</v>
      </c>
      <c r="F73" s="174">
        <v>69</v>
      </c>
      <c r="G73" s="171">
        <v>97</v>
      </c>
      <c r="H73" s="171">
        <v>39</v>
      </c>
      <c r="I73" s="171">
        <v>137</v>
      </c>
      <c r="J73" s="175">
        <v>1300</v>
      </c>
      <c r="K73" s="174">
        <v>71</v>
      </c>
      <c r="L73" s="171">
        <v>57</v>
      </c>
      <c r="M73" s="171">
        <v>27</v>
      </c>
      <c r="N73" s="171">
        <v>85</v>
      </c>
      <c r="O73" s="175">
        <v>644</v>
      </c>
      <c r="P73" s="174">
        <v>65</v>
      </c>
      <c r="Q73" s="171">
        <v>321</v>
      </c>
      <c r="R73" s="171">
        <v>566</v>
      </c>
      <c r="S73" s="171">
        <v>897</v>
      </c>
      <c r="T73" s="175">
        <v>3883</v>
      </c>
    </row>
    <row r="74" spans="1:20" x14ac:dyDescent="0.45">
      <c r="A74" s="174">
        <v>63</v>
      </c>
      <c r="B74" s="171">
        <v>98</v>
      </c>
      <c r="C74" s="171">
        <v>71</v>
      </c>
      <c r="D74" s="171">
        <v>169</v>
      </c>
      <c r="E74" s="175">
        <v>1772</v>
      </c>
      <c r="F74" s="174">
        <v>68</v>
      </c>
      <c r="G74" s="171">
        <v>127</v>
      </c>
      <c r="H74" s="171">
        <v>77</v>
      </c>
      <c r="I74" s="171">
        <v>206</v>
      </c>
      <c r="J74" s="175">
        <v>1506</v>
      </c>
      <c r="K74" s="174">
        <v>70</v>
      </c>
      <c r="L74" s="171">
        <v>67</v>
      </c>
      <c r="M74" s="171">
        <v>58</v>
      </c>
      <c r="N74" s="171">
        <v>126</v>
      </c>
      <c r="O74" s="175">
        <v>770</v>
      </c>
      <c r="P74" s="174">
        <v>64</v>
      </c>
      <c r="Q74" s="171">
        <v>217</v>
      </c>
      <c r="R74" s="171">
        <v>322</v>
      </c>
      <c r="S74" s="171">
        <v>544</v>
      </c>
      <c r="T74" s="175">
        <v>4427</v>
      </c>
    </row>
    <row r="75" spans="1:20" x14ac:dyDescent="0.45">
      <c r="A75" s="174">
        <v>62</v>
      </c>
      <c r="B75" s="171">
        <v>89</v>
      </c>
      <c r="C75" s="171">
        <v>71</v>
      </c>
      <c r="D75" s="171">
        <v>163</v>
      </c>
      <c r="E75" s="175">
        <v>1935</v>
      </c>
      <c r="F75" s="174">
        <v>67</v>
      </c>
      <c r="G75" s="171">
        <v>88</v>
      </c>
      <c r="H75" s="171">
        <v>43</v>
      </c>
      <c r="I75" s="171">
        <v>131</v>
      </c>
      <c r="J75" s="175">
        <v>1637</v>
      </c>
      <c r="K75" s="174">
        <v>69</v>
      </c>
      <c r="L75" s="171">
        <v>42</v>
      </c>
      <c r="M75" s="171">
        <v>32</v>
      </c>
      <c r="N75" s="171">
        <v>74</v>
      </c>
      <c r="O75" s="175">
        <v>844</v>
      </c>
      <c r="P75" s="174">
        <v>63</v>
      </c>
      <c r="Q75" s="171">
        <v>191</v>
      </c>
      <c r="R75" s="171">
        <v>338</v>
      </c>
      <c r="S75" s="171">
        <v>534</v>
      </c>
      <c r="T75" s="175">
        <v>4961</v>
      </c>
    </row>
    <row r="76" spans="1:20" x14ac:dyDescent="0.45">
      <c r="A76" s="174">
        <v>61</v>
      </c>
      <c r="B76" s="171">
        <v>86</v>
      </c>
      <c r="C76" s="171">
        <v>74</v>
      </c>
      <c r="D76" s="171">
        <v>162</v>
      </c>
      <c r="E76" s="175">
        <v>2097</v>
      </c>
      <c r="F76" s="174">
        <v>66</v>
      </c>
      <c r="G76" s="171">
        <v>233</v>
      </c>
      <c r="H76" s="171">
        <v>113</v>
      </c>
      <c r="I76" s="171">
        <v>348</v>
      </c>
      <c r="J76" s="175">
        <v>1985</v>
      </c>
      <c r="K76" s="174">
        <v>68</v>
      </c>
      <c r="L76" s="171">
        <v>83</v>
      </c>
      <c r="M76" s="171">
        <v>41</v>
      </c>
      <c r="N76" s="171">
        <v>124</v>
      </c>
      <c r="O76" s="175">
        <v>968</v>
      </c>
      <c r="P76" s="174">
        <v>62</v>
      </c>
      <c r="Q76" s="171">
        <v>165</v>
      </c>
      <c r="R76" s="171">
        <v>251</v>
      </c>
      <c r="S76" s="171">
        <v>421</v>
      </c>
      <c r="T76" s="175">
        <v>5382</v>
      </c>
    </row>
    <row r="77" spans="1:20" x14ac:dyDescent="0.45">
      <c r="A77" s="174">
        <v>60</v>
      </c>
      <c r="B77" s="171">
        <v>93</v>
      </c>
      <c r="C77" s="171">
        <v>81</v>
      </c>
      <c r="D77" s="171">
        <v>175</v>
      </c>
      <c r="E77" s="175">
        <v>2272</v>
      </c>
      <c r="F77" s="174">
        <v>65</v>
      </c>
      <c r="G77" s="171">
        <v>119</v>
      </c>
      <c r="H77" s="171">
        <v>71</v>
      </c>
      <c r="I77" s="171">
        <v>192</v>
      </c>
      <c r="J77" s="175">
        <v>2177</v>
      </c>
      <c r="K77" s="174">
        <v>67</v>
      </c>
      <c r="L77" s="171">
        <v>80</v>
      </c>
      <c r="M77" s="171">
        <v>68</v>
      </c>
      <c r="N77" s="171">
        <v>149</v>
      </c>
      <c r="O77" s="175">
        <v>1117</v>
      </c>
      <c r="P77" s="174">
        <v>61</v>
      </c>
      <c r="Q77" s="171">
        <v>223</v>
      </c>
      <c r="R77" s="171">
        <v>441</v>
      </c>
      <c r="S77" s="171">
        <v>673</v>
      </c>
      <c r="T77" s="175">
        <v>6055</v>
      </c>
    </row>
    <row r="78" spans="1:20" x14ac:dyDescent="0.45">
      <c r="A78" s="174">
        <v>59</v>
      </c>
      <c r="B78" s="171">
        <v>164</v>
      </c>
      <c r="C78" s="171">
        <v>180</v>
      </c>
      <c r="D78" s="171">
        <v>346</v>
      </c>
      <c r="E78" s="175">
        <v>2618</v>
      </c>
      <c r="F78" s="174">
        <v>64</v>
      </c>
      <c r="G78" s="171">
        <v>126</v>
      </c>
      <c r="H78" s="171">
        <v>78</v>
      </c>
      <c r="I78" s="171">
        <v>205</v>
      </c>
      <c r="J78" s="175">
        <v>2382</v>
      </c>
      <c r="K78" s="174">
        <v>66</v>
      </c>
      <c r="L78" s="171">
        <v>60</v>
      </c>
      <c r="M78" s="171">
        <v>50</v>
      </c>
      <c r="N78" s="171">
        <v>112</v>
      </c>
      <c r="O78" s="175">
        <v>1229</v>
      </c>
      <c r="P78" s="174">
        <v>60</v>
      </c>
      <c r="Q78" s="171">
        <v>194</v>
      </c>
      <c r="R78" s="171">
        <v>380</v>
      </c>
      <c r="S78" s="171">
        <v>580</v>
      </c>
      <c r="T78" s="175">
        <v>6635</v>
      </c>
    </row>
    <row r="79" spans="1:20" x14ac:dyDescent="0.45">
      <c r="A79" s="174">
        <v>58</v>
      </c>
      <c r="B79" s="171">
        <v>83</v>
      </c>
      <c r="C79" s="171">
        <v>107</v>
      </c>
      <c r="D79" s="171">
        <v>191</v>
      </c>
      <c r="E79" s="175">
        <v>2809</v>
      </c>
      <c r="F79" s="174">
        <v>63</v>
      </c>
      <c r="G79" s="171">
        <v>122</v>
      </c>
      <c r="H79" s="171">
        <v>72</v>
      </c>
      <c r="I79" s="171">
        <v>194</v>
      </c>
      <c r="J79" s="175">
        <v>2576</v>
      </c>
      <c r="K79" s="174">
        <v>65</v>
      </c>
      <c r="L79" s="171">
        <v>129</v>
      </c>
      <c r="M79" s="171">
        <v>76</v>
      </c>
      <c r="N79" s="171">
        <v>205</v>
      </c>
      <c r="O79" s="175">
        <v>1434</v>
      </c>
      <c r="P79" s="174">
        <v>59</v>
      </c>
      <c r="Q79" s="171">
        <v>479</v>
      </c>
      <c r="R79" s="171">
        <v>875</v>
      </c>
      <c r="S79" s="171">
        <v>1367</v>
      </c>
      <c r="T79" s="175">
        <v>8002</v>
      </c>
    </row>
    <row r="80" spans="1:20" x14ac:dyDescent="0.45">
      <c r="A80" s="174">
        <v>57</v>
      </c>
      <c r="B80" s="171">
        <v>93</v>
      </c>
      <c r="C80" s="171">
        <v>94</v>
      </c>
      <c r="D80" s="171">
        <v>189</v>
      </c>
      <c r="E80" s="175">
        <v>2998</v>
      </c>
      <c r="F80" s="174">
        <v>62</v>
      </c>
      <c r="G80" s="171">
        <v>141</v>
      </c>
      <c r="H80" s="171">
        <v>69</v>
      </c>
      <c r="I80" s="171">
        <v>211</v>
      </c>
      <c r="J80" s="175">
        <v>2787</v>
      </c>
      <c r="K80" s="174">
        <v>64</v>
      </c>
      <c r="L80" s="171">
        <v>81</v>
      </c>
      <c r="M80" s="171">
        <v>51</v>
      </c>
      <c r="N80" s="171">
        <v>133</v>
      </c>
      <c r="O80" s="175">
        <v>1567</v>
      </c>
      <c r="P80" s="174">
        <v>58</v>
      </c>
      <c r="Q80" s="171">
        <v>226</v>
      </c>
      <c r="R80" s="171">
        <v>394</v>
      </c>
      <c r="S80" s="171">
        <v>627</v>
      </c>
      <c r="T80" s="175">
        <v>8629</v>
      </c>
    </row>
    <row r="81" spans="1:20" x14ac:dyDescent="0.45">
      <c r="A81" s="174">
        <v>56</v>
      </c>
      <c r="B81" s="171">
        <v>97</v>
      </c>
      <c r="C81" s="171">
        <v>101</v>
      </c>
      <c r="D81" s="171">
        <v>198</v>
      </c>
      <c r="E81" s="175">
        <v>3196</v>
      </c>
      <c r="F81" s="174">
        <v>61</v>
      </c>
      <c r="G81" s="171">
        <v>127</v>
      </c>
      <c r="H81" s="171">
        <v>91</v>
      </c>
      <c r="I81" s="171">
        <v>220</v>
      </c>
      <c r="J81" s="175">
        <v>3007</v>
      </c>
      <c r="K81" s="174">
        <v>63</v>
      </c>
      <c r="L81" s="171">
        <v>106</v>
      </c>
      <c r="M81" s="171">
        <v>79</v>
      </c>
      <c r="N81" s="171">
        <v>188</v>
      </c>
      <c r="O81" s="175">
        <v>1755</v>
      </c>
      <c r="P81" s="174">
        <v>57</v>
      </c>
      <c r="Q81" s="171">
        <v>286</v>
      </c>
      <c r="R81" s="171">
        <v>513</v>
      </c>
      <c r="S81" s="171">
        <v>805</v>
      </c>
      <c r="T81" s="175">
        <v>9434</v>
      </c>
    </row>
    <row r="82" spans="1:20" x14ac:dyDescent="0.45">
      <c r="A82" s="174">
        <v>55</v>
      </c>
      <c r="B82" s="171">
        <v>201</v>
      </c>
      <c r="C82" s="171">
        <v>227</v>
      </c>
      <c r="D82" s="171">
        <v>428</v>
      </c>
      <c r="E82" s="175">
        <v>3624</v>
      </c>
      <c r="F82" s="174">
        <v>60</v>
      </c>
      <c r="G82" s="171">
        <v>164</v>
      </c>
      <c r="H82" s="171">
        <v>104</v>
      </c>
      <c r="I82" s="171">
        <v>271</v>
      </c>
      <c r="J82" s="175">
        <v>3278</v>
      </c>
      <c r="K82" s="174">
        <v>62</v>
      </c>
      <c r="L82" s="171">
        <v>128</v>
      </c>
      <c r="M82" s="171">
        <v>84</v>
      </c>
      <c r="N82" s="171">
        <v>213</v>
      </c>
      <c r="O82" s="175">
        <v>1968</v>
      </c>
      <c r="P82" s="174">
        <v>56</v>
      </c>
      <c r="Q82" s="171">
        <v>254</v>
      </c>
      <c r="R82" s="171">
        <v>497</v>
      </c>
      <c r="S82" s="171">
        <v>755</v>
      </c>
      <c r="T82" s="175">
        <v>10189</v>
      </c>
    </row>
    <row r="83" spans="1:20" x14ac:dyDescent="0.45">
      <c r="A83" s="174">
        <v>54</v>
      </c>
      <c r="B83" s="171">
        <v>117</v>
      </c>
      <c r="C83" s="171">
        <v>110</v>
      </c>
      <c r="D83" s="171">
        <v>228</v>
      </c>
      <c r="E83" s="175">
        <v>3852</v>
      </c>
      <c r="F83" s="174">
        <v>59</v>
      </c>
      <c r="G83" s="171">
        <v>164</v>
      </c>
      <c r="H83" s="171">
        <v>107</v>
      </c>
      <c r="I83" s="171">
        <v>273</v>
      </c>
      <c r="J83" s="175">
        <v>3551</v>
      </c>
      <c r="K83" s="174">
        <v>61</v>
      </c>
      <c r="L83" s="171">
        <v>97</v>
      </c>
      <c r="M83" s="171">
        <v>91</v>
      </c>
      <c r="N83" s="171">
        <v>189</v>
      </c>
      <c r="O83" s="175">
        <v>2157</v>
      </c>
      <c r="P83" s="174">
        <v>55</v>
      </c>
      <c r="Q83" s="171">
        <v>260</v>
      </c>
      <c r="R83" s="171">
        <v>492</v>
      </c>
      <c r="S83" s="171">
        <v>759</v>
      </c>
      <c r="T83" s="175">
        <v>10948</v>
      </c>
    </row>
    <row r="84" spans="1:20" x14ac:dyDescent="0.45">
      <c r="A84" s="174">
        <v>53</v>
      </c>
      <c r="B84" s="171">
        <v>113</v>
      </c>
      <c r="C84" s="171">
        <v>118</v>
      </c>
      <c r="D84" s="171">
        <v>232</v>
      </c>
      <c r="E84" s="175">
        <v>4084</v>
      </c>
      <c r="F84" s="174">
        <v>58</v>
      </c>
      <c r="G84" s="171">
        <v>151</v>
      </c>
      <c r="H84" s="171">
        <v>102</v>
      </c>
      <c r="I84" s="171">
        <v>256</v>
      </c>
      <c r="J84" s="175">
        <v>3807</v>
      </c>
      <c r="K84" s="174">
        <v>60</v>
      </c>
      <c r="L84" s="171">
        <v>145</v>
      </c>
      <c r="M84" s="171">
        <v>106</v>
      </c>
      <c r="N84" s="171">
        <v>254</v>
      </c>
      <c r="O84" s="175">
        <v>2411</v>
      </c>
      <c r="P84" s="174">
        <v>54</v>
      </c>
      <c r="Q84" s="171">
        <v>279</v>
      </c>
      <c r="R84" s="171">
        <v>525</v>
      </c>
      <c r="S84" s="171">
        <v>814</v>
      </c>
      <c r="T84" s="175">
        <v>11762</v>
      </c>
    </row>
    <row r="85" spans="1:20" x14ac:dyDescent="0.45">
      <c r="A85" s="174">
        <v>52</v>
      </c>
      <c r="B85" s="171">
        <v>111</v>
      </c>
      <c r="C85" s="171">
        <v>88</v>
      </c>
      <c r="D85" s="171">
        <v>202</v>
      </c>
      <c r="E85" s="175">
        <v>4286</v>
      </c>
      <c r="F85" s="174">
        <v>57</v>
      </c>
      <c r="G85" s="171">
        <v>180</v>
      </c>
      <c r="H85" s="171">
        <v>137</v>
      </c>
      <c r="I85" s="171">
        <v>320</v>
      </c>
      <c r="J85" s="175">
        <v>4127</v>
      </c>
      <c r="K85" s="174">
        <v>59</v>
      </c>
      <c r="L85" s="171">
        <v>132</v>
      </c>
      <c r="M85" s="171">
        <v>80</v>
      </c>
      <c r="N85" s="171">
        <v>216</v>
      </c>
      <c r="O85" s="175">
        <v>2627</v>
      </c>
      <c r="P85" s="174">
        <v>53</v>
      </c>
      <c r="Q85" s="171">
        <v>295</v>
      </c>
      <c r="R85" s="171">
        <v>510</v>
      </c>
      <c r="S85" s="171">
        <v>816</v>
      </c>
      <c r="T85" s="175">
        <v>12578</v>
      </c>
    </row>
    <row r="86" spans="1:20" x14ac:dyDescent="0.45">
      <c r="A86" s="174">
        <v>51</v>
      </c>
      <c r="B86" s="171">
        <v>122</v>
      </c>
      <c r="C86" s="171">
        <v>112</v>
      </c>
      <c r="D86" s="171">
        <v>235</v>
      </c>
      <c r="E86" s="175">
        <v>4521</v>
      </c>
      <c r="F86" s="174">
        <v>56</v>
      </c>
      <c r="G86" s="171">
        <v>188</v>
      </c>
      <c r="H86" s="171">
        <v>150</v>
      </c>
      <c r="I86" s="171">
        <v>339</v>
      </c>
      <c r="J86" s="175">
        <v>4466</v>
      </c>
      <c r="K86" s="174">
        <v>58</v>
      </c>
      <c r="L86" s="171">
        <v>138</v>
      </c>
      <c r="M86" s="171">
        <v>128</v>
      </c>
      <c r="N86" s="171">
        <v>267</v>
      </c>
      <c r="O86" s="175">
        <v>2894</v>
      </c>
      <c r="P86" s="174">
        <v>52</v>
      </c>
      <c r="Q86" s="171">
        <v>670</v>
      </c>
      <c r="R86" s="171">
        <v>1111</v>
      </c>
      <c r="S86" s="171">
        <v>1803</v>
      </c>
      <c r="T86" s="175">
        <v>14381</v>
      </c>
    </row>
    <row r="87" spans="1:20" x14ac:dyDescent="0.45">
      <c r="A87" s="174">
        <v>50</v>
      </c>
      <c r="B87" s="171">
        <v>246</v>
      </c>
      <c r="C87" s="171">
        <v>272</v>
      </c>
      <c r="D87" s="171">
        <v>522</v>
      </c>
      <c r="E87" s="175">
        <v>5043</v>
      </c>
      <c r="F87" s="174">
        <v>55</v>
      </c>
      <c r="G87" s="171">
        <v>415</v>
      </c>
      <c r="H87" s="171">
        <v>367</v>
      </c>
      <c r="I87" s="171">
        <v>788</v>
      </c>
      <c r="J87" s="175">
        <v>5254</v>
      </c>
      <c r="K87" s="174">
        <v>57</v>
      </c>
      <c r="L87" s="171">
        <v>161</v>
      </c>
      <c r="M87" s="171">
        <v>106</v>
      </c>
      <c r="N87" s="171">
        <v>271</v>
      </c>
      <c r="O87" s="175">
        <v>3165</v>
      </c>
      <c r="P87" s="174">
        <v>51</v>
      </c>
      <c r="Q87" s="171">
        <v>344</v>
      </c>
      <c r="R87" s="171">
        <v>605</v>
      </c>
      <c r="S87" s="171">
        <v>958</v>
      </c>
      <c r="T87" s="175">
        <v>15339</v>
      </c>
    </row>
    <row r="88" spans="1:20" x14ac:dyDescent="0.45">
      <c r="A88" s="174">
        <v>49</v>
      </c>
      <c r="B88" s="171">
        <v>118</v>
      </c>
      <c r="C88" s="171">
        <v>153</v>
      </c>
      <c r="D88" s="171">
        <v>274</v>
      </c>
      <c r="E88" s="175">
        <v>5317</v>
      </c>
      <c r="F88" s="174">
        <v>54</v>
      </c>
      <c r="G88" s="171">
        <v>227</v>
      </c>
      <c r="H88" s="171">
        <v>189</v>
      </c>
      <c r="I88" s="171">
        <v>420</v>
      </c>
      <c r="J88" s="175">
        <v>5674</v>
      </c>
      <c r="K88" s="174">
        <v>56</v>
      </c>
      <c r="L88" s="171">
        <v>131</v>
      </c>
      <c r="M88" s="171">
        <v>98</v>
      </c>
      <c r="N88" s="171">
        <v>233</v>
      </c>
      <c r="O88" s="175">
        <v>3398</v>
      </c>
      <c r="P88" s="174">
        <v>50</v>
      </c>
      <c r="Q88" s="171">
        <v>355</v>
      </c>
      <c r="R88" s="171">
        <v>640</v>
      </c>
      <c r="S88" s="171">
        <v>1005</v>
      </c>
      <c r="T88" s="175">
        <v>16344</v>
      </c>
    </row>
    <row r="89" spans="1:20" x14ac:dyDescent="0.45">
      <c r="A89" s="174">
        <v>48</v>
      </c>
      <c r="B89" s="171">
        <v>131</v>
      </c>
      <c r="C89" s="171">
        <v>142</v>
      </c>
      <c r="D89" s="171">
        <v>277</v>
      </c>
      <c r="E89" s="175">
        <v>5594</v>
      </c>
      <c r="F89" s="174">
        <v>53</v>
      </c>
      <c r="G89" s="171">
        <v>207</v>
      </c>
      <c r="H89" s="171">
        <v>216</v>
      </c>
      <c r="I89" s="171">
        <v>426</v>
      </c>
      <c r="J89" s="175">
        <v>6100</v>
      </c>
      <c r="K89" s="174">
        <v>55</v>
      </c>
      <c r="L89" s="171">
        <v>343</v>
      </c>
      <c r="M89" s="171">
        <v>248</v>
      </c>
      <c r="N89" s="171">
        <v>599</v>
      </c>
      <c r="O89" s="175">
        <v>3997</v>
      </c>
      <c r="P89" s="174">
        <v>49</v>
      </c>
      <c r="Q89" s="171">
        <v>346</v>
      </c>
      <c r="R89" s="171">
        <v>607</v>
      </c>
      <c r="S89" s="171">
        <v>964</v>
      </c>
      <c r="T89" s="175">
        <v>17308</v>
      </c>
    </row>
    <row r="90" spans="1:20" x14ac:dyDescent="0.45">
      <c r="A90" s="174">
        <v>47</v>
      </c>
      <c r="B90" s="171">
        <v>138</v>
      </c>
      <c r="C90" s="171">
        <v>140</v>
      </c>
      <c r="D90" s="171">
        <v>278</v>
      </c>
      <c r="E90" s="175">
        <v>5872</v>
      </c>
      <c r="F90" s="174">
        <v>52</v>
      </c>
      <c r="G90" s="171">
        <v>206</v>
      </c>
      <c r="H90" s="171">
        <v>217</v>
      </c>
      <c r="I90" s="171">
        <v>427</v>
      </c>
      <c r="J90" s="175">
        <v>6527</v>
      </c>
      <c r="K90" s="174">
        <v>54</v>
      </c>
      <c r="L90" s="171">
        <v>201</v>
      </c>
      <c r="M90" s="171">
        <v>125</v>
      </c>
      <c r="N90" s="171">
        <v>327</v>
      </c>
      <c r="O90" s="175">
        <v>4324</v>
      </c>
      <c r="P90" s="174">
        <v>48</v>
      </c>
      <c r="Q90" s="171">
        <v>434</v>
      </c>
      <c r="R90" s="171">
        <v>642</v>
      </c>
      <c r="S90" s="171">
        <v>1084</v>
      </c>
      <c r="T90" s="175">
        <v>18392</v>
      </c>
    </row>
    <row r="91" spans="1:20" x14ac:dyDescent="0.45">
      <c r="A91" s="174">
        <v>46</v>
      </c>
      <c r="B91" s="171">
        <v>310</v>
      </c>
      <c r="C91" s="171">
        <v>341</v>
      </c>
      <c r="D91" s="171">
        <v>661</v>
      </c>
      <c r="E91" s="175">
        <v>6533</v>
      </c>
      <c r="F91" s="174">
        <v>51</v>
      </c>
      <c r="G91" s="171">
        <v>304</v>
      </c>
      <c r="H91" s="171">
        <v>273</v>
      </c>
      <c r="I91" s="171">
        <v>581</v>
      </c>
      <c r="J91" s="175">
        <v>7108</v>
      </c>
      <c r="K91" s="174">
        <v>53</v>
      </c>
      <c r="L91" s="171">
        <v>224</v>
      </c>
      <c r="M91" s="171">
        <v>131</v>
      </c>
      <c r="N91" s="171">
        <v>360</v>
      </c>
      <c r="O91" s="175">
        <v>4684</v>
      </c>
      <c r="P91" s="174">
        <v>47</v>
      </c>
      <c r="Q91" s="171">
        <v>405</v>
      </c>
      <c r="R91" s="171">
        <v>599</v>
      </c>
      <c r="S91" s="171">
        <v>1015</v>
      </c>
      <c r="T91" s="175">
        <v>19407</v>
      </c>
    </row>
    <row r="92" spans="1:20" x14ac:dyDescent="0.45">
      <c r="A92" s="174">
        <v>45</v>
      </c>
      <c r="B92" s="171">
        <v>177</v>
      </c>
      <c r="C92" s="171">
        <v>217</v>
      </c>
      <c r="D92" s="171">
        <v>400</v>
      </c>
      <c r="E92" s="175">
        <v>6933</v>
      </c>
      <c r="F92" s="174">
        <v>50</v>
      </c>
      <c r="G92" s="171">
        <v>260</v>
      </c>
      <c r="H92" s="171">
        <v>259</v>
      </c>
      <c r="I92" s="171">
        <v>526</v>
      </c>
      <c r="J92" s="175">
        <v>7634</v>
      </c>
      <c r="K92" s="174">
        <v>52</v>
      </c>
      <c r="L92" s="171">
        <v>200</v>
      </c>
      <c r="M92" s="171">
        <v>115</v>
      </c>
      <c r="N92" s="171">
        <v>323</v>
      </c>
      <c r="O92" s="175">
        <v>5007</v>
      </c>
      <c r="P92" s="174">
        <v>46</v>
      </c>
      <c r="Q92" s="171">
        <v>458</v>
      </c>
      <c r="R92" s="171">
        <v>650</v>
      </c>
      <c r="S92" s="171">
        <v>1120</v>
      </c>
      <c r="T92" s="175">
        <v>20527</v>
      </c>
    </row>
    <row r="93" spans="1:20" x14ac:dyDescent="0.45">
      <c r="A93" s="174">
        <v>44</v>
      </c>
      <c r="B93" s="171">
        <v>200</v>
      </c>
      <c r="C93" s="171">
        <v>183</v>
      </c>
      <c r="D93" s="171">
        <v>388</v>
      </c>
      <c r="E93" s="175">
        <v>7321</v>
      </c>
      <c r="F93" s="174">
        <v>49</v>
      </c>
      <c r="G93" s="171">
        <v>317</v>
      </c>
      <c r="H93" s="171">
        <v>292</v>
      </c>
      <c r="I93" s="171">
        <v>612</v>
      </c>
      <c r="J93" s="175">
        <v>8246</v>
      </c>
      <c r="K93" s="174">
        <v>51</v>
      </c>
      <c r="L93" s="171">
        <v>258</v>
      </c>
      <c r="M93" s="171">
        <v>150</v>
      </c>
      <c r="N93" s="171">
        <v>410</v>
      </c>
      <c r="O93" s="175">
        <v>5417</v>
      </c>
      <c r="P93" s="174">
        <v>45</v>
      </c>
      <c r="Q93" s="171">
        <v>935</v>
      </c>
      <c r="R93" s="171">
        <v>1272</v>
      </c>
      <c r="S93" s="171">
        <v>2226</v>
      </c>
      <c r="T93" s="175">
        <v>22753</v>
      </c>
    </row>
    <row r="94" spans="1:20" x14ac:dyDescent="0.45">
      <c r="A94" s="174">
        <v>43</v>
      </c>
      <c r="B94" s="171">
        <v>196</v>
      </c>
      <c r="C94" s="171">
        <v>180</v>
      </c>
      <c r="D94" s="171">
        <v>382</v>
      </c>
      <c r="E94" s="175">
        <v>7703</v>
      </c>
      <c r="F94" s="174">
        <v>48</v>
      </c>
      <c r="G94" s="171">
        <v>309</v>
      </c>
      <c r="H94" s="171">
        <v>304</v>
      </c>
      <c r="I94" s="171">
        <v>621</v>
      </c>
      <c r="J94" s="175">
        <v>8867</v>
      </c>
      <c r="K94" s="174">
        <v>50</v>
      </c>
      <c r="L94" s="171">
        <v>226</v>
      </c>
      <c r="M94" s="171">
        <v>134</v>
      </c>
      <c r="N94" s="171">
        <v>366</v>
      </c>
      <c r="O94" s="175">
        <v>5783</v>
      </c>
      <c r="P94" s="174">
        <v>44</v>
      </c>
      <c r="Q94" s="171">
        <v>454</v>
      </c>
      <c r="R94" s="171">
        <v>632</v>
      </c>
      <c r="S94" s="171">
        <v>1097</v>
      </c>
      <c r="T94" s="175">
        <v>23850</v>
      </c>
    </row>
    <row r="95" spans="1:20" x14ac:dyDescent="0.45">
      <c r="A95" s="174">
        <v>42</v>
      </c>
      <c r="B95" s="171">
        <v>584</v>
      </c>
      <c r="C95" s="171">
        <v>497</v>
      </c>
      <c r="D95" s="171">
        <v>1091</v>
      </c>
      <c r="E95" s="175">
        <v>8794</v>
      </c>
      <c r="F95" s="174">
        <v>47</v>
      </c>
      <c r="G95" s="171">
        <v>327</v>
      </c>
      <c r="H95" s="171">
        <v>321</v>
      </c>
      <c r="I95" s="171">
        <v>648</v>
      </c>
      <c r="J95" s="175">
        <v>9515</v>
      </c>
      <c r="K95" s="174">
        <v>49</v>
      </c>
      <c r="L95" s="171">
        <v>275</v>
      </c>
      <c r="M95" s="171">
        <v>180</v>
      </c>
      <c r="N95" s="171">
        <v>459</v>
      </c>
      <c r="O95" s="175">
        <v>6242</v>
      </c>
      <c r="P95" s="174">
        <v>43</v>
      </c>
      <c r="Q95" s="171">
        <v>1277</v>
      </c>
      <c r="R95" s="171">
        <v>1081</v>
      </c>
      <c r="S95" s="171">
        <v>2391</v>
      </c>
      <c r="T95" s="175">
        <v>26241</v>
      </c>
    </row>
    <row r="96" spans="1:20" x14ac:dyDescent="0.45">
      <c r="A96" s="174">
        <v>41</v>
      </c>
      <c r="B96" s="171">
        <v>618</v>
      </c>
      <c r="C96" s="171">
        <v>419</v>
      </c>
      <c r="D96" s="171">
        <v>1062</v>
      </c>
      <c r="E96" s="175">
        <v>9856</v>
      </c>
      <c r="F96" s="174">
        <v>46</v>
      </c>
      <c r="G96" s="171">
        <v>377</v>
      </c>
      <c r="H96" s="171">
        <v>362</v>
      </c>
      <c r="I96" s="171">
        <v>749</v>
      </c>
      <c r="J96" s="175">
        <v>10264</v>
      </c>
      <c r="K96" s="174">
        <v>48</v>
      </c>
      <c r="L96" s="171">
        <v>273</v>
      </c>
      <c r="M96" s="171">
        <v>160</v>
      </c>
      <c r="N96" s="171">
        <v>438</v>
      </c>
      <c r="O96" s="175">
        <v>6680</v>
      </c>
      <c r="P96" s="174">
        <v>42</v>
      </c>
      <c r="Q96" s="171">
        <v>489</v>
      </c>
      <c r="R96" s="171">
        <v>580</v>
      </c>
      <c r="S96" s="171">
        <v>1083</v>
      </c>
      <c r="T96" s="175">
        <v>27324</v>
      </c>
    </row>
    <row r="97" spans="1:20" x14ac:dyDescent="0.45">
      <c r="A97" s="174">
        <v>40</v>
      </c>
      <c r="B97" s="171">
        <v>161</v>
      </c>
      <c r="C97" s="171">
        <v>142</v>
      </c>
      <c r="D97" s="171">
        <v>307</v>
      </c>
      <c r="E97" s="175">
        <v>10163</v>
      </c>
      <c r="F97" s="174">
        <v>45</v>
      </c>
      <c r="G97" s="171">
        <v>773</v>
      </c>
      <c r="H97" s="171">
        <v>747</v>
      </c>
      <c r="I97" s="171">
        <v>1536</v>
      </c>
      <c r="J97" s="175">
        <v>11800</v>
      </c>
      <c r="K97" s="174">
        <v>47</v>
      </c>
      <c r="L97" s="171">
        <v>361</v>
      </c>
      <c r="M97" s="171">
        <v>167</v>
      </c>
      <c r="N97" s="171">
        <v>535</v>
      </c>
      <c r="O97" s="175">
        <v>7215</v>
      </c>
      <c r="P97" s="174">
        <v>41</v>
      </c>
      <c r="Q97" s="171">
        <v>412</v>
      </c>
      <c r="R97" s="171">
        <v>452</v>
      </c>
      <c r="S97" s="171">
        <v>873</v>
      </c>
      <c r="T97" s="175">
        <v>28197</v>
      </c>
    </row>
    <row r="98" spans="1:20" x14ac:dyDescent="0.45">
      <c r="A98" s="174">
        <v>39</v>
      </c>
      <c r="B98" s="171">
        <v>160</v>
      </c>
      <c r="C98" s="171">
        <v>144</v>
      </c>
      <c r="D98" s="171">
        <v>312</v>
      </c>
      <c r="E98" s="175">
        <v>10475</v>
      </c>
      <c r="F98" s="174">
        <v>44</v>
      </c>
      <c r="G98" s="171">
        <v>501</v>
      </c>
      <c r="H98" s="171">
        <v>408</v>
      </c>
      <c r="I98" s="171">
        <v>918</v>
      </c>
      <c r="J98" s="175">
        <v>12718</v>
      </c>
      <c r="K98" s="174">
        <v>46</v>
      </c>
      <c r="L98" s="171">
        <v>324</v>
      </c>
      <c r="M98" s="171">
        <v>173</v>
      </c>
      <c r="N98" s="171">
        <v>501</v>
      </c>
      <c r="O98" s="175">
        <v>7716</v>
      </c>
      <c r="P98" s="174">
        <v>40</v>
      </c>
      <c r="Q98" s="171">
        <v>556</v>
      </c>
      <c r="R98" s="171">
        <v>506</v>
      </c>
      <c r="S98" s="171">
        <v>1076</v>
      </c>
      <c r="T98" s="175">
        <v>29273</v>
      </c>
    </row>
    <row r="99" spans="1:20" x14ac:dyDescent="0.45">
      <c r="A99" s="174">
        <v>38</v>
      </c>
      <c r="B99" s="171">
        <v>206</v>
      </c>
      <c r="C99" s="171">
        <v>149</v>
      </c>
      <c r="D99" s="171">
        <v>358</v>
      </c>
      <c r="E99" s="175">
        <v>10833</v>
      </c>
      <c r="F99" s="174">
        <v>43</v>
      </c>
      <c r="G99" s="171">
        <v>680</v>
      </c>
      <c r="H99" s="171">
        <v>498</v>
      </c>
      <c r="I99" s="171">
        <v>1193</v>
      </c>
      <c r="J99" s="175">
        <v>13911</v>
      </c>
      <c r="K99" s="174">
        <v>45</v>
      </c>
      <c r="L99" s="171">
        <v>344</v>
      </c>
      <c r="M99" s="171">
        <v>162</v>
      </c>
      <c r="N99" s="171">
        <v>517</v>
      </c>
      <c r="O99" s="175">
        <v>8233</v>
      </c>
      <c r="P99" s="174">
        <v>39</v>
      </c>
      <c r="Q99" s="171">
        <v>1086</v>
      </c>
      <c r="R99" s="171">
        <v>893</v>
      </c>
      <c r="S99" s="171">
        <v>2002</v>
      </c>
      <c r="T99" s="175">
        <v>31275</v>
      </c>
    </row>
    <row r="100" spans="1:20" x14ac:dyDescent="0.45">
      <c r="A100" s="174">
        <v>37</v>
      </c>
      <c r="B100" s="171">
        <v>156</v>
      </c>
      <c r="C100" s="171">
        <v>148</v>
      </c>
      <c r="D100" s="171">
        <v>306</v>
      </c>
      <c r="E100" s="175">
        <v>11139</v>
      </c>
      <c r="F100" s="174">
        <v>42</v>
      </c>
      <c r="G100" s="171">
        <v>1396</v>
      </c>
      <c r="H100" s="171">
        <v>735</v>
      </c>
      <c r="I100" s="171">
        <v>2172</v>
      </c>
      <c r="J100" s="175">
        <v>16083</v>
      </c>
      <c r="K100" s="174">
        <v>44</v>
      </c>
      <c r="L100" s="171">
        <v>1105</v>
      </c>
      <c r="M100" s="171">
        <v>419</v>
      </c>
      <c r="N100" s="171">
        <v>1545</v>
      </c>
      <c r="O100" s="175">
        <v>9778</v>
      </c>
      <c r="P100" s="174">
        <v>38</v>
      </c>
      <c r="Q100" s="171">
        <v>1541</v>
      </c>
      <c r="R100" s="171">
        <v>929</v>
      </c>
      <c r="S100" s="171">
        <v>2527</v>
      </c>
      <c r="T100" s="175">
        <v>33802</v>
      </c>
    </row>
    <row r="101" spans="1:20" x14ac:dyDescent="0.45">
      <c r="A101" s="174">
        <v>36</v>
      </c>
      <c r="B101" s="171">
        <v>51</v>
      </c>
      <c r="C101" s="171">
        <v>41</v>
      </c>
      <c r="D101" s="171">
        <v>93</v>
      </c>
      <c r="E101" s="175">
        <v>11232</v>
      </c>
      <c r="F101" s="174">
        <v>41</v>
      </c>
      <c r="G101" s="171">
        <v>391</v>
      </c>
      <c r="H101" s="171">
        <v>278</v>
      </c>
      <c r="I101" s="171">
        <v>675</v>
      </c>
      <c r="J101" s="175">
        <v>16758</v>
      </c>
      <c r="K101" s="174">
        <v>43</v>
      </c>
      <c r="L101" s="171">
        <v>280</v>
      </c>
      <c r="M101" s="171">
        <v>187</v>
      </c>
      <c r="N101" s="171">
        <v>472</v>
      </c>
      <c r="O101" s="175">
        <v>10250</v>
      </c>
      <c r="P101" s="174">
        <v>37</v>
      </c>
      <c r="Q101" s="171">
        <v>178</v>
      </c>
      <c r="R101" s="171">
        <v>164</v>
      </c>
      <c r="S101" s="171">
        <v>344</v>
      </c>
      <c r="T101" s="175">
        <v>34146</v>
      </c>
    </row>
    <row r="102" spans="1:20" x14ac:dyDescent="0.45">
      <c r="A102" s="174">
        <v>35</v>
      </c>
      <c r="B102" s="171">
        <v>29</v>
      </c>
      <c r="C102" s="171">
        <v>12</v>
      </c>
      <c r="D102" s="171">
        <v>42</v>
      </c>
      <c r="E102" s="175">
        <v>11274</v>
      </c>
      <c r="F102" s="174">
        <v>40</v>
      </c>
      <c r="G102" s="171">
        <v>243</v>
      </c>
      <c r="H102" s="171">
        <v>229</v>
      </c>
      <c r="I102" s="171">
        <v>476</v>
      </c>
      <c r="J102" s="175">
        <v>17234</v>
      </c>
      <c r="K102" s="174">
        <v>42</v>
      </c>
      <c r="L102" s="171">
        <v>489</v>
      </c>
      <c r="M102" s="171">
        <v>234</v>
      </c>
      <c r="N102" s="171">
        <v>741</v>
      </c>
      <c r="O102" s="175">
        <v>10991</v>
      </c>
      <c r="P102" s="174">
        <v>36</v>
      </c>
      <c r="Q102" s="171">
        <v>325</v>
      </c>
      <c r="R102" s="171">
        <v>222</v>
      </c>
      <c r="S102" s="171">
        <v>552</v>
      </c>
      <c r="T102" s="175">
        <v>34698</v>
      </c>
    </row>
    <row r="103" spans="1:20" x14ac:dyDescent="0.45">
      <c r="A103" s="174">
        <v>34</v>
      </c>
      <c r="B103" s="171">
        <v>45</v>
      </c>
      <c r="C103" s="171">
        <v>18</v>
      </c>
      <c r="D103" s="171">
        <v>64</v>
      </c>
      <c r="E103" s="175">
        <v>11338</v>
      </c>
      <c r="F103" s="174">
        <v>39</v>
      </c>
      <c r="G103" s="171">
        <v>263</v>
      </c>
      <c r="H103" s="171">
        <v>224</v>
      </c>
      <c r="I103" s="171">
        <v>489</v>
      </c>
      <c r="J103" s="175">
        <v>17723</v>
      </c>
      <c r="K103" s="174">
        <v>41</v>
      </c>
      <c r="L103" s="171">
        <v>399</v>
      </c>
      <c r="M103" s="171">
        <v>172</v>
      </c>
      <c r="N103" s="171">
        <v>578</v>
      </c>
      <c r="O103" s="175">
        <v>11569</v>
      </c>
      <c r="P103" s="174">
        <v>35</v>
      </c>
      <c r="Q103" s="171">
        <v>122</v>
      </c>
      <c r="R103" s="171">
        <v>96</v>
      </c>
      <c r="S103" s="171">
        <v>220</v>
      </c>
      <c r="T103" s="175">
        <v>34918</v>
      </c>
    </row>
    <row r="104" spans="1:20" x14ac:dyDescent="0.45">
      <c r="A104" s="174">
        <v>33</v>
      </c>
      <c r="B104" s="171">
        <v>25</v>
      </c>
      <c r="C104" s="171">
        <v>7</v>
      </c>
      <c r="D104" s="171">
        <v>32</v>
      </c>
      <c r="E104" s="175">
        <v>11370</v>
      </c>
      <c r="F104" s="174">
        <v>38</v>
      </c>
      <c r="G104" s="171">
        <v>137</v>
      </c>
      <c r="H104" s="171">
        <v>107</v>
      </c>
      <c r="I104" s="171">
        <v>247</v>
      </c>
      <c r="J104" s="175">
        <v>17970</v>
      </c>
      <c r="K104" s="174">
        <v>40</v>
      </c>
      <c r="L104" s="171">
        <v>299</v>
      </c>
      <c r="M104" s="171">
        <v>136</v>
      </c>
      <c r="N104" s="171">
        <v>442</v>
      </c>
      <c r="O104" s="175">
        <v>12011</v>
      </c>
      <c r="P104" s="174">
        <v>34</v>
      </c>
      <c r="Q104" s="171">
        <v>97</v>
      </c>
      <c r="R104" s="171">
        <v>59</v>
      </c>
      <c r="S104" s="171">
        <v>158</v>
      </c>
      <c r="T104" s="175">
        <v>35076</v>
      </c>
    </row>
    <row r="105" spans="1:20" x14ac:dyDescent="0.45">
      <c r="A105" s="174"/>
      <c r="B105" s="171"/>
      <c r="C105" s="171"/>
      <c r="D105" s="171"/>
      <c r="E105" s="175"/>
      <c r="F105" s="174">
        <v>37</v>
      </c>
      <c r="G105" s="171">
        <v>156</v>
      </c>
      <c r="H105" s="171">
        <v>138</v>
      </c>
      <c r="I105" s="171">
        <v>297</v>
      </c>
      <c r="J105" s="175">
        <v>18267</v>
      </c>
      <c r="K105" s="174">
        <v>39</v>
      </c>
      <c r="L105" s="171">
        <v>588</v>
      </c>
      <c r="M105" s="171">
        <v>224</v>
      </c>
      <c r="N105" s="171">
        <v>825</v>
      </c>
      <c r="O105" s="175">
        <v>12836</v>
      </c>
      <c r="P105" s="174">
        <v>33</v>
      </c>
      <c r="Q105" s="171">
        <v>97</v>
      </c>
      <c r="R105" s="171">
        <v>73</v>
      </c>
      <c r="S105" s="171">
        <v>173</v>
      </c>
      <c r="T105" s="175">
        <v>35249</v>
      </c>
    </row>
    <row r="106" spans="1:20" x14ac:dyDescent="0.45">
      <c r="A106" s="174"/>
      <c r="B106" s="171"/>
      <c r="C106" s="171"/>
      <c r="D106" s="171"/>
      <c r="E106" s="175"/>
      <c r="F106" s="174">
        <v>36</v>
      </c>
      <c r="G106" s="171">
        <v>83</v>
      </c>
      <c r="H106" s="171">
        <v>52</v>
      </c>
      <c r="I106" s="171">
        <v>137</v>
      </c>
      <c r="J106" s="175">
        <v>18404</v>
      </c>
      <c r="K106" s="178">
        <v>38</v>
      </c>
      <c r="L106" s="171">
        <v>135</v>
      </c>
      <c r="M106" s="171">
        <v>63</v>
      </c>
      <c r="N106" s="171">
        <v>199</v>
      </c>
      <c r="O106" s="175">
        <v>13035</v>
      </c>
      <c r="P106" s="174">
        <v>32</v>
      </c>
      <c r="Q106" s="171">
        <v>34</v>
      </c>
      <c r="R106" s="171">
        <v>32</v>
      </c>
      <c r="S106" s="171">
        <v>67</v>
      </c>
      <c r="T106" s="175">
        <v>35316</v>
      </c>
    </row>
    <row r="107" spans="1:20" x14ac:dyDescent="0.45">
      <c r="A107" s="174"/>
      <c r="B107" s="171"/>
      <c r="C107" s="171"/>
      <c r="D107" s="171"/>
      <c r="E107" s="175"/>
      <c r="F107" s="174">
        <v>35</v>
      </c>
      <c r="G107" s="171">
        <v>40</v>
      </c>
      <c r="H107" s="171">
        <v>48</v>
      </c>
      <c r="I107" s="171">
        <v>92</v>
      </c>
      <c r="J107" s="175">
        <v>18496</v>
      </c>
      <c r="K107" s="178">
        <v>37</v>
      </c>
      <c r="L107" s="171">
        <v>161</v>
      </c>
      <c r="M107" s="171">
        <v>68</v>
      </c>
      <c r="N107" s="171">
        <v>230</v>
      </c>
      <c r="O107" s="175">
        <v>13265</v>
      </c>
      <c r="P107" s="174"/>
      <c r="Q107" s="171"/>
      <c r="R107" s="171"/>
      <c r="S107" s="171"/>
      <c r="T107" s="175"/>
    </row>
    <row r="108" spans="1:20" x14ac:dyDescent="0.45">
      <c r="A108" s="174"/>
      <c r="B108" s="171"/>
      <c r="C108" s="171"/>
      <c r="D108" s="171"/>
      <c r="E108" s="175"/>
      <c r="F108" s="174">
        <v>34</v>
      </c>
      <c r="G108" s="171">
        <v>78</v>
      </c>
      <c r="H108" s="171">
        <v>36</v>
      </c>
      <c r="I108" s="171">
        <v>117</v>
      </c>
      <c r="J108" s="175">
        <v>18613</v>
      </c>
      <c r="K108" s="178">
        <v>36</v>
      </c>
      <c r="L108" s="171">
        <v>78</v>
      </c>
      <c r="M108" s="171">
        <v>29</v>
      </c>
      <c r="N108" s="171">
        <v>110</v>
      </c>
      <c r="O108" s="175">
        <v>13375</v>
      </c>
      <c r="P108" s="174"/>
      <c r="Q108" s="171"/>
      <c r="R108" s="171"/>
      <c r="S108" s="171"/>
      <c r="T108" s="175"/>
    </row>
    <row r="109" spans="1:20" x14ac:dyDescent="0.45">
      <c r="A109" s="190"/>
      <c r="B109" s="171"/>
      <c r="C109" s="171"/>
      <c r="D109" s="171"/>
      <c r="E109" s="191"/>
      <c r="F109" s="174">
        <v>33</v>
      </c>
      <c r="G109" s="171">
        <v>22</v>
      </c>
      <c r="H109" s="171">
        <v>16</v>
      </c>
      <c r="I109" s="171">
        <v>39</v>
      </c>
      <c r="J109" s="175">
        <v>18652</v>
      </c>
      <c r="K109" s="178">
        <v>35</v>
      </c>
      <c r="L109" s="171">
        <v>59</v>
      </c>
      <c r="M109" s="171">
        <v>20</v>
      </c>
      <c r="N109" s="171">
        <v>80</v>
      </c>
      <c r="O109" s="175">
        <v>13455</v>
      </c>
      <c r="P109" s="174"/>
      <c r="Q109" s="171"/>
      <c r="R109" s="171"/>
      <c r="S109" s="171"/>
      <c r="T109" s="175"/>
    </row>
    <row r="110" spans="1:20" x14ac:dyDescent="0.45">
      <c r="A110" s="190"/>
      <c r="B110" s="171"/>
      <c r="C110" s="171"/>
      <c r="D110" s="171"/>
      <c r="E110" s="175"/>
      <c r="F110" s="174"/>
      <c r="G110" s="171"/>
      <c r="H110" s="171"/>
      <c r="I110" s="171"/>
      <c r="J110" s="175"/>
      <c r="K110" s="174">
        <v>34</v>
      </c>
      <c r="L110" s="171">
        <v>55</v>
      </c>
      <c r="M110" s="171">
        <v>25</v>
      </c>
      <c r="N110" s="171">
        <v>81</v>
      </c>
      <c r="O110" s="175">
        <v>13536</v>
      </c>
      <c r="P110" s="174"/>
      <c r="Q110" s="171"/>
      <c r="R110" s="171"/>
      <c r="S110" s="171"/>
      <c r="T110" s="175"/>
    </row>
    <row r="111" spans="1:20" x14ac:dyDescent="0.45">
      <c r="A111" s="190"/>
      <c r="B111" s="171"/>
      <c r="C111" s="171"/>
      <c r="D111" s="171"/>
      <c r="E111" s="175"/>
      <c r="F111" s="190"/>
      <c r="G111" s="171"/>
      <c r="H111" s="171"/>
      <c r="I111" s="171"/>
      <c r="J111" s="175"/>
      <c r="K111" s="174">
        <v>32</v>
      </c>
      <c r="L111" s="171">
        <v>23</v>
      </c>
      <c r="M111" s="171">
        <v>7</v>
      </c>
      <c r="N111" s="171">
        <v>31</v>
      </c>
      <c r="O111" s="175">
        <v>13567</v>
      </c>
      <c r="P111" s="174"/>
      <c r="Q111" s="171"/>
      <c r="R111" s="171"/>
      <c r="S111" s="171"/>
      <c r="T111" s="175"/>
    </row>
    <row r="118" spans="1:5" ht="17.5" thickBot="1" x14ac:dyDescent="0.5"/>
    <row r="119" spans="1:5" x14ac:dyDescent="0.45">
      <c r="A119" s="45" t="s">
        <v>16</v>
      </c>
      <c r="B119" s="46"/>
      <c r="C119" s="46"/>
      <c r="D119" s="47"/>
    </row>
    <row r="120" spans="1:5" ht="17.5" thickBot="1" x14ac:dyDescent="0.5">
      <c r="A120" s="6" t="s">
        <v>6</v>
      </c>
      <c r="B120" s="1"/>
      <c r="C120" s="1"/>
      <c r="D120" s="7" t="s">
        <v>7</v>
      </c>
    </row>
    <row r="121" spans="1:5" ht="17.5" thickTop="1" x14ac:dyDescent="0.45">
      <c r="A121" s="179">
        <v>72</v>
      </c>
      <c r="B121" s="177">
        <v>447</v>
      </c>
      <c r="C121" s="177">
        <v>802</v>
      </c>
      <c r="D121" s="177">
        <v>1258</v>
      </c>
      <c r="E121" s="184">
        <v>1258</v>
      </c>
    </row>
    <row r="122" spans="1:5" x14ac:dyDescent="0.45">
      <c r="A122" s="174">
        <v>71</v>
      </c>
      <c r="B122" s="171">
        <v>145</v>
      </c>
      <c r="C122" s="171">
        <v>376</v>
      </c>
      <c r="D122" s="171">
        <v>526</v>
      </c>
      <c r="E122" s="175">
        <v>1784</v>
      </c>
    </row>
    <row r="123" spans="1:5" x14ac:dyDescent="0.45">
      <c r="A123" s="174">
        <v>70</v>
      </c>
      <c r="B123" s="171">
        <v>385</v>
      </c>
      <c r="C123" s="171">
        <v>861</v>
      </c>
      <c r="D123" s="171">
        <v>1257</v>
      </c>
      <c r="E123" s="175">
        <v>3041</v>
      </c>
    </row>
    <row r="124" spans="1:5" x14ac:dyDescent="0.45">
      <c r="A124" s="174">
        <v>69</v>
      </c>
      <c r="B124" s="171">
        <v>41</v>
      </c>
      <c r="C124" s="171">
        <v>120</v>
      </c>
      <c r="D124" s="171">
        <v>161</v>
      </c>
      <c r="E124" s="175">
        <v>3202</v>
      </c>
    </row>
    <row r="125" spans="1:5" x14ac:dyDescent="0.45">
      <c r="A125" s="174">
        <v>68</v>
      </c>
      <c r="B125" s="171">
        <v>275</v>
      </c>
      <c r="C125" s="171">
        <v>635</v>
      </c>
      <c r="D125" s="171">
        <v>920</v>
      </c>
      <c r="E125" s="175">
        <v>4122</v>
      </c>
    </row>
    <row r="126" spans="1:5" x14ac:dyDescent="0.45">
      <c r="A126" s="174">
        <v>67</v>
      </c>
      <c r="B126" s="171">
        <v>421</v>
      </c>
      <c r="C126" s="171">
        <v>885</v>
      </c>
      <c r="D126" s="171">
        <v>1317</v>
      </c>
      <c r="E126" s="175">
        <v>5439</v>
      </c>
    </row>
    <row r="127" spans="1:5" x14ac:dyDescent="0.45">
      <c r="A127" s="174">
        <v>66</v>
      </c>
      <c r="B127" s="171">
        <v>289</v>
      </c>
      <c r="C127" s="171">
        <v>672</v>
      </c>
      <c r="D127" s="171">
        <v>970</v>
      </c>
      <c r="E127" s="175">
        <v>6409</v>
      </c>
    </row>
    <row r="128" spans="1:5" x14ac:dyDescent="0.45">
      <c r="A128" s="174">
        <v>65</v>
      </c>
      <c r="B128" s="171">
        <v>170</v>
      </c>
      <c r="C128" s="171">
        <v>434</v>
      </c>
      <c r="D128" s="171">
        <v>609</v>
      </c>
      <c r="E128" s="175">
        <v>7018</v>
      </c>
    </row>
    <row r="129" spans="1:5" x14ac:dyDescent="0.45">
      <c r="A129" s="174">
        <v>64</v>
      </c>
      <c r="B129" s="171">
        <v>241</v>
      </c>
      <c r="C129" s="171">
        <v>529</v>
      </c>
      <c r="D129" s="171">
        <v>775</v>
      </c>
      <c r="E129" s="175">
        <v>7793</v>
      </c>
    </row>
    <row r="130" spans="1:5" x14ac:dyDescent="0.45">
      <c r="A130" s="174">
        <v>63</v>
      </c>
      <c r="B130" s="171">
        <v>437</v>
      </c>
      <c r="C130" s="171">
        <v>1082</v>
      </c>
      <c r="D130" s="171">
        <v>1531</v>
      </c>
      <c r="E130" s="175">
        <v>9324</v>
      </c>
    </row>
    <row r="131" spans="1:5" x14ac:dyDescent="0.45">
      <c r="A131" s="174">
        <v>62</v>
      </c>
      <c r="B131" s="171">
        <v>265</v>
      </c>
      <c r="C131" s="171">
        <v>593</v>
      </c>
      <c r="D131" s="171">
        <v>864</v>
      </c>
      <c r="E131" s="175">
        <v>10188</v>
      </c>
    </row>
    <row r="132" spans="1:5" x14ac:dyDescent="0.45">
      <c r="A132" s="174">
        <v>61</v>
      </c>
      <c r="B132" s="171">
        <v>221</v>
      </c>
      <c r="C132" s="171">
        <v>571</v>
      </c>
      <c r="D132" s="171">
        <v>800</v>
      </c>
      <c r="E132" s="175">
        <v>10988</v>
      </c>
    </row>
    <row r="133" spans="1:5" x14ac:dyDescent="0.45">
      <c r="A133" s="174">
        <v>60</v>
      </c>
      <c r="B133" s="171">
        <v>247</v>
      </c>
      <c r="C133" s="171">
        <v>606</v>
      </c>
      <c r="D133" s="171">
        <v>859</v>
      </c>
      <c r="E133" s="175">
        <v>11847</v>
      </c>
    </row>
    <row r="134" spans="1:5" x14ac:dyDescent="0.45">
      <c r="A134" s="174">
        <v>59</v>
      </c>
      <c r="B134" s="171">
        <v>567</v>
      </c>
      <c r="C134" s="171">
        <v>1291</v>
      </c>
      <c r="D134" s="171">
        <v>1875</v>
      </c>
      <c r="E134" s="175">
        <v>13722</v>
      </c>
    </row>
    <row r="135" spans="1:5" x14ac:dyDescent="0.45">
      <c r="A135" s="174">
        <v>58</v>
      </c>
      <c r="B135" s="171">
        <v>307</v>
      </c>
      <c r="C135" s="171">
        <v>718</v>
      </c>
      <c r="D135" s="171">
        <v>1034</v>
      </c>
      <c r="E135" s="175">
        <v>14756</v>
      </c>
    </row>
    <row r="136" spans="1:5" x14ac:dyDescent="0.45">
      <c r="A136" s="174">
        <v>57</v>
      </c>
      <c r="B136" s="171">
        <v>301</v>
      </c>
      <c r="C136" s="171">
        <v>742</v>
      </c>
      <c r="D136" s="171">
        <v>1048</v>
      </c>
      <c r="E136" s="175">
        <v>15804</v>
      </c>
    </row>
    <row r="137" spans="1:5" x14ac:dyDescent="0.45">
      <c r="A137" s="174">
        <v>56</v>
      </c>
      <c r="B137" s="171">
        <v>337</v>
      </c>
      <c r="C137" s="171">
        <v>722</v>
      </c>
      <c r="D137" s="171">
        <v>1073</v>
      </c>
      <c r="E137" s="175">
        <v>16877</v>
      </c>
    </row>
    <row r="138" spans="1:5" x14ac:dyDescent="0.45">
      <c r="A138" s="174">
        <v>55</v>
      </c>
      <c r="B138" s="171">
        <v>700</v>
      </c>
      <c r="C138" s="171">
        <v>1702</v>
      </c>
      <c r="D138" s="171">
        <v>2425</v>
      </c>
      <c r="E138" s="175">
        <v>19302</v>
      </c>
    </row>
    <row r="139" spans="1:5" x14ac:dyDescent="0.45">
      <c r="A139" s="174">
        <v>54</v>
      </c>
      <c r="B139" s="171">
        <v>359</v>
      </c>
      <c r="C139" s="171">
        <v>999</v>
      </c>
      <c r="D139" s="171">
        <v>1374</v>
      </c>
      <c r="E139" s="175">
        <v>20676</v>
      </c>
    </row>
    <row r="140" spans="1:5" x14ac:dyDescent="0.45">
      <c r="A140" s="174">
        <v>53</v>
      </c>
      <c r="B140" s="171">
        <v>363</v>
      </c>
      <c r="C140" s="171">
        <v>929</v>
      </c>
      <c r="D140" s="171">
        <v>1300</v>
      </c>
      <c r="E140" s="175">
        <v>21976</v>
      </c>
    </row>
    <row r="141" spans="1:5" x14ac:dyDescent="0.45">
      <c r="A141" s="174">
        <v>52</v>
      </c>
      <c r="B141" s="171">
        <v>396</v>
      </c>
      <c r="C141" s="171">
        <v>998</v>
      </c>
      <c r="D141" s="171">
        <v>1405</v>
      </c>
      <c r="E141" s="175">
        <v>23381</v>
      </c>
    </row>
    <row r="142" spans="1:5" x14ac:dyDescent="0.45">
      <c r="A142" s="174">
        <v>51</v>
      </c>
      <c r="B142" s="171">
        <v>428</v>
      </c>
      <c r="C142" s="171">
        <v>1012</v>
      </c>
      <c r="D142" s="171">
        <v>1451</v>
      </c>
      <c r="E142" s="175">
        <v>24832</v>
      </c>
    </row>
    <row r="143" spans="1:5" x14ac:dyDescent="0.45">
      <c r="A143" s="174">
        <v>50</v>
      </c>
      <c r="B143" s="171">
        <v>925</v>
      </c>
      <c r="C143" s="171">
        <v>2092</v>
      </c>
      <c r="D143" s="171">
        <v>3042</v>
      </c>
      <c r="E143" s="175">
        <v>27874</v>
      </c>
    </row>
    <row r="144" spans="1:5" x14ac:dyDescent="0.45">
      <c r="A144" s="174">
        <v>49</v>
      </c>
      <c r="B144" s="171">
        <v>492</v>
      </c>
      <c r="C144" s="171">
        <v>1128</v>
      </c>
      <c r="D144" s="171">
        <v>1636</v>
      </c>
      <c r="E144" s="175">
        <v>29510</v>
      </c>
    </row>
    <row r="145" spans="1:5" x14ac:dyDescent="0.45">
      <c r="A145" s="174">
        <v>48</v>
      </c>
      <c r="B145" s="171">
        <v>560</v>
      </c>
      <c r="C145" s="171">
        <v>1174</v>
      </c>
      <c r="D145" s="171">
        <v>1748</v>
      </c>
      <c r="E145" s="175">
        <v>31258</v>
      </c>
    </row>
    <row r="146" spans="1:5" x14ac:dyDescent="0.45">
      <c r="A146" s="174">
        <v>47</v>
      </c>
      <c r="B146" s="171">
        <v>597</v>
      </c>
      <c r="C146" s="171">
        <v>1261</v>
      </c>
      <c r="D146" s="171">
        <v>1874</v>
      </c>
      <c r="E146" s="175">
        <v>33132</v>
      </c>
    </row>
    <row r="147" spans="1:5" x14ac:dyDescent="0.45">
      <c r="A147" s="174">
        <v>46</v>
      </c>
      <c r="B147" s="171">
        <v>1264</v>
      </c>
      <c r="C147" s="171">
        <v>2336</v>
      </c>
      <c r="D147" s="171">
        <v>3643</v>
      </c>
      <c r="E147" s="175">
        <v>36775</v>
      </c>
    </row>
    <row r="148" spans="1:5" x14ac:dyDescent="0.45">
      <c r="A148" s="174">
        <v>45</v>
      </c>
      <c r="B148" s="171">
        <v>671</v>
      </c>
      <c r="C148" s="171">
        <v>1215</v>
      </c>
      <c r="D148" s="171">
        <v>1905</v>
      </c>
      <c r="E148" s="175">
        <v>38680</v>
      </c>
    </row>
    <row r="149" spans="1:5" x14ac:dyDescent="0.45">
      <c r="A149" s="174">
        <v>44</v>
      </c>
      <c r="B149" s="171">
        <v>739</v>
      </c>
      <c r="C149" s="171">
        <v>1223</v>
      </c>
      <c r="D149" s="171">
        <v>1986</v>
      </c>
      <c r="E149" s="175">
        <v>40666</v>
      </c>
    </row>
    <row r="150" spans="1:5" x14ac:dyDescent="0.45">
      <c r="A150" s="174">
        <v>43</v>
      </c>
      <c r="B150" s="171">
        <v>1501</v>
      </c>
      <c r="C150" s="171">
        <v>2019</v>
      </c>
      <c r="D150" s="171">
        <v>3550</v>
      </c>
      <c r="E150" s="175">
        <v>44216</v>
      </c>
    </row>
    <row r="151" spans="1:5" x14ac:dyDescent="0.45">
      <c r="A151" s="174">
        <v>42</v>
      </c>
      <c r="B151" s="171">
        <v>1451</v>
      </c>
      <c r="C151" s="171">
        <v>2268</v>
      </c>
      <c r="D151" s="171">
        <v>3763</v>
      </c>
      <c r="E151" s="175">
        <v>47979</v>
      </c>
    </row>
    <row r="152" spans="1:5" x14ac:dyDescent="0.45">
      <c r="A152" s="174">
        <v>41</v>
      </c>
      <c r="B152" s="171">
        <v>781</v>
      </c>
      <c r="C152" s="171">
        <v>1014</v>
      </c>
      <c r="D152" s="171">
        <v>1807</v>
      </c>
      <c r="E152" s="175">
        <v>49786</v>
      </c>
    </row>
    <row r="153" spans="1:5" x14ac:dyDescent="0.45">
      <c r="A153" s="174">
        <v>40</v>
      </c>
      <c r="B153" s="171">
        <v>862</v>
      </c>
      <c r="C153" s="171">
        <v>1214</v>
      </c>
      <c r="D153" s="171">
        <v>2092</v>
      </c>
      <c r="E153" s="175">
        <v>51878</v>
      </c>
    </row>
    <row r="154" spans="1:5" x14ac:dyDescent="0.45">
      <c r="A154" s="174">
        <v>39</v>
      </c>
      <c r="B154" s="171">
        <v>541</v>
      </c>
      <c r="C154" s="171">
        <v>664</v>
      </c>
      <c r="D154" s="171">
        <v>1223</v>
      </c>
      <c r="E154" s="175">
        <v>53101</v>
      </c>
    </row>
    <row r="155" spans="1:5" x14ac:dyDescent="0.45">
      <c r="A155" s="174">
        <v>38</v>
      </c>
      <c r="B155" s="171">
        <v>2763</v>
      </c>
      <c r="C155" s="171">
        <v>2626</v>
      </c>
      <c r="D155" s="171">
        <v>5464</v>
      </c>
      <c r="E155" s="175">
        <v>58565</v>
      </c>
    </row>
    <row r="156" spans="1:5" x14ac:dyDescent="0.45">
      <c r="A156" s="174">
        <v>37</v>
      </c>
      <c r="B156" s="171">
        <v>229</v>
      </c>
      <c r="C156" s="171">
        <v>303</v>
      </c>
      <c r="D156" s="171">
        <v>539</v>
      </c>
      <c r="E156" s="175">
        <v>59104</v>
      </c>
    </row>
    <row r="157" spans="1:5" x14ac:dyDescent="0.45">
      <c r="A157" s="174">
        <v>36</v>
      </c>
      <c r="B157" s="171">
        <v>405</v>
      </c>
      <c r="C157" s="171">
        <v>433</v>
      </c>
      <c r="D157" s="171">
        <v>854</v>
      </c>
      <c r="E157" s="175">
        <v>59958</v>
      </c>
    </row>
    <row r="158" spans="1:5" x14ac:dyDescent="0.45">
      <c r="A158" s="174">
        <v>35</v>
      </c>
      <c r="B158" s="171">
        <v>164</v>
      </c>
      <c r="C158" s="171">
        <v>151</v>
      </c>
      <c r="D158" s="171">
        <v>318</v>
      </c>
      <c r="E158" s="175">
        <v>60276</v>
      </c>
    </row>
    <row r="159" spans="1:5" x14ac:dyDescent="0.45">
      <c r="A159" s="174">
        <v>34</v>
      </c>
      <c r="B159" s="171">
        <v>95</v>
      </c>
      <c r="C159" s="171">
        <v>122</v>
      </c>
      <c r="D159" s="171">
        <v>221</v>
      </c>
      <c r="E159" s="175">
        <v>60497</v>
      </c>
    </row>
    <row r="160" spans="1:5" x14ac:dyDescent="0.45">
      <c r="A160" s="174">
        <v>33</v>
      </c>
      <c r="B160" s="171">
        <v>170</v>
      </c>
      <c r="C160" s="171">
        <v>138</v>
      </c>
      <c r="D160" s="171">
        <v>312</v>
      </c>
      <c r="E160" s="175">
        <v>60809</v>
      </c>
    </row>
    <row r="161" spans="1:19" x14ac:dyDescent="0.45">
      <c r="A161" s="174">
        <v>32</v>
      </c>
      <c r="B161" s="171">
        <v>88</v>
      </c>
      <c r="C161" s="171">
        <v>84</v>
      </c>
      <c r="D161" s="171">
        <v>175</v>
      </c>
      <c r="E161" s="175">
        <v>60984</v>
      </c>
    </row>
    <row r="162" spans="1:19" x14ac:dyDescent="0.45">
      <c r="A162" s="6"/>
      <c r="B162" s="1"/>
      <c r="C162" s="1"/>
      <c r="D162" s="7"/>
    </row>
    <row r="163" spans="1:19" x14ac:dyDescent="0.45">
      <c r="A163" s="6"/>
      <c r="B163" s="1"/>
      <c r="C163" s="1"/>
      <c r="D163" s="7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5" t="s">
        <v>57</v>
      </c>
      <c r="B175" s="46"/>
      <c r="C175" s="46"/>
      <c r="D175" s="47"/>
      <c r="F175" s="45" t="s">
        <v>17</v>
      </c>
      <c r="G175" s="46"/>
      <c r="H175" s="46"/>
      <c r="I175" s="47"/>
      <c r="K175" s="45" t="s">
        <v>18</v>
      </c>
      <c r="L175" s="46"/>
      <c r="M175" s="46"/>
      <c r="N175" s="47"/>
      <c r="P175" s="45" t="s">
        <v>19</v>
      </c>
      <c r="Q175" s="46"/>
      <c r="R175" s="46"/>
      <c r="S175" s="47"/>
    </row>
    <row r="176" spans="1:19" ht="17.5" thickBot="1" x14ac:dyDescent="0.5">
      <c r="A176" s="6" t="s">
        <v>6</v>
      </c>
      <c r="B176" s="1"/>
      <c r="C176" s="1"/>
      <c r="D176" s="7" t="s">
        <v>7</v>
      </c>
      <c r="F176" s="6" t="s">
        <v>6</v>
      </c>
      <c r="G176" s="1"/>
      <c r="H176" s="1"/>
      <c r="I176" s="7" t="s">
        <v>7</v>
      </c>
      <c r="K176" s="6" t="s">
        <v>6</v>
      </c>
      <c r="L176" s="1"/>
      <c r="M176" s="1"/>
      <c r="N176" s="7" t="s">
        <v>7</v>
      </c>
      <c r="P176" s="6" t="s">
        <v>6</v>
      </c>
      <c r="Q176" s="1"/>
      <c r="R176" s="1"/>
      <c r="S176" s="7" t="s">
        <v>7</v>
      </c>
    </row>
    <row r="177" spans="1:20" ht="17.5" thickTop="1" x14ac:dyDescent="0.45">
      <c r="A177" s="179">
        <v>71</v>
      </c>
      <c r="B177" s="177">
        <v>1018</v>
      </c>
      <c r="C177" s="177">
        <v>124</v>
      </c>
      <c r="D177" s="177">
        <v>1151</v>
      </c>
      <c r="E177" s="184">
        <v>1151</v>
      </c>
      <c r="F177" s="179">
        <v>75</v>
      </c>
      <c r="G177" s="177">
        <v>886</v>
      </c>
      <c r="H177" s="177">
        <v>338</v>
      </c>
      <c r="I177" s="177">
        <v>1233</v>
      </c>
      <c r="J177" s="184">
        <v>1233</v>
      </c>
      <c r="K177" s="179">
        <v>73</v>
      </c>
      <c r="L177" s="177">
        <v>1014</v>
      </c>
      <c r="M177" s="177">
        <v>702</v>
      </c>
      <c r="N177" s="177">
        <v>1733</v>
      </c>
      <c r="O177" s="184">
        <v>1733</v>
      </c>
      <c r="P177" s="179">
        <v>73</v>
      </c>
      <c r="Q177" s="177">
        <v>668</v>
      </c>
      <c r="R177" s="177">
        <v>284</v>
      </c>
      <c r="S177" s="177">
        <v>960</v>
      </c>
      <c r="T177" s="184">
        <v>960</v>
      </c>
    </row>
    <row r="178" spans="1:20" x14ac:dyDescent="0.45">
      <c r="A178" s="174">
        <v>70</v>
      </c>
      <c r="B178" s="171">
        <v>231</v>
      </c>
      <c r="C178" s="171">
        <v>37</v>
      </c>
      <c r="D178" s="171">
        <v>268</v>
      </c>
      <c r="E178" s="175">
        <v>1419</v>
      </c>
      <c r="F178" s="174">
        <v>73</v>
      </c>
      <c r="G178" s="171">
        <v>298</v>
      </c>
      <c r="H178" s="171">
        <v>128</v>
      </c>
      <c r="I178" s="171">
        <v>431</v>
      </c>
      <c r="J178" s="175">
        <v>1664</v>
      </c>
      <c r="K178" s="174">
        <v>72</v>
      </c>
      <c r="L178" s="171">
        <v>462</v>
      </c>
      <c r="M178" s="171">
        <v>354</v>
      </c>
      <c r="N178" s="171">
        <v>823</v>
      </c>
      <c r="O178" s="175">
        <v>2556</v>
      </c>
      <c r="P178" s="174">
        <v>71</v>
      </c>
      <c r="Q178" s="171">
        <v>215</v>
      </c>
      <c r="R178" s="171">
        <v>103</v>
      </c>
      <c r="S178" s="171">
        <v>322</v>
      </c>
      <c r="T178" s="175">
        <v>1282</v>
      </c>
    </row>
    <row r="179" spans="1:20" x14ac:dyDescent="0.45">
      <c r="A179" s="174">
        <v>69</v>
      </c>
      <c r="B179" s="171">
        <v>1061</v>
      </c>
      <c r="C179" s="171">
        <v>192</v>
      </c>
      <c r="D179" s="171">
        <v>1260</v>
      </c>
      <c r="E179" s="175">
        <v>2679</v>
      </c>
      <c r="F179" s="174">
        <v>72</v>
      </c>
      <c r="G179" s="171">
        <v>615</v>
      </c>
      <c r="H179" s="171">
        <v>354</v>
      </c>
      <c r="I179" s="171">
        <v>977</v>
      </c>
      <c r="J179" s="175">
        <v>2641</v>
      </c>
      <c r="K179" s="174">
        <v>71</v>
      </c>
      <c r="L179" s="171">
        <v>876</v>
      </c>
      <c r="M179" s="171">
        <v>802</v>
      </c>
      <c r="N179" s="171">
        <v>1692</v>
      </c>
      <c r="O179" s="175">
        <v>4248</v>
      </c>
      <c r="P179" s="174">
        <v>70</v>
      </c>
      <c r="Q179" s="171">
        <v>1123</v>
      </c>
      <c r="R179" s="171">
        <v>562</v>
      </c>
      <c r="S179" s="171">
        <v>1704</v>
      </c>
      <c r="T179" s="175">
        <v>2986</v>
      </c>
    </row>
    <row r="180" spans="1:20" x14ac:dyDescent="0.45">
      <c r="A180" s="174">
        <v>68</v>
      </c>
      <c r="B180" s="171">
        <v>46</v>
      </c>
      <c r="C180" s="171">
        <v>10</v>
      </c>
      <c r="D180" s="171">
        <v>56</v>
      </c>
      <c r="E180" s="175">
        <v>2735</v>
      </c>
      <c r="F180" s="174">
        <v>71</v>
      </c>
      <c r="G180" s="171">
        <v>84</v>
      </c>
      <c r="H180" s="171">
        <v>24</v>
      </c>
      <c r="I180" s="171">
        <v>108</v>
      </c>
      <c r="J180" s="175">
        <v>2749</v>
      </c>
      <c r="K180" s="174">
        <v>70</v>
      </c>
      <c r="L180" s="171">
        <v>104</v>
      </c>
      <c r="M180" s="171">
        <v>118</v>
      </c>
      <c r="N180" s="171">
        <v>227</v>
      </c>
      <c r="O180" s="175">
        <v>4475</v>
      </c>
      <c r="P180" s="174">
        <v>69</v>
      </c>
      <c r="Q180" s="171">
        <v>55</v>
      </c>
      <c r="R180" s="171">
        <v>37</v>
      </c>
      <c r="S180" s="171">
        <v>93</v>
      </c>
      <c r="T180" s="175">
        <v>3079</v>
      </c>
    </row>
    <row r="181" spans="1:20" x14ac:dyDescent="0.45">
      <c r="A181" s="174">
        <v>67</v>
      </c>
      <c r="B181" s="171">
        <v>1486</v>
      </c>
      <c r="C181" s="171">
        <v>309</v>
      </c>
      <c r="D181" s="171">
        <v>1809</v>
      </c>
      <c r="E181" s="175">
        <v>4544</v>
      </c>
      <c r="F181" s="174">
        <v>70</v>
      </c>
      <c r="G181" s="171">
        <v>938</v>
      </c>
      <c r="H181" s="171">
        <v>562</v>
      </c>
      <c r="I181" s="171">
        <v>1513</v>
      </c>
      <c r="J181" s="175">
        <v>4262</v>
      </c>
      <c r="K181" s="174">
        <v>69</v>
      </c>
      <c r="L181" s="171">
        <v>788</v>
      </c>
      <c r="M181" s="171">
        <v>680</v>
      </c>
      <c r="N181" s="171">
        <v>1479</v>
      </c>
      <c r="O181" s="175">
        <v>5954</v>
      </c>
      <c r="P181" s="174">
        <v>68</v>
      </c>
      <c r="Q181" s="171">
        <v>1653</v>
      </c>
      <c r="R181" s="171">
        <v>982</v>
      </c>
      <c r="S181" s="171">
        <v>2660</v>
      </c>
      <c r="T181" s="175">
        <v>5739</v>
      </c>
    </row>
    <row r="182" spans="1:20" x14ac:dyDescent="0.45">
      <c r="A182" s="174">
        <v>66</v>
      </c>
      <c r="B182" s="171">
        <v>173</v>
      </c>
      <c r="C182" s="171">
        <v>28</v>
      </c>
      <c r="D182" s="171">
        <v>204</v>
      </c>
      <c r="E182" s="175">
        <v>4748</v>
      </c>
      <c r="F182" s="174">
        <v>69</v>
      </c>
      <c r="G182" s="171">
        <v>157</v>
      </c>
      <c r="H182" s="171">
        <v>63</v>
      </c>
      <c r="I182" s="171">
        <v>221</v>
      </c>
      <c r="J182" s="175">
        <v>4483</v>
      </c>
      <c r="K182" s="174">
        <v>68</v>
      </c>
      <c r="L182" s="171">
        <v>578</v>
      </c>
      <c r="M182" s="171">
        <v>588</v>
      </c>
      <c r="N182" s="171">
        <v>1178</v>
      </c>
      <c r="O182" s="175">
        <v>7132</v>
      </c>
      <c r="P182" s="174">
        <v>67</v>
      </c>
      <c r="Q182" s="171">
        <v>323</v>
      </c>
      <c r="R182" s="171">
        <v>179</v>
      </c>
      <c r="S182" s="171">
        <v>509</v>
      </c>
      <c r="T182" s="175">
        <v>6248</v>
      </c>
    </row>
    <row r="183" spans="1:20" x14ac:dyDescent="0.45">
      <c r="A183" s="174">
        <v>65</v>
      </c>
      <c r="B183" s="171">
        <v>737</v>
      </c>
      <c r="C183" s="171">
        <v>183</v>
      </c>
      <c r="D183" s="171">
        <v>931</v>
      </c>
      <c r="E183" s="175">
        <v>5679</v>
      </c>
      <c r="F183" s="174">
        <v>68</v>
      </c>
      <c r="G183" s="171">
        <v>562</v>
      </c>
      <c r="H183" s="171">
        <v>327</v>
      </c>
      <c r="I183" s="171">
        <v>894</v>
      </c>
      <c r="J183" s="175">
        <v>5377</v>
      </c>
      <c r="K183" s="174">
        <v>67</v>
      </c>
      <c r="L183" s="171">
        <v>432</v>
      </c>
      <c r="M183" s="171">
        <v>415</v>
      </c>
      <c r="N183" s="171">
        <v>857</v>
      </c>
      <c r="O183" s="175">
        <v>7989</v>
      </c>
      <c r="P183" s="174">
        <v>66</v>
      </c>
      <c r="Q183" s="171">
        <v>952</v>
      </c>
      <c r="R183" s="171">
        <v>591</v>
      </c>
      <c r="S183" s="171">
        <v>1562</v>
      </c>
      <c r="T183" s="175">
        <v>7810</v>
      </c>
    </row>
    <row r="184" spans="1:20" x14ac:dyDescent="0.45">
      <c r="A184" s="174">
        <v>64</v>
      </c>
      <c r="B184" s="171">
        <v>739</v>
      </c>
      <c r="C184" s="171">
        <v>201</v>
      </c>
      <c r="D184" s="171">
        <v>952</v>
      </c>
      <c r="E184" s="175">
        <v>6631</v>
      </c>
      <c r="F184" s="174">
        <v>67</v>
      </c>
      <c r="G184" s="171">
        <v>507</v>
      </c>
      <c r="H184" s="171">
        <v>360</v>
      </c>
      <c r="I184" s="171">
        <v>876</v>
      </c>
      <c r="J184" s="175">
        <v>6253</v>
      </c>
      <c r="K184" s="174">
        <v>66</v>
      </c>
      <c r="L184" s="171">
        <v>1364</v>
      </c>
      <c r="M184" s="171">
        <v>1518</v>
      </c>
      <c r="N184" s="171">
        <v>2915</v>
      </c>
      <c r="O184" s="175">
        <v>10904</v>
      </c>
      <c r="P184" s="174">
        <v>65</v>
      </c>
      <c r="Q184" s="171">
        <v>756</v>
      </c>
      <c r="R184" s="171">
        <v>500</v>
      </c>
      <c r="S184" s="171">
        <v>1270</v>
      </c>
      <c r="T184" s="175">
        <v>9080</v>
      </c>
    </row>
    <row r="185" spans="1:20" x14ac:dyDescent="0.45">
      <c r="A185" s="174">
        <v>63</v>
      </c>
      <c r="B185" s="171">
        <v>1137</v>
      </c>
      <c r="C185" s="171">
        <v>302</v>
      </c>
      <c r="D185" s="171">
        <v>1462</v>
      </c>
      <c r="E185" s="175">
        <v>8093</v>
      </c>
      <c r="F185" s="174">
        <v>66</v>
      </c>
      <c r="G185" s="171">
        <v>266</v>
      </c>
      <c r="H185" s="171">
        <v>166</v>
      </c>
      <c r="I185" s="171">
        <v>436</v>
      </c>
      <c r="J185" s="175">
        <v>6689</v>
      </c>
      <c r="K185" s="174">
        <v>65</v>
      </c>
      <c r="L185" s="171">
        <v>701</v>
      </c>
      <c r="M185" s="171">
        <v>722</v>
      </c>
      <c r="N185" s="171">
        <v>1441</v>
      </c>
      <c r="O185" s="175">
        <v>12345</v>
      </c>
      <c r="P185" s="174">
        <v>64</v>
      </c>
      <c r="Q185" s="171">
        <v>633</v>
      </c>
      <c r="R185" s="171">
        <v>416</v>
      </c>
      <c r="S185" s="171">
        <v>1057</v>
      </c>
      <c r="T185" s="175">
        <v>10137</v>
      </c>
    </row>
    <row r="186" spans="1:20" x14ac:dyDescent="0.45">
      <c r="A186" s="174">
        <v>62</v>
      </c>
      <c r="B186" s="171">
        <v>690</v>
      </c>
      <c r="C186" s="171">
        <v>175</v>
      </c>
      <c r="D186" s="171">
        <v>874</v>
      </c>
      <c r="E186" s="175">
        <v>8967</v>
      </c>
      <c r="F186" s="174">
        <v>65</v>
      </c>
      <c r="G186" s="171">
        <v>609</v>
      </c>
      <c r="H186" s="171">
        <v>414</v>
      </c>
      <c r="I186" s="171">
        <v>1033</v>
      </c>
      <c r="J186" s="175">
        <v>7722</v>
      </c>
      <c r="K186" s="174">
        <v>64</v>
      </c>
      <c r="L186" s="171">
        <v>765</v>
      </c>
      <c r="M186" s="171">
        <v>928</v>
      </c>
      <c r="N186" s="171">
        <v>1715</v>
      </c>
      <c r="O186" s="175">
        <v>14060</v>
      </c>
      <c r="P186" s="174">
        <v>63</v>
      </c>
      <c r="Q186" s="171">
        <v>1746</v>
      </c>
      <c r="R186" s="171">
        <v>1229</v>
      </c>
      <c r="S186" s="171">
        <v>3004</v>
      </c>
      <c r="T186" s="175">
        <v>13141</v>
      </c>
    </row>
    <row r="187" spans="1:20" x14ac:dyDescent="0.45">
      <c r="A187" s="174">
        <v>61</v>
      </c>
      <c r="B187" s="171">
        <v>503</v>
      </c>
      <c r="C187" s="171">
        <v>152</v>
      </c>
      <c r="D187" s="171">
        <v>662</v>
      </c>
      <c r="E187" s="175">
        <v>9629</v>
      </c>
      <c r="F187" s="174">
        <v>64</v>
      </c>
      <c r="G187" s="171">
        <v>489</v>
      </c>
      <c r="H187" s="171">
        <v>323</v>
      </c>
      <c r="I187" s="171">
        <v>822</v>
      </c>
      <c r="J187" s="175">
        <v>8544</v>
      </c>
      <c r="K187" s="174">
        <v>63</v>
      </c>
      <c r="L187" s="171">
        <v>529</v>
      </c>
      <c r="M187" s="171">
        <v>622</v>
      </c>
      <c r="N187" s="171">
        <v>1163</v>
      </c>
      <c r="O187" s="175">
        <v>15223</v>
      </c>
      <c r="P187" s="174">
        <v>62</v>
      </c>
      <c r="Q187" s="171">
        <v>860</v>
      </c>
      <c r="R187" s="171">
        <v>596</v>
      </c>
      <c r="S187" s="171">
        <v>1471</v>
      </c>
      <c r="T187" s="175">
        <v>14612</v>
      </c>
    </row>
    <row r="188" spans="1:20" x14ac:dyDescent="0.45">
      <c r="A188" s="174">
        <v>60</v>
      </c>
      <c r="B188" s="171">
        <v>867</v>
      </c>
      <c r="C188" s="171">
        <v>238</v>
      </c>
      <c r="D188" s="171">
        <v>1112</v>
      </c>
      <c r="E188" s="175">
        <v>10741</v>
      </c>
      <c r="F188" s="174">
        <v>63</v>
      </c>
      <c r="G188" s="171">
        <v>1070</v>
      </c>
      <c r="H188" s="171">
        <v>741</v>
      </c>
      <c r="I188" s="171">
        <v>1841</v>
      </c>
      <c r="J188" s="175">
        <v>10385</v>
      </c>
      <c r="K188" s="174">
        <v>62</v>
      </c>
      <c r="L188" s="171">
        <v>845</v>
      </c>
      <c r="M188" s="171">
        <v>1057</v>
      </c>
      <c r="N188" s="171">
        <v>1922</v>
      </c>
      <c r="O188" s="175">
        <v>17145</v>
      </c>
      <c r="P188" s="174">
        <v>61</v>
      </c>
      <c r="Q188" s="171">
        <v>829</v>
      </c>
      <c r="R188" s="171">
        <v>627</v>
      </c>
      <c r="S188" s="171">
        <v>1473</v>
      </c>
      <c r="T188" s="175">
        <v>16085</v>
      </c>
    </row>
    <row r="189" spans="1:20" x14ac:dyDescent="0.45">
      <c r="A189" s="174">
        <v>59</v>
      </c>
      <c r="B189" s="171">
        <v>1291</v>
      </c>
      <c r="C189" s="171">
        <v>386</v>
      </c>
      <c r="D189" s="171">
        <v>1693</v>
      </c>
      <c r="E189" s="175">
        <v>12434</v>
      </c>
      <c r="F189" s="174">
        <v>62</v>
      </c>
      <c r="G189" s="171">
        <v>436</v>
      </c>
      <c r="H189" s="171">
        <v>339</v>
      </c>
      <c r="I189" s="171">
        <v>786</v>
      </c>
      <c r="J189" s="175">
        <v>11171</v>
      </c>
      <c r="K189" s="174">
        <v>61</v>
      </c>
      <c r="L189" s="171">
        <v>756</v>
      </c>
      <c r="M189" s="171">
        <v>936</v>
      </c>
      <c r="N189" s="171">
        <v>1709</v>
      </c>
      <c r="O189" s="175">
        <v>18854</v>
      </c>
      <c r="P189" s="174">
        <v>60</v>
      </c>
      <c r="Q189" s="171">
        <v>777</v>
      </c>
      <c r="R189" s="171">
        <v>549</v>
      </c>
      <c r="S189" s="171">
        <v>1335</v>
      </c>
      <c r="T189" s="175">
        <v>17420</v>
      </c>
    </row>
    <row r="190" spans="1:20" x14ac:dyDescent="0.45">
      <c r="A190" s="174">
        <v>58</v>
      </c>
      <c r="B190" s="171">
        <v>842</v>
      </c>
      <c r="C190" s="171">
        <v>233</v>
      </c>
      <c r="D190" s="171">
        <v>1084</v>
      </c>
      <c r="E190" s="175">
        <v>13518</v>
      </c>
      <c r="F190" s="174">
        <v>61</v>
      </c>
      <c r="G190" s="171">
        <v>540</v>
      </c>
      <c r="H190" s="171">
        <v>439</v>
      </c>
      <c r="I190" s="171">
        <v>986</v>
      </c>
      <c r="J190" s="175">
        <v>12157</v>
      </c>
      <c r="K190" s="174">
        <v>60</v>
      </c>
      <c r="L190" s="171">
        <v>769</v>
      </c>
      <c r="M190" s="171">
        <v>922</v>
      </c>
      <c r="N190" s="171">
        <v>1707</v>
      </c>
      <c r="O190" s="175">
        <v>20561</v>
      </c>
      <c r="P190" s="174">
        <v>59</v>
      </c>
      <c r="Q190" s="171">
        <v>1770</v>
      </c>
      <c r="R190" s="171">
        <v>1249</v>
      </c>
      <c r="S190" s="171">
        <v>3053</v>
      </c>
      <c r="T190" s="175">
        <v>20473</v>
      </c>
    </row>
    <row r="191" spans="1:20" x14ac:dyDescent="0.45">
      <c r="A191" s="174">
        <v>57</v>
      </c>
      <c r="B191" s="171">
        <v>618</v>
      </c>
      <c r="C191" s="171">
        <v>214</v>
      </c>
      <c r="D191" s="171">
        <v>848</v>
      </c>
      <c r="E191" s="175">
        <v>14366</v>
      </c>
      <c r="F191" s="174">
        <v>60</v>
      </c>
      <c r="G191" s="171">
        <v>642</v>
      </c>
      <c r="H191" s="171">
        <v>513</v>
      </c>
      <c r="I191" s="171">
        <v>1167</v>
      </c>
      <c r="J191" s="175">
        <v>13324</v>
      </c>
      <c r="K191" s="174">
        <v>59</v>
      </c>
      <c r="L191" s="171">
        <v>953</v>
      </c>
      <c r="M191" s="171">
        <v>1271</v>
      </c>
      <c r="N191" s="171">
        <v>2239</v>
      </c>
      <c r="O191" s="175">
        <v>22800</v>
      </c>
      <c r="P191" s="174">
        <v>58</v>
      </c>
      <c r="Q191" s="171">
        <v>907</v>
      </c>
      <c r="R191" s="171">
        <v>647</v>
      </c>
      <c r="S191" s="171">
        <v>1574</v>
      </c>
      <c r="T191" s="175">
        <v>22047</v>
      </c>
    </row>
    <row r="192" spans="1:20" x14ac:dyDescent="0.45">
      <c r="A192" s="174">
        <v>56</v>
      </c>
      <c r="B192" s="171">
        <v>790</v>
      </c>
      <c r="C192" s="171">
        <v>257</v>
      </c>
      <c r="D192" s="171">
        <v>1059</v>
      </c>
      <c r="E192" s="175">
        <v>15425</v>
      </c>
      <c r="F192" s="174">
        <v>59</v>
      </c>
      <c r="G192" s="171">
        <v>536</v>
      </c>
      <c r="H192" s="171">
        <v>404</v>
      </c>
      <c r="I192" s="171">
        <v>948</v>
      </c>
      <c r="J192" s="175">
        <v>14272</v>
      </c>
      <c r="K192" s="174">
        <v>58</v>
      </c>
      <c r="L192" s="171">
        <v>1756</v>
      </c>
      <c r="M192" s="171">
        <v>2245</v>
      </c>
      <c r="N192" s="171">
        <v>4049</v>
      </c>
      <c r="O192" s="175">
        <v>26849</v>
      </c>
      <c r="P192" s="174">
        <v>57</v>
      </c>
      <c r="Q192" s="171">
        <v>902</v>
      </c>
      <c r="R192" s="171">
        <v>764</v>
      </c>
      <c r="S192" s="171">
        <v>1680</v>
      </c>
      <c r="T192" s="175">
        <v>23727</v>
      </c>
    </row>
    <row r="193" spans="1:20" x14ac:dyDescent="0.45">
      <c r="A193" s="174">
        <v>55</v>
      </c>
      <c r="B193" s="171">
        <v>1546</v>
      </c>
      <c r="C193" s="171">
        <v>470</v>
      </c>
      <c r="D193" s="171">
        <v>2032</v>
      </c>
      <c r="E193" s="175">
        <v>17457</v>
      </c>
      <c r="F193" s="174">
        <v>58</v>
      </c>
      <c r="G193" s="171">
        <v>710</v>
      </c>
      <c r="H193" s="171">
        <v>582</v>
      </c>
      <c r="I193" s="171">
        <v>1300</v>
      </c>
      <c r="J193" s="175">
        <v>15572</v>
      </c>
      <c r="K193" s="174">
        <v>57</v>
      </c>
      <c r="L193" s="171">
        <v>988</v>
      </c>
      <c r="M193" s="171">
        <v>1287</v>
      </c>
      <c r="N193" s="171">
        <v>2297</v>
      </c>
      <c r="O193" s="175">
        <v>29146</v>
      </c>
      <c r="P193" s="174">
        <v>56</v>
      </c>
      <c r="Q193" s="171">
        <v>857</v>
      </c>
      <c r="R193" s="171">
        <v>641</v>
      </c>
      <c r="S193" s="171">
        <v>1509</v>
      </c>
      <c r="T193" s="175">
        <v>25236</v>
      </c>
    </row>
    <row r="194" spans="1:20" x14ac:dyDescent="0.45">
      <c r="A194" s="174">
        <v>54</v>
      </c>
      <c r="B194" s="171">
        <v>824</v>
      </c>
      <c r="C194" s="171">
        <v>286</v>
      </c>
      <c r="D194" s="171">
        <v>1126</v>
      </c>
      <c r="E194" s="175">
        <v>18583</v>
      </c>
      <c r="F194" s="174">
        <v>57</v>
      </c>
      <c r="G194" s="171">
        <v>642</v>
      </c>
      <c r="H194" s="171">
        <v>595</v>
      </c>
      <c r="I194" s="171">
        <v>1241</v>
      </c>
      <c r="J194" s="175">
        <v>16813</v>
      </c>
      <c r="K194" s="174">
        <v>56</v>
      </c>
      <c r="L194" s="171">
        <v>871</v>
      </c>
      <c r="M194" s="171">
        <v>1189</v>
      </c>
      <c r="N194" s="171">
        <v>2081</v>
      </c>
      <c r="O194" s="175">
        <v>31227</v>
      </c>
      <c r="P194" s="174">
        <v>55</v>
      </c>
      <c r="Q194" s="171">
        <v>953</v>
      </c>
      <c r="R194" s="171">
        <v>731</v>
      </c>
      <c r="S194" s="171">
        <v>1702</v>
      </c>
      <c r="T194" s="175">
        <v>26938</v>
      </c>
    </row>
    <row r="195" spans="1:20" x14ac:dyDescent="0.45">
      <c r="A195" s="174">
        <v>53</v>
      </c>
      <c r="B195" s="171">
        <v>772</v>
      </c>
      <c r="C195" s="171">
        <v>283</v>
      </c>
      <c r="D195" s="171">
        <v>1064</v>
      </c>
      <c r="E195" s="175">
        <v>19647</v>
      </c>
      <c r="F195" s="174">
        <v>56</v>
      </c>
      <c r="G195" s="171">
        <v>707</v>
      </c>
      <c r="H195" s="171">
        <v>624</v>
      </c>
      <c r="I195" s="171">
        <v>1344</v>
      </c>
      <c r="J195" s="175">
        <v>18157</v>
      </c>
      <c r="K195" s="174">
        <v>55</v>
      </c>
      <c r="L195" s="171">
        <v>1169</v>
      </c>
      <c r="M195" s="171">
        <v>1532</v>
      </c>
      <c r="N195" s="171">
        <v>2736</v>
      </c>
      <c r="O195" s="175">
        <v>33963</v>
      </c>
      <c r="P195" s="174">
        <v>54</v>
      </c>
      <c r="Q195" s="171">
        <v>1799</v>
      </c>
      <c r="R195" s="171">
        <v>1468</v>
      </c>
      <c r="S195" s="171">
        <v>3301</v>
      </c>
      <c r="T195" s="175">
        <v>30239</v>
      </c>
    </row>
    <row r="196" spans="1:20" x14ac:dyDescent="0.45">
      <c r="A196" s="174">
        <v>52</v>
      </c>
      <c r="B196" s="171">
        <v>834</v>
      </c>
      <c r="C196" s="171">
        <v>323</v>
      </c>
      <c r="D196" s="171">
        <v>1166</v>
      </c>
      <c r="E196" s="175">
        <v>20813</v>
      </c>
      <c r="F196" s="174">
        <v>55</v>
      </c>
      <c r="G196" s="171">
        <v>1525</v>
      </c>
      <c r="H196" s="171">
        <v>1303</v>
      </c>
      <c r="I196" s="171">
        <v>2866</v>
      </c>
      <c r="J196" s="175">
        <v>21023</v>
      </c>
      <c r="K196" s="174">
        <v>54</v>
      </c>
      <c r="L196" s="171">
        <v>1038</v>
      </c>
      <c r="M196" s="171">
        <v>1457</v>
      </c>
      <c r="N196" s="171">
        <v>2524</v>
      </c>
      <c r="O196" s="175">
        <v>36487</v>
      </c>
      <c r="P196" s="174">
        <v>53</v>
      </c>
      <c r="Q196" s="171">
        <v>955</v>
      </c>
      <c r="R196" s="171">
        <v>837</v>
      </c>
      <c r="S196" s="171">
        <v>1804</v>
      </c>
      <c r="T196" s="175">
        <v>32043</v>
      </c>
    </row>
    <row r="197" spans="1:20" x14ac:dyDescent="0.45">
      <c r="A197" s="174">
        <v>51</v>
      </c>
      <c r="B197" s="171">
        <v>1752</v>
      </c>
      <c r="C197" s="171">
        <v>602</v>
      </c>
      <c r="D197" s="171">
        <v>2374</v>
      </c>
      <c r="E197" s="175">
        <v>23187</v>
      </c>
      <c r="F197" s="174">
        <v>54</v>
      </c>
      <c r="G197" s="171">
        <v>835</v>
      </c>
      <c r="H197" s="171">
        <v>773</v>
      </c>
      <c r="I197" s="171">
        <v>1623</v>
      </c>
      <c r="J197" s="175">
        <v>22646</v>
      </c>
      <c r="K197" s="174">
        <v>53</v>
      </c>
      <c r="L197" s="171">
        <v>1136</v>
      </c>
      <c r="M197" s="171">
        <v>1513</v>
      </c>
      <c r="N197" s="171">
        <v>2674</v>
      </c>
      <c r="O197" s="175">
        <v>39161</v>
      </c>
      <c r="P197" s="174">
        <v>52</v>
      </c>
      <c r="Q197" s="171">
        <v>917</v>
      </c>
      <c r="R197" s="171">
        <v>735</v>
      </c>
      <c r="S197" s="171">
        <v>1672</v>
      </c>
      <c r="T197" s="175">
        <v>33715</v>
      </c>
    </row>
    <row r="198" spans="1:20" x14ac:dyDescent="0.45">
      <c r="A198" s="174">
        <v>50</v>
      </c>
      <c r="B198" s="171">
        <v>920</v>
      </c>
      <c r="C198" s="171">
        <v>336</v>
      </c>
      <c r="D198" s="171">
        <v>1268</v>
      </c>
      <c r="E198" s="175">
        <v>24455</v>
      </c>
      <c r="F198" s="174">
        <v>53</v>
      </c>
      <c r="G198" s="171">
        <v>842</v>
      </c>
      <c r="H198" s="171">
        <v>782</v>
      </c>
      <c r="I198" s="171">
        <v>1646</v>
      </c>
      <c r="J198" s="175">
        <v>24292</v>
      </c>
      <c r="K198" s="174">
        <v>52</v>
      </c>
      <c r="L198" s="171">
        <v>1325</v>
      </c>
      <c r="M198" s="171">
        <v>1744</v>
      </c>
      <c r="N198" s="171">
        <v>3097</v>
      </c>
      <c r="O198" s="175">
        <v>42258</v>
      </c>
      <c r="P198" s="174">
        <v>51</v>
      </c>
      <c r="Q198" s="171">
        <v>1062</v>
      </c>
      <c r="R198" s="171">
        <v>833</v>
      </c>
      <c r="S198" s="171">
        <v>1915</v>
      </c>
      <c r="T198" s="175">
        <v>35630</v>
      </c>
    </row>
    <row r="199" spans="1:20" x14ac:dyDescent="0.45">
      <c r="A199" s="174">
        <v>49</v>
      </c>
      <c r="B199" s="171">
        <v>915</v>
      </c>
      <c r="C199" s="171">
        <v>354</v>
      </c>
      <c r="D199" s="171">
        <v>1287</v>
      </c>
      <c r="E199" s="175">
        <v>25742</v>
      </c>
      <c r="F199" s="174">
        <v>52</v>
      </c>
      <c r="G199" s="171">
        <v>958</v>
      </c>
      <c r="H199" s="171">
        <v>842</v>
      </c>
      <c r="I199" s="171">
        <v>1819</v>
      </c>
      <c r="J199" s="175">
        <v>26111</v>
      </c>
      <c r="K199" s="174">
        <v>51</v>
      </c>
      <c r="L199" s="171">
        <v>2704</v>
      </c>
      <c r="M199" s="171">
        <v>3502</v>
      </c>
      <c r="N199" s="171">
        <v>6256</v>
      </c>
      <c r="O199" s="175">
        <v>48514</v>
      </c>
      <c r="P199" s="174">
        <v>50</v>
      </c>
      <c r="Q199" s="171">
        <v>1029</v>
      </c>
      <c r="R199" s="171">
        <v>833</v>
      </c>
      <c r="S199" s="171">
        <v>1884</v>
      </c>
      <c r="T199" s="175">
        <v>37514</v>
      </c>
    </row>
    <row r="200" spans="1:20" x14ac:dyDescent="0.45">
      <c r="A200" s="174">
        <v>48</v>
      </c>
      <c r="B200" s="171">
        <v>997</v>
      </c>
      <c r="C200" s="171">
        <v>334</v>
      </c>
      <c r="D200" s="171">
        <v>1350</v>
      </c>
      <c r="E200" s="175">
        <v>27092</v>
      </c>
      <c r="F200" s="174">
        <v>51</v>
      </c>
      <c r="G200" s="171">
        <v>968</v>
      </c>
      <c r="H200" s="171">
        <v>928</v>
      </c>
      <c r="I200" s="171">
        <v>1915</v>
      </c>
      <c r="J200" s="175">
        <v>28026</v>
      </c>
      <c r="K200" s="174">
        <v>50</v>
      </c>
      <c r="L200" s="171">
        <v>1355</v>
      </c>
      <c r="M200" s="171">
        <v>1852</v>
      </c>
      <c r="N200" s="171">
        <v>3232</v>
      </c>
      <c r="O200" s="175">
        <v>51746</v>
      </c>
      <c r="P200" s="174">
        <v>49</v>
      </c>
      <c r="Q200" s="171">
        <v>2224</v>
      </c>
      <c r="R200" s="171">
        <v>1860</v>
      </c>
      <c r="S200" s="171">
        <v>4132</v>
      </c>
      <c r="T200" s="175">
        <v>41646</v>
      </c>
    </row>
    <row r="201" spans="1:20" x14ac:dyDescent="0.45">
      <c r="A201" s="174">
        <v>47</v>
      </c>
      <c r="B201" s="171">
        <v>2083</v>
      </c>
      <c r="C201" s="171">
        <v>675</v>
      </c>
      <c r="D201" s="171">
        <v>2790</v>
      </c>
      <c r="E201" s="175">
        <v>29882</v>
      </c>
      <c r="F201" s="174">
        <v>50</v>
      </c>
      <c r="G201" s="171">
        <v>1031</v>
      </c>
      <c r="H201" s="171">
        <v>978</v>
      </c>
      <c r="I201" s="171">
        <v>2025</v>
      </c>
      <c r="J201" s="175">
        <v>30051</v>
      </c>
      <c r="K201" s="174">
        <v>49</v>
      </c>
      <c r="L201" s="171">
        <v>1385</v>
      </c>
      <c r="M201" s="171">
        <v>1917</v>
      </c>
      <c r="N201" s="171">
        <v>3344</v>
      </c>
      <c r="O201" s="175">
        <v>55090</v>
      </c>
      <c r="P201" s="174">
        <v>48</v>
      </c>
      <c r="Q201" s="171">
        <v>1128</v>
      </c>
      <c r="R201" s="171">
        <v>931</v>
      </c>
      <c r="S201" s="171">
        <v>2078</v>
      </c>
      <c r="T201" s="175">
        <v>43724</v>
      </c>
    </row>
    <row r="202" spans="1:20" x14ac:dyDescent="0.45">
      <c r="A202" s="174">
        <v>46</v>
      </c>
      <c r="B202" s="171">
        <v>1146</v>
      </c>
      <c r="C202" s="171">
        <v>376</v>
      </c>
      <c r="D202" s="171">
        <v>1540</v>
      </c>
      <c r="E202" s="175">
        <v>31422</v>
      </c>
      <c r="F202" s="174">
        <v>49</v>
      </c>
      <c r="G202" s="171">
        <v>1124</v>
      </c>
      <c r="H202" s="171">
        <v>1157</v>
      </c>
      <c r="I202" s="171">
        <v>2304</v>
      </c>
      <c r="J202" s="175">
        <v>32355</v>
      </c>
      <c r="K202" s="174">
        <v>48</v>
      </c>
      <c r="L202" s="171">
        <v>1795</v>
      </c>
      <c r="M202" s="171">
        <v>2139</v>
      </c>
      <c r="N202" s="171">
        <v>3962</v>
      </c>
      <c r="O202" s="175">
        <v>59052</v>
      </c>
      <c r="P202" s="174">
        <v>47</v>
      </c>
      <c r="Q202" s="171">
        <v>1387</v>
      </c>
      <c r="R202" s="171">
        <v>1088</v>
      </c>
      <c r="S202" s="171">
        <v>2502</v>
      </c>
      <c r="T202" s="175">
        <v>46226</v>
      </c>
    </row>
    <row r="203" spans="1:20" x14ac:dyDescent="0.45">
      <c r="A203" s="174">
        <v>45</v>
      </c>
      <c r="B203" s="171">
        <v>1119</v>
      </c>
      <c r="C203" s="171">
        <v>390</v>
      </c>
      <c r="D203" s="171">
        <v>1527</v>
      </c>
      <c r="E203" s="175">
        <v>32949</v>
      </c>
      <c r="F203" s="174">
        <v>48</v>
      </c>
      <c r="G203" s="171">
        <v>1146</v>
      </c>
      <c r="H203" s="171">
        <v>1079</v>
      </c>
      <c r="I203" s="171">
        <v>2262</v>
      </c>
      <c r="J203" s="175">
        <v>34617</v>
      </c>
      <c r="K203" s="174">
        <v>47</v>
      </c>
      <c r="L203" s="171">
        <v>1488</v>
      </c>
      <c r="M203" s="171">
        <v>1831</v>
      </c>
      <c r="N203" s="171">
        <v>3353</v>
      </c>
      <c r="O203" s="175">
        <v>62405</v>
      </c>
      <c r="P203" s="174">
        <v>46</v>
      </c>
      <c r="Q203" s="171">
        <v>1275</v>
      </c>
      <c r="R203" s="171">
        <v>1058</v>
      </c>
      <c r="S203" s="171">
        <v>2353</v>
      </c>
      <c r="T203" s="175">
        <v>48579</v>
      </c>
    </row>
    <row r="204" spans="1:20" x14ac:dyDescent="0.45">
      <c r="A204" s="174">
        <v>44</v>
      </c>
      <c r="B204" s="171">
        <v>1283</v>
      </c>
      <c r="C204" s="171">
        <v>437</v>
      </c>
      <c r="D204" s="171">
        <v>1735</v>
      </c>
      <c r="E204" s="175">
        <v>34684</v>
      </c>
      <c r="F204" s="174">
        <v>47</v>
      </c>
      <c r="G204" s="171">
        <v>2501</v>
      </c>
      <c r="H204" s="171">
        <v>2435</v>
      </c>
      <c r="I204" s="171">
        <v>4981</v>
      </c>
      <c r="J204" s="175">
        <v>39598</v>
      </c>
      <c r="K204" s="174">
        <v>46</v>
      </c>
      <c r="L204" s="171">
        <v>1779</v>
      </c>
      <c r="M204" s="171">
        <v>2183</v>
      </c>
      <c r="N204" s="171">
        <v>4001</v>
      </c>
      <c r="O204" s="175">
        <v>66406</v>
      </c>
      <c r="P204" s="174">
        <v>45</v>
      </c>
      <c r="Q204" s="171">
        <v>2926</v>
      </c>
      <c r="R204" s="171">
        <v>2174</v>
      </c>
      <c r="S204" s="171">
        <v>5154</v>
      </c>
      <c r="T204" s="175">
        <v>53733</v>
      </c>
    </row>
    <row r="205" spans="1:20" x14ac:dyDescent="0.45">
      <c r="A205" s="174">
        <v>43</v>
      </c>
      <c r="B205" s="171">
        <v>2359</v>
      </c>
      <c r="C205" s="171">
        <v>808</v>
      </c>
      <c r="D205" s="171">
        <v>3202</v>
      </c>
      <c r="E205" s="175">
        <v>37886</v>
      </c>
      <c r="F205" s="174">
        <v>46</v>
      </c>
      <c r="G205" s="171">
        <v>1356</v>
      </c>
      <c r="H205" s="171">
        <v>1247</v>
      </c>
      <c r="I205" s="171">
        <v>2635</v>
      </c>
      <c r="J205" s="175">
        <v>42233</v>
      </c>
      <c r="K205" s="174">
        <v>45</v>
      </c>
      <c r="L205" s="171">
        <v>1564</v>
      </c>
      <c r="M205" s="171">
        <v>2033</v>
      </c>
      <c r="N205" s="171">
        <v>3635</v>
      </c>
      <c r="O205" s="175">
        <v>70041</v>
      </c>
      <c r="P205" s="174">
        <v>44</v>
      </c>
      <c r="Q205" s="171">
        <v>1613</v>
      </c>
      <c r="R205" s="171">
        <v>1070</v>
      </c>
      <c r="S205" s="171">
        <v>2705</v>
      </c>
      <c r="T205" s="175">
        <v>56438</v>
      </c>
    </row>
    <row r="206" spans="1:20" x14ac:dyDescent="0.45">
      <c r="A206" s="174">
        <v>42</v>
      </c>
      <c r="B206" s="171">
        <v>1634</v>
      </c>
      <c r="C206" s="171">
        <v>486</v>
      </c>
      <c r="D206" s="171">
        <v>2137</v>
      </c>
      <c r="E206" s="175">
        <v>40023</v>
      </c>
      <c r="F206" s="174">
        <v>45</v>
      </c>
      <c r="G206" s="171">
        <v>1543</v>
      </c>
      <c r="H206" s="171">
        <v>1352</v>
      </c>
      <c r="I206" s="171">
        <v>2923</v>
      </c>
      <c r="J206" s="175">
        <v>45156</v>
      </c>
      <c r="K206" s="174">
        <v>44</v>
      </c>
      <c r="L206" s="171">
        <v>1774</v>
      </c>
      <c r="M206" s="171">
        <v>1998</v>
      </c>
      <c r="N206" s="171">
        <v>3815</v>
      </c>
      <c r="O206" s="175">
        <v>73856</v>
      </c>
      <c r="P206" s="174">
        <v>43</v>
      </c>
      <c r="Q206" s="171">
        <v>1774</v>
      </c>
      <c r="R206" s="171">
        <v>1270</v>
      </c>
      <c r="S206" s="171">
        <v>3078</v>
      </c>
      <c r="T206" s="175">
        <v>59516</v>
      </c>
    </row>
    <row r="207" spans="1:20" x14ac:dyDescent="0.45">
      <c r="A207" s="174">
        <v>41</v>
      </c>
      <c r="B207" s="171">
        <v>1190</v>
      </c>
      <c r="C207" s="171">
        <v>375</v>
      </c>
      <c r="D207" s="171">
        <v>1585</v>
      </c>
      <c r="E207" s="175">
        <v>41608</v>
      </c>
      <c r="F207" s="174">
        <v>44</v>
      </c>
      <c r="G207" s="171">
        <v>1517</v>
      </c>
      <c r="H207" s="171">
        <v>1261</v>
      </c>
      <c r="I207" s="171">
        <v>2806</v>
      </c>
      <c r="J207" s="175">
        <v>47962</v>
      </c>
      <c r="K207" s="174">
        <v>43</v>
      </c>
      <c r="L207" s="171">
        <v>3602</v>
      </c>
      <c r="M207" s="171">
        <v>3922</v>
      </c>
      <c r="N207" s="171">
        <v>7596</v>
      </c>
      <c r="O207" s="175">
        <v>81452</v>
      </c>
      <c r="P207" s="174">
        <v>42</v>
      </c>
      <c r="Q207" s="171">
        <v>1968</v>
      </c>
      <c r="R207" s="171">
        <v>1254</v>
      </c>
      <c r="S207" s="171">
        <v>3253</v>
      </c>
      <c r="T207" s="175">
        <v>62769</v>
      </c>
    </row>
    <row r="208" spans="1:20" x14ac:dyDescent="0.45">
      <c r="A208" s="174">
        <v>40</v>
      </c>
      <c r="B208" s="171">
        <v>1319</v>
      </c>
      <c r="C208" s="171">
        <v>399</v>
      </c>
      <c r="D208" s="171">
        <v>1726</v>
      </c>
      <c r="E208" s="175">
        <v>43334</v>
      </c>
      <c r="F208" s="174">
        <v>43</v>
      </c>
      <c r="G208" s="171">
        <v>1624</v>
      </c>
      <c r="H208" s="171">
        <v>1400</v>
      </c>
      <c r="I208" s="171">
        <v>3053</v>
      </c>
      <c r="J208" s="175">
        <v>51015</v>
      </c>
      <c r="K208" s="174">
        <v>42</v>
      </c>
      <c r="L208" s="171">
        <v>1911</v>
      </c>
      <c r="M208" s="171">
        <v>2042</v>
      </c>
      <c r="N208" s="171">
        <v>3995</v>
      </c>
      <c r="O208" s="175">
        <v>85447</v>
      </c>
      <c r="P208" s="174">
        <v>41</v>
      </c>
      <c r="Q208" s="171">
        <v>3541</v>
      </c>
      <c r="R208" s="171">
        <v>1606</v>
      </c>
      <c r="S208" s="171">
        <v>5221</v>
      </c>
      <c r="T208" s="175">
        <v>67990</v>
      </c>
    </row>
    <row r="209" spans="1:20" x14ac:dyDescent="0.45">
      <c r="A209" s="174">
        <v>39</v>
      </c>
      <c r="B209" s="171">
        <v>2327</v>
      </c>
      <c r="C209" s="171">
        <v>726</v>
      </c>
      <c r="D209" s="171">
        <v>3098</v>
      </c>
      <c r="E209" s="175">
        <v>46432</v>
      </c>
      <c r="F209" s="174">
        <v>42</v>
      </c>
      <c r="G209" s="171">
        <v>1553</v>
      </c>
      <c r="H209" s="171">
        <v>1167</v>
      </c>
      <c r="I209" s="171">
        <v>2750</v>
      </c>
      <c r="J209" s="175">
        <v>53765</v>
      </c>
      <c r="K209" s="174">
        <v>41</v>
      </c>
      <c r="L209" s="171">
        <v>1826</v>
      </c>
      <c r="M209" s="171">
        <v>1672</v>
      </c>
      <c r="N209" s="171">
        <v>3526</v>
      </c>
      <c r="O209" s="175">
        <v>88973</v>
      </c>
      <c r="P209" s="174">
        <v>40</v>
      </c>
      <c r="Q209" s="171">
        <v>3216</v>
      </c>
      <c r="R209" s="171">
        <v>1967</v>
      </c>
      <c r="S209" s="171">
        <v>5229</v>
      </c>
      <c r="T209" s="175">
        <v>73219</v>
      </c>
    </row>
    <row r="210" spans="1:20" x14ac:dyDescent="0.45">
      <c r="A210" s="174">
        <v>38</v>
      </c>
      <c r="B210" s="171">
        <v>746</v>
      </c>
      <c r="C210" s="171">
        <v>208</v>
      </c>
      <c r="D210" s="171">
        <v>963</v>
      </c>
      <c r="E210" s="175">
        <v>47395</v>
      </c>
      <c r="F210" s="174">
        <v>41</v>
      </c>
      <c r="G210" s="171">
        <v>1631</v>
      </c>
      <c r="H210" s="171">
        <v>1222</v>
      </c>
      <c r="I210" s="171">
        <v>2891</v>
      </c>
      <c r="J210" s="175">
        <v>56656</v>
      </c>
      <c r="K210" s="174">
        <v>40</v>
      </c>
      <c r="L210" s="171">
        <v>1742</v>
      </c>
      <c r="M210" s="171">
        <v>1544</v>
      </c>
      <c r="N210" s="171">
        <v>3326</v>
      </c>
      <c r="O210" s="175">
        <v>92299</v>
      </c>
      <c r="P210" s="174">
        <v>39</v>
      </c>
      <c r="Q210" s="171">
        <v>1458</v>
      </c>
      <c r="R210" s="171">
        <v>893</v>
      </c>
      <c r="S210" s="171">
        <v>2377</v>
      </c>
      <c r="T210" s="175">
        <v>75596</v>
      </c>
    </row>
    <row r="211" spans="1:20" x14ac:dyDescent="0.45">
      <c r="A211" s="174">
        <v>37</v>
      </c>
      <c r="B211" s="171">
        <v>2625</v>
      </c>
      <c r="C211" s="171">
        <v>474</v>
      </c>
      <c r="D211" s="171">
        <v>3150</v>
      </c>
      <c r="E211" s="175">
        <v>50545</v>
      </c>
      <c r="F211" s="174">
        <v>40</v>
      </c>
      <c r="G211" s="171">
        <v>1521</v>
      </c>
      <c r="H211" s="171">
        <v>1078</v>
      </c>
      <c r="I211" s="171">
        <v>2621</v>
      </c>
      <c r="J211" s="175">
        <v>59277</v>
      </c>
      <c r="K211" s="174">
        <v>39</v>
      </c>
      <c r="L211" s="171">
        <v>1672</v>
      </c>
      <c r="M211" s="171">
        <v>1522</v>
      </c>
      <c r="N211" s="171">
        <v>3227</v>
      </c>
      <c r="O211" s="175">
        <v>95526</v>
      </c>
      <c r="P211" s="174">
        <v>38</v>
      </c>
      <c r="Q211" s="171">
        <v>1253</v>
      </c>
      <c r="R211" s="171">
        <v>666</v>
      </c>
      <c r="S211" s="171">
        <v>1943</v>
      </c>
      <c r="T211" s="175">
        <v>77539</v>
      </c>
    </row>
    <row r="212" spans="1:20" x14ac:dyDescent="0.45">
      <c r="A212" s="174">
        <v>36</v>
      </c>
      <c r="B212" s="171">
        <v>532</v>
      </c>
      <c r="C212" s="171">
        <v>145</v>
      </c>
      <c r="D212" s="171">
        <v>688</v>
      </c>
      <c r="E212" s="175">
        <v>51233</v>
      </c>
      <c r="F212" s="174">
        <v>39</v>
      </c>
      <c r="G212" s="171">
        <v>4057</v>
      </c>
      <c r="H212" s="171">
        <v>2101</v>
      </c>
      <c r="I212" s="171">
        <v>6245</v>
      </c>
      <c r="J212" s="175">
        <v>65522</v>
      </c>
      <c r="K212" s="174">
        <v>38</v>
      </c>
      <c r="L212" s="171">
        <v>2098</v>
      </c>
      <c r="M212" s="171">
        <v>1436</v>
      </c>
      <c r="N212" s="171">
        <v>3573</v>
      </c>
      <c r="O212" s="175">
        <v>99099</v>
      </c>
      <c r="P212" s="174">
        <v>37</v>
      </c>
      <c r="Q212" s="171">
        <v>2239</v>
      </c>
      <c r="R212" s="171">
        <v>978</v>
      </c>
      <c r="S212" s="171">
        <v>3254</v>
      </c>
      <c r="T212" s="175">
        <v>80793</v>
      </c>
    </row>
    <row r="213" spans="1:20" x14ac:dyDescent="0.45">
      <c r="A213" s="174">
        <v>35</v>
      </c>
      <c r="B213" s="171">
        <v>739</v>
      </c>
      <c r="C213" s="171">
        <v>193</v>
      </c>
      <c r="D213" s="171">
        <v>943</v>
      </c>
      <c r="E213" s="175">
        <v>52176</v>
      </c>
      <c r="F213" s="174">
        <v>38</v>
      </c>
      <c r="G213" s="171">
        <v>733</v>
      </c>
      <c r="H213" s="171">
        <v>436</v>
      </c>
      <c r="I213" s="171">
        <v>1179</v>
      </c>
      <c r="J213" s="175">
        <v>66701</v>
      </c>
      <c r="K213" s="174">
        <v>37</v>
      </c>
      <c r="L213" s="171">
        <v>2944</v>
      </c>
      <c r="M213" s="171">
        <v>1703</v>
      </c>
      <c r="N213" s="171">
        <v>4732</v>
      </c>
      <c r="O213" s="175">
        <v>103831</v>
      </c>
      <c r="P213" s="174">
        <v>36</v>
      </c>
      <c r="Q213" s="171">
        <v>681</v>
      </c>
      <c r="R213" s="171">
        <v>362</v>
      </c>
      <c r="S213" s="171">
        <v>1053</v>
      </c>
      <c r="T213" s="175">
        <v>81846</v>
      </c>
    </row>
    <row r="214" spans="1:20" x14ac:dyDescent="0.45">
      <c r="A214" s="174">
        <v>34</v>
      </c>
      <c r="B214" s="171">
        <v>120</v>
      </c>
      <c r="C214" s="171">
        <v>35</v>
      </c>
      <c r="D214" s="171">
        <v>159</v>
      </c>
      <c r="E214" s="175">
        <v>52335</v>
      </c>
      <c r="F214" s="174">
        <v>37</v>
      </c>
      <c r="G214" s="171">
        <v>627</v>
      </c>
      <c r="H214" s="171">
        <v>366</v>
      </c>
      <c r="I214" s="171">
        <v>999</v>
      </c>
      <c r="J214" s="175">
        <v>67700</v>
      </c>
      <c r="K214" s="174">
        <v>36</v>
      </c>
      <c r="L214" s="171">
        <v>1896</v>
      </c>
      <c r="M214" s="171">
        <v>1347</v>
      </c>
      <c r="N214" s="171">
        <v>3286</v>
      </c>
      <c r="O214" s="175">
        <v>107117</v>
      </c>
      <c r="P214" s="174">
        <v>35</v>
      </c>
      <c r="Q214" s="171">
        <v>1122</v>
      </c>
      <c r="R214" s="171">
        <v>576</v>
      </c>
      <c r="S214" s="171">
        <v>1725</v>
      </c>
      <c r="T214" s="175">
        <v>83571</v>
      </c>
    </row>
    <row r="215" spans="1:20" x14ac:dyDescent="0.45">
      <c r="A215" s="174">
        <v>33</v>
      </c>
      <c r="B215" s="171">
        <v>183</v>
      </c>
      <c r="C215" s="171">
        <v>50</v>
      </c>
      <c r="D215" s="171">
        <v>234</v>
      </c>
      <c r="E215" s="175">
        <v>52569</v>
      </c>
      <c r="F215" s="174">
        <v>36</v>
      </c>
      <c r="G215" s="171">
        <v>420</v>
      </c>
      <c r="H215" s="171">
        <v>255</v>
      </c>
      <c r="I215" s="171">
        <v>680</v>
      </c>
      <c r="J215" s="175">
        <v>68380</v>
      </c>
      <c r="K215" s="174">
        <v>35</v>
      </c>
      <c r="L215" s="171">
        <v>452</v>
      </c>
      <c r="M215" s="171">
        <v>397</v>
      </c>
      <c r="N215" s="171">
        <v>861</v>
      </c>
      <c r="O215" s="175">
        <v>107978</v>
      </c>
      <c r="P215" s="174">
        <v>34</v>
      </c>
      <c r="Q215" s="171">
        <v>262</v>
      </c>
      <c r="R215" s="171">
        <v>106</v>
      </c>
      <c r="S215" s="171">
        <v>370</v>
      </c>
      <c r="T215" s="175">
        <v>83941</v>
      </c>
    </row>
    <row r="216" spans="1:20" x14ac:dyDescent="0.45">
      <c r="A216" s="174">
        <v>32</v>
      </c>
      <c r="B216" s="171">
        <v>65</v>
      </c>
      <c r="C216" s="171">
        <v>13</v>
      </c>
      <c r="D216" s="171">
        <v>81</v>
      </c>
      <c r="E216" s="175">
        <v>52650</v>
      </c>
      <c r="F216" s="174">
        <v>35</v>
      </c>
      <c r="G216" s="171">
        <v>286</v>
      </c>
      <c r="H216" s="171">
        <v>140</v>
      </c>
      <c r="I216" s="171">
        <v>431</v>
      </c>
      <c r="J216" s="175">
        <v>68811</v>
      </c>
      <c r="K216" s="174">
        <v>34</v>
      </c>
      <c r="L216" s="171">
        <v>463</v>
      </c>
      <c r="M216" s="171">
        <v>228</v>
      </c>
      <c r="N216" s="171">
        <v>700</v>
      </c>
      <c r="O216" s="175">
        <v>108678</v>
      </c>
      <c r="P216" s="174">
        <v>33</v>
      </c>
      <c r="Q216" s="171">
        <v>270</v>
      </c>
      <c r="R216" s="171">
        <v>117</v>
      </c>
      <c r="S216" s="171">
        <v>393</v>
      </c>
      <c r="T216" s="175">
        <v>84334</v>
      </c>
    </row>
    <row r="217" spans="1:20" x14ac:dyDescent="0.45">
      <c r="A217" s="174"/>
      <c r="B217" s="171"/>
      <c r="C217" s="171"/>
      <c r="D217" s="171"/>
      <c r="E217" s="175"/>
      <c r="F217" s="174">
        <v>34</v>
      </c>
      <c r="G217" s="171">
        <v>229</v>
      </c>
      <c r="H217" s="171">
        <v>138</v>
      </c>
      <c r="I217" s="171">
        <v>376</v>
      </c>
      <c r="J217" s="175">
        <v>69187</v>
      </c>
      <c r="K217" s="174">
        <v>33</v>
      </c>
      <c r="L217" s="171">
        <v>259</v>
      </c>
      <c r="M217" s="171">
        <v>196</v>
      </c>
      <c r="N217" s="171">
        <v>462</v>
      </c>
      <c r="O217" s="175">
        <v>109140</v>
      </c>
      <c r="P217" s="174">
        <v>31</v>
      </c>
      <c r="Q217" s="171">
        <v>72</v>
      </c>
      <c r="R217" s="171">
        <v>52</v>
      </c>
      <c r="S217" s="171">
        <v>127</v>
      </c>
      <c r="T217" s="175">
        <v>84461</v>
      </c>
    </row>
    <row r="218" spans="1:20" x14ac:dyDescent="0.45">
      <c r="A218" s="174"/>
      <c r="B218" s="171"/>
      <c r="C218" s="171"/>
      <c r="D218" s="171"/>
      <c r="E218" s="175"/>
      <c r="F218" s="174">
        <v>33</v>
      </c>
      <c r="G218" s="171">
        <v>67</v>
      </c>
      <c r="H218" s="171">
        <v>32</v>
      </c>
      <c r="I218" s="171">
        <v>100</v>
      </c>
      <c r="J218" s="175">
        <v>69287</v>
      </c>
      <c r="K218" s="174">
        <v>32</v>
      </c>
      <c r="L218" s="171">
        <v>102</v>
      </c>
      <c r="M218" s="171">
        <v>51</v>
      </c>
      <c r="N218" s="171">
        <v>155</v>
      </c>
      <c r="O218" s="175">
        <v>109295</v>
      </c>
      <c r="P218" s="174"/>
      <c r="Q218" s="171"/>
      <c r="R218" s="171"/>
      <c r="S218" s="171"/>
      <c r="T218" s="175"/>
    </row>
    <row r="219" spans="1:20" x14ac:dyDescent="0.45">
      <c r="A219" s="174"/>
      <c r="B219" s="171"/>
      <c r="C219" s="171"/>
      <c r="D219" s="171"/>
      <c r="E219" s="175"/>
      <c r="F219" s="174">
        <v>32</v>
      </c>
      <c r="G219" s="171">
        <v>178</v>
      </c>
      <c r="H219" s="171">
        <v>59</v>
      </c>
      <c r="I219" s="171">
        <v>240</v>
      </c>
      <c r="J219" s="175">
        <v>69527</v>
      </c>
      <c r="K219" s="174">
        <v>31</v>
      </c>
      <c r="L219" s="171">
        <v>202</v>
      </c>
      <c r="M219" s="171">
        <v>103</v>
      </c>
      <c r="N219" s="171">
        <v>308</v>
      </c>
      <c r="O219" s="175">
        <v>109603</v>
      </c>
      <c r="P219" s="174"/>
      <c r="Q219" s="171"/>
      <c r="R219" s="171"/>
      <c r="S219" s="171"/>
      <c r="T219" s="175"/>
    </row>
    <row r="220" spans="1:20" x14ac:dyDescent="0.45">
      <c r="A220" s="174"/>
      <c r="B220" s="171"/>
      <c r="C220" s="171"/>
      <c r="D220" s="171"/>
      <c r="E220" s="175"/>
      <c r="F220" s="174">
        <v>31</v>
      </c>
      <c r="G220" s="171">
        <v>37</v>
      </c>
      <c r="H220" s="171">
        <v>16</v>
      </c>
      <c r="I220" s="171">
        <v>56</v>
      </c>
      <c r="J220" s="175">
        <v>69583</v>
      </c>
      <c r="K220" s="174">
        <v>29</v>
      </c>
      <c r="L220" s="171">
        <v>46</v>
      </c>
      <c r="M220" s="171">
        <v>23</v>
      </c>
      <c r="N220" s="171">
        <v>70</v>
      </c>
      <c r="O220" s="175">
        <v>109673</v>
      </c>
      <c r="P220" s="174"/>
      <c r="Q220" s="171"/>
      <c r="R220" s="171"/>
      <c r="S220" s="171"/>
      <c r="T220" s="175"/>
    </row>
    <row r="221" spans="1:20" x14ac:dyDescent="0.45">
      <c r="A221" s="6"/>
      <c r="B221" s="1"/>
      <c r="C221" s="1"/>
      <c r="D221" s="7"/>
      <c r="F221" s="6"/>
      <c r="G221" s="1"/>
      <c r="H221" s="1"/>
      <c r="I221" s="7"/>
      <c r="K221" s="6"/>
      <c r="L221" s="1"/>
      <c r="M221" s="1"/>
      <c r="N221" s="7"/>
      <c r="P221" s="6"/>
      <c r="Q221" s="1"/>
      <c r="R221" s="1"/>
      <c r="S221" s="7"/>
    </row>
    <row r="222" spans="1:20" x14ac:dyDescent="0.45">
      <c r="A222" s="6"/>
      <c r="B222" s="1"/>
      <c r="C222" s="1"/>
      <c r="D222" s="7"/>
      <c r="F222" s="6"/>
      <c r="G222" s="1"/>
      <c r="H222" s="1"/>
      <c r="I222" s="7"/>
      <c r="K222" s="6"/>
      <c r="L222" s="1"/>
      <c r="M222" s="1"/>
      <c r="N222" s="7"/>
      <c r="P222" s="6"/>
      <c r="Q222" s="1"/>
      <c r="R222" s="1"/>
      <c r="S222" s="7"/>
    </row>
    <row r="223" spans="1:20" x14ac:dyDescent="0.45">
      <c r="A223" s="6"/>
      <c r="B223" s="1"/>
      <c r="C223" s="1"/>
      <c r="D223" s="7"/>
      <c r="F223" s="6"/>
      <c r="G223" s="1"/>
      <c r="H223" s="1"/>
      <c r="I223" s="7"/>
      <c r="K223" s="6"/>
      <c r="L223" s="1"/>
      <c r="M223" s="1"/>
      <c r="N223" s="7"/>
      <c r="P223" s="6"/>
      <c r="Q223" s="1"/>
      <c r="R223" s="1"/>
      <c r="S223" s="7"/>
    </row>
    <row r="224" spans="1:20" ht="17.5" thickBot="1" x14ac:dyDescent="0.5">
      <c r="A224" s="8"/>
      <c r="B224" s="14"/>
      <c r="C224" s="14"/>
      <c r="D224" s="2"/>
      <c r="F224" s="8"/>
      <c r="G224" s="14"/>
      <c r="H224" s="14"/>
      <c r="I224" s="2"/>
      <c r="K224" s="8"/>
      <c r="L224" s="14"/>
      <c r="M224" s="14"/>
      <c r="N224" s="2"/>
      <c r="P224" s="8"/>
      <c r="Q224" s="14"/>
      <c r="R224" s="14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tabSelected="1" zoomScale="55" zoomScaleNormal="55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기능'!D4</f>
        <v>47.91</v>
      </c>
      <c r="I3" s="21" t="s">
        <v>70</v>
      </c>
      <c r="J3" s="50">
        <f>'통계 및 응시자 수 입력 기능'!C4</f>
        <v>324006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215" t="s">
        <v>72</v>
      </c>
      <c r="E4" s="216"/>
      <c r="F4" s="217"/>
      <c r="G4" s="52" t="s">
        <v>73</v>
      </c>
      <c r="H4" s="53">
        <f>'통계 및 응시자 수 입력 기능'!E4</f>
        <v>21.06</v>
      </c>
      <c r="I4" s="218"/>
      <c r="J4" s="219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20"/>
      <c r="J5" s="220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58">
        <v>100</v>
      </c>
      <c r="D7" s="59">
        <f>ROUND(20*(C7-$H$3)/$H$4+100,0)</f>
        <v>149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99.99</v>
      </c>
      <c r="G7" s="61">
        <f>_xlfn.IFNA(VLOOKUP(D7,'인원 입력 기능(국수)'!$A$5:$D$103,4,FALSE),0)</f>
        <v>56</v>
      </c>
      <c r="H7" s="62">
        <f>G7/$J$3</f>
        <v>1.7283630550051543E-4</v>
      </c>
      <c r="I7" s="63">
        <f>G7</f>
        <v>56</v>
      </c>
      <c r="J7" s="64">
        <f>I7/$J$3</f>
        <v>1.7283630550051543E-4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135</v>
      </c>
    </row>
    <row r="8" spans="1:17" ht="25" customHeight="1" x14ac:dyDescent="0.45">
      <c r="A8" s="5"/>
      <c r="B8" s="30"/>
      <c r="C8" s="65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기능'!C5</f>
        <v>127</v>
      </c>
    </row>
    <row r="9" spans="1:17" ht="25" customHeight="1" x14ac:dyDescent="0.45">
      <c r="A9" s="5"/>
      <c r="B9" s="30"/>
      <c r="C9" s="65">
        <v>98</v>
      </c>
      <c r="D9" s="59">
        <f>ROUND(20*(C9-$H$3)/$H$4+100,0)</f>
        <v>148</v>
      </c>
      <c r="E9" s="59">
        <f t="shared" si="0"/>
        <v>1</v>
      </c>
      <c r="F9" s="60">
        <f>IF(I8=0,ROUND(100*(1-(I7+I9)/2/$J$3),2),ROUND(100*(1-(I8+I9)/2/$J$3),2))</f>
        <v>99.97</v>
      </c>
      <c r="G9" s="61">
        <f>_xlfn.IFNA(VLOOKUP(D9,'인원 입력 기능(국수)'!$A$5:$D$103,4,FALSE),0)</f>
        <v>111</v>
      </c>
      <c r="H9" s="62">
        <f>G9/$J$3</f>
        <v>3.4258624840280736E-4</v>
      </c>
      <c r="I9" s="72">
        <f>SUM($G$7:G9)</f>
        <v>167</v>
      </c>
      <c r="J9" s="64">
        <f>I9/$J$3</f>
        <v>5.1542255390332281E-4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65">
        <v>97</v>
      </c>
      <c r="D10" s="59">
        <f t="shared" ref="D10:D73" si="2">ROUND(20*(C10-$H$3)/$H$4+100,0)</f>
        <v>147</v>
      </c>
      <c r="E10" s="59">
        <f t="shared" si="0"/>
        <v>1</v>
      </c>
      <c r="F10" s="60">
        <f t="shared" ref="F10:F73" si="3">IF(I9=0,ROUND(100*(1-(I8+I10)/2/$J$3),2),ROUND(100*(1-(I9+I10)/2/$J$3),2))</f>
        <v>99.91</v>
      </c>
      <c r="G10" s="61">
        <f>IF(D10=D9,"",_xlfn.IFNA(VLOOKUP(D10,'인원 입력 기능(국수)'!$A$5:$D$103,4,FALSE),0))</f>
        <v>264</v>
      </c>
      <c r="H10" s="62">
        <f t="shared" ref="H10:H73" si="4">G10/$J$3</f>
        <v>8.1479972593100124E-4</v>
      </c>
      <c r="I10" s="72">
        <f>SUM($G$7:G10)</f>
        <v>431</v>
      </c>
      <c r="J10" s="64">
        <f t="shared" ref="J10:J73" si="5">I10/$J$3</f>
        <v>1.3302222798343242E-3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106</v>
      </c>
    </row>
    <row r="11" spans="1:17" ht="25" customHeight="1" x14ac:dyDescent="0.45">
      <c r="A11" s="5"/>
      <c r="B11" s="30"/>
      <c r="C11" s="65">
        <v>96</v>
      </c>
      <c r="D11" s="59">
        <f t="shared" si="2"/>
        <v>146</v>
      </c>
      <c r="E11" s="59">
        <f t="shared" si="0"/>
        <v>1</v>
      </c>
      <c r="F11" s="60">
        <f t="shared" si="3"/>
        <v>99.85</v>
      </c>
      <c r="G11" s="61">
        <f>IF(D11=D10,"",_xlfn.IFNA(VLOOKUP(D11,'인원 입력 기능(국수)'!$A$5:$D$103,4,FALSE),0))</f>
        <v>93</v>
      </c>
      <c r="H11" s="62">
        <f t="shared" si="4"/>
        <v>2.8703172163478452E-4</v>
      </c>
      <c r="I11" s="72">
        <f>SUM($G$7:G11)</f>
        <v>524</v>
      </c>
      <c r="J11" s="64">
        <f t="shared" si="5"/>
        <v>1.6172540014691085E-3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93</v>
      </c>
    </row>
    <row r="12" spans="1:17" ht="25" customHeight="1" x14ac:dyDescent="0.45">
      <c r="A12" s="5"/>
      <c r="B12" s="30"/>
      <c r="C12" s="65">
        <v>95</v>
      </c>
      <c r="D12" s="59">
        <f t="shared" si="2"/>
        <v>145</v>
      </c>
      <c r="E12" s="59">
        <f t="shared" si="0"/>
        <v>1</v>
      </c>
      <c r="F12" s="60">
        <f t="shared" si="3"/>
        <v>99.76</v>
      </c>
      <c r="G12" s="61">
        <f>IF(D12=D11,"",_xlfn.IFNA(VLOOKUP(D12,'인원 입력 기능(국수)'!$A$5:$D$103,4,FALSE),0))</f>
        <v>515</v>
      </c>
      <c r="H12" s="62">
        <f t="shared" si="4"/>
        <v>1.5894767380850972E-3</v>
      </c>
      <c r="I12" s="72">
        <f>SUM($G$7:G12)</f>
        <v>1039</v>
      </c>
      <c r="J12" s="64">
        <f t="shared" si="5"/>
        <v>3.2067307395542057E-3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82</v>
      </c>
    </row>
    <row r="13" spans="1:17" ht="25" customHeight="1" x14ac:dyDescent="0.45">
      <c r="A13" s="5"/>
      <c r="B13" s="30"/>
      <c r="C13" s="65">
        <v>94</v>
      </c>
      <c r="D13" s="59">
        <f t="shared" si="2"/>
        <v>144</v>
      </c>
      <c r="E13" s="59">
        <f t="shared" si="0"/>
        <v>1</v>
      </c>
      <c r="F13" s="60">
        <f t="shared" si="3"/>
        <v>99.6</v>
      </c>
      <c r="G13" s="61">
        <f>IF(D13=D12,"",_xlfn.IFNA(VLOOKUP(D13,'인원 입력 기능(국수)'!$A$5:$D$103,4,FALSE),0))</f>
        <v>492</v>
      </c>
      <c r="H13" s="62">
        <f t="shared" si="4"/>
        <v>1.518490398325957E-3</v>
      </c>
      <c r="I13" s="72">
        <f>SUM($G$7:G13)</f>
        <v>1531</v>
      </c>
      <c r="J13" s="64">
        <f t="shared" si="5"/>
        <v>4.725221137880163E-3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74</v>
      </c>
    </row>
    <row r="14" spans="1:17" ht="25" customHeight="1" x14ac:dyDescent="0.45">
      <c r="A14" s="5"/>
      <c r="B14" s="30"/>
      <c r="C14" s="65">
        <v>93</v>
      </c>
      <c r="D14" s="59">
        <f t="shared" si="2"/>
        <v>143</v>
      </c>
      <c r="E14" s="59">
        <f t="shared" si="0"/>
        <v>1</v>
      </c>
      <c r="F14" s="60">
        <f t="shared" si="3"/>
        <v>99.43</v>
      </c>
      <c r="G14" s="61">
        <f>IF(D14=D13,"",_xlfn.IFNA(VLOOKUP(D14,'인원 입력 기능(국수)'!$A$5:$D$103,4,FALSE),0))</f>
        <v>654</v>
      </c>
      <c r="H14" s="62">
        <f t="shared" si="4"/>
        <v>2.0184811392381622E-3</v>
      </c>
      <c r="I14" s="72">
        <f>SUM($G$7:G14)</f>
        <v>2185</v>
      </c>
      <c r="J14" s="64">
        <f t="shared" si="5"/>
        <v>6.7437022771183247E-3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70</v>
      </c>
    </row>
    <row r="15" spans="1:17" ht="25" customHeight="1" x14ac:dyDescent="0.45">
      <c r="A15" s="5"/>
      <c r="B15" s="30"/>
      <c r="C15" s="65">
        <v>92</v>
      </c>
      <c r="D15" s="59">
        <f t="shared" si="2"/>
        <v>142</v>
      </c>
      <c r="E15" s="59">
        <f t="shared" si="0"/>
        <v>1</v>
      </c>
      <c r="F15" s="60">
        <f t="shared" si="3"/>
        <v>99.18</v>
      </c>
      <c r="G15" s="61">
        <f>IF(D15=D14,"",_xlfn.IFNA(VLOOKUP(D15,'인원 입력 기능(국수)'!$A$5:$D$103,4,FALSE),0))</f>
        <v>932</v>
      </c>
      <c r="H15" s="62">
        <f t="shared" si="4"/>
        <v>2.8764899415442925E-3</v>
      </c>
      <c r="I15" s="72">
        <f>SUM($G$7:G15)</f>
        <v>3117</v>
      </c>
      <c r="J15" s="64">
        <f t="shared" si="5"/>
        <v>9.6201922186626172E-3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73">
        <v>91</v>
      </c>
      <c r="D16" s="59">
        <f t="shared" si="2"/>
        <v>141</v>
      </c>
      <c r="E16" s="74">
        <f t="shared" si="0"/>
        <v>1</v>
      </c>
      <c r="F16" s="60">
        <f t="shared" si="3"/>
        <v>98.92</v>
      </c>
      <c r="G16" s="61">
        <f>IF(D16=D15,"",_xlfn.IFNA(VLOOKUP(D16,'인원 입력 기능(국수)'!$A$5:$D$103,4,FALSE),0))</f>
        <v>781</v>
      </c>
      <c r="H16" s="62">
        <f t="shared" si="4"/>
        <v>2.4104491892125456E-3</v>
      </c>
      <c r="I16" s="75">
        <f>SUM($G$7:G16)</f>
        <v>3898</v>
      </c>
      <c r="J16" s="64">
        <f t="shared" si="5"/>
        <v>1.2030641407875162E-2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73">
        <v>90</v>
      </c>
      <c r="D17" s="59">
        <f t="shared" si="2"/>
        <v>140</v>
      </c>
      <c r="E17" s="74">
        <f t="shared" si="0"/>
        <v>1</v>
      </c>
      <c r="F17" s="60">
        <f t="shared" si="3"/>
        <v>98.58</v>
      </c>
      <c r="G17" s="61">
        <f>IF(D17=D16,"",_xlfn.IFNA(VLOOKUP(D17,'인원 입력 기능(국수)'!$A$5:$D$103,4,FALSE),0))</f>
        <v>1376</v>
      </c>
      <c r="H17" s="62">
        <f t="shared" si="4"/>
        <v>4.2468349351555221E-3</v>
      </c>
      <c r="I17" s="75">
        <f>SUM($G$7:G17)</f>
        <v>5274</v>
      </c>
      <c r="J17" s="64">
        <f t="shared" si="5"/>
        <v>1.6277476343030686E-2</v>
      </c>
      <c r="K17" s="31"/>
      <c r="L17" s="20" t="str">
        <f t="shared" si="1"/>
        <v/>
      </c>
      <c r="N17" s="1"/>
      <c r="Q17" s="1">
        <f>Q7*H3*H4*J3*IFERROR(IF(J107=1, 1, 0), 0)</f>
        <v>44133803681.525993</v>
      </c>
    </row>
    <row r="18" spans="1:17" ht="25" customHeight="1" x14ac:dyDescent="0.45">
      <c r="A18" s="5"/>
      <c r="B18" s="30"/>
      <c r="C18" s="73">
        <v>89</v>
      </c>
      <c r="D18" s="59">
        <f t="shared" si="2"/>
        <v>139</v>
      </c>
      <c r="E18" s="74">
        <f t="shared" si="0"/>
        <v>1</v>
      </c>
      <c r="F18" s="60">
        <f t="shared" si="3"/>
        <v>98.21</v>
      </c>
      <c r="G18" s="61">
        <f>IF(D18=D17,"",_xlfn.IFNA(VLOOKUP(D18,'인원 입력 기능(국수)'!$A$5:$D$103,4,FALSE),0))</f>
        <v>1082</v>
      </c>
      <c r="H18" s="62">
        <f t="shared" si="4"/>
        <v>3.3394443312778159E-3</v>
      </c>
      <c r="I18" s="75">
        <f>SUM($G$7:G18)</f>
        <v>6356</v>
      </c>
      <c r="J18" s="64">
        <f t="shared" si="5"/>
        <v>1.9616920674308501E-2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73">
        <v>88</v>
      </c>
      <c r="D19" s="59">
        <f t="shared" si="2"/>
        <v>138</v>
      </c>
      <c r="E19" s="74">
        <f t="shared" si="0"/>
        <v>1</v>
      </c>
      <c r="F19" s="60">
        <f t="shared" si="3"/>
        <v>97.77</v>
      </c>
      <c r="G19" s="61">
        <f>IF(D19=D18,"",_xlfn.IFNA(VLOOKUP(D19,'인원 입력 기능(국수)'!$A$5:$D$103,4,FALSE),0))</f>
        <v>1751</v>
      </c>
      <c r="H19" s="62">
        <f t="shared" si="4"/>
        <v>5.4042209094893306E-3</v>
      </c>
      <c r="I19" s="75">
        <f>SUM($G$7:G19)</f>
        <v>8107</v>
      </c>
      <c r="J19" s="64">
        <f t="shared" si="5"/>
        <v>2.502114158379783E-2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73">
        <v>87</v>
      </c>
      <c r="D20" s="59">
        <f t="shared" si="2"/>
        <v>137</v>
      </c>
      <c r="E20" s="74">
        <f t="shared" si="0"/>
        <v>1</v>
      </c>
      <c r="F20" s="60">
        <f t="shared" si="3"/>
        <v>97.28</v>
      </c>
      <c r="G20" s="61">
        <f>IF(D20=D19,"",_xlfn.IFNA(VLOOKUP(D20,'인원 입력 기능(국수)'!$A$5:$D$103,4,FALSE),0))</f>
        <v>1408</v>
      </c>
      <c r="H20" s="62">
        <f t="shared" si="4"/>
        <v>4.3455985382986739E-3</v>
      </c>
      <c r="I20" s="75">
        <f>SUM($G$7:G20)</f>
        <v>9515</v>
      </c>
      <c r="J20" s="64">
        <f t="shared" si="5"/>
        <v>2.9366740122096505E-2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73">
        <v>86</v>
      </c>
      <c r="D21" s="59">
        <f t="shared" si="2"/>
        <v>136</v>
      </c>
      <c r="E21" s="74">
        <f t="shared" si="0"/>
        <v>1</v>
      </c>
      <c r="F21" s="60">
        <f t="shared" si="3"/>
        <v>96.77</v>
      </c>
      <c r="G21" s="61">
        <f>IF(D21=D20,"",_xlfn.IFNA(VLOOKUP(D21,'인원 입력 기능(국수)'!$A$5:$D$103,4,FALSE),0))</f>
        <v>1910</v>
      </c>
      <c r="H21" s="62">
        <f t="shared" si="4"/>
        <v>5.8949525626068649E-3</v>
      </c>
      <c r="I21" s="75">
        <f>SUM($G$7:G21)</f>
        <v>11425</v>
      </c>
      <c r="J21" s="64">
        <f t="shared" si="5"/>
        <v>3.5261692684703368E-2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73">
        <v>85</v>
      </c>
      <c r="D22" s="59">
        <f t="shared" si="2"/>
        <v>135</v>
      </c>
      <c r="E22" s="74">
        <f t="shared" si="0"/>
        <v>1</v>
      </c>
      <c r="F22" s="60">
        <f t="shared" si="3"/>
        <v>96.2</v>
      </c>
      <c r="G22" s="61">
        <f>IF(D22=D21,"",_xlfn.IFNA(VLOOKUP(D22,'인원 입력 기능(국수)'!$A$5:$D$103,4,FALSE),0))</f>
        <v>1762</v>
      </c>
      <c r="H22" s="62">
        <f t="shared" si="4"/>
        <v>5.4381708980697887E-3</v>
      </c>
      <c r="I22" s="75">
        <f>SUM($G$7:G22)</f>
        <v>13187</v>
      </c>
      <c r="J22" s="64">
        <f t="shared" si="5"/>
        <v>4.0699863582773159E-2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73">
        <v>84</v>
      </c>
      <c r="D23" s="59">
        <f t="shared" si="2"/>
        <v>134</v>
      </c>
      <c r="E23" s="74">
        <f t="shared" si="0"/>
        <v>2</v>
      </c>
      <c r="F23" s="60">
        <f t="shared" si="3"/>
        <v>95.6</v>
      </c>
      <c r="G23" s="61">
        <f>IF(D23=D22,"",_xlfn.IFNA(VLOOKUP(D23,'인원 입력 기능(국수)'!$A$5:$D$103,4,FALSE),0))</f>
        <v>2130</v>
      </c>
      <c r="H23" s="62">
        <f t="shared" si="4"/>
        <v>6.5739523342160334E-3</v>
      </c>
      <c r="I23" s="75">
        <f>SUM($G$7:G23)</f>
        <v>15317</v>
      </c>
      <c r="J23" s="64">
        <f t="shared" si="5"/>
        <v>4.727381591698919E-2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73">
        <v>83</v>
      </c>
      <c r="D24" s="59">
        <f t="shared" si="2"/>
        <v>133</v>
      </c>
      <c r="E24" s="74">
        <f t="shared" si="0"/>
        <v>2</v>
      </c>
      <c r="F24" s="60">
        <f t="shared" si="3"/>
        <v>94.95</v>
      </c>
      <c r="G24" s="61">
        <f>IF(D24=D23,"",_xlfn.IFNA(VLOOKUP(D24,'인원 입력 기능(국수)'!$A$5:$D$103,4,FALSE),0))</f>
        <v>2114</v>
      </c>
      <c r="H24" s="62">
        <f t="shared" si="4"/>
        <v>6.5245705326444576E-3</v>
      </c>
      <c r="I24" s="75">
        <f>SUM($G$7:G24)</f>
        <v>17431</v>
      </c>
      <c r="J24" s="64">
        <f t="shared" si="5"/>
        <v>5.3798386449633646E-2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73">
        <v>82</v>
      </c>
      <c r="D25" s="59">
        <f t="shared" si="2"/>
        <v>132</v>
      </c>
      <c r="E25" s="74">
        <f t="shared" si="0"/>
        <v>2</v>
      </c>
      <c r="F25" s="60">
        <f t="shared" si="3"/>
        <v>94.26</v>
      </c>
      <c r="G25" s="61">
        <f>IF(D25=D24,"",_xlfn.IFNA(VLOOKUP(D25,'인원 입력 기능(국수)'!$A$5:$D$103,4,FALSE),0))</f>
        <v>2349</v>
      </c>
      <c r="H25" s="62">
        <f t="shared" si="4"/>
        <v>7.2498657432269777E-3</v>
      </c>
      <c r="I25" s="75">
        <f>SUM($G$7:G25)</f>
        <v>19780</v>
      </c>
      <c r="J25" s="64">
        <f t="shared" si="5"/>
        <v>6.1048252192860628E-2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73">
        <v>81</v>
      </c>
      <c r="D26" s="59">
        <f t="shared" si="2"/>
        <v>131</v>
      </c>
      <c r="E26" s="74">
        <f t="shared" si="0"/>
        <v>2</v>
      </c>
      <c r="F26" s="60">
        <f t="shared" si="3"/>
        <v>93.52</v>
      </c>
      <c r="G26" s="61">
        <f>IF(D26=D25,"",_xlfn.IFNA(VLOOKUP(D26,'인원 입력 기능(국수)'!$A$5:$D$103,4,FALSE),0))</f>
        <v>2456</v>
      </c>
      <c r="H26" s="62">
        <f t="shared" si="4"/>
        <v>7.5801065412368909E-3</v>
      </c>
      <c r="I26" s="75">
        <f>SUM($G$7:G26)</f>
        <v>22236</v>
      </c>
      <c r="J26" s="64">
        <f t="shared" si="5"/>
        <v>6.8628358734097519E-2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73">
        <v>80</v>
      </c>
      <c r="D27" s="202">
        <f t="shared" si="2"/>
        <v>130</v>
      </c>
      <c r="E27" s="204">
        <f t="shared" si="0"/>
        <v>2</v>
      </c>
      <c r="F27" s="206">
        <f t="shared" si="3"/>
        <v>92.3</v>
      </c>
      <c r="G27" s="208">
        <f>IF(D27=D26,"",_xlfn.IFNA(VLOOKUP(D27,'인원 입력 기능(국수)'!$A$5:$D$103,4,FALSE),0))</f>
        <v>5431</v>
      </c>
      <c r="H27" s="210">
        <f t="shared" si="4"/>
        <v>1.6762035270951773E-2</v>
      </c>
      <c r="I27" s="198">
        <f>SUM($G$7:G27)</f>
        <v>27667</v>
      </c>
      <c r="J27" s="200">
        <f t="shared" si="5"/>
        <v>8.5390394005049289E-2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73">
        <v>79</v>
      </c>
      <c r="D28" s="203"/>
      <c r="E28" s="205"/>
      <c r="F28" s="207"/>
      <c r="G28" s="209"/>
      <c r="H28" s="211"/>
      <c r="I28" s="199"/>
      <c r="J28" s="201"/>
      <c r="K28" s="31"/>
      <c r="L28" s="20" t="str">
        <f t="shared" si="1"/>
        <v>경고</v>
      </c>
      <c r="N28" s="1"/>
    </row>
    <row r="29" spans="1:17" ht="25" customHeight="1" x14ac:dyDescent="0.45">
      <c r="A29" s="5"/>
      <c r="B29" s="30"/>
      <c r="C29" s="73">
        <v>78</v>
      </c>
      <c r="D29" s="59">
        <f t="shared" si="2"/>
        <v>129</v>
      </c>
      <c r="E29" s="74">
        <f t="shared" si="0"/>
        <v>2</v>
      </c>
      <c r="F29" s="60">
        <f t="shared" si="3"/>
        <v>91.01</v>
      </c>
      <c r="G29" s="61">
        <f>IF(D29=D28,"",_xlfn.IFNA(VLOOKUP(D29,'인원 입력 기능(국수)'!$A$5:$D$103,4,FALSE),0))</f>
        <v>2926</v>
      </c>
      <c r="H29" s="62">
        <f t="shared" si="4"/>
        <v>9.0306969624019302E-3</v>
      </c>
      <c r="I29" s="75">
        <f>SUM($G$7:G29)</f>
        <v>30593</v>
      </c>
      <c r="J29" s="64">
        <f t="shared" si="5"/>
        <v>9.4421090967451216E-2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73">
        <v>77</v>
      </c>
      <c r="D30" s="59">
        <f t="shared" si="2"/>
        <v>128</v>
      </c>
      <c r="E30" s="74">
        <f t="shared" si="0"/>
        <v>2</v>
      </c>
      <c r="F30" s="60">
        <f t="shared" si="3"/>
        <v>90.05</v>
      </c>
      <c r="G30" s="61">
        <f>IF(D30=D29,"",_xlfn.IFNA(VLOOKUP(D30,'인원 입력 기능(국수)'!$A$5:$D$103,4,FALSE),0))</f>
        <v>3262</v>
      </c>
      <c r="H30" s="62">
        <f t="shared" si="4"/>
        <v>1.0067714795405023E-2</v>
      </c>
      <c r="I30" s="75">
        <f>SUM($G$7:G30)</f>
        <v>33855</v>
      </c>
      <c r="J30" s="64">
        <f t="shared" si="5"/>
        <v>0.10448880576285624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73">
        <v>76</v>
      </c>
      <c r="D31" s="59">
        <f t="shared" si="2"/>
        <v>127</v>
      </c>
      <c r="E31" s="74">
        <f t="shared" si="0"/>
        <v>2</v>
      </c>
      <c r="F31" s="60">
        <f t="shared" si="3"/>
        <v>89.08</v>
      </c>
      <c r="G31" s="61">
        <f>IF(D31=D30,"",_xlfn.IFNA(VLOOKUP(D31,'인원 입력 기능(국수)'!$A$5:$D$103,4,FALSE),0))</f>
        <v>3062</v>
      </c>
      <c r="H31" s="62">
        <f t="shared" si="4"/>
        <v>9.4504422757603259E-3</v>
      </c>
      <c r="I31" s="75">
        <f>SUM($G$7:G31)</f>
        <v>36917</v>
      </c>
      <c r="J31" s="64">
        <f t="shared" si="5"/>
        <v>0.11393924803861658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73">
        <v>75</v>
      </c>
      <c r="D32" s="59">
        <f t="shared" si="2"/>
        <v>126</v>
      </c>
      <c r="E32" s="74">
        <f t="shared" si="0"/>
        <v>3</v>
      </c>
      <c r="F32" s="60">
        <f t="shared" si="3"/>
        <v>88.09</v>
      </c>
      <c r="G32" s="61">
        <f>IF(D32=D31,"",_xlfn.IFNA(VLOOKUP(D32,'인원 입력 기능(국수)'!$A$5:$D$103,4,FALSE),0))</f>
        <v>3327</v>
      </c>
      <c r="H32" s="62">
        <f t="shared" si="4"/>
        <v>1.026832836428955E-2</v>
      </c>
      <c r="I32" s="75">
        <f>SUM($G$7:G32)</f>
        <v>40244</v>
      </c>
      <c r="J32" s="64">
        <f t="shared" si="5"/>
        <v>0.12420757640290613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73">
        <v>74</v>
      </c>
      <c r="D33" s="59">
        <f t="shared" si="2"/>
        <v>125</v>
      </c>
      <c r="E33" s="74">
        <f t="shared" si="0"/>
        <v>3</v>
      </c>
      <c r="F33" s="60">
        <f t="shared" si="3"/>
        <v>87.06</v>
      </c>
      <c r="G33" s="61">
        <f>IF(D33=D32,"",_xlfn.IFNA(VLOOKUP(D33,'인원 입력 기능(국수)'!$A$5:$D$103,4,FALSE),0))</f>
        <v>3368</v>
      </c>
      <c r="H33" s="62">
        <f t="shared" si="4"/>
        <v>1.0394869230816714E-2</v>
      </c>
      <c r="I33" s="75">
        <f>SUM($G$7:G33)</f>
        <v>43612</v>
      </c>
      <c r="J33" s="64">
        <f t="shared" si="5"/>
        <v>0.13460244563372284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73">
        <v>73</v>
      </c>
      <c r="D34" s="59">
        <f t="shared" si="2"/>
        <v>124</v>
      </c>
      <c r="E34" s="74">
        <f t="shared" si="0"/>
        <v>3</v>
      </c>
      <c r="F34" s="60">
        <f t="shared" si="3"/>
        <v>86</v>
      </c>
      <c r="G34" s="61">
        <f>IF(D34=D33,"",_xlfn.IFNA(VLOOKUP(D34,'인원 입력 기능(국수)'!$A$5:$D$103,4,FALSE),0))</f>
        <v>3522</v>
      </c>
      <c r="H34" s="62">
        <f t="shared" si="4"/>
        <v>1.0870169070943131E-2</v>
      </c>
      <c r="I34" s="75">
        <f>SUM($G$7:G34)</f>
        <v>47134</v>
      </c>
      <c r="J34" s="64">
        <f t="shared" si="5"/>
        <v>0.14547261470466596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73">
        <v>72</v>
      </c>
      <c r="D35" s="59">
        <f t="shared" si="2"/>
        <v>123</v>
      </c>
      <c r="E35" s="74">
        <f t="shared" si="0"/>
        <v>3</v>
      </c>
      <c r="F35" s="60">
        <f t="shared" si="3"/>
        <v>84.87</v>
      </c>
      <c r="G35" s="61">
        <f>IF(D35=D34,"",_xlfn.IFNA(VLOOKUP(D35,'인원 입력 기능(국수)'!$A$5:$D$103,4,FALSE),0))</f>
        <v>3745</v>
      </c>
      <c r="H35" s="62">
        <f t="shared" si="4"/>
        <v>1.1558427930346969E-2</v>
      </c>
      <c r="I35" s="75">
        <f>SUM($G$7:G35)</f>
        <v>50879</v>
      </c>
      <c r="J35" s="64">
        <f t="shared" si="5"/>
        <v>0.15703104263501294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73">
        <v>71</v>
      </c>
      <c r="D36" s="59">
        <f t="shared" si="2"/>
        <v>122</v>
      </c>
      <c r="E36" s="74">
        <f t="shared" si="0"/>
        <v>3</v>
      </c>
      <c r="F36" s="60">
        <f t="shared" si="3"/>
        <v>83.72</v>
      </c>
      <c r="G36" s="61">
        <f>IF(D36=D35,"",_xlfn.IFNA(VLOOKUP(D36,'인원 입력 기능(국수)'!$A$5:$D$103,4,FALSE),0))</f>
        <v>3750</v>
      </c>
      <c r="H36" s="62">
        <f t="shared" si="4"/>
        <v>1.1573859743338086E-2</v>
      </c>
      <c r="I36" s="75">
        <f>SUM($G$7:G36)</f>
        <v>54629</v>
      </c>
      <c r="J36" s="64">
        <f t="shared" si="5"/>
        <v>0.16860490237835102</v>
      </c>
      <c r="K36" s="31"/>
      <c r="L36" s="20" t="str">
        <f t="shared" si="1"/>
        <v/>
      </c>
      <c r="N36" s="1"/>
    </row>
    <row r="37" spans="1:14" ht="25" customHeight="1" x14ac:dyDescent="0.45">
      <c r="A37" s="5"/>
      <c r="B37" s="30"/>
      <c r="C37" s="73">
        <v>70</v>
      </c>
      <c r="D37" s="59">
        <f t="shared" si="2"/>
        <v>121</v>
      </c>
      <c r="E37" s="74">
        <f t="shared" si="0"/>
        <v>3</v>
      </c>
      <c r="F37" s="60">
        <f t="shared" si="3"/>
        <v>82.53</v>
      </c>
      <c r="G37" s="61">
        <f>IF(D37=D36,"",_xlfn.IFNA(VLOOKUP(D37,'인원 입력 기능(국수)'!$A$5:$D$103,4,FALSE),0))</f>
        <v>3931</v>
      </c>
      <c r="H37" s="62">
        <f t="shared" si="4"/>
        <v>1.2132491373616537E-2</v>
      </c>
      <c r="I37" s="75">
        <f>SUM($G$7:G37)</f>
        <v>58560</v>
      </c>
      <c r="J37" s="64">
        <f t="shared" si="5"/>
        <v>0.18073739375196757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73">
        <v>69</v>
      </c>
      <c r="D38" s="59">
        <f t="shared" si="2"/>
        <v>120</v>
      </c>
      <c r="E38" s="74">
        <f t="shared" si="0"/>
        <v>3</v>
      </c>
      <c r="F38" s="60">
        <f t="shared" si="3"/>
        <v>81.319999999999993</v>
      </c>
      <c r="G38" s="61">
        <f>IF(D38=D37,"",_xlfn.IFNA(VLOOKUP(D38,'인원 입력 기능(국수)'!$A$5:$D$103,4,FALSE),0))</f>
        <v>3910</v>
      </c>
      <c r="H38" s="62">
        <f t="shared" si="4"/>
        <v>1.2067677759053845E-2</v>
      </c>
      <c r="I38" s="75">
        <f>SUM($G$7:G38)</f>
        <v>62470</v>
      </c>
      <c r="J38" s="64">
        <f t="shared" si="5"/>
        <v>0.19280507151102141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73">
        <v>68</v>
      </c>
      <c r="D39" s="59">
        <f t="shared" si="2"/>
        <v>119</v>
      </c>
      <c r="E39" s="74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60">
        <f t="shared" si="3"/>
        <v>80.08</v>
      </c>
      <c r="G39" s="61">
        <f>IF(D39=D38,"",_xlfn.IFNA(VLOOKUP(D39,'인원 입력 기능(국수)'!$A$5:$D$103,4,FALSE),0))</f>
        <v>4132</v>
      </c>
      <c r="H39" s="62">
        <f t="shared" si="4"/>
        <v>1.275285025585946E-2</v>
      </c>
      <c r="I39" s="75">
        <f>SUM($G$7:G39)</f>
        <v>66602</v>
      </c>
      <c r="J39" s="64">
        <f t="shared" si="5"/>
        <v>0.20555792176688087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73">
        <v>67</v>
      </c>
      <c r="D40" s="59">
        <f t="shared" si="2"/>
        <v>118</v>
      </c>
      <c r="E40" s="74">
        <f t="shared" si="6"/>
        <v>3</v>
      </c>
      <c r="F40" s="60">
        <f t="shared" si="3"/>
        <v>78.8</v>
      </c>
      <c r="G40" s="61">
        <f>IF(D40=D39,"",_xlfn.IFNA(VLOOKUP(D40,'인원 입력 기능(국수)'!$A$5:$D$103,4,FALSE),0))</f>
        <v>4181</v>
      </c>
      <c r="H40" s="62">
        <f t="shared" si="4"/>
        <v>1.2904082023172411E-2</v>
      </c>
      <c r="I40" s="75">
        <f>SUM($G$7:G40)</f>
        <v>70783</v>
      </c>
      <c r="J40" s="64">
        <f t="shared" si="5"/>
        <v>0.21846200379005326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73">
        <v>66</v>
      </c>
      <c r="D41" s="59">
        <f t="shared" si="2"/>
        <v>117</v>
      </c>
      <c r="E41" s="74">
        <f t="shared" si="6"/>
        <v>3</v>
      </c>
      <c r="F41" s="60">
        <f t="shared" si="3"/>
        <v>77.47</v>
      </c>
      <c r="G41" s="61">
        <f>IF(D41=D40,"",_xlfn.IFNA(VLOOKUP(D41,'인원 입력 기능(국수)'!$A$5:$D$103,4,FALSE),0))</f>
        <v>4453</v>
      </c>
      <c r="H41" s="62">
        <f t="shared" si="4"/>
        <v>1.3743572649889199E-2</v>
      </c>
      <c r="I41" s="75">
        <f>SUM($G$7:G41)</f>
        <v>75236</v>
      </c>
      <c r="J41" s="64">
        <f t="shared" si="5"/>
        <v>0.23220557643994247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73">
        <v>65</v>
      </c>
      <c r="D42" s="59">
        <f t="shared" si="2"/>
        <v>116</v>
      </c>
      <c r="E42" s="74">
        <f t="shared" si="6"/>
        <v>4</v>
      </c>
      <c r="F42" s="60">
        <f t="shared" si="3"/>
        <v>76.099999999999994</v>
      </c>
      <c r="G42" s="61">
        <f>IF(D42=D41,"",_xlfn.IFNA(VLOOKUP(D42,'인원 입력 기능(국수)'!$A$5:$D$103,4,FALSE),0))</f>
        <v>4380</v>
      </c>
      <c r="H42" s="62">
        <f t="shared" si="4"/>
        <v>1.3518268180218885E-2</v>
      </c>
      <c r="I42" s="75">
        <f>SUM($G$7:G42)</f>
        <v>79616</v>
      </c>
      <c r="J42" s="64">
        <f t="shared" si="5"/>
        <v>0.24572384462016136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73">
        <v>64</v>
      </c>
      <c r="D43" s="59">
        <f t="shared" si="2"/>
        <v>115</v>
      </c>
      <c r="E43" s="74">
        <f t="shared" si="6"/>
        <v>4</v>
      </c>
      <c r="F43" s="60">
        <f t="shared" si="3"/>
        <v>74.75</v>
      </c>
      <c r="G43" s="61">
        <f>IF(D43=D42,"",_xlfn.IFNA(VLOOKUP(D43,'인원 입력 기능(국수)'!$A$5:$D$103,4,FALSE),0))</f>
        <v>4421</v>
      </c>
      <c r="H43" s="62">
        <f t="shared" si="4"/>
        <v>1.3644809046746047E-2</v>
      </c>
      <c r="I43" s="75">
        <f>SUM($G$7:G43)</f>
        <v>84037</v>
      </c>
      <c r="J43" s="64">
        <f t="shared" si="5"/>
        <v>0.25936865366690742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73">
        <v>63</v>
      </c>
      <c r="D44" s="59">
        <f t="shared" si="2"/>
        <v>114</v>
      </c>
      <c r="E44" s="74">
        <f t="shared" si="6"/>
        <v>4</v>
      </c>
      <c r="F44" s="60">
        <f t="shared" si="3"/>
        <v>73.36</v>
      </c>
      <c r="G44" s="61">
        <f>IF(D44=D43,"",_xlfn.IFNA(VLOOKUP(D44,'인원 입력 기능(국수)'!$A$5:$D$103,4,FALSE),0))</f>
        <v>4587</v>
      </c>
      <c r="H44" s="62">
        <f t="shared" si="4"/>
        <v>1.4157145238051148E-2</v>
      </c>
      <c r="I44" s="75">
        <f>SUM($G$7:G44)</f>
        <v>88624</v>
      </c>
      <c r="J44" s="64">
        <f t="shared" si="5"/>
        <v>0.27352579890495854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73">
        <v>62</v>
      </c>
      <c r="D45" s="59">
        <f t="shared" si="2"/>
        <v>113</v>
      </c>
      <c r="E45" s="74">
        <f t="shared" si="6"/>
        <v>4</v>
      </c>
      <c r="F45" s="60">
        <f t="shared" si="3"/>
        <v>71.930000000000007</v>
      </c>
      <c r="G45" s="61">
        <f>IF(D45=D44,"",_xlfn.IFNA(VLOOKUP(D45,'인원 입력 기능(국수)'!$A$5:$D$103,4,FALSE),0))</f>
        <v>4672</v>
      </c>
      <c r="H45" s="62">
        <f t="shared" si="4"/>
        <v>1.4419486058900144E-2</v>
      </c>
      <c r="I45" s="75">
        <f>SUM($G$7:G45)</f>
        <v>93296</v>
      </c>
      <c r="J45" s="64">
        <f t="shared" si="5"/>
        <v>0.28794528496385868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73">
        <v>61</v>
      </c>
      <c r="D46" s="59">
        <f t="shared" si="2"/>
        <v>112</v>
      </c>
      <c r="E46" s="74">
        <f t="shared" si="6"/>
        <v>4</v>
      </c>
      <c r="F46" s="60">
        <f t="shared" si="3"/>
        <v>70.459999999999994</v>
      </c>
      <c r="G46" s="61">
        <f>IF(D46=D45,"",_xlfn.IFNA(VLOOKUP(D46,'인원 입력 기능(국수)'!$A$5:$D$103,4,FALSE),0))</f>
        <v>4801</v>
      </c>
      <c r="H46" s="62">
        <f t="shared" si="4"/>
        <v>1.4817626834070974E-2</v>
      </c>
      <c r="I46" s="75">
        <f>SUM($G$7:G46)</f>
        <v>98097</v>
      </c>
      <c r="J46" s="64">
        <f t="shared" si="5"/>
        <v>0.30276291179792969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73">
        <v>60</v>
      </c>
      <c r="D47" s="202">
        <f t="shared" si="2"/>
        <v>111</v>
      </c>
      <c r="E47" s="204">
        <f t="shared" si="6"/>
        <v>4</v>
      </c>
      <c r="F47" s="206">
        <f t="shared" si="3"/>
        <v>68.25</v>
      </c>
      <c r="G47" s="208">
        <f>IF(D47=D46,"",_xlfn.IFNA(VLOOKUP(D47,'인원 입력 기능(국수)'!$A$5:$D$103,4,FALSE),0))</f>
        <v>9542</v>
      </c>
      <c r="H47" s="210">
        <f t="shared" si="4"/>
        <v>2.9450071912248538E-2</v>
      </c>
      <c r="I47" s="198">
        <f>SUM($G$7:G47)</f>
        <v>107639</v>
      </c>
      <c r="J47" s="200">
        <f t="shared" si="5"/>
        <v>0.33221298371017821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73">
        <v>59</v>
      </c>
      <c r="D48" s="203"/>
      <c r="E48" s="205"/>
      <c r="F48" s="207"/>
      <c r="G48" s="209"/>
      <c r="H48" s="211"/>
      <c r="I48" s="199"/>
      <c r="J48" s="201"/>
      <c r="K48" s="31"/>
      <c r="L48" s="20" t="str">
        <f t="shared" si="7"/>
        <v>경고</v>
      </c>
      <c r="N48" s="1"/>
    </row>
    <row r="49" spans="1:14" ht="25" customHeight="1" x14ac:dyDescent="0.45">
      <c r="A49" s="5"/>
      <c r="B49" s="30"/>
      <c r="C49" s="73">
        <v>58</v>
      </c>
      <c r="D49" s="59">
        <f t="shared" si="2"/>
        <v>110</v>
      </c>
      <c r="E49" s="74">
        <f t="shared" si="6"/>
        <v>4</v>
      </c>
      <c r="F49" s="60">
        <f t="shared" si="3"/>
        <v>66.03</v>
      </c>
      <c r="G49" s="61">
        <f>IF(D49=D48,"",_xlfn.IFNA(VLOOKUP(D49,'인원 입력 기능(국수)'!$A$5:$D$103,4,FALSE),0))</f>
        <v>4835</v>
      </c>
      <c r="H49" s="62">
        <f t="shared" si="4"/>
        <v>1.4922563162410573E-2</v>
      </c>
      <c r="I49" s="75">
        <f>SUM($G$7:G49)</f>
        <v>112474</v>
      </c>
      <c r="J49" s="64">
        <f t="shared" si="5"/>
        <v>0.3471355468725888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73">
        <v>57</v>
      </c>
      <c r="D50" s="59">
        <f t="shared" si="2"/>
        <v>109</v>
      </c>
      <c r="E50" s="74">
        <f t="shared" si="6"/>
        <v>4</v>
      </c>
      <c r="F50" s="60">
        <f t="shared" si="3"/>
        <v>64.52</v>
      </c>
      <c r="G50" s="61">
        <f>IF(D50=D49,"",_xlfn.IFNA(VLOOKUP(D50,'인원 입력 기능(국수)'!$A$5:$D$103,4,FALSE),0))</f>
        <v>4989</v>
      </c>
      <c r="H50" s="62">
        <f t="shared" si="4"/>
        <v>1.5397863002536989E-2</v>
      </c>
      <c r="I50" s="75">
        <f>SUM($G$7:G50)</f>
        <v>117463</v>
      </c>
      <c r="J50" s="64">
        <f t="shared" si="5"/>
        <v>0.36253340987512578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73">
        <v>56</v>
      </c>
      <c r="D51" s="59">
        <f t="shared" si="2"/>
        <v>108</v>
      </c>
      <c r="E51" s="74">
        <f t="shared" si="6"/>
        <v>4</v>
      </c>
      <c r="F51" s="60">
        <f t="shared" si="3"/>
        <v>62.99</v>
      </c>
      <c r="G51" s="61">
        <f>IF(D51=D50,"",_xlfn.IFNA(VLOOKUP(D51,'인원 입력 기능(국수)'!$A$5:$D$103,4,FALSE),0))</f>
        <v>4906</v>
      </c>
      <c r="H51" s="62">
        <f t="shared" si="4"/>
        <v>1.514169490688444E-2</v>
      </c>
      <c r="I51" s="75">
        <f>SUM($G$7:G51)</f>
        <v>122369</v>
      </c>
      <c r="J51" s="64">
        <f t="shared" si="5"/>
        <v>0.37767510478201022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73">
        <v>55</v>
      </c>
      <c r="D52" s="59">
        <f t="shared" si="2"/>
        <v>107</v>
      </c>
      <c r="E52" s="74">
        <f t="shared" si="6"/>
        <v>4</v>
      </c>
      <c r="F52" s="60">
        <f t="shared" si="3"/>
        <v>61.47</v>
      </c>
      <c r="G52" s="61">
        <f>IF(D52=D51,"",_xlfn.IFNA(VLOOKUP(D52,'인원 입력 기능(국수)'!$A$5:$D$103,4,FALSE),0))</f>
        <v>4933</v>
      </c>
      <c r="H52" s="62">
        <f t="shared" si="4"/>
        <v>1.5225026697036475E-2</v>
      </c>
      <c r="I52" s="75">
        <f>SUM($G$7:G52)</f>
        <v>127302</v>
      </c>
      <c r="J52" s="64">
        <f t="shared" si="5"/>
        <v>0.39290013147904668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73">
        <v>54</v>
      </c>
      <c r="D53" s="59">
        <f t="shared" si="2"/>
        <v>106</v>
      </c>
      <c r="E53" s="74">
        <f t="shared" si="6"/>
        <v>4</v>
      </c>
      <c r="F53" s="60">
        <f t="shared" si="3"/>
        <v>59.96</v>
      </c>
      <c r="G53" s="61">
        <f>IF(D53=D52,"",_xlfn.IFNA(VLOOKUP(D53,'인원 입력 기능(국수)'!$A$5:$D$103,4,FALSE),0))</f>
        <v>4891</v>
      </c>
      <c r="H53" s="62">
        <f t="shared" si="4"/>
        <v>1.5095399467911087E-2</v>
      </c>
      <c r="I53" s="75">
        <f>SUM($G$7:G53)</f>
        <v>132193</v>
      </c>
      <c r="J53" s="64">
        <f t="shared" si="5"/>
        <v>0.40799553094695779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73">
        <v>53</v>
      </c>
      <c r="D54" s="59">
        <f t="shared" si="2"/>
        <v>105</v>
      </c>
      <c r="E54" s="74">
        <f t="shared" si="6"/>
        <v>5</v>
      </c>
      <c r="F54" s="60">
        <f t="shared" si="3"/>
        <v>58.45</v>
      </c>
      <c r="G54" s="61">
        <f>IF(D54=D53,"",_xlfn.IFNA(VLOOKUP(D54,'인원 입력 기능(국수)'!$A$5:$D$103,4,FALSE),0))</f>
        <v>4851</v>
      </c>
      <c r="H54" s="62">
        <f t="shared" si="4"/>
        <v>1.4971944963982148E-2</v>
      </c>
      <c r="I54" s="75">
        <f>SUM($G$7:G54)</f>
        <v>137044</v>
      </c>
      <c r="J54" s="64">
        <f t="shared" si="5"/>
        <v>0.42296747591093992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73">
        <v>52</v>
      </c>
      <c r="D55" s="59">
        <f t="shared" si="2"/>
        <v>104</v>
      </c>
      <c r="E55" s="74">
        <f t="shared" si="6"/>
        <v>5</v>
      </c>
      <c r="F55" s="60">
        <f t="shared" si="3"/>
        <v>56.94</v>
      </c>
      <c r="G55" s="61">
        <f>IF(D55=D54,"",_xlfn.IFNA(VLOOKUP(D55,'인원 입력 기능(국수)'!$A$5:$D$103,4,FALSE),0))</f>
        <v>4965</v>
      </c>
      <c r="H55" s="62">
        <f t="shared" si="4"/>
        <v>1.5323790300179626E-2</v>
      </c>
      <c r="I55" s="75">
        <f>SUM($G$7:G55)</f>
        <v>142009</v>
      </c>
      <c r="J55" s="64">
        <f t="shared" si="5"/>
        <v>0.43829126621111952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73">
        <v>51</v>
      </c>
      <c r="D56" s="59">
        <f t="shared" si="2"/>
        <v>103</v>
      </c>
      <c r="E56" s="74">
        <f t="shared" si="6"/>
        <v>5</v>
      </c>
      <c r="F56" s="60">
        <f t="shared" si="3"/>
        <v>55.43</v>
      </c>
      <c r="G56" s="61">
        <f>IF(D56=D55,"",_xlfn.IFNA(VLOOKUP(D56,'인원 입력 기능(국수)'!$A$5:$D$103,4,FALSE),0))</f>
        <v>4809</v>
      </c>
      <c r="H56" s="62">
        <f t="shared" si="4"/>
        <v>1.4842317734856761E-2</v>
      </c>
      <c r="I56" s="75">
        <f>SUM($G$7:G56)</f>
        <v>146818</v>
      </c>
      <c r="J56" s="64">
        <f t="shared" si="5"/>
        <v>0.4531335839459763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73">
        <v>50</v>
      </c>
      <c r="D57" s="59">
        <f t="shared" si="2"/>
        <v>102</v>
      </c>
      <c r="E57" s="74">
        <f t="shared" si="6"/>
        <v>5</v>
      </c>
      <c r="F57" s="60">
        <f t="shared" si="3"/>
        <v>53.92</v>
      </c>
      <c r="G57" s="61">
        <f>IF(D57=D56,"",_xlfn.IFNA(VLOOKUP(D57,'인원 입력 기능(국수)'!$A$5:$D$103,4,FALSE),0))</f>
        <v>4997</v>
      </c>
      <c r="H57" s="62">
        <f t="shared" si="4"/>
        <v>1.5422553903322778E-2</v>
      </c>
      <c r="I57" s="75">
        <f>SUM($G$7:G57)</f>
        <v>151815</v>
      </c>
      <c r="J57" s="64">
        <f t="shared" si="5"/>
        <v>0.46855613784929911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73">
        <v>49</v>
      </c>
      <c r="D58" s="59">
        <f t="shared" si="2"/>
        <v>101</v>
      </c>
      <c r="E58" s="74">
        <f t="shared" si="6"/>
        <v>5</v>
      </c>
      <c r="F58" s="60">
        <f t="shared" si="3"/>
        <v>52.37</v>
      </c>
      <c r="G58" s="61">
        <f>IF(D58=D57,"",_xlfn.IFNA(VLOOKUP(D58,'인원 입력 기능(국수)'!$A$5:$D$103,4,FALSE),0))</f>
        <v>5005</v>
      </c>
      <c r="H58" s="62">
        <f t="shared" si="4"/>
        <v>1.5447244804108565E-2</v>
      </c>
      <c r="I58" s="75">
        <f>SUM($G$7:G58)</f>
        <v>156820</v>
      </c>
      <c r="J58" s="64">
        <f t="shared" si="5"/>
        <v>0.48400338265340764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73">
        <v>48</v>
      </c>
      <c r="D59" s="59">
        <f t="shared" si="2"/>
        <v>100</v>
      </c>
      <c r="E59" s="74">
        <f t="shared" si="6"/>
        <v>5</v>
      </c>
      <c r="F59" s="60">
        <f t="shared" si="3"/>
        <v>50.82</v>
      </c>
      <c r="G59" s="61">
        <f>IF(D59=D58,"",_xlfn.IFNA(VLOOKUP(D59,'인원 입력 기능(국수)'!$A$5:$D$103,4,FALSE),0))</f>
        <v>5031</v>
      </c>
      <c r="H59" s="62">
        <f t="shared" si="4"/>
        <v>1.5527490231662376E-2</v>
      </c>
      <c r="I59" s="75">
        <f>SUM($G$7:G59)</f>
        <v>161851</v>
      </c>
      <c r="J59" s="64">
        <f t="shared" si="5"/>
        <v>0.49953087288507003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73">
        <v>47</v>
      </c>
      <c r="D60" s="59">
        <f t="shared" si="2"/>
        <v>99</v>
      </c>
      <c r="E60" s="74">
        <f t="shared" si="6"/>
        <v>5</v>
      </c>
      <c r="F60" s="60">
        <f t="shared" si="3"/>
        <v>49.3</v>
      </c>
      <c r="G60" s="61">
        <f>IF(D60=D59,"",_xlfn.IFNA(VLOOKUP(D60,'인원 입력 기능(국수)'!$A$5:$D$103,4,FALSE),0))</f>
        <v>4820</v>
      </c>
      <c r="H60" s="62">
        <f t="shared" si="4"/>
        <v>1.487626772343722E-2</v>
      </c>
      <c r="I60" s="75">
        <f>SUM($G$7:G60)</f>
        <v>166671</v>
      </c>
      <c r="J60" s="64">
        <f t="shared" si="5"/>
        <v>0.51440714060850723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73">
        <v>46</v>
      </c>
      <c r="D61" s="59">
        <f t="shared" si="2"/>
        <v>98</v>
      </c>
      <c r="E61" s="74">
        <f t="shared" si="6"/>
        <v>5</v>
      </c>
      <c r="F61" s="60">
        <f t="shared" si="3"/>
        <v>47.8</v>
      </c>
      <c r="G61" s="61">
        <f>IF(D61=D60,"",_xlfn.IFNA(VLOOKUP(D61,'인원 입력 기능(국수)'!$A$5:$D$103,4,FALSE),0))</f>
        <v>4948</v>
      </c>
      <c r="H61" s="62">
        <f t="shared" si="4"/>
        <v>1.5271322136009827E-2</v>
      </c>
      <c r="I61" s="75">
        <f>SUM($G$7:G61)</f>
        <v>171619</v>
      </c>
      <c r="J61" s="64">
        <f t="shared" si="5"/>
        <v>0.52967846274451713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73">
        <v>45</v>
      </c>
      <c r="D62" s="59">
        <f t="shared" si="2"/>
        <v>97</v>
      </c>
      <c r="E62" s="74">
        <f t="shared" si="6"/>
        <v>5</v>
      </c>
      <c r="F62" s="60">
        <f t="shared" si="3"/>
        <v>46.26</v>
      </c>
      <c r="G62" s="61">
        <f>IF(D62=D61,"",_xlfn.IFNA(VLOOKUP(D62,'인원 입력 기능(국수)'!$A$5:$D$103,4,FALSE),0))</f>
        <v>4987</v>
      </c>
      <c r="H62" s="62">
        <f t="shared" si="4"/>
        <v>1.5391690277340542E-2</v>
      </c>
      <c r="I62" s="75">
        <f>SUM($G$7:G62)</f>
        <v>176606</v>
      </c>
      <c r="J62" s="64">
        <f t="shared" si="5"/>
        <v>0.54507015302185757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73">
        <v>44</v>
      </c>
      <c r="D63" s="59">
        <f t="shared" si="2"/>
        <v>96</v>
      </c>
      <c r="E63" s="74">
        <f t="shared" si="6"/>
        <v>5</v>
      </c>
      <c r="F63" s="60">
        <f t="shared" si="3"/>
        <v>44.72</v>
      </c>
      <c r="G63" s="61">
        <f>IF(D63=D62,"",_xlfn.IFNA(VLOOKUP(D63,'인원 입력 기능(국수)'!$A$5:$D$103,4,FALSE),0))</f>
        <v>5012</v>
      </c>
      <c r="H63" s="62">
        <f t="shared" si="4"/>
        <v>1.546884934229613E-2</v>
      </c>
      <c r="I63" s="75">
        <f>SUM($G$7:G63)</f>
        <v>181618</v>
      </c>
      <c r="J63" s="64">
        <f t="shared" si="5"/>
        <v>0.56053900236415377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73">
        <v>43</v>
      </c>
      <c r="D64" s="59">
        <f t="shared" si="2"/>
        <v>95</v>
      </c>
      <c r="E64" s="74">
        <f t="shared" si="6"/>
        <v>5</v>
      </c>
      <c r="F64" s="60">
        <f t="shared" si="3"/>
        <v>43.2</v>
      </c>
      <c r="G64" s="61">
        <f>IF(D64=D63,"",_xlfn.IFNA(VLOOKUP(D64,'인원 입력 기능(국수)'!$A$5:$D$103,4,FALSE),0))</f>
        <v>4865</v>
      </c>
      <c r="H64" s="62">
        <f t="shared" si="4"/>
        <v>1.5015154040357278E-2</v>
      </c>
      <c r="I64" s="75">
        <f>SUM($G$7:G64)</f>
        <v>186483</v>
      </c>
      <c r="J64" s="64">
        <f t="shared" si="5"/>
        <v>0.57555415640451102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73">
        <v>42</v>
      </c>
      <c r="D65" s="59">
        <f t="shared" si="2"/>
        <v>94</v>
      </c>
      <c r="E65" s="74">
        <f t="shared" si="6"/>
        <v>5</v>
      </c>
      <c r="F65" s="60">
        <f t="shared" si="3"/>
        <v>41.68</v>
      </c>
      <c r="G65" s="61">
        <f>IF(D65=D64,"",_xlfn.IFNA(VLOOKUP(D65,'인원 입력 기능(국수)'!$A$5:$D$103,4,FALSE),0))</f>
        <v>4945</v>
      </c>
      <c r="H65" s="62">
        <f t="shared" si="4"/>
        <v>1.5262063048215157E-2</v>
      </c>
      <c r="I65" s="75">
        <f>SUM($G$7:G65)</f>
        <v>191428</v>
      </c>
      <c r="J65" s="64">
        <f t="shared" si="5"/>
        <v>0.59081621945272622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73">
        <v>41</v>
      </c>
      <c r="D66" s="59">
        <f t="shared" si="2"/>
        <v>93</v>
      </c>
      <c r="E66" s="74">
        <f t="shared" si="6"/>
        <v>5</v>
      </c>
      <c r="F66" s="60">
        <f t="shared" si="3"/>
        <v>40.17</v>
      </c>
      <c r="G66" s="61">
        <f>IF(D66=D65,"",_xlfn.IFNA(VLOOKUP(D66,'인원 입력 기능(국수)'!$A$5:$D$103,4,FALSE),0))</f>
        <v>4823</v>
      </c>
      <c r="H66" s="62">
        <f t="shared" si="4"/>
        <v>1.488552681123189E-2</v>
      </c>
      <c r="I66" s="75">
        <f>SUM($G$7:G66)</f>
        <v>196251</v>
      </c>
      <c r="J66" s="64">
        <f t="shared" si="5"/>
        <v>0.60570174626395812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73">
        <v>40</v>
      </c>
      <c r="D67" s="202">
        <f t="shared" si="2"/>
        <v>92</v>
      </c>
      <c r="E67" s="204">
        <f t="shared" si="6"/>
        <v>6</v>
      </c>
      <c r="F67" s="206">
        <f t="shared" si="3"/>
        <v>37.96</v>
      </c>
      <c r="G67" s="208">
        <f>IF(D67=D66,"",_xlfn.IFNA(VLOOKUP(D67,'인원 입력 기능(국수)'!$A$5:$D$103,4,FALSE),0))</f>
        <v>9524</v>
      </c>
      <c r="H67" s="210">
        <f t="shared" si="4"/>
        <v>2.9394517385480518E-2</v>
      </c>
      <c r="I67" s="198">
        <f>SUM($G$7:G67)</f>
        <v>205775</v>
      </c>
      <c r="J67" s="200">
        <f t="shared" si="5"/>
        <v>0.63509626364943861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73">
        <v>39</v>
      </c>
      <c r="D68" s="203"/>
      <c r="E68" s="205"/>
      <c r="F68" s="207"/>
      <c r="G68" s="209"/>
      <c r="H68" s="211"/>
      <c r="I68" s="199"/>
      <c r="J68" s="201"/>
      <c r="K68" s="31"/>
      <c r="L68" s="20" t="str">
        <f t="shared" si="7"/>
        <v>경고</v>
      </c>
      <c r="N68" s="1"/>
    </row>
    <row r="69" spans="1:14" ht="25" customHeight="1" x14ac:dyDescent="0.45">
      <c r="A69" s="5"/>
      <c r="B69" s="30"/>
      <c r="C69" s="73">
        <v>38</v>
      </c>
      <c r="D69" s="59">
        <f t="shared" si="2"/>
        <v>91</v>
      </c>
      <c r="E69" s="74">
        <f t="shared" si="6"/>
        <v>6</v>
      </c>
      <c r="F69" s="60">
        <f t="shared" si="3"/>
        <v>35.770000000000003</v>
      </c>
      <c r="G69" s="61">
        <f>IF(D69=D68,"",_xlfn.IFNA(VLOOKUP(D69,'인원 입력 기능(국수)'!$A$5:$D$103,4,FALSE),0))</f>
        <v>4664</v>
      </c>
      <c r="H69" s="62">
        <f t="shared" si="4"/>
        <v>1.4394795158114355E-2</v>
      </c>
      <c r="I69" s="75">
        <f>SUM($G$7:G69)</f>
        <v>210439</v>
      </c>
      <c r="J69" s="64">
        <f t="shared" si="5"/>
        <v>0.64949105880755298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73">
        <v>37</v>
      </c>
      <c r="D70" s="59">
        <f t="shared" si="2"/>
        <v>90</v>
      </c>
      <c r="E70" s="74">
        <f t="shared" si="6"/>
        <v>6</v>
      </c>
      <c r="F70" s="60">
        <f t="shared" si="3"/>
        <v>34.33</v>
      </c>
      <c r="G70" s="61">
        <f>IF(D70=D69,"",_xlfn.IFNA(VLOOKUP(D70,'인원 입력 기능(국수)'!$A$5:$D$103,4,FALSE),0))</f>
        <v>4671</v>
      </c>
      <c r="H70" s="62">
        <f t="shared" si="4"/>
        <v>1.4416399696301921E-2</v>
      </c>
      <c r="I70" s="75">
        <f>SUM($G$7:G70)</f>
        <v>215110</v>
      </c>
      <c r="J70" s="64">
        <f t="shared" si="5"/>
        <v>0.66390745850385491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73">
        <v>36</v>
      </c>
      <c r="D71" s="59">
        <f t="shared" si="2"/>
        <v>89</v>
      </c>
      <c r="E71" s="74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60">
        <f t="shared" si="3"/>
        <v>32.880000000000003</v>
      </c>
      <c r="G71" s="61">
        <f>IF(D71=D70,"",_xlfn.IFNA(VLOOKUP(D71,'인원 입력 기능(국수)'!$A$5:$D$103,4,FALSE),0))</f>
        <v>4745</v>
      </c>
      <c r="H71" s="62">
        <f t="shared" si="4"/>
        <v>1.4644790528570458E-2</v>
      </c>
      <c r="I71" s="75">
        <f>SUM($G$7:G71)</f>
        <v>219855</v>
      </c>
      <c r="J71" s="64">
        <f t="shared" si="5"/>
        <v>0.67855224903242528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73">
        <v>35</v>
      </c>
      <c r="D72" s="59">
        <f t="shared" si="2"/>
        <v>88</v>
      </c>
      <c r="E72" s="74">
        <f t="shared" si="8"/>
        <v>6</v>
      </c>
      <c r="F72" s="60">
        <f t="shared" si="3"/>
        <v>31.41</v>
      </c>
      <c r="G72" s="61">
        <f>IF(D72=D71,"",_xlfn.IFNA(VLOOKUP(D72,'인원 입력 기능(국수)'!$A$5:$D$103,4,FALSE),0))</f>
        <v>4734</v>
      </c>
      <c r="H72" s="62">
        <f t="shared" si="4"/>
        <v>1.4610840539990001E-2</v>
      </c>
      <c r="I72" s="75">
        <f>SUM($G$7:G72)</f>
        <v>224589</v>
      </c>
      <c r="J72" s="64">
        <f t="shared" si="5"/>
        <v>0.69316308957241535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73">
        <v>34</v>
      </c>
      <c r="D73" s="59">
        <f t="shared" si="2"/>
        <v>87</v>
      </c>
      <c r="E73" s="74">
        <f t="shared" si="8"/>
        <v>6</v>
      </c>
      <c r="F73" s="60">
        <f t="shared" si="3"/>
        <v>29.98</v>
      </c>
      <c r="G73" s="61">
        <f>IF(D73=D72,"",_xlfn.IFNA(VLOOKUP(D73,'인원 입력 기능(국수)'!$A$5:$D$103,4,FALSE),0))</f>
        <v>4560</v>
      </c>
      <c r="H73" s="62">
        <f t="shared" si="4"/>
        <v>1.4073813447899113E-2</v>
      </c>
      <c r="I73" s="75">
        <f>SUM($G$7:G73)</f>
        <v>229149</v>
      </c>
      <c r="J73" s="64">
        <f t="shared" si="5"/>
        <v>0.70723690302031439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59">
        <f t="shared" ref="D74:D105" si="10">ROUND(20*(C74-$H$3)/$H$4+100,0)</f>
        <v>86</v>
      </c>
      <c r="E74" s="74">
        <f t="shared" si="8"/>
        <v>6</v>
      </c>
      <c r="F74" s="60">
        <f t="shared" ref="F74:F105" si="11">IF(I73=0,ROUND(100*(1-(I72+I74)/2/$J$3),2),ROUND(100*(1-(I73+I74)/2/$J$3),2))</f>
        <v>28.57</v>
      </c>
      <c r="G74" s="61">
        <f>IF(D74=D73,"",_xlfn.IFNA(VLOOKUP(D74,'인원 입력 기능(국수)'!$A$5:$D$103,4,FALSE),0))</f>
        <v>4576</v>
      </c>
      <c r="H74" s="62">
        <f t="shared" ref="H74:H105" si="12">G74/$J$3</f>
        <v>1.4123195249470689E-2</v>
      </c>
      <c r="I74" s="75">
        <f>SUM($G$7:G74)</f>
        <v>233725</v>
      </c>
      <c r="J74" s="64">
        <f t="shared" ref="J74:J105" si="13">I74/$J$3</f>
        <v>0.72136009826978509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73">
        <v>32</v>
      </c>
      <c r="D75" s="59">
        <f t="shared" si="10"/>
        <v>85</v>
      </c>
      <c r="E75" s="74">
        <f t="shared" si="8"/>
        <v>6</v>
      </c>
      <c r="F75" s="60">
        <f t="shared" si="11"/>
        <v>27.17</v>
      </c>
      <c r="G75" s="61">
        <f>IF(D75=D74,"",_xlfn.IFNA(VLOOKUP(D75,'인원 입력 기능(국수)'!$A$5:$D$103,4,FALSE),0))</f>
        <v>4484</v>
      </c>
      <c r="H75" s="62">
        <f t="shared" si="12"/>
        <v>1.3839249890434127E-2</v>
      </c>
      <c r="I75" s="75">
        <f>SUM($G$7:G75)</f>
        <v>238209</v>
      </c>
      <c r="J75" s="64">
        <f t="shared" si="13"/>
        <v>0.73519934816021926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73">
        <v>31</v>
      </c>
      <c r="D76" s="59">
        <f t="shared" si="10"/>
        <v>84</v>
      </c>
      <c r="E76" s="74">
        <f t="shared" si="8"/>
        <v>6</v>
      </c>
      <c r="F76" s="60">
        <f t="shared" si="11"/>
        <v>25.77</v>
      </c>
      <c r="G76" s="61">
        <f>IF(D76=D75,"",_xlfn.IFNA(VLOOKUP(D76,'인원 입력 기능(국수)'!$A$5:$D$103,4,FALSE),0))</f>
        <v>4630</v>
      </c>
      <c r="H76" s="62">
        <f t="shared" si="12"/>
        <v>1.4289858829774757E-2</v>
      </c>
      <c r="I76" s="75">
        <f>SUM($G$7:G76)</f>
        <v>242839</v>
      </c>
      <c r="J76" s="64">
        <f t="shared" si="13"/>
        <v>0.74948920698999399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73">
        <v>30</v>
      </c>
      <c r="D77" s="59">
        <f t="shared" si="10"/>
        <v>83</v>
      </c>
      <c r="E77" s="74">
        <f t="shared" si="8"/>
        <v>6</v>
      </c>
      <c r="F77" s="60">
        <f t="shared" si="11"/>
        <v>24.37</v>
      </c>
      <c r="G77" s="61">
        <f>IF(D77=D76,"",_xlfn.IFNA(VLOOKUP(D77,'인원 입력 기능(국수)'!$A$5:$D$103,4,FALSE),0))</f>
        <v>4433</v>
      </c>
      <c r="H77" s="62">
        <f t="shared" si="12"/>
        <v>1.3681845397924729E-2</v>
      </c>
      <c r="I77" s="75">
        <f>SUM($G$7:G77)</f>
        <v>247272</v>
      </c>
      <c r="J77" s="64">
        <f t="shared" si="13"/>
        <v>0.76317105238791871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73">
        <v>29</v>
      </c>
      <c r="D78" s="59">
        <f t="shared" si="10"/>
        <v>82</v>
      </c>
      <c r="E78" s="74">
        <f t="shared" si="8"/>
        <v>6</v>
      </c>
      <c r="F78" s="60">
        <f t="shared" si="11"/>
        <v>22.97</v>
      </c>
      <c r="G78" s="61">
        <f>IF(D78=D77,"",_xlfn.IFNA(VLOOKUP(D78,'인원 입력 기능(국수)'!$A$5:$D$103,4,FALSE),0))</f>
        <v>4622</v>
      </c>
      <c r="H78" s="62">
        <f t="shared" si="12"/>
        <v>1.426516792898897E-2</v>
      </c>
      <c r="I78" s="75">
        <f>SUM($G$7:G78)</f>
        <v>251894</v>
      </c>
      <c r="J78" s="64">
        <f t="shared" si="13"/>
        <v>0.77743622031690773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73">
        <v>28</v>
      </c>
      <c r="D79" s="59">
        <f t="shared" si="10"/>
        <v>81</v>
      </c>
      <c r="E79" s="74">
        <f t="shared" si="8"/>
        <v>7</v>
      </c>
      <c r="F79" s="60">
        <f t="shared" si="11"/>
        <v>21.59</v>
      </c>
      <c r="G79" s="61">
        <f>IF(D79=D78,"",_xlfn.IFNA(VLOOKUP(D79,'인원 입력 기능(국수)'!$A$5:$D$103,4,FALSE),0))</f>
        <v>4345</v>
      </c>
      <c r="H79" s="62">
        <f t="shared" si="12"/>
        <v>1.3410245489281063E-2</v>
      </c>
      <c r="I79" s="75">
        <f>SUM($G$7:G79)</f>
        <v>256239</v>
      </c>
      <c r="J79" s="64">
        <f t="shared" si="13"/>
        <v>0.79084646580618878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73">
        <v>27</v>
      </c>
      <c r="D80" s="59">
        <f t="shared" si="10"/>
        <v>80</v>
      </c>
      <c r="E80" s="74">
        <f t="shared" si="8"/>
        <v>7</v>
      </c>
      <c r="F80" s="60">
        <f t="shared" si="11"/>
        <v>20.18</v>
      </c>
      <c r="G80" s="61">
        <f>IF(D80=D79,"",_xlfn.IFNA(VLOOKUP(D80,'인원 입력 기능(국수)'!$A$5:$D$103,4,FALSE),0))</f>
        <v>4734</v>
      </c>
      <c r="H80" s="62">
        <f t="shared" si="12"/>
        <v>1.4610840539990001E-2</v>
      </c>
      <c r="I80" s="75">
        <f>SUM($G$7:G80)</f>
        <v>260973</v>
      </c>
      <c r="J80" s="64">
        <f t="shared" si="13"/>
        <v>0.80545730634617874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73">
        <v>26</v>
      </c>
      <c r="D81" s="59">
        <f t="shared" si="10"/>
        <v>79</v>
      </c>
      <c r="E81" s="74">
        <f t="shared" si="8"/>
        <v>7</v>
      </c>
      <c r="F81" s="60">
        <f t="shared" si="11"/>
        <v>18.64</v>
      </c>
      <c r="G81" s="61">
        <f>IF(D81=D80,"",_xlfn.IFNA(VLOOKUP(D81,'인원 입력 기능(국수)'!$A$5:$D$103,4,FALSE),0))</f>
        <v>5262</v>
      </c>
      <c r="H81" s="62">
        <f t="shared" si="12"/>
        <v>1.6240439991852002E-2</v>
      </c>
      <c r="I81" s="75">
        <f>SUM($G$7:G81)</f>
        <v>266235</v>
      </c>
      <c r="J81" s="64">
        <f t="shared" si="13"/>
        <v>0.82169774633803083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73">
        <v>25</v>
      </c>
      <c r="D82" s="59">
        <f t="shared" si="10"/>
        <v>78</v>
      </c>
      <c r="E82" s="74">
        <f t="shared" si="8"/>
        <v>7</v>
      </c>
      <c r="F82" s="60">
        <f t="shared" si="11"/>
        <v>17.14</v>
      </c>
      <c r="G82" s="61">
        <f>IF(D82=D81,"",_xlfn.IFNA(VLOOKUP(D82,'인원 입력 기능(국수)'!$A$5:$D$103,4,FALSE),0))</f>
        <v>4472</v>
      </c>
      <c r="H82" s="62">
        <f t="shared" si="12"/>
        <v>1.3802213539255447E-2</v>
      </c>
      <c r="I82" s="75">
        <f>SUM($G$7:G82)</f>
        <v>270707</v>
      </c>
      <c r="J82" s="64">
        <f t="shared" si="13"/>
        <v>0.8354999598772862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73">
        <v>24</v>
      </c>
      <c r="D83" s="59">
        <f t="shared" si="10"/>
        <v>77</v>
      </c>
      <c r="E83" s="74">
        <f t="shared" si="8"/>
        <v>7</v>
      </c>
      <c r="F83" s="60">
        <f t="shared" si="11"/>
        <v>15.83</v>
      </c>
      <c r="G83" s="61">
        <f>IF(D83=D82,"",_xlfn.IFNA(VLOOKUP(D83,'인원 입력 기능(국수)'!$A$5:$D$103,4,FALSE),0))</f>
        <v>4040</v>
      </c>
      <c r="H83" s="62">
        <f t="shared" si="12"/>
        <v>1.2468904896822898E-2</v>
      </c>
      <c r="I83" s="75">
        <f>SUM($G$7:G83)</f>
        <v>274747</v>
      </c>
      <c r="J83" s="64">
        <f t="shared" si="13"/>
        <v>0.84796886477410915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73">
        <v>23</v>
      </c>
      <c r="D84" s="59">
        <f t="shared" si="10"/>
        <v>76</v>
      </c>
      <c r="E84" s="74">
        <f t="shared" si="8"/>
        <v>7</v>
      </c>
      <c r="F84" s="60">
        <f t="shared" si="11"/>
        <v>14.53</v>
      </c>
      <c r="G84" s="61">
        <f>IF(D84=D83,"",_xlfn.IFNA(VLOOKUP(D84,'인원 입력 기능(국수)'!$A$5:$D$103,4,FALSE),0))</f>
        <v>4332</v>
      </c>
      <c r="H84" s="62">
        <f t="shared" si="12"/>
        <v>1.3370122775504157E-2</v>
      </c>
      <c r="I84" s="75">
        <f>SUM($G$7:G84)</f>
        <v>279079</v>
      </c>
      <c r="J84" s="64">
        <f t="shared" si="13"/>
        <v>0.86133898754961324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73">
        <v>22</v>
      </c>
      <c r="D85" s="59">
        <f t="shared" si="10"/>
        <v>75</v>
      </c>
      <c r="E85" s="74">
        <f t="shared" si="8"/>
        <v>7</v>
      </c>
      <c r="F85" s="60">
        <f t="shared" si="11"/>
        <v>13.24</v>
      </c>
      <c r="G85" s="61">
        <f>IF(D85=D84,"",_xlfn.IFNA(VLOOKUP(D85,'인원 입력 기능(국수)'!$A$5:$D$103,4,FALSE),0))</f>
        <v>4026</v>
      </c>
      <c r="H85" s="62">
        <f t="shared" si="12"/>
        <v>1.2425695820447769E-2</v>
      </c>
      <c r="I85" s="75">
        <f>SUM($G$7:G85)</f>
        <v>283105</v>
      </c>
      <c r="J85" s="64">
        <f t="shared" si="13"/>
        <v>0.87376468337006108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73">
        <v>21</v>
      </c>
      <c r="D86" s="202">
        <f t="shared" si="10"/>
        <v>74</v>
      </c>
      <c r="E86" s="204">
        <f t="shared" si="8"/>
        <v>7</v>
      </c>
      <c r="F86" s="206">
        <f t="shared" si="11"/>
        <v>10.79</v>
      </c>
      <c r="G86" s="208">
        <f>IF(D86=D85,"",_xlfn.IFNA(VLOOKUP(D86,'인원 입력 기능(국수)'!$A$5:$D$103,4,FALSE),0))</f>
        <v>11876</v>
      </c>
      <c r="H86" s="210">
        <f t="shared" si="12"/>
        <v>3.6653642216502164E-2</v>
      </c>
      <c r="I86" s="198">
        <f>SUM($G$7:G86)</f>
        <v>294981</v>
      </c>
      <c r="J86" s="200">
        <f t="shared" si="13"/>
        <v>0.91041832558656322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73">
        <v>20</v>
      </c>
      <c r="D87" s="203"/>
      <c r="E87" s="205"/>
      <c r="F87" s="207"/>
      <c r="G87" s="209"/>
      <c r="H87" s="211"/>
      <c r="I87" s="199"/>
      <c r="J87" s="201"/>
      <c r="K87" s="31"/>
      <c r="L87" s="20" t="str">
        <f t="shared" si="9"/>
        <v>경고</v>
      </c>
      <c r="N87" s="1"/>
    </row>
    <row r="88" spans="1:14" ht="25" customHeight="1" x14ac:dyDescent="0.45">
      <c r="A88" s="5"/>
      <c r="B88" s="30"/>
      <c r="C88" s="73">
        <v>19</v>
      </c>
      <c r="D88" s="59">
        <f t="shared" si="10"/>
        <v>73</v>
      </c>
      <c r="E88" s="74">
        <f t="shared" si="8"/>
        <v>8</v>
      </c>
      <c r="F88" s="60">
        <f t="shared" si="11"/>
        <v>8.4600000000000009</v>
      </c>
      <c r="G88" s="61">
        <f>IF(D88=D87,"",_xlfn.IFNA(VLOOKUP(D88,'인원 입력 기능(국수)'!$A$5:$D$103,4,FALSE),0))</f>
        <v>3251</v>
      </c>
      <c r="H88" s="62">
        <f t="shared" si="12"/>
        <v>1.0033764806824564E-2</v>
      </c>
      <c r="I88" s="75">
        <f>SUM($G$7:G88)</f>
        <v>298232</v>
      </c>
      <c r="J88" s="64">
        <f t="shared" si="13"/>
        <v>0.92045209039338782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73">
        <v>18</v>
      </c>
      <c r="D89" s="59">
        <f t="shared" si="10"/>
        <v>72</v>
      </c>
      <c r="E89" s="74">
        <f t="shared" si="8"/>
        <v>8</v>
      </c>
      <c r="F89" s="60">
        <f t="shared" si="11"/>
        <v>7.33</v>
      </c>
      <c r="G89" s="61">
        <f>IF(D89=D88,"",_xlfn.IFNA(VLOOKUP(D89,'인원 입력 기능(국수)'!$A$5:$D$103,4,FALSE),0))</f>
        <v>4067</v>
      </c>
      <c r="H89" s="62">
        <f t="shared" si="12"/>
        <v>1.2552236686974933E-2</v>
      </c>
      <c r="I89" s="75">
        <f>SUM($G$7:G89)</f>
        <v>302299</v>
      </c>
      <c r="J89" s="64">
        <f t="shared" si="13"/>
        <v>0.93300432708036274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73">
        <v>17</v>
      </c>
      <c r="D90" s="59">
        <f t="shared" si="10"/>
        <v>71</v>
      </c>
      <c r="E90" s="74">
        <f t="shared" si="8"/>
        <v>8</v>
      </c>
      <c r="F90" s="60">
        <f t="shared" si="11"/>
        <v>6.29</v>
      </c>
      <c r="G90" s="61">
        <f>IF(D90=D89,"",_xlfn.IFNA(VLOOKUP(D90,'인원 입력 기능(국수)'!$A$5:$D$103,4,FALSE),0))</f>
        <v>2666</v>
      </c>
      <c r="H90" s="62">
        <f t="shared" si="12"/>
        <v>8.228242686863823E-3</v>
      </c>
      <c r="I90" s="75">
        <f>SUM($G$7:G90)</f>
        <v>304965</v>
      </c>
      <c r="J90" s="64">
        <f t="shared" si="13"/>
        <v>0.94123256976722658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73">
        <v>16</v>
      </c>
      <c r="D91" s="59">
        <f t="shared" si="10"/>
        <v>70</v>
      </c>
      <c r="E91" s="74">
        <f t="shared" si="8"/>
        <v>8</v>
      </c>
      <c r="F91" s="60">
        <f t="shared" si="11"/>
        <v>4.4400000000000004</v>
      </c>
      <c r="G91" s="61">
        <f>IF(D91=D90,"",_xlfn.IFNA(VLOOKUP(D91,'인원 입력 기능(국수)'!$A$5:$D$103,4,FALSE),0))</f>
        <v>9293</v>
      </c>
      <c r="H91" s="62">
        <f t="shared" si="12"/>
        <v>2.868156762529089E-2</v>
      </c>
      <c r="I91" s="75">
        <f>SUM($G$7:G91)</f>
        <v>314258</v>
      </c>
      <c r="J91" s="64">
        <f t="shared" si="13"/>
        <v>0.96991413739251742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73">
        <v>15</v>
      </c>
      <c r="D92" s="59">
        <f t="shared" si="10"/>
        <v>69</v>
      </c>
      <c r="E92" s="74">
        <f t="shared" si="8"/>
        <v>9</v>
      </c>
      <c r="F92" s="60">
        <f t="shared" si="11"/>
        <v>2.74</v>
      </c>
      <c r="G92" s="61">
        <f>IF(D92=D91,"",_xlfn.IFNA(VLOOKUP(D92,'인원 입력 기능(국수)'!$A$5:$D$103,4,FALSE),0))</f>
        <v>1769</v>
      </c>
      <c r="H92" s="62">
        <f t="shared" si="12"/>
        <v>5.4597754362573532E-3</v>
      </c>
      <c r="I92" s="75">
        <f>SUM($G$7:G92)</f>
        <v>316027</v>
      </c>
      <c r="J92" s="64">
        <f t="shared" si="13"/>
        <v>0.97537391282877473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73">
        <v>14</v>
      </c>
      <c r="D93" s="59">
        <f t="shared" si="10"/>
        <v>68</v>
      </c>
      <c r="E93" s="74">
        <f t="shared" si="8"/>
        <v>9</v>
      </c>
      <c r="F93" s="60">
        <f t="shared" si="11"/>
        <v>2.23</v>
      </c>
      <c r="G93" s="61">
        <f>IF(D93=D92,"",_xlfn.IFNA(VLOOKUP(D93,'인원 입력 기능(국수)'!$A$5:$D$103,4,FALSE),0))</f>
        <v>1517</v>
      </c>
      <c r="H93" s="62">
        <f t="shared" si="12"/>
        <v>4.6820120615050339E-3</v>
      </c>
      <c r="I93" s="75">
        <f>SUM($G$7:G93)</f>
        <v>317544</v>
      </c>
      <c r="J93" s="64">
        <f t="shared" si="13"/>
        <v>0.98005592489027982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73">
        <v>13</v>
      </c>
      <c r="D94" s="59">
        <f t="shared" si="10"/>
        <v>67</v>
      </c>
      <c r="E94" s="74">
        <f t="shared" si="8"/>
        <v>9</v>
      </c>
      <c r="F94" s="60">
        <f t="shared" si="11"/>
        <v>1.82</v>
      </c>
      <c r="G94" s="61">
        <f>IF(D94=D93,"",_xlfn.IFNA(VLOOKUP(D94,'인원 입력 기능(국수)'!$A$5:$D$103,4,FALSE),0))</f>
        <v>1109</v>
      </c>
      <c r="H94" s="62">
        <f t="shared" si="12"/>
        <v>3.4227761214298499E-3</v>
      </c>
      <c r="I94" s="75">
        <f>SUM($G$7:G94)</f>
        <v>318653</v>
      </c>
      <c r="J94" s="64">
        <f t="shared" si="13"/>
        <v>0.98347870101170964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73">
        <v>12</v>
      </c>
      <c r="D95" s="59">
        <f t="shared" si="10"/>
        <v>66</v>
      </c>
      <c r="E95" s="74">
        <f t="shared" si="8"/>
        <v>9</v>
      </c>
      <c r="F95" s="60">
        <f t="shared" si="11"/>
        <v>1.5</v>
      </c>
      <c r="G95" s="61">
        <f>IF(D95=D94,"",_xlfn.IFNA(VLOOKUP(D95,'인원 입력 기능(국수)'!$A$5:$D$103,4,FALSE),0))</f>
        <v>977</v>
      </c>
      <c r="H95" s="62">
        <f t="shared" si="12"/>
        <v>3.0153762584643495E-3</v>
      </c>
      <c r="I95" s="75">
        <f>SUM($G$7:G95)</f>
        <v>319630</v>
      </c>
      <c r="J95" s="64">
        <f t="shared" si="13"/>
        <v>0.98649407727017402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73">
        <v>11</v>
      </c>
      <c r="D96" s="59">
        <f t="shared" si="10"/>
        <v>65</v>
      </c>
      <c r="E96" s="74">
        <f t="shared" si="8"/>
        <v>9</v>
      </c>
      <c r="F96" s="60">
        <f t="shared" si="11"/>
        <v>1.23</v>
      </c>
      <c r="G96" s="61">
        <f>IF(D96=D95,"",_xlfn.IFNA(VLOOKUP(D96,'인원 입력 기능(국수)'!$A$5:$D$103,4,FALSE),0))</f>
        <v>753</v>
      </c>
      <c r="H96" s="62">
        <f t="shared" si="12"/>
        <v>2.3240310364622879E-3</v>
      </c>
      <c r="I96" s="75">
        <f>SUM($G$7:G96)</f>
        <v>320383</v>
      </c>
      <c r="J96" s="64">
        <f t="shared" si="13"/>
        <v>0.9888181083066363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73">
        <v>10</v>
      </c>
      <c r="D97" s="59">
        <f t="shared" si="10"/>
        <v>64</v>
      </c>
      <c r="E97" s="74">
        <f t="shared" si="8"/>
        <v>9</v>
      </c>
      <c r="F97" s="60">
        <f t="shared" si="11"/>
        <v>1.04</v>
      </c>
      <c r="G97" s="61">
        <f>IF(D97=D96,"",_xlfn.IFNA(VLOOKUP(D97,'인원 입력 기능(국수)'!$A$5:$D$103,4,FALSE),0))</f>
        <v>520</v>
      </c>
      <c r="H97" s="62">
        <f t="shared" si="12"/>
        <v>1.6049085510762146E-3</v>
      </c>
      <c r="I97" s="75">
        <f>SUM($G$7:G97)</f>
        <v>320903</v>
      </c>
      <c r="J97" s="64">
        <f t="shared" si="13"/>
        <v>0.9904230168577125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73">
        <v>9</v>
      </c>
      <c r="D98" s="59">
        <f t="shared" si="10"/>
        <v>63</v>
      </c>
      <c r="E98" s="74">
        <f t="shared" si="8"/>
        <v>9</v>
      </c>
      <c r="F98" s="60">
        <f t="shared" si="11"/>
        <v>0.91</v>
      </c>
      <c r="G98" s="61">
        <f>IF(D98=D97,"",_xlfn.IFNA(VLOOKUP(D98,'인원 입력 기능(국수)'!$A$5:$D$103,4,FALSE),0))</f>
        <v>334</v>
      </c>
      <c r="H98" s="62">
        <f t="shared" si="12"/>
        <v>1.0308451078066456E-3</v>
      </c>
      <c r="I98" s="75">
        <f>SUM($G$7:G98)</f>
        <v>321237</v>
      </c>
      <c r="J98" s="64">
        <f t="shared" si="13"/>
        <v>0.99145386196551921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73">
        <v>8</v>
      </c>
      <c r="D99" s="59">
        <f t="shared" si="10"/>
        <v>62</v>
      </c>
      <c r="E99" s="74">
        <f t="shared" si="8"/>
        <v>9</v>
      </c>
      <c r="F99" s="60">
        <f t="shared" si="11"/>
        <v>0.81</v>
      </c>
      <c r="G99" s="61">
        <f>IF(D99=D98,"",_xlfn.IFNA(VLOOKUP(D99,'인원 입력 기능(국수)'!$A$5:$D$103,4,FALSE),0))</f>
        <v>282</v>
      </c>
      <c r="H99" s="62">
        <f t="shared" si="12"/>
        <v>8.7035425269902408E-4</v>
      </c>
      <c r="I99" s="75">
        <f>SUM($G$7:G99)</f>
        <v>321519</v>
      </c>
      <c r="J99" s="64">
        <f t="shared" si="13"/>
        <v>0.9923242162182182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73">
        <v>7</v>
      </c>
      <c r="D100" s="59">
        <f t="shared" si="10"/>
        <v>61</v>
      </c>
      <c r="E100" s="74">
        <f t="shared" si="8"/>
        <v>9</v>
      </c>
      <c r="F100" s="60">
        <f t="shared" si="11"/>
        <v>0.73</v>
      </c>
      <c r="G100" s="61">
        <f>IF(D100=D99,"",_xlfn.IFNA(VLOOKUP(D100,'인원 입력 기능(국수)'!$A$5:$D$103,4,FALSE),0))</f>
        <v>229</v>
      </c>
      <c r="H100" s="62">
        <f t="shared" si="12"/>
        <v>7.0677703499317916E-4</v>
      </c>
      <c r="I100" s="75">
        <f>SUM($G$7:G100)</f>
        <v>321748</v>
      </c>
      <c r="J100" s="64">
        <f t="shared" si="13"/>
        <v>0.99303099325321131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10"/>
        <v>60</v>
      </c>
      <c r="E101" s="59">
        <f t="shared" si="8"/>
        <v>9</v>
      </c>
      <c r="F101" s="60">
        <f t="shared" si="11"/>
        <v>0.67</v>
      </c>
      <c r="G101" s="61">
        <f>IF(D101=D100,"",_xlfn.IFNA(VLOOKUP(D101,'인원 입력 기능(국수)'!$A$5:$D$103,4,FALSE),0))</f>
        <v>147</v>
      </c>
      <c r="H101" s="62">
        <f t="shared" si="12"/>
        <v>4.5369530193885299E-4</v>
      </c>
      <c r="I101" s="72">
        <f>SUM($G$7:G101)</f>
        <v>321895</v>
      </c>
      <c r="J101" s="64">
        <f t="shared" si="13"/>
        <v>0.99348468855515026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10"/>
        <v>59</v>
      </c>
      <c r="E102" s="59">
        <f t="shared" si="8"/>
        <v>9</v>
      </c>
      <c r="F102" s="60">
        <f t="shared" si="11"/>
        <v>0.64</v>
      </c>
      <c r="G102" s="61">
        <f>IF(D102=D101,"",_xlfn.IFNA(VLOOKUP(D102,'인원 입력 기능(국수)'!$A$5:$D$103,4,FALSE),0))</f>
        <v>99</v>
      </c>
      <c r="H102" s="62">
        <f t="shared" si="12"/>
        <v>3.0554989722412547E-4</v>
      </c>
      <c r="I102" s="72">
        <f>SUM($G$7:G102)</f>
        <v>321994</v>
      </c>
      <c r="J102" s="64">
        <f t="shared" si="13"/>
        <v>0.99379023845237435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10"/>
        <v>58</v>
      </c>
      <c r="E103" s="59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60">
        <f t="shared" si="11"/>
        <v>0.61</v>
      </c>
      <c r="G103" s="61">
        <f>IF(D103=D102,"",_xlfn.IFNA(VLOOKUP(D103,'인원 입력 기능(국수)'!$A$5:$D$103,4,FALSE),0))</f>
        <v>95</v>
      </c>
      <c r="H103" s="62">
        <f t="shared" si="12"/>
        <v>2.932044468312315E-4</v>
      </c>
      <c r="I103" s="72">
        <f>SUM($G$7:G103)</f>
        <v>322089</v>
      </c>
      <c r="J103" s="64">
        <f t="shared" si="13"/>
        <v>0.99408344289920558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10"/>
        <v>57</v>
      </c>
      <c r="E104" s="59">
        <f t="shared" si="14"/>
        <v>9</v>
      </c>
      <c r="F104" s="60">
        <f t="shared" si="11"/>
        <v>0.59</v>
      </c>
      <c r="G104" s="61">
        <f>IF(D104=D103,"",_xlfn.IFNA(VLOOKUP(D104,'인원 입력 기능(국수)'!$A$5:$D$103,4,FALSE),0))</f>
        <v>41</v>
      </c>
      <c r="H104" s="62">
        <f t="shared" si="12"/>
        <v>1.2654086652716308E-4</v>
      </c>
      <c r="I104" s="72">
        <f>SUM($G$7:G104)</f>
        <v>322130</v>
      </c>
      <c r="J104" s="64">
        <f t="shared" si="13"/>
        <v>0.99420998376573277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si="10"/>
        <v>56</v>
      </c>
      <c r="E105" s="59">
        <f t="shared" si="14"/>
        <v>9</v>
      </c>
      <c r="F105" s="60">
        <f t="shared" si="11"/>
        <v>0.56000000000000005</v>
      </c>
      <c r="G105" s="61">
        <f>IF(D105=D104,"",_xlfn.IFNA(VLOOKUP(D105,'인원 입력 기능(국수)'!$A$5:$D$103,4,FALSE),0))</f>
        <v>121</v>
      </c>
      <c r="H105" s="62">
        <f t="shared" si="12"/>
        <v>3.7344987438504227E-4</v>
      </c>
      <c r="I105" s="72">
        <f>SUM($G$7:G105)</f>
        <v>322251</v>
      </c>
      <c r="J105" s="64">
        <f t="shared" si="13"/>
        <v>0.99458343364011781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55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0.27</v>
      </c>
      <c r="G107" s="80">
        <f>_xlfn.IFNA(VLOOKUP(D107,'인원 입력 기능(국수)'!$A$5:$D$103,4,FALSE),0)</f>
        <v>1755</v>
      </c>
      <c r="H107" s="81">
        <f>G107/$J$3</f>
        <v>5.4165663598822241E-3</v>
      </c>
      <c r="I107" s="82">
        <f>SUM($G$7:G107)</f>
        <v>324006</v>
      </c>
      <c r="J107" s="83">
        <f>I107/$J$3</f>
        <v>1</v>
      </c>
      <c r="K107" s="31"/>
      <c r="L107" s="20" t="str">
        <f>IF(ABS((C107-$H$3)/$H$4*20+100-D107)&gt;0.49, "경고", "")</f>
        <v>경고</v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31">
    <mergeCell ref="D3:F3"/>
    <mergeCell ref="D4:F4"/>
    <mergeCell ref="I4:J5"/>
    <mergeCell ref="D27:D28"/>
    <mergeCell ref="E27:E28"/>
    <mergeCell ref="F27:F28"/>
    <mergeCell ref="G27:G28"/>
    <mergeCell ref="H27:H28"/>
    <mergeCell ref="I27:I28"/>
    <mergeCell ref="J27:J28"/>
    <mergeCell ref="I47:I48"/>
    <mergeCell ref="J47:J48"/>
    <mergeCell ref="D67:D68"/>
    <mergeCell ref="E67:E68"/>
    <mergeCell ref="F67:F68"/>
    <mergeCell ref="G67:G68"/>
    <mergeCell ref="H67:H68"/>
    <mergeCell ref="I67:I68"/>
    <mergeCell ref="J67:J68"/>
    <mergeCell ref="D47:D48"/>
    <mergeCell ref="E47:E48"/>
    <mergeCell ref="F47:F48"/>
    <mergeCell ref="G47:G48"/>
    <mergeCell ref="H47:H48"/>
    <mergeCell ref="I86:I87"/>
    <mergeCell ref="J86:J87"/>
    <mergeCell ref="D86:D87"/>
    <mergeCell ref="E86:E87"/>
    <mergeCell ref="F86:F87"/>
    <mergeCell ref="G86:G87"/>
    <mergeCell ref="H86:H87"/>
  </mergeCells>
  <phoneticPr fontId="1" type="noConversion"/>
  <conditionalFormatting sqref="C7:C106">
    <cfRule type="expression" dxfId="61" priority="2">
      <formula>OR(AND($D7=0,OR($D6=$Q$7:$Q$14)),AND($D8&gt;0,OR($D7=$Q$7:$Q$14)))</formula>
    </cfRule>
  </conditionalFormatting>
  <conditionalFormatting sqref="D7:J27 D29:J47 D49:J67 D69:J86 D88:J107">
    <cfRule type="expression" dxfId="60" priority="3">
      <formula>OR($D7=$Q$7:$Q$14)</formula>
    </cfRule>
  </conditionalFormatting>
  <conditionalFormatting sqref="D7:D27 D29:D47 D49:D67 D69:D86 D88:D106">
    <cfRule type="expression" dxfId="59" priority="1">
      <formula>$D7=$D8</formula>
    </cfRule>
  </conditionalFormatting>
  <conditionalFormatting sqref="C107">
    <cfRule type="expression" dxfId="58" priority="7">
      <formula>OR(AND($D107=0,OR($D106=$Q$7:$Q$14)),AND($D109&gt;0,OR($D107=$Q$7:$Q$14)))</formula>
    </cfRule>
  </conditionalFormatting>
  <conditionalFormatting sqref="D107">
    <cfRule type="expression" dxfId="57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152" t="s">
        <v>66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156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기능'!D5</f>
        <v>37.42</v>
      </c>
      <c r="I3" s="21" t="s">
        <v>70</v>
      </c>
      <c r="J3" s="50">
        <f>'통계 및 응시자 수 입력 기능'!C5</f>
        <v>321468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215" t="s">
        <v>74</v>
      </c>
      <c r="E4" s="216"/>
      <c r="F4" s="217"/>
      <c r="G4" s="52" t="s">
        <v>73</v>
      </c>
      <c r="H4" s="53">
        <f>'통계 및 응시자 수 입력 기능'!E5</f>
        <v>21.52</v>
      </c>
      <c r="I4" s="218"/>
      <c r="J4" s="219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20"/>
      <c r="J5" s="220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160">
        <v>100</v>
      </c>
      <c r="D7" s="59">
        <f>ROUND(20*(C7-$H$3)/$H$4+100,0)</f>
        <v>158</v>
      </c>
      <c r="E7" s="59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</v>
      </c>
      <c r="G7" s="61">
        <f>_xlfn.IFNA(VLOOKUP(D7,'인원 입력 기능(국수)'!$F$5:$I$103,4,FALSE),0)</f>
        <v>633</v>
      </c>
      <c r="H7" s="62">
        <f>G7/$J$3</f>
        <v>1.9690917914069205E-3</v>
      </c>
      <c r="I7" s="63">
        <f>G7</f>
        <v>633</v>
      </c>
      <c r="J7" s="64">
        <f>I7/$J$3</f>
        <v>1.9690917914069205E-3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140</v>
      </c>
    </row>
    <row r="8" spans="1:17" ht="25" customHeight="1" x14ac:dyDescent="0.45">
      <c r="A8" s="5"/>
      <c r="B8" s="30"/>
      <c r="C8" s="58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기능'!C14</f>
        <v>128</v>
      </c>
    </row>
    <row r="9" spans="1:17" ht="25" customHeight="1" x14ac:dyDescent="0.45">
      <c r="A9" s="5"/>
      <c r="B9" s="30"/>
      <c r="C9" s="65">
        <v>98</v>
      </c>
      <c r="D9" s="59">
        <f t="shared" ref="D9:D40" si="1">ROUND(20*(C9-$H$3)/$H$4+100,0)</f>
        <v>156</v>
      </c>
      <c r="E9" s="59">
        <f t="shared" si="0"/>
        <v>1</v>
      </c>
      <c r="F9" s="60">
        <f>IF(I8=0,ROUND(100*(1-(I7+I9)/2/$J$3),2),ROUND(100*(1-(I8+I9)/2/$J$3),2))</f>
        <v>99.8</v>
      </c>
      <c r="G9" s="61">
        <f>_xlfn.IFNA(VLOOKUP(D9,'인원 입력 기능(국수)'!$F$5:$I$103,4,FALSE),0)</f>
        <v>6</v>
      </c>
      <c r="H9" s="62">
        <f>G9/$J$3</f>
        <v>1.8664377169733847E-5</v>
      </c>
      <c r="I9" s="72">
        <f>SUM($G$7:G9)</f>
        <v>639</v>
      </c>
      <c r="J9" s="64">
        <f>I9/$J$3</f>
        <v>1.9877561685766546E-3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115</v>
      </c>
    </row>
    <row r="10" spans="1:17" ht="25" customHeight="1" x14ac:dyDescent="0.45">
      <c r="A10" s="5"/>
      <c r="B10" s="30"/>
      <c r="C10" s="65">
        <v>97</v>
      </c>
      <c r="D10" s="59">
        <f t="shared" si="1"/>
        <v>155</v>
      </c>
      <c r="E10" s="59">
        <f t="shared" si="0"/>
        <v>1</v>
      </c>
      <c r="F10" s="60">
        <f t="shared" ref="F10:F73" si="3">IF(I9=0,ROUND(100*(1-(I8+I10)/2/$J$3),2),ROUND(100*(1-(I9+I10)/2/$J$3),2))</f>
        <v>99.8</v>
      </c>
      <c r="G10" s="61">
        <f>IF(D10=D9,"",_xlfn.IFNA(VLOOKUP(D10,'인원 입력 기능(국수)'!$F$5:$I$103,4,FALSE),0))</f>
        <v>34</v>
      </c>
      <c r="H10" s="62">
        <f t="shared" ref="H10:H73" si="4">G10/$J$3</f>
        <v>1.0576480396182513E-4</v>
      </c>
      <c r="I10" s="72">
        <f>SUM($G$7:G10)</f>
        <v>673</v>
      </c>
      <c r="J10" s="64">
        <f t="shared" ref="J10:J73" si="5">I10/$J$3</f>
        <v>2.0935209725384796E-3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102</v>
      </c>
    </row>
    <row r="11" spans="1:17" ht="25" customHeight="1" x14ac:dyDescent="0.45">
      <c r="A11" s="5"/>
      <c r="B11" s="30"/>
      <c r="C11" s="65">
        <v>96</v>
      </c>
      <c r="D11" s="202">
        <f t="shared" si="1"/>
        <v>154</v>
      </c>
      <c r="E11" s="202">
        <f t="shared" si="0"/>
        <v>1</v>
      </c>
      <c r="F11" s="206">
        <f t="shared" si="3"/>
        <v>99.6</v>
      </c>
      <c r="G11" s="208">
        <f>IF(D11=D10,"",_xlfn.IFNA(VLOOKUP(D11,'인원 입력 기능(국수)'!$F$5:$I$103,4,FALSE),0))</f>
        <v>1223</v>
      </c>
      <c r="H11" s="210">
        <f t="shared" si="4"/>
        <v>3.8044222130974156E-3</v>
      </c>
      <c r="I11" s="221">
        <f>SUM($G$7:G11)</f>
        <v>1896</v>
      </c>
      <c r="J11" s="200">
        <f t="shared" si="5"/>
        <v>5.8979431856358957E-3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90</v>
      </c>
    </row>
    <row r="12" spans="1:17" ht="25" customHeight="1" x14ac:dyDescent="0.45">
      <c r="A12" s="5"/>
      <c r="B12" s="30"/>
      <c r="C12" s="65">
        <v>95</v>
      </c>
      <c r="D12" s="203"/>
      <c r="E12" s="203"/>
      <c r="F12" s="207"/>
      <c r="G12" s="209"/>
      <c r="H12" s="211"/>
      <c r="I12" s="222"/>
      <c r="J12" s="201"/>
      <c r="K12" s="31"/>
      <c r="L12" s="20" t="str">
        <f t="shared" si="2"/>
        <v>경고</v>
      </c>
      <c r="N12" s="1"/>
      <c r="P12" s="1">
        <v>6</v>
      </c>
      <c r="Q12" s="1">
        <f>'표점등급&amp;절평인원 입력 기능'!C18</f>
        <v>82</v>
      </c>
    </row>
    <row r="13" spans="1:17" ht="25" customHeight="1" x14ac:dyDescent="0.45">
      <c r="A13" s="5"/>
      <c r="B13" s="30"/>
      <c r="C13" s="65">
        <v>94</v>
      </c>
      <c r="D13" s="59">
        <f t="shared" si="1"/>
        <v>153</v>
      </c>
      <c r="E13" s="59">
        <f t="shared" si="0"/>
        <v>1</v>
      </c>
      <c r="F13" s="60">
        <f t="shared" si="3"/>
        <v>99.41</v>
      </c>
      <c r="G13" s="61">
        <f>IF(D13=D12,"",_xlfn.IFNA(VLOOKUP(D13,'인원 입력 기능(국수)'!$F$5:$I$103,4,FALSE),0))</f>
        <v>6</v>
      </c>
      <c r="H13" s="62">
        <f t="shared" si="4"/>
        <v>1.8664377169733847E-5</v>
      </c>
      <c r="I13" s="72">
        <f>SUM($G$7:G13)</f>
        <v>1902</v>
      </c>
      <c r="J13" s="64">
        <f t="shared" si="5"/>
        <v>5.9166075628056293E-3</v>
      </c>
      <c r="K13" s="31"/>
      <c r="L13" s="20" t="str">
        <f t="shared" si="2"/>
        <v/>
      </c>
      <c r="N13" s="1"/>
      <c r="P13" s="1">
        <v>7</v>
      </c>
      <c r="Q13" s="1">
        <f>'표점등급&amp;절평인원 입력 기능'!C19</f>
        <v>79</v>
      </c>
    </row>
    <row r="14" spans="1:17" ht="25" customHeight="1" x14ac:dyDescent="0.45">
      <c r="A14" s="5"/>
      <c r="B14" s="30"/>
      <c r="C14" s="65">
        <v>93</v>
      </c>
      <c r="D14" s="59">
        <f t="shared" si="1"/>
        <v>152</v>
      </c>
      <c r="E14" s="59">
        <f t="shared" si="0"/>
        <v>1</v>
      </c>
      <c r="F14" s="60">
        <f t="shared" si="3"/>
        <v>99.39</v>
      </c>
      <c r="G14" s="61">
        <f>IF(D14=D13,"",_xlfn.IFNA(VLOOKUP(D14,'인원 입력 기능(국수)'!$F$5:$I$103,4,FALSE),0))</f>
        <v>109</v>
      </c>
      <c r="H14" s="62">
        <f t="shared" si="4"/>
        <v>3.3906951858349819E-4</v>
      </c>
      <c r="I14" s="72">
        <f>SUM($G$7:G14)</f>
        <v>2011</v>
      </c>
      <c r="J14" s="64">
        <f t="shared" si="5"/>
        <v>6.2556770813891275E-3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75</v>
      </c>
    </row>
    <row r="15" spans="1:17" ht="25" customHeight="1" x14ac:dyDescent="0.45">
      <c r="A15" s="5"/>
      <c r="B15" s="30"/>
      <c r="C15" s="65">
        <v>92</v>
      </c>
      <c r="D15" s="59">
        <f t="shared" si="1"/>
        <v>151</v>
      </c>
      <c r="E15" s="59">
        <f t="shared" si="0"/>
        <v>1</v>
      </c>
      <c r="F15" s="60">
        <f t="shared" si="3"/>
        <v>99.1</v>
      </c>
      <c r="G15" s="61">
        <f>IF(D15=D14,"",_xlfn.IFNA(VLOOKUP(D15,'인원 입력 기능(국수)'!$F$5:$I$103,4,FALSE),0))</f>
        <v>1773</v>
      </c>
      <c r="H15" s="62">
        <f t="shared" si="4"/>
        <v>5.5153234536563511E-3</v>
      </c>
      <c r="I15" s="72">
        <f>SUM($G$7:G15)</f>
        <v>3784</v>
      </c>
      <c r="J15" s="64">
        <f t="shared" si="5"/>
        <v>1.1771000535045479E-2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65">
        <v>91</v>
      </c>
      <c r="D16" s="59">
        <f t="shared" si="1"/>
        <v>150</v>
      </c>
      <c r="E16" s="59">
        <f t="shared" si="0"/>
        <v>1</v>
      </c>
      <c r="F16" s="60">
        <f t="shared" si="3"/>
        <v>98.82</v>
      </c>
      <c r="G16" s="61">
        <f>IF(D16=D15,"",_xlfn.IFNA(VLOOKUP(D16,'인원 입력 기능(국수)'!$F$5:$I$103,4,FALSE),0))</f>
        <v>1</v>
      </c>
      <c r="H16" s="62">
        <f t="shared" si="4"/>
        <v>3.1107295282889743E-6</v>
      </c>
      <c r="I16" s="72">
        <f>SUM($G$7:G16)</f>
        <v>3785</v>
      </c>
      <c r="J16" s="64">
        <f t="shared" si="5"/>
        <v>1.1774111264573768E-2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65">
        <v>90</v>
      </c>
      <c r="D17" s="59">
        <f t="shared" si="1"/>
        <v>149</v>
      </c>
      <c r="E17" s="59">
        <f t="shared" si="0"/>
        <v>1</v>
      </c>
      <c r="F17" s="60">
        <f t="shared" si="3"/>
        <v>98.82</v>
      </c>
      <c r="G17" s="61">
        <f>IF(D17=D16,"",_xlfn.IFNA(VLOOKUP(D17,'인원 입력 기능(국수)'!$F$5:$I$103,4,FALSE),0))</f>
        <v>24</v>
      </c>
      <c r="H17" s="62">
        <f t="shared" si="4"/>
        <v>7.4657508678935386E-5</v>
      </c>
      <c r="I17" s="72">
        <f>SUM($G$7:G17)</f>
        <v>3809</v>
      </c>
      <c r="J17" s="64">
        <f t="shared" si="5"/>
        <v>1.1848768773252704E-2</v>
      </c>
      <c r="K17" s="31"/>
      <c r="L17" s="20" t="str">
        <f t="shared" si="2"/>
        <v/>
      </c>
      <c r="N17" s="1"/>
      <c r="Q17" s="1">
        <f>Q7*H3*H4*J3*IFERROR(IF(J107=1, 1, 0), 0)</f>
        <v>36241973136.767998</v>
      </c>
    </row>
    <row r="18" spans="1:17" ht="25" customHeight="1" x14ac:dyDescent="0.45">
      <c r="A18" s="5"/>
      <c r="B18" s="30"/>
      <c r="C18" s="65">
        <v>89</v>
      </c>
      <c r="D18" s="59">
        <f t="shared" si="1"/>
        <v>148</v>
      </c>
      <c r="E18" s="59">
        <f t="shared" si="0"/>
        <v>1</v>
      </c>
      <c r="F18" s="60">
        <f t="shared" si="3"/>
        <v>98.79</v>
      </c>
      <c r="G18" s="61">
        <f>IF(D18=D17,"",_xlfn.IFNA(VLOOKUP(D18,'인원 입력 기능(국수)'!$F$5:$I$103,4,FALSE),0))</f>
        <v>170</v>
      </c>
      <c r="H18" s="62">
        <f t="shared" si="4"/>
        <v>5.2882401980912559E-4</v>
      </c>
      <c r="I18" s="72">
        <f>SUM($G$7:G18)</f>
        <v>3979</v>
      </c>
      <c r="J18" s="64">
        <f t="shared" si="5"/>
        <v>1.237759279306183E-2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65">
        <v>88</v>
      </c>
      <c r="D19" s="59">
        <f t="shared" si="1"/>
        <v>147</v>
      </c>
      <c r="E19" s="74">
        <f t="shared" si="0"/>
        <v>1</v>
      </c>
      <c r="F19" s="60">
        <f t="shared" si="3"/>
        <v>98.36</v>
      </c>
      <c r="G19" s="61">
        <f>IF(D19=D18,"",_xlfn.IFNA(VLOOKUP(D19,'인원 입력 기능(국수)'!$F$5:$I$103,4,FALSE),0))</f>
        <v>2573</v>
      </c>
      <c r="H19" s="62">
        <f t="shared" si="4"/>
        <v>8.0039070762875312E-3</v>
      </c>
      <c r="I19" s="72">
        <f>SUM($G$7:G19)</f>
        <v>6552</v>
      </c>
      <c r="J19" s="64">
        <f t="shared" si="5"/>
        <v>2.0381499869349361E-2</v>
      </c>
      <c r="K19" s="31"/>
      <c r="L19" s="20" t="str">
        <f t="shared" si="2"/>
        <v/>
      </c>
      <c r="N19" s="1"/>
    </row>
    <row r="20" spans="1:17" ht="25" customHeight="1" x14ac:dyDescent="0.45">
      <c r="A20" s="5"/>
      <c r="B20" s="30"/>
      <c r="C20" s="65">
        <v>87</v>
      </c>
      <c r="D20" s="59">
        <f t="shared" si="1"/>
        <v>146</v>
      </c>
      <c r="E20" s="74">
        <f t="shared" si="0"/>
        <v>1</v>
      </c>
      <c r="F20" s="60">
        <f t="shared" si="3"/>
        <v>97.96</v>
      </c>
      <c r="G20" s="61">
        <f>IF(D20=D19,"",_xlfn.IFNA(VLOOKUP(D20,'인원 입력 기능(국수)'!$F$5:$I$103,4,FALSE),0))</f>
        <v>5</v>
      </c>
      <c r="H20" s="62">
        <f t="shared" si="4"/>
        <v>1.5553647641444873E-5</v>
      </c>
      <c r="I20" s="72">
        <f>SUM($G$7:G20)</f>
        <v>6557</v>
      </c>
      <c r="J20" s="64">
        <f t="shared" si="5"/>
        <v>2.0397053516990806E-2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65">
        <v>86</v>
      </c>
      <c r="D21" s="59">
        <f t="shared" si="1"/>
        <v>145</v>
      </c>
      <c r="E21" s="74">
        <f t="shared" si="0"/>
        <v>1</v>
      </c>
      <c r="F21" s="60">
        <f t="shared" si="3"/>
        <v>97.95</v>
      </c>
      <c r="G21" s="61">
        <f>IF(D21=D20,"",_xlfn.IFNA(VLOOKUP(D21,'인원 입력 기능(국수)'!$F$5:$I$103,4,FALSE),0))</f>
        <v>46</v>
      </c>
      <c r="H21" s="62">
        <f t="shared" si="4"/>
        <v>1.4309355830129282E-4</v>
      </c>
      <c r="I21" s="72">
        <f>SUM($G$7:G21)</f>
        <v>6603</v>
      </c>
      <c r="J21" s="64">
        <f t="shared" si="5"/>
        <v>2.0540147075292097E-2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65">
        <v>85</v>
      </c>
      <c r="D22" s="59">
        <f t="shared" si="1"/>
        <v>144</v>
      </c>
      <c r="E22" s="74">
        <f t="shared" si="0"/>
        <v>1</v>
      </c>
      <c r="F22" s="60">
        <f t="shared" si="3"/>
        <v>97.89</v>
      </c>
      <c r="G22" s="61">
        <f>IF(D22=D21,"",_xlfn.IFNA(VLOOKUP(D22,'인원 입력 기능(국수)'!$F$5:$I$103,4,FALSE),0))</f>
        <v>362</v>
      </c>
      <c r="H22" s="62">
        <f t="shared" si="4"/>
        <v>1.1260840892406087E-3</v>
      </c>
      <c r="I22" s="72">
        <f>SUM($G$7:G22)</f>
        <v>6965</v>
      </c>
      <c r="J22" s="64">
        <f t="shared" si="5"/>
        <v>2.1666231164532705E-2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65">
        <v>84</v>
      </c>
      <c r="D23" s="59">
        <f t="shared" si="1"/>
        <v>143</v>
      </c>
      <c r="E23" s="74">
        <f t="shared" si="0"/>
        <v>1</v>
      </c>
      <c r="F23" s="60">
        <f t="shared" si="3"/>
        <v>97.27</v>
      </c>
      <c r="G23" s="61">
        <f>IF(D23=D22,"",_xlfn.IFNA(VLOOKUP(D23,'인원 입력 기능(국수)'!$F$5:$I$103,4,FALSE),0))</f>
        <v>3596</v>
      </c>
      <c r="H23" s="62">
        <f t="shared" si="4"/>
        <v>1.1186183383727151E-2</v>
      </c>
      <c r="I23" s="72">
        <f>SUM($G$7:G23)</f>
        <v>10561</v>
      </c>
      <c r="J23" s="64">
        <f t="shared" si="5"/>
        <v>3.2852414548259858E-2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73">
        <v>83</v>
      </c>
      <c r="D24" s="74">
        <f t="shared" si="1"/>
        <v>142</v>
      </c>
      <c r="E24" s="74">
        <f t="shared" si="0"/>
        <v>1</v>
      </c>
      <c r="F24" s="60">
        <f t="shared" si="3"/>
        <v>96.71</v>
      </c>
      <c r="G24" s="61">
        <f>IF(D24=D23,"",_xlfn.IFNA(VLOOKUP(D24,'인원 입력 기능(국수)'!$F$5:$I$103,4,FALSE),0))</f>
        <v>12</v>
      </c>
      <c r="H24" s="62">
        <f t="shared" si="4"/>
        <v>3.7328754339467693E-5</v>
      </c>
      <c r="I24" s="75">
        <f>SUM($G$7:G24)</f>
        <v>10573</v>
      </c>
      <c r="J24" s="64">
        <f t="shared" si="5"/>
        <v>3.2889743302599327E-2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73">
        <v>82</v>
      </c>
      <c r="D25" s="74">
        <f t="shared" si="1"/>
        <v>141</v>
      </c>
      <c r="E25" s="74">
        <f t="shared" si="0"/>
        <v>1</v>
      </c>
      <c r="F25" s="60">
        <f t="shared" si="3"/>
        <v>96.69</v>
      </c>
      <c r="G25" s="61">
        <f>IF(D25=D24,"",_xlfn.IFNA(VLOOKUP(D25,'인원 입력 기능(국수)'!$F$5:$I$103,4,FALSE),0))</f>
        <v>105</v>
      </c>
      <c r="H25" s="62">
        <f t="shared" si="4"/>
        <v>3.2662660047034229E-4</v>
      </c>
      <c r="I25" s="75">
        <f>SUM($G$7:G25)</f>
        <v>10678</v>
      </c>
      <c r="J25" s="64">
        <f t="shared" si="5"/>
        <v>3.321636990306967E-2</v>
      </c>
      <c r="K25" s="31"/>
      <c r="L25" s="20" t="str">
        <f t="shared" si="2"/>
        <v/>
      </c>
      <c r="N25" s="1"/>
    </row>
    <row r="26" spans="1:17" ht="25" customHeight="1" x14ac:dyDescent="0.45">
      <c r="A26" s="5"/>
      <c r="B26" s="30"/>
      <c r="C26" s="73">
        <v>81</v>
      </c>
      <c r="D26" s="204">
        <v>140</v>
      </c>
      <c r="E26" s="204">
        <f t="shared" si="0"/>
        <v>1</v>
      </c>
      <c r="F26" s="206">
        <f t="shared" si="3"/>
        <v>95.84</v>
      </c>
      <c r="G26" s="208">
        <f>IF(D26=D25,"",_xlfn.IFNA(VLOOKUP(D26,'인원 입력 기능(국수)'!$F$5:$I$103,4,FALSE),0))</f>
        <v>5402</v>
      </c>
      <c r="H26" s="210">
        <f t="shared" si="4"/>
        <v>1.6804160911817041E-2</v>
      </c>
      <c r="I26" s="198">
        <f>SUM($G$7:G26)</f>
        <v>16080</v>
      </c>
      <c r="J26" s="200">
        <f t="shared" si="5"/>
        <v>5.0020530814886707E-2</v>
      </c>
      <c r="K26" s="31"/>
      <c r="L26" s="20" t="str">
        <f t="shared" si="2"/>
        <v>경고</v>
      </c>
      <c r="N26" s="1"/>
    </row>
    <row r="27" spans="1:17" ht="25" customHeight="1" x14ac:dyDescent="0.45">
      <c r="A27" s="5"/>
      <c r="B27" s="30"/>
      <c r="C27" s="73">
        <v>80</v>
      </c>
      <c r="D27" s="205"/>
      <c r="E27" s="205"/>
      <c r="F27" s="207"/>
      <c r="G27" s="209"/>
      <c r="H27" s="211"/>
      <c r="I27" s="199"/>
      <c r="J27" s="201"/>
      <c r="K27" s="31"/>
      <c r="L27" s="20" t="str">
        <f t="shared" si="2"/>
        <v>경고</v>
      </c>
      <c r="N27" s="1"/>
    </row>
    <row r="28" spans="1:17" ht="25" customHeight="1" x14ac:dyDescent="0.45">
      <c r="A28" s="5"/>
      <c r="B28" s="30"/>
      <c r="C28" s="73">
        <v>79</v>
      </c>
      <c r="D28" s="74">
        <f t="shared" si="1"/>
        <v>139</v>
      </c>
      <c r="E28" s="74">
        <f t="shared" si="0"/>
        <v>2</v>
      </c>
      <c r="F28" s="60">
        <f t="shared" si="3"/>
        <v>94.99</v>
      </c>
      <c r="G28" s="61">
        <f>IF(D28=D27,"",_xlfn.IFNA(VLOOKUP(D28,'인원 입력 기능(국수)'!$F$5:$I$103,4,FALSE),0))</f>
        <v>23</v>
      </c>
      <c r="H28" s="62">
        <f t="shared" si="4"/>
        <v>7.1546779150646409E-5</v>
      </c>
      <c r="I28" s="75">
        <f>SUM($G$7:G28)</f>
        <v>16103</v>
      </c>
      <c r="J28" s="64">
        <f t="shared" si="5"/>
        <v>5.0092077594037353E-2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73">
        <v>78</v>
      </c>
      <c r="D29" s="74">
        <f t="shared" si="1"/>
        <v>138</v>
      </c>
      <c r="E29" s="74">
        <f t="shared" si="0"/>
        <v>2</v>
      </c>
      <c r="F29" s="60">
        <f t="shared" si="3"/>
        <v>94.96</v>
      </c>
      <c r="G29" s="61">
        <f>IF(D29=D28,"",_xlfn.IFNA(VLOOKUP(D29,'인원 입력 기능(국수)'!$F$5:$I$103,4,FALSE),0))</f>
        <v>210</v>
      </c>
      <c r="H29" s="62">
        <f t="shared" si="4"/>
        <v>6.5325320094068457E-4</v>
      </c>
      <c r="I29" s="75">
        <f>SUM($G$7:G29)</f>
        <v>16313</v>
      </c>
      <c r="J29" s="64">
        <f t="shared" si="5"/>
        <v>5.074533079497804E-2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73">
        <v>77</v>
      </c>
      <c r="D30" s="74">
        <f t="shared" si="1"/>
        <v>137</v>
      </c>
      <c r="E30" s="74">
        <f t="shared" si="0"/>
        <v>2</v>
      </c>
      <c r="F30" s="60">
        <f t="shared" si="3"/>
        <v>94.72</v>
      </c>
      <c r="G30" s="61">
        <f>IF(D30=D29,"",_xlfn.IFNA(VLOOKUP(D30,'인원 입력 기능(국수)'!$F$5:$I$103,4,FALSE),0))</f>
        <v>1328</v>
      </c>
      <c r="H30" s="62">
        <f t="shared" si="4"/>
        <v>4.1310488135677583E-3</v>
      </c>
      <c r="I30" s="75">
        <f>SUM($G$7:G30)</f>
        <v>17641</v>
      </c>
      <c r="J30" s="64">
        <f t="shared" si="5"/>
        <v>5.4876379608545793E-2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73">
        <v>76</v>
      </c>
      <c r="D31" s="74">
        <f t="shared" si="1"/>
        <v>136</v>
      </c>
      <c r="E31" s="74">
        <f t="shared" si="0"/>
        <v>2</v>
      </c>
      <c r="F31" s="60">
        <f t="shared" si="3"/>
        <v>93.67</v>
      </c>
      <c r="G31" s="61">
        <f>IF(D31=D30,"",_xlfn.IFNA(VLOOKUP(D31,'인원 입력 기능(국수)'!$F$5:$I$103,4,FALSE),0))</f>
        <v>5443</v>
      </c>
      <c r="H31" s="62">
        <f t="shared" si="4"/>
        <v>1.6931700822476886E-2</v>
      </c>
      <c r="I31" s="75">
        <f>SUM($G$7:G31)</f>
        <v>23084</v>
      </c>
      <c r="J31" s="64">
        <f t="shared" si="5"/>
        <v>7.1808080431022686E-2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73">
        <v>75</v>
      </c>
      <c r="D32" s="74">
        <f t="shared" si="1"/>
        <v>135</v>
      </c>
      <c r="E32" s="74">
        <f t="shared" si="0"/>
        <v>2</v>
      </c>
      <c r="F32" s="60">
        <f t="shared" si="3"/>
        <v>92.81</v>
      </c>
      <c r="G32" s="61">
        <f>IF(D32=D31,"",_xlfn.IFNA(VLOOKUP(D32,'인원 입력 기능(국수)'!$F$5:$I$103,4,FALSE),0))</f>
        <v>50</v>
      </c>
      <c r="H32" s="62">
        <f t="shared" si="4"/>
        <v>1.5553647641444873E-4</v>
      </c>
      <c r="I32" s="75">
        <f>SUM($G$7:G32)</f>
        <v>23134</v>
      </c>
      <c r="J32" s="64">
        <f t="shared" si="5"/>
        <v>7.1963616907437133E-2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73">
        <v>74</v>
      </c>
      <c r="D33" s="74">
        <f t="shared" si="1"/>
        <v>134</v>
      </c>
      <c r="E33" s="74">
        <f t="shared" si="0"/>
        <v>2</v>
      </c>
      <c r="F33" s="60">
        <f t="shared" si="3"/>
        <v>92.75</v>
      </c>
      <c r="G33" s="61">
        <f>IF(D33=D32,"",_xlfn.IFNA(VLOOKUP(D33,'인원 입력 기능(국수)'!$F$5:$I$103,4,FALSE),0))</f>
        <v>361</v>
      </c>
      <c r="H33" s="62">
        <f t="shared" si="4"/>
        <v>1.1229733597123198E-3</v>
      </c>
      <c r="I33" s="75">
        <f>SUM($G$7:G33)</f>
        <v>23495</v>
      </c>
      <c r="J33" s="64">
        <f t="shared" si="5"/>
        <v>7.3086590267149448E-2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73">
        <v>73</v>
      </c>
      <c r="D34" s="74">
        <f t="shared" si="1"/>
        <v>133</v>
      </c>
      <c r="E34" s="74">
        <f t="shared" si="0"/>
        <v>2</v>
      </c>
      <c r="F34" s="60">
        <f t="shared" si="3"/>
        <v>92.35</v>
      </c>
      <c r="G34" s="61">
        <f>IF(D34=D33,"",_xlfn.IFNA(VLOOKUP(D34,'인원 입력 기능(국수)'!$F$5:$I$103,4,FALSE),0))</f>
        <v>2208</v>
      </c>
      <c r="H34" s="62">
        <f t="shared" si="4"/>
        <v>6.8684907984620557E-3</v>
      </c>
      <c r="I34" s="75">
        <f>SUM($G$7:G34)</f>
        <v>25703</v>
      </c>
      <c r="J34" s="64">
        <f t="shared" si="5"/>
        <v>7.9955081065611514E-2</v>
      </c>
      <c r="K34" s="31"/>
      <c r="L34" s="20" t="str">
        <f t="shared" si="2"/>
        <v/>
      </c>
      <c r="N34" s="1"/>
    </row>
    <row r="35" spans="1:14" ht="25" customHeight="1" x14ac:dyDescent="0.45">
      <c r="A35" s="5"/>
      <c r="B35" s="30"/>
      <c r="C35" s="73">
        <v>72</v>
      </c>
      <c r="D35" s="74">
        <f t="shared" si="1"/>
        <v>132</v>
      </c>
      <c r="E35" s="74">
        <f t="shared" si="0"/>
        <v>2</v>
      </c>
      <c r="F35" s="60">
        <f t="shared" si="3"/>
        <v>91.16</v>
      </c>
      <c r="G35" s="61">
        <f>IF(D35=D34,"",_xlfn.IFNA(VLOOKUP(D35,'인원 입력 기능(국수)'!$F$5:$I$103,4,FALSE),0))</f>
        <v>5413</v>
      </c>
      <c r="H35" s="62">
        <f t="shared" si="4"/>
        <v>1.6838378936628217E-2</v>
      </c>
      <c r="I35" s="75">
        <f>SUM($G$7:G35)</f>
        <v>31116</v>
      </c>
      <c r="J35" s="64">
        <f t="shared" si="5"/>
        <v>9.679346000223972E-2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73">
        <v>71</v>
      </c>
      <c r="D36" s="74">
        <f t="shared" si="1"/>
        <v>131</v>
      </c>
      <c r="E36" s="74">
        <f t="shared" si="0"/>
        <v>2</v>
      </c>
      <c r="F36" s="60">
        <f t="shared" si="3"/>
        <v>90.3</v>
      </c>
      <c r="G36" s="61">
        <f>IF(D36=D35,"",_xlfn.IFNA(VLOOKUP(D36,'인원 입력 기능(국수)'!$F$5:$I$103,4,FALSE),0))</f>
        <v>109</v>
      </c>
      <c r="H36" s="62">
        <f t="shared" si="4"/>
        <v>3.3906951858349819E-4</v>
      </c>
      <c r="I36" s="75">
        <f>SUM($G$7:G36)</f>
        <v>31225</v>
      </c>
      <c r="J36" s="64">
        <f t="shared" si="5"/>
        <v>9.7132529520823227E-2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73">
        <v>70</v>
      </c>
      <c r="D37" s="74">
        <f t="shared" si="1"/>
        <v>130</v>
      </c>
      <c r="E37" s="74">
        <f t="shared" si="0"/>
        <v>2</v>
      </c>
      <c r="F37" s="60">
        <f t="shared" si="3"/>
        <v>90.17</v>
      </c>
      <c r="G37" s="61">
        <f>IF(D37=D36,"",_xlfn.IFNA(VLOOKUP(D37,'인원 입력 기능(국수)'!$F$5:$I$103,4,FALSE),0))</f>
        <v>730</v>
      </c>
      <c r="H37" s="62">
        <f t="shared" si="4"/>
        <v>2.2708325556509514E-3</v>
      </c>
      <c r="I37" s="75">
        <f>SUM($G$7:G37)</f>
        <v>31955</v>
      </c>
      <c r="J37" s="64">
        <f t="shared" si="5"/>
        <v>9.9403362076474169E-2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73">
        <v>69</v>
      </c>
      <c r="D38" s="74">
        <f t="shared" si="1"/>
        <v>129</v>
      </c>
      <c r="E38" s="74">
        <f t="shared" si="0"/>
        <v>2</v>
      </c>
      <c r="F38" s="60">
        <f t="shared" si="3"/>
        <v>89.57</v>
      </c>
      <c r="G38" s="61">
        <f>IF(D38=D37,"",_xlfn.IFNA(VLOOKUP(D38,'인원 입력 기능(국수)'!$F$5:$I$103,4,FALSE),0))</f>
        <v>3123</v>
      </c>
      <c r="H38" s="62">
        <f t="shared" si="4"/>
        <v>9.7148083168464676E-3</v>
      </c>
      <c r="I38" s="75">
        <f>SUM($G$7:G38)</f>
        <v>35078</v>
      </c>
      <c r="J38" s="64">
        <f t="shared" si="5"/>
        <v>0.10911817039332064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73">
        <v>68</v>
      </c>
      <c r="D39" s="74">
        <f t="shared" si="1"/>
        <v>128</v>
      </c>
      <c r="E39" s="74">
        <f t="shared" si="0"/>
        <v>2</v>
      </c>
      <c r="F39" s="60">
        <f t="shared" si="3"/>
        <v>88.35</v>
      </c>
      <c r="G39" s="61">
        <f>IF(D39=D38,"",_xlfn.IFNA(VLOOKUP(D39,'인원 입력 기능(국수)'!$F$5:$I$103,4,FALSE),0))</f>
        <v>4763</v>
      </c>
      <c r="H39" s="62">
        <f t="shared" si="4"/>
        <v>1.4816404743240384E-2</v>
      </c>
      <c r="I39" s="75">
        <f>SUM($G$7:G39)</f>
        <v>39841</v>
      </c>
      <c r="J39" s="64">
        <f t="shared" si="5"/>
        <v>0.12393457513656103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73">
        <v>67</v>
      </c>
      <c r="D40" s="204">
        <f t="shared" si="1"/>
        <v>127</v>
      </c>
      <c r="E40" s="204">
        <f t="shared" si="0"/>
        <v>3</v>
      </c>
      <c r="F40" s="206">
        <f t="shared" si="3"/>
        <v>87.35</v>
      </c>
      <c r="G40" s="208">
        <f>IF(D40=D39,"",_xlfn.IFNA(VLOOKUP(D40,'인원 입력 기능(국수)'!$F$5:$I$103,4,FALSE),0))</f>
        <v>1620</v>
      </c>
      <c r="H40" s="210">
        <f t="shared" si="4"/>
        <v>5.0393818358281384E-3</v>
      </c>
      <c r="I40" s="198">
        <f>SUM($G$7:G40)</f>
        <v>41461</v>
      </c>
      <c r="J40" s="200">
        <f t="shared" si="5"/>
        <v>0.12897395697238917</v>
      </c>
      <c r="K40" s="31"/>
      <c r="L40" s="20" t="str">
        <f t="shared" si="2"/>
        <v>경고</v>
      </c>
      <c r="N40" s="1"/>
    </row>
    <row r="41" spans="1:14" ht="25" customHeight="1" x14ac:dyDescent="0.45">
      <c r="A41" s="5"/>
      <c r="B41" s="30"/>
      <c r="C41" s="73">
        <v>66</v>
      </c>
      <c r="D41" s="205"/>
      <c r="E41" s="205"/>
      <c r="F41" s="207"/>
      <c r="G41" s="209"/>
      <c r="H41" s="211"/>
      <c r="I41" s="199"/>
      <c r="J41" s="201"/>
      <c r="K41" s="31"/>
      <c r="L41" s="20" t="str">
        <f t="shared" ref="L41:L72" si="6">IF(ABS((C41-$H$3)/$H$4*20+100-D41)&gt;0.49, "경고", "")</f>
        <v>경고</v>
      </c>
      <c r="N41" s="1"/>
    </row>
    <row r="42" spans="1:14" ht="25" customHeight="1" x14ac:dyDescent="0.45">
      <c r="A42" s="5"/>
      <c r="B42" s="30"/>
      <c r="C42" s="73">
        <v>65</v>
      </c>
      <c r="D42" s="74">
        <f t="shared" ref="D42:D72" si="7">ROUND(20*(C42-$H$3)/$H$4+100,0)</f>
        <v>126</v>
      </c>
      <c r="E42" s="74">
        <f t="shared" si="0"/>
        <v>3</v>
      </c>
      <c r="F42" s="60">
        <f t="shared" si="3"/>
        <v>86.48</v>
      </c>
      <c r="G42" s="61">
        <f>IF(D42=D41,"",_xlfn.IFNA(VLOOKUP(D42,'인원 입력 기능(국수)'!$F$5:$I$103,4,FALSE),0))</f>
        <v>4002</v>
      </c>
      <c r="H42" s="62">
        <f t="shared" si="4"/>
        <v>1.2449139572212475E-2</v>
      </c>
      <c r="I42" s="75">
        <f>SUM($G$7:G42)</f>
        <v>45463</v>
      </c>
      <c r="J42" s="64">
        <f t="shared" si="5"/>
        <v>0.14142309654460164</v>
      </c>
      <c r="K42" s="31"/>
      <c r="L42" s="20" t="str">
        <f t="shared" si="6"/>
        <v/>
      </c>
      <c r="N42" s="1"/>
    </row>
    <row r="43" spans="1:14" ht="25" customHeight="1" x14ac:dyDescent="0.45">
      <c r="A43" s="5"/>
      <c r="B43" s="30"/>
      <c r="C43" s="73">
        <v>64</v>
      </c>
      <c r="D43" s="74">
        <f t="shared" si="7"/>
        <v>125</v>
      </c>
      <c r="E43" s="74">
        <f t="shared" si="0"/>
        <v>3</v>
      </c>
      <c r="F43" s="60">
        <f t="shared" si="3"/>
        <v>85.29</v>
      </c>
      <c r="G43" s="61">
        <f>IF(D43=D42,"",_xlfn.IFNA(VLOOKUP(D43,'인원 입력 기능(국수)'!$F$5:$I$103,4,FALSE),0))</f>
        <v>3625</v>
      </c>
      <c r="H43" s="62">
        <f t="shared" si="4"/>
        <v>1.1276394540047531E-2</v>
      </c>
      <c r="I43" s="75">
        <f>SUM($G$7:G43)</f>
        <v>49088</v>
      </c>
      <c r="J43" s="64">
        <f t="shared" si="5"/>
        <v>0.15269949108464917</v>
      </c>
      <c r="K43" s="31"/>
      <c r="L43" s="20" t="str">
        <f t="shared" si="6"/>
        <v/>
      </c>
      <c r="N43" s="1"/>
    </row>
    <row r="44" spans="1:14" ht="25" customHeight="1" x14ac:dyDescent="0.45">
      <c r="A44" s="5"/>
      <c r="B44" s="30"/>
      <c r="C44" s="73">
        <v>63</v>
      </c>
      <c r="D44" s="74">
        <f t="shared" si="7"/>
        <v>124</v>
      </c>
      <c r="E44" s="74">
        <f t="shared" si="0"/>
        <v>3</v>
      </c>
      <c r="F44" s="60">
        <f t="shared" si="3"/>
        <v>84.65</v>
      </c>
      <c r="G44" s="61">
        <f>IF(D44=D43,"",_xlfn.IFNA(VLOOKUP(D44,'인원 입력 기능(국수)'!$F$5:$I$103,4,FALSE),0))</f>
        <v>530</v>
      </c>
      <c r="H44" s="62">
        <f t="shared" si="4"/>
        <v>1.6486866499931564E-3</v>
      </c>
      <c r="I44" s="75">
        <f>SUM($G$7:G44)</f>
        <v>49618</v>
      </c>
      <c r="J44" s="64">
        <f t="shared" si="5"/>
        <v>0.15434817773464232</v>
      </c>
      <c r="K44" s="31"/>
      <c r="L44" s="20" t="str">
        <f t="shared" si="6"/>
        <v/>
      </c>
      <c r="N44" s="1"/>
    </row>
    <row r="45" spans="1:14" ht="25" customHeight="1" x14ac:dyDescent="0.45">
      <c r="A45" s="5"/>
      <c r="B45" s="30"/>
      <c r="C45" s="73">
        <v>62</v>
      </c>
      <c r="D45" s="74">
        <f t="shared" si="7"/>
        <v>123</v>
      </c>
      <c r="E45" s="74">
        <f t="shared" si="0"/>
        <v>3</v>
      </c>
      <c r="F45" s="60">
        <f t="shared" si="3"/>
        <v>84.21</v>
      </c>
      <c r="G45" s="61">
        <f>IF(D45=D44,"",_xlfn.IFNA(VLOOKUP(D45,'인원 입력 기능(국수)'!$F$5:$I$103,4,FALSE),0))</f>
        <v>2277</v>
      </c>
      <c r="H45" s="62">
        <f t="shared" si="4"/>
        <v>7.0831311359139948E-3</v>
      </c>
      <c r="I45" s="75">
        <f>SUM($G$7:G45)</f>
        <v>51895</v>
      </c>
      <c r="J45" s="64">
        <f t="shared" si="5"/>
        <v>0.16143130887055632</v>
      </c>
      <c r="K45" s="31"/>
      <c r="L45" s="20" t="str">
        <f t="shared" si="6"/>
        <v/>
      </c>
      <c r="N45" s="1"/>
    </row>
    <row r="46" spans="1:14" ht="25" customHeight="1" x14ac:dyDescent="0.45">
      <c r="A46" s="5"/>
      <c r="B46" s="30"/>
      <c r="C46" s="73">
        <v>61</v>
      </c>
      <c r="D46" s="74">
        <f t="shared" si="7"/>
        <v>122</v>
      </c>
      <c r="E46" s="74">
        <f t="shared" si="0"/>
        <v>3</v>
      </c>
      <c r="F46" s="60">
        <f t="shared" si="3"/>
        <v>83.17</v>
      </c>
      <c r="G46" s="61">
        <f>IF(D46=D45,"",_xlfn.IFNA(VLOOKUP(D46,'인원 입력 기능(국수)'!$F$5:$I$103,4,FALSE),0))</f>
        <v>4438</v>
      </c>
      <c r="H46" s="62">
        <f t="shared" si="4"/>
        <v>1.3805417646546468E-2</v>
      </c>
      <c r="I46" s="75">
        <f>SUM($G$7:G46)</f>
        <v>56333</v>
      </c>
      <c r="J46" s="64">
        <f t="shared" si="5"/>
        <v>0.17523672651710279</v>
      </c>
      <c r="K46" s="31"/>
      <c r="L46" s="20" t="str">
        <f t="shared" si="6"/>
        <v/>
      </c>
      <c r="N46" s="1"/>
    </row>
    <row r="47" spans="1:14" ht="25" customHeight="1" x14ac:dyDescent="0.45">
      <c r="A47" s="5"/>
      <c r="B47" s="30"/>
      <c r="C47" s="73">
        <v>60</v>
      </c>
      <c r="D47" s="74">
        <f t="shared" si="7"/>
        <v>121</v>
      </c>
      <c r="E47" s="74">
        <f t="shared" si="0"/>
        <v>3</v>
      </c>
      <c r="F47" s="60">
        <f t="shared" si="3"/>
        <v>82.08</v>
      </c>
      <c r="G47" s="61">
        <f>IF(D47=D46,"",_xlfn.IFNA(VLOOKUP(D47,'인원 입력 기능(국수)'!$F$5:$I$103,4,FALSE),0))</f>
        <v>2534</v>
      </c>
      <c r="H47" s="62">
        <f t="shared" si="4"/>
        <v>7.8825886246842603E-3</v>
      </c>
      <c r="I47" s="75">
        <f>SUM($G$7:G47)</f>
        <v>58867</v>
      </c>
      <c r="J47" s="64">
        <f t="shared" si="5"/>
        <v>0.18311931514178706</v>
      </c>
      <c r="K47" s="31"/>
      <c r="L47" s="20" t="str">
        <f t="shared" si="6"/>
        <v/>
      </c>
      <c r="N47" s="1"/>
    </row>
    <row r="48" spans="1:14" ht="25" customHeight="1" x14ac:dyDescent="0.45">
      <c r="A48" s="5"/>
      <c r="B48" s="30"/>
      <c r="C48" s="73">
        <v>59</v>
      </c>
      <c r="D48" s="74">
        <f t="shared" si="7"/>
        <v>120</v>
      </c>
      <c r="E48" s="74">
        <f t="shared" si="0"/>
        <v>3</v>
      </c>
      <c r="F48" s="60">
        <f t="shared" si="3"/>
        <v>81.510000000000005</v>
      </c>
      <c r="G48" s="61">
        <f>IF(D48=D47,"",_xlfn.IFNA(VLOOKUP(D48,'인원 입력 기능(국수)'!$F$5:$I$103,4,FALSE),0))</f>
        <v>1153</v>
      </c>
      <c r="H48" s="62">
        <f t="shared" si="4"/>
        <v>3.5866711461171874E-3</v>
      </c>
      <c r="I48" s="75">
        <f>SUM($G$7:G48)</f>
        <v>60020</v>
      </c>
      <c r="J48" s="64">
        <f t="shared" si="5"/>
        <v>0.18670598628790425</v>
      </c>
      <c r="K48" s="31"/>
      <c r="L48" s="20" t="str">
        <f t="shared" si="6"/>
        <v/>
      </c>
      <c r="N48" s="1"/>
    </row>
    <row r="49" spans="1:14" ht="25" customHeight="1" x14ac:dyDescent="0.45">
      <c r="A49" s="5"/>
      <c r="B49" s="30"/>
      <c r="C49" s="73">
        <v>58</v>
      </c>
      <c r="D49" s="74">
        <f t="shared" si="7"/>
        <v>119</v>
      </c>
      <c r="E49" s="74">
        <f t="shared" si="0"/>
        <v>3</v>
      </c>
      <c r="F49" s="60">
        <f t="shared" si="3"/>
        <v>80.790000000000006</v>
      </c>
      <c r="G49" s="61">
        <f>IF(D49=D48,"",_xlfn.IFNA(VLOOKUP(D49,'인원 입력 기능(국수)'!$F$5:$I$103,4,FALSE),0))</f>
        <v>3474</v>
      </c>
      <c r="H49" s="62">
        <f t="shared" si="4"/>
        <v>1.0806674381275897E-2</v>
      </c>
      <c r="I49" s="75">
        <f>SUM($G$7:G49)</f>
        <v>63494</v>
      </c>
      <c r="J49" s="64">
        <f t="shared" si="5"/>
        <v>0.19751266066918013</v>
      </c>
      <c r="K49" s="31"/>
      <c r="L49" s="20" t="str">
        <f t="shared" si="6"/>
        <v/>
      </c>
      <c r="N49" s="1"/>
    </row>
    <row r="50" spans="1:14" ht="25" customHeight="1" x14ac:dyDescent="0.45">
      <c r="A50" s="5"/>
      <c r="B50" s="30"/>
      <c r="C50" s="73">
        <v>57</v>
      </c>
      <c r="D50" s="74">
        <f t="shared" si="7"/>
        <v>118</v>
      </c>
      <c r="E50" s="74">
        <f t="shared" si="0"/>
        <v>3</v>
      </c>
      <c r="F50" s="60">
        <f t="shared" si="3"/>
        <v>79.58</v>
      </c>
      <c r="G50" s="61">
        <f>IF(D50=D49,"",_xlfn.IFNA(VLOOKUP(D50,'인원 입력 기능(국수)'!$F$5:$I$103,4,FALSE),0))</f>
        <v>4294</v>
      </c>
      <c r="H50" s="62">
        <f t="shared" si="4"/>
        <v>1.3357472594472855E-2</v>
      </c>
      <c r="I50" s="75">
        <f>SUM($G$7:G50)</f>
        <v>67788</v>
      </c>
      <c r="J50" s="64">
        <f t="shared" si="5"/>
        <v>0.210870133263653</v>
      </c>
      <c r="K50" s="31"/>
      <c r="L50" s="20" t="str">
        <f t="shared" si="6"/>
        <v/>
      </c>
      <c r="N50" s="1"/>
    </row>
    <row r="51" spans="1:14" ht="25" customHeight="1" x14ac:dyDescent="0.45">
      <c r="A51" s="5"/>
      <c r="B51" s="30"/>
      <c r="C51" s="73">
        <v>56</v>
      </c>
      <c r="D51" s="74">
        <f t="shared" si="7"/>
        <v>117</v>
      </c>
      <c r="E51" s="74">
        <f t="shared" si="0"/>
        <v>3</v>
      </c>
      <c r="F51" s="60">
        <f t="shared" si="3"/>
        <v>78.62</v>
      </c>
      <c r="G51" s="61">
        <f>IF(D51=D50,"",_xlfn.IFNA(VLOOKUP(D51,'인원 입력 기능(국수)'!$F$5:$I$103,4,FALSE),0))</f>
        <v>1891</v>
      </c>
      <c r="H51" s="62">
        <f t="shared" si="4"/>
        <v>5.8823895379944502E-3</v>
      </c>
      <c r="I51" s="75">
        <f>SUM($G$7:G51)</f>
        <v>69679</v>
      </c>
      <c r="J51" s="64">
        <f t="shared" si="5"/>
        <v>0.21675252280164745</v>
      </c>
      <c r="K51" s="31"/>
      <c r="L51" s="20" t="str">
        <f t="shared" si="6"/>
        <v/>
      </c>
      <c r="N51" s="1"/>
    </row>
    <row r="52" spans="1:14" ht="25" customHeight="1" x14ac:dyDescent="0.45">
      <c r="A52" s="5"/>
      <c r="B52" s="30"/>
      <c r="C52" s="73">
        <v>55</v>
      </c>
      <c r="D52" s="74">
        <f t="shared" si="7"/>
        <v>116</v>
      </c>
      <c r="E52" s="74">
        <f t="shared" si="0"/>
        <v>3</v>
      </c>
      <c r="F52" s="60">
        <f t="shared" si="3"/>
        <v>77.959999999999994</v>
      </c>
      <c r="G52" s="61">
        <f>IF(D52=D51,"",_xlfn.IFNA(VLOOKUP(D52,'인원 입력 기능(국수)'!$F$5:$I$103,4,FALSE),0))</f>
        <v>2352</v>
      </c>
      <c r="H52" s="62">
        <f t="shared" si="4"/>
        <v>7.3164358505356675E-3</v>
      </c>
      <c r="I52" s="75">
        <f>SUM($G$7:G52)</f>
        <v>72031</v>
      </c>
      <c r="J52" s="64">
        <f t="shared" si="5"/>
        <v>0.2240689586521831</v>
      </c>
      <c r="K52" s="31"/>
      <c r="L52" s="20" t="str">
        <f t="shared" si="6"/>
        <v/>
      </c>
      <c r="N52" s="1"/>
    </row>
    <row r="53" spans="1:14" ht="25" customHeight="1" x14ac:dyDescent="0.45">
      <c r="A53" s="5"/>
      <c r="B53" s="30"/>
      <c r="C53" s="73">
        <v>54</v>
      </c>
      <c r="D53" s="74">
        <f t="shared" si="7"/>
        <v>115</v>
      </c>
      <c r="E53" s="74">
        <f t="shared" si="0"/>
        <v>3</v>
      </c>
      <c r="F53" s="60">
        <f t="shared" si="3"/>
        <v>76.92</v>
      </c>
      <c r="G53" s="61">
        <f>IF(D53=D52,"",_xlfn.IFNA(VLOOKUP(D53,'인원 입력 기능(국수)'!$F$5:$I$103,4,FALSE),0))</f>
        <v>4303</v>
      </c>
      <c r="H53" s="62">
        <f t="shared" si="4"/>
        <v>1.3385469160227457E-2</v>
      </c>
      <c r="I53" s="75">
        <f>SUM($G$7:G53)</f>
        <v>76334</v>
      </c>
      <c r="J53" s="64">
        <f t="shared" si="5"/>
        <v>0.23745442781241058</v>
      </c>
      <c r="K53" s="31"/>
      <c r="L53" s="20" t="str">
        <f t="shared" si="6"/>
        <v/>
      </c>
      <c r="N53" s="1"/>
    </row>
    <row r="54" spans="1:14" ht="25" customHeight="1" x14ac:dyDescent="0.45">
      <c r="A54" s="5"/>
      <c r="B54" s="30"/>
      <c r="C54" s="73">
        <v>53</v>
      </c>
      <c r="D54" s="204">
        <f t="shared" si="7"/>
        <v>114</v>
      </c>
      <c r="E54" s="204">
        <f t="shared" si="0"/>
        <v>4</v>
      </c>
      <c r="F54" s="206">
        <f t="shared" si="3"/>
        <v>75.41</v>
      </c>
      <c r="G54" s="208">
        <f>IF(D54=D53,"",_xlfn.IFNA(VLOOKUP(D54,'인원 입력 기능(국수)'!$F$5:$I$103,4,FALSE),0))</f>
        <v>5452</v>
      </c>
      <c r="H54" s="210">
        <f t="shared" si="4"/>
        <v>1.6959697388231488E-2</v>
      </c>
      <c r="I54" s="198">
        <f>SUM($G$7:G54)</f>
        <v>81786</v>
      </c>
      <c r="J54" s="200">
        <f t="shared" si="5"/>
        <v>0.25441412520064205</v>
      </c>
      <c r="K54" s="31"/>
      <c r="L54" s="20" t="str">
        <f t="shared" si="6"/>
        <v/>
      </c>
      <c r="N54" s="1"/>
    </row>
    <row r="55" spans="1:14" ht="25" customHeight="1" x14ac:dyDescent="0.45">
      <c r="A55" s="5"/>
      <c r="B55" s="30"/>
      <c r="C55" s="73">
        <v>52</v>
      </c>
      <c r="D55" s="205"/>
      <c r="E55" s="205"/>
      <c r="F55" s="207"/>
      <c r="G55" s="209"/>
      <c r="H55" s="211"/>
      <c r="I55" s="199"/>
      <c r="J55" s="201"/>
      <c r="K55" s="31"/>
      <c r="L55" s="20" t="str">
        <f t="shared" si="6"/>
        <v>경고</v>
      </c>
      <c r="N55" s="1"/>
    </row>
    <row r="56" spans="1:14" ht="25" customHeight="1" x14ac:dyDescent="0.45">
      <c r="A56" s="5"/>
      <c r="B56" s="30"/>
      <c r="C56" s="73">
        <v>51</v>
      </c>
      <c r="D56" s="74">
        <f t="shared" si="7"/>
        <v>113</v>
      </c>
      <c r="E56" s="74">
        <f t="shared" si="0"/>
        <v>4</v>
      </c>
      <c r="F56" s="60">
        <f t="shared" si="3"/>
        <v>73.95</v>
      </c>
      <c r="G56" s="61">
        <f>IF(D56=D55,"",_xlfn.IFNA(VLOOKUP(D56,'인원 입력 기능(국수)'!$F$5:$I$103,4,FALSE),0))</f>
        <v>3930</v>
      </c>
      <c r="H56" s="62">
        <f t="shared" si="4"/>
        <v>1.222516704617567E-2</v>
      </c>
      <c r="I56" s="75">
        <f>SUM($G$7:G56)</f>
        <v>85716</v>
      </c>
      <c r="J56" s="64">
        <f t="shared" si="5"/>
        <v>0.26663929224681771</v>
      </c>
      <c r="K56" s="31"/>
      <c r="L56" s="20" t="str">
        <f t="shared" si="6"/>
        <v/>
      </c>
      <c r="N56" s="1"/>
    </row>
    <row r="57" spans="1:14" ht="25" customHeight="1" x14ac:dyDescent="0.45">
      <c r="A57" s="5"/>
      <c r="B57" s="30"/>
      <c r="C57" s="73">
        <v>50</v>
      </c>
      <c r="D57" s="74">
        <f t="shared" si="7"/>
        <v>112</v>
      </c>
      <c r="E57" s="74">
        <f t="shared" si="0"/>
        <v>4</v>
      </c>
      <c r="F57" s="60">
        <f t="shared" si="3"/>
        <v>72.67</v>
      </c>
      <c r="G57" s="61">
        <f>IF(D57=D56,"",_xlfn.IFNA(VLOOKUP(D57,'인원 입력 기능(국수)'!$F$5:$I$103,4,FALSE),0))</f>
        <v>4272</v>
      </c>
      <c r="H57" s="62">
        <f t="shared" si="4"/>
        <v>1.3289036544850499E-2</v>
      </c>
      <c r="I57" s="75">
        <f>SUM($G$7:G57)</f>
        <v>89988</v>
      </c>
      <c r="J57" s="64">
        <f t="shared" si="5"/>
        <v>0.27992832879166824</v>
      </c>
      <c r="K57" s="31"/>
      <c r="L57" s="20" t="str">
        <f t="shared" si="6"/>
        <v/>
      </c>
      <c r="N57" s="1"/>
    </row>
    <row r="58" spans="1:14" ht="25" customHeight="1" x14ac:dyDescent="0.45">
      <c r="A58" s="5"/>
      <c r="B58" s="30"/>
      <c r="C58" s="73">
        <v>49</v>
      </c>
      <c r="D58" s="74">
        <f t="shared" si="7"/>
        <v>111</v>
      </c>
      <c r="E58" s="74">
        <f t="shared" si="0"/>
        <v>4</v>
      </c>
      <c r="F58" s="60">
        <f t="shared" si="3"/>
        <v>71.599999999999994</v>
      </c>
      <c r="G58" s="61">
        <f>IF(D58=D57,"",_xlfn.IFNA(VLOOKUP(D58,'인원 입력 기능(국수)'!$F$5:$I$103,4,FALSE),0))</f>
        <v>2603</v>
      </c>
      <c r="H58" s="62">
        <f t="shared" si="4"/>
        <v>8.0972289621362003E-3</v>
      </c>
      <c r="I58" s="75">
        <f>SUM($G$7:G58)</f>
        <v>92591</v>
      </c>
      <c r="J58" s="64">
        <f t="shared" si="5"/>
        <v>0.2880255577538044</v>
      </c>
      <c r="K58" s="31"/>
      <c r="L58" s="20" t="str">
        <f t="shared" si="6"/>
        <v/>
      </c>
      <c r="N58" s="1"/>
    </row>
    <row r="59" spans="1:14" ht="25" customHeight="1" x14ac:dyDescent="0.45">
      <c r="A59" s="5"/>
      <c r="B59" s="30"/>
      <c r="C59" s="73">
        <v>48</v>
      </c>
      <c r="D59" s="74">
        <f t="shared" si="7"/>
        <v>110</v>
      </c>
      <c r="E59" s="74">
        <f t="shared" si="0"/>
        <v>4</v>
      </c>
      <c r="F59" s="60">
        <f t="shared" si="3"/>
        <v>70.64</v>
      </c>
      <c r="G59" s="61">
        <f>IF(D59=D58,"",_xlfn.IFNA(VLOOKUP(D59,'인원 입력 기능(국수)'!$F$5:$I$103,4,FALSE),0))</f>
        <v>3577</v>
      </c>
      <c r="H59" s="62">
        <f t="shared" si="4"/>
        <v>1.112707952268966E-2</v>
      </c>
      <c r="I59" s="75">
        <f>SUM($G$7:G59)</f>
        <v>96168</v>
      </c>
      <c r="J59" s="64">
        <f t="shared" si="5"/>
        <v>0.2991526372764941</v>
      </c>
      <c r="K59" s="31"/>
      <c r="L59" s="20" t="str">
        <f t="shared" si="6"/>
        <v/>
      </c>
      <c r="N59" s="1"/>
    </row>
    <row r="60" spans="1:14" ht="25" customHeight="1" x14ac:dyDescent="0.45">
      <c r="A60" s="5"/>
      <c r="B60" s="30"/>
      <c r="C60" s="73">
        <v>47</v>
      </c>
      <c r="D60" s="74">
        <f t="shared" si="7"/>
        <v>109</v>
      </c>
      <c r="E60" s="74">
        <f t="shared" si="0"/>
        <v>4</v>
      </c>
      <c r="F60" s="60">
        <f t="shared" si="3"/>
        <v>69.34</v>
      </c>
      <c r="G60" s="61">
        <f>IF(D60=D59,"",_xlfn.IFNA(VLOOKUP(D60,'인원 입력 기능(국수)'!$F$5:$I$103,4,FALSE),0))</f>
        <v>4776</v>
      </c>
      <c r="H60" s="62">
        <f t="shared" si="4"/>
        <v>1.4856844227108141E-2</v>
      </c>
      <c r="I60" s="75">
        <f>SUM($G$7:G60)</f>
        <v>100944</v>
      </c>
      <c r="J60" s="64">
        <f t="shared" si="5"/>
        <v>0.31400948150360225</v>
      </c>
      <c r="K60" s="31"/>
      <c r="L60" s="20" t="str">
        <f t="shared" si="6"/>
        <v/>
      </c>
      <c r="N60" s="1"/>
    </row>
    <row r="61" spans="1:14" ht="25" customHeight="1" x14ac:dyDescent="0.45">
      <c r="A61" s="5"/>
      <c r="B61" s="30"/>
      <c r="C61" s="73">
        <v>46</v>
      </c>
      <c r="D61" s="74">
        <f t="shared" si="7"/>
        <v>108</v>
      </c>
      <c r="E61" s="74">
        <f t="shared" si="0"/>
        <v>4</v>
      </c>
      <c r="F61" s="60">
        <f t="shared" si="3"/>
        <v>68.099999999999994</v>
      </c>
      <c r="G61" s="61">
        <f>IF(D61=D60,"",_xlfn.IFNA(VLOOKUP(D61,'인원 입력 기능(국수)'!$F$5:$I$103,4,FALSE),0))</f>
        <v>3239</v>
      </c>
      <c r="H61" s="62">
        <f t="shared" si="4"/>
        <v>1.0075652942127988E-2</v>
      </c>
      <c r="I61" s="75">
        <f>SUM($G$7:G61)</f>
        <v>104183</v>
      </c>
      <c r="J61" s="64">
        <f t="shared" si="5"/>
        <v>0.32408513444573023</v>
      </c>
      <c r="K61" s="31"/>
      <c r="L61" s="20" t="str">
        <f t="shared" si="6"/>
        <v/>
      </c>
      <c r="N61" s="1"/>
    </row>
    <row r="62" spans="1:14" ht="25" customHeight="1" x14ac:dyDescent="0.45">
      <c r="A62" s="5"/>
      <c r="B62" s="30"/>
      <c r="C62" s="73">
        <v>45</v>
      </c>
      <c r="D62" s="74">
        <f t="shared" si="7"/>
        <v>107</v>
      </c>
      <c r="E62" s="74">
        <f t="shared" si="0"/>
        <v>4</v>
      </c>
      <c r="F62" s="60">
        <f t="shared" si="3"/>
        <v>67.05</v>
      </c>
      <c r="G62" s="61">
        <f>IF(D62=D61,"",_xlfn.IFNA(VLOOKUP(D62,'인원 입력 기능(국수)'!$F$5:$I$103,4,FALSE),0))</f>
        <v>3472</v>
      </c>
      <c r="H62" s="62">
        <f t="shared" si="4"/>
        <v>1.0800452922219319E-2</v>
      </c>
      <c r="I62" s="75">
        <f>SUM($G$7:G62)</f>
        <v>107655</v>
      </c>
      <c r="J62" s="64">
        <f t="shared" si="5"/>
        <v>0.33488558736794954</v>
      </c>
      <c r="K62" s="31"/>
      <c r="L62" s="20" t="str">
        <f t="shared" si="6"/>
        <v/>
      </c>
      <c r="N62" s="1"/>
    </row>
    <row r="63" spans="1:14" ht="25" customHeight="1" x14ac:dyDescent="0.45">
      <c r="A63" s="5"/>
      <c r="B63" s="30"/>
      <c r="C63" s="73">
        <v>44</v>
      </c>
      <c r="D63" s="74">
        <f t="shared" si="7"/>
        <v>106</v>
      </c>
      <c r="E63" s="74">
        <f t="shared" si="0"/>
        <v>4</v>
      </c>
      <c r="F63" s="60">
        <f t="shared" si="3"/>
        <v>65.73</v>
      </c>
      <c r="G63" s="61">
        <f>IF(D63=D62,"",_xlfn.IFNA(VLOOKUP(D63,'인원 입력 기능(국수)'!$F$5:$I$103,4,FALSE),0))</f>
        <v>5025</v>
      </c>
      <c r="H63" s="62">
        <f t="shared" si="4"/>
        <v>1.5631415879652097E-2</v>
      </c>
      <c r="I63" s="75">
        <f>SUM($G$7:G63)</f>
        <v>112680</v>
      </c>
      <c r="J63" s="64">
        <f t="shared" si="5"/>
        <v>0.35051700324760166</v>
      </c>
      <c r="K63" s="31"/>
      <c r="L63" s="20" t="str">
        <f t="shared" si="6"/>
        <v/>
      </c>
      <c r="N63" s="1"/>
    </row>
    <row r="64" spans="1:14" ht="25" customHeight="1" x14ac:dyDescent="0.45">
      <c r="A64" s="5"/>
      <c r="B64" s="30"/>
      <c r="C64" s="73">
        <v>43</v>
      </c>
      <c r="D64" s="74">
        <f t="shared" si="7"/>
        <v>105</v>
      </c>
      <c r="E64" s="74">
        <f t="shared" si="0"/>
        <v>4</v>
      </c>
      <c r="F64" s="60">
        <f t="shared" si="3"/>
        <v>64.39</v>
      </c>
      <c r="G64" s="61">
        <f>IF(D64=D63,"",_xlfn.IFNA(VLOOKUP(D64,'인원 입력 기능(국수)'!$F$5:$I$103,4,FALSE),0))</f>
        <v>3575</v>
      </c>
      <c r="H64" s="62">
        <f t="shared" si="4"/>
        <v>1.1120858063633084E-2</v>
      </c>
      <c r="I64" s="75">
        <f>SUM($G$7:G64)</f>
        <v>116255</v>
      </c>
      <c r="J64" s="64">
        <f t="shared" si="5"/>
        <v>0.36163786131123471</v>
      </c>
      <c r="K64" s="31"/>
      <c r="L64" s="20" t="str">
        <f t="shared" si="6"/>
        <v/>
      </c>
      <c r="N64" s="1"/>
    </row>
    <row r="65" spans="1:14" ht="25" customHeight="1" x14ac:dyDescent="0.45">
      <c r="A65" s="5"/>
      <c r="B65" s="30"/>
      <c r="C65" s="73">
        <v>42</v>
      </c>
      <c r="D65" s="74">
        <f t="shared" si="7"/>
        <v>104</v>
      </c>
      <c r="E65" s="74">
        <f t="shared" si="0"/>
        <v>4</v>
      </c>
      <c r="F65" s="60">
        <f t="shared" si="3"/>
        <v>63.29</v>
      </c>
      <c r="G65" s="61">
        <f>IF(D65=D64,"",_xlfn.IFNA(VLOOKUP(D65,'인원 입력 기능(국수)'!$F$5:$I$103,4,FALSE),0))</f>
        <v>3496</v>
      </c>
      <c r="H65" s="62">
        <f t="shared" si="4"/>
        <v>1.0875110430898255E-2</v>
      </c>
      <c r="I65" s="75">
        <f>SUM($G$7:G65)</f>
        <v>119751</v>
      </c>
      <c r="J65" s="64">
        <f t="shared" si="5"/>
        <v>0.37251297174213299</v>
      </c>
      <c r="K65" s="31"/>
      <c r="L65" s="20" t="str">
        <f t="shared" si="6"/>
        <v/>
      </c>
      <c r="N65" s="1"/>
    </row>
    <row r="66" spans="1:14" ht="25" customHeight="1" x14ac:dyDescent="0.45">
      <c r="A66" s="5"/>
      <c r="B66" s="30"/>
      <c r="C66" s="73">
        <v>41</v>
      </c>
      <c r="D66" s="74">
        <f t="shared" si="7"/>
        <v>103</v>
      </c>
      <c r="E66" s="74">
        <f t="shared" si="0"/>
        <v>4</v>
      </c>
      <c r="F66" s="60">
        <f t="shared" si="3"/>
        <v>61.92</v>
      </c>
      <c r="G66" s="61">
        <f>IF(D66=D65,"",_xlfn.IFNA(VLOOKUP(D66,'인원 입력 기능(국수)'!$F$5:$I$103,4,FALSE),0))</f>
        <v>5354</v>
      </c>
      <c r="H66" s="62">
        <f t="shared" si="4"/>
        <v>1.6654845894459168E-2</v>
      </c>
      <c r="I66" s="75">
        <f>SUM($G$7:G66)</f>
        <v>125105</v>
      </c>
      <c r="J66" s="64">
        <f t="shared" si="5"/>
        <v>0.38916781763659214</v>
      </c>
      <c r="K66" s="31"/>
      <c r="L66" s="20" t="str">
        <f t="shared" si="6"/>
        <v/>
      </c>
      <c r="N66" s="1"/>
    </row>
    <row r="67" spans="1:14" ht="25" customHeight="1" x14ac:dyDescent="0.45">
      <c r="A67" s="5"/>
      <c r="B67" s="30"/>
      <c r="C67" s="73">
        <v>40</v>
      </c>
      <c r="D67" s="74">
        <f t="shared" si="7"/>
        <v>102</v>
      </c>
      <c r="E67" s="74">
        <f t="shared" si="0"/>
        <v>4</v>
      </c>
      <c r="F67" s="60">
        <f t="shared" si="3"/>
        <v>60.46</v>
      </c>
      <c r="G67" s="61">
        <f>IF(D67=D66,"",_xlfn.IFNA(VLOOKUP(D67,'인원 입력 기능(국수)'!$F$5:$I$103,4,FALSE),0))</f>
        <v>3996</v>
      </c>
      <c r="H67" s="62">
        <f t="shared" si="4"/>
        <v>1.2430475195042742E-2</v>
      </c>
      <c r="I67" s="75">
        <f>SUM($G$7:G67)</f>
        <v>129101</v>
      </c>
      <c r="J67" s="64">
        <f t="shared" si="5"/>
        <v>0.4015982928316349</v>
      </c>
      <c r="K67" s="31"/>
      <c r="L67" s="20" t="str">
        <f t="shared" si="6"/>
        <v/>
      </c>
      <c r="N67" s="1"/>
    </row>
    <row r="68" spans="1:14" ht="25" customHeight="1" x14ac:dyDescent="0.45">
      <c r="A68" s="5"/>
      <c r="B68" s="30"/>
      <c r="C68" s="73">
        <v>39</v>
      </c>
      <c r="D68" s="204">
        <f t="shared" si="7"/>
        <v>101</v>
      </c>
      <c r="E68" s="204">
        <f t="shared" si="0"/>
        <v>5</v>
      </c>
      <c r="F68" s="206">
        <f t="shared" si="3"/>
        <v>58.37</v>
      </c>
      <c r="G68" s="208">
        <f>IF(D68=D67,"",_xlfn.IFNA(VLOOKUP(D68,'인원 입력 기능(국수)'!$F$5:$I$103,4,FALSE),0))</f>
        <v>9483</v>
      </c>
      <c r="H68" s="210">
        <f t="shared" si="4"/>
        <v>2.9499048116764345E-2</v>
      </c>
      <c r="I68" s="198">
        <f>SUM($G$7:G68)</f>
        <v>138584</v>
      </c>
      <c r="J68" s="200">
        <f t="shared" si="5"/>
        <v>0.43109734094839924</v>
      </c>
      <c r="K68" s="31"/>
      <c r="L68" s="20" t="str">
        <f t="shared" si="6"/>
        <v/>
      </c>
      <c r="N68" s="1"/>
    </row>
    <row r="69" spans="1:14" ht="25" customHeight="1" x14ac:dyDescent="0.45">
      <c r="A69" s="5"/>
      <c r="B69" s="30"/>
      <c r="C69" s="73">
        <v>38</v>
      </c>
      <c r="D69" s="205"/>
      <c r="E69" s="205"/>
      <c r="F69" s="207"/>
      <c r="G69" s="209"/>
      <c r="H69" s="211"/>
      <c r="I69" s="199"/>
      <c r="J69" s="201"/>
      <c r="K69" s="31"/>
      <c r="L69" s="20" t="str">
        <f t="shared" si="6"/>
        <v>경고</v>
      </c>
      <c r="N69" s="1"/>
    </row>
    <row r="70" spans="1:14" ht="25" customHeight="1" x14ac:dyDescent="0.45">
      <c r="A70" s="5"/>
      <c r="B70" s="30"/>
      <c r="C70" s="73">
        <v>37</v>
      </c>
      <c r="D70" s="74">
        <f t="shared" si="7"/>
        <v>100</v>
      </c>
      <c r="E70" s="74">
        <f t="shared" si="0"/>
        <v>5</v>
      </c>
      <c r="F70" s="60">
        <f t="shared" si="3"/>
        <v>56.23</v>
      </c>
      <c r="G70" s="61">
        <f>IF(D70=D69,"",_xlfn.IFNA(VLOOKUP(D70,'인원 입력 기능(국수)'!$F$5:$I$103,4,FALSE),0))</f>
        <v>4231</v>
      </c>
      <c r="H70" s="62">
        <f t="shared" si="4"/>
        <v>1.316149663419065E-2</v>
      </c>
      <c r="I70" s="75">
        <f>SUM($G$7:G70)</f>
        <v>142815</v>
      </c>
      <c r="J70" s="64">
        <f t="shared" si="5"/>
        <v>0.44425883758258988</v>
      </c>
      <c r="K70" s="31"/>
      <c r="L70" s="20" t="str">
        <f t="shared" si="6"/>
        <v/>
      </c>
      <c r="N70" s="1"/>
    </row>
    <row r="71" spans="1:14" ht="25" customHeight="1" x14ac:dyDescent="0.45">
      <c r="A71" s="5"/>
      <c r="B71" s="30"/>
      <c r="C71" s="73">
        <v>36</v>
      </c>
      <c r="D71" s="74">
        <f t="shared" si="7"/>
        <v>99</v>
      </c>
      <c r="E71" s="74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60">
        <f t="shared" si="3"/>
        <v>54.97</v>
      </c>
      <c r="G71" s="61">
        <f>IF(D71=D70,"",_xlfn.IFNA(VLOOKUP(D71,'인원 입력 기능(국수)'!$F$5:$I$103,4,FALSE),0))</f>
        <v>3890</v>
      </c>
      <c r="H71" s="62">
        <f t="shared" si="4"/>
        <v>1.210073786504411E-2</v>
      </c>
      <c r="I71" s="75">
        <f>SUM($G$7:G71)</f>
        <v>146705</v>
      </c>
      <c r="J71" s="64">
        <f t="shared" si="5"/>
        <v>0.456359575447634</v>
      </c>
      <c r="K71" s="31"/>
      <c r="L71" s="20" t="str">
        <f t="shared" si="6"/>
        <v/>
      </c>
      <c r="N71" s="1"/>
    </row>
    <row r="72" spans="1:14" ht="25" customHeight="1" x14ac:dyDescent="0.45">
      <c r="A72" s="5"/>
      <c r="B72" s="30"/>
      <c r="C72" s="73">
        <v>35</v>
      </c>
      <c r="D72" s="74">
        <f t="shared" si="7"/>
        <v>98</v>
      </c>
      <c r="E72" s="74">
        <f t="shared" si="8"/>
        <v>5</v>
      </c>
      <c r="F72" s="60">
        <f t="shared" si="3"/>
        <v>53.4</v>
      </c>
      <c r="G72" s="61">
        <f>IF(D72=D71,"",_xlfn.IFNA(VLOOKUP(D72,'인원 입력 기능(국수)'!$F$5:$I$103,4,FALSE),0))</f>
        <v>6181</v>
      </c>
      <c r="H72" s="62">
        <f t="shared" si="4"/>
        <v>1.9227419214354152E-2</v>
      </c>
      <c r="I72" s="75">
        <f>SUM($G$7:G72)</f>
        <v>152886</v>
      </c>
      <c r="J72" s="64">
        <f t="shared" si="5"/>
        <v>0.47558699466198812</v>
      </c>
      <c r="K72" s="31"/>
      <c r="L72" s="20" t="str">
        <f t="shared" si="6"/>
        <v/>
      </c>
      <c r="N72" s="1"/>
    </row>
    <row r="73" spans="1:14" ht="25" customHeight="1" x14ac:dyDescent="0.45">
      <c r="A73" s="5"/>
      <c r="B73" s="30"/>
      <c r="C73" s="73">
        <v>34</v>
      </c>
      <c r="D73" s="74">
        <f t="shared" ref="D73:D104" si="9">ROUND(20*(C73-$H$3)/$H$4+100,0)</f>
        <v>97</v>
      </c>
      <c r="E73" s="74">
        <f t="shared" si="8"/>
        <v>5</v>
      </c>
      <c r="F73" s="60">
        <f t="shared" si="3"/>
        <v>51.71</v>
      </c>
      <c r="G73" s="61">
        <f>IF(D73=D72,"",_xlfn.IFNA(VLOOKUP(D73,'인원 입력 기능(국수)'!$F$5:$I$103,4,FALSE),0))</f>
        <v>4697</v>
      </c>
      <c r="H73" s="62">
        <f t="shared" si="4"/>
        <v>1.4611096594373313E-2</v>
      </c>
      <c r="I73" s="75">
        <f>SUM($G$7:G73)</f>
        <v>157583</v>
      </c>
      <c r="J73" s="64">
        <f t="shared" si="5"/>
        <v>0.49019809125636143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74">
        <f t="shared" si="9"/>
        <v>96</v>
      </c>
      <c r="E74" s="74">
        <f t="shared" si="8"/>
        <v>5</v>
      </c>
      <c r="F74" s="60">
        <f t="shared" ref="F74:F105" si="11">IF(I73=0,ROUND(100*(1-(I72+I74)/2/$J$3),2),ROUND(100*(1-(I73+I74)/2/$J$3),2))</f>
        <v>50.32</v>
      </c>
      <c r="G74" s="61">
        <f>IF(D74=D73,"",_xlfn.IFNA(VLOOKUP(D74,'인원 입력 기능(국수)'!$F$5:$I$103,4,FALSE),0))</f>
        <v>4246</v>
      </c>
      <c r="H74" s="62">
        <f t="shared" ref="H74:H105" si="12">G74/$J$3</f>
        <v>1.3208157577114984E-2</v>
      </c>
      <c r="I74" s="75">
        <f>SUM($G$7:G74)</f>
        <v>161829</v>
      </c>
      <c r="J74" s="64">
        <f t="shared" ref="J74:J105" si="13">I74/$J$3</f>
        <v>0.5034062488334764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73">
        <v>32</v>
      </c>
      <c r="D75" s="74">
        <f t="shared" si="9"/>
        <v>95</v>
      </c>
      <c r="E75" s="74">
        <f t="shared" si="8"/>
        <v>5</v>
      </c>
      <c r="F75" s="60">
        <f t="shared" si="11"/>
        <v>48.68</v>
      </c>
      <c r="G75" s="61">
        <f>IF(D75=D74,"",_xlfn.IFNA(VLOOKUP(D75,'인원 입력 기능(국수)'!$F$5:$I$103,4,FALSE),0))</f>
        <v>6320</v>
      </c>
      <c r="H75" s="62">
        <f t="shared" si="12"/>
        <v>1.9659810618786317E-2</v>
      </c>
      <c r="I75" s="75">
        <f>SUM($G$7:G75)</f>
        <v>168149</v>
      </c>
      <c r="J75" s="64">
        <f t="shared" si="13"/>
        <v>0.5230660594522627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73">
        <v>31</v>
      </c>
      <c r="D76" s="74">
        <f t="shared" si="9"/>
        <v>94</v>
      </c>
      <c r="E76" s="74">
        <f t="shared" si="8"/>
        <v>5</v>
      </c>
      <c r="F76" s="60">
        <f t="shared" si="11"/>
        <v>46.91</v>
      </c>
      <c r="G76" s="61">
        <f>IF(D76=D75,"",_xlfn.IFNA(VLOOKUP(D76,'인원 입력 기능(국수)'!$F$5:$I$103,4,FALSE),0))</f>
        <v>5067</v>
      </c>
      <c r="H76" s="62">
        <f t="shared" si="12"/>
        <v>1.5762066519840232E-2</v>
      </c>
      <c r="I76" s="75">
        <f>SUM($G$7:G76)</f>
        <v>173216</v>
      </c>
      <c r="J76" s="64">
        <f t="shared" si="13"/>
        <v>0.53882812597210294</v>
      </c>
      <c r="K76" s="31"/>
      <c r="L76" s="20" t="str">
        <f t="shared" si="10"/>
        <v/>
      </c>
      <c r="N76" s="1"/>
    </row>
    <row r="77" spans="1:14" ht="25" customHeight="1" x14ac:dyDescent="0.45">
      <c r="A77" s="5"/>
      <c r="B77" s="30"/>
      <c r="C77" s="73">
        <v>30</v>
      </c>
      <c r="D77" s="74">
        <f t="shared" si="9"/>
        <v>93</v>
      </c>
      <c r="E77" s="74">
        <f t="shared" si="8"/>
        <v>5</v>
      </c>
      <c r="F77" s="60">
        <f t="shared" si="11"/>
        <v>45.37</v>
      </c>
      <c r="G77" s="61">
        <f>IF(D77=D76,"",_xlfn.IFNA(VLOOKUP(D77,'인원 입력 기능(국수)'!$F$5:$I$103,4,FALSE),0))</f>
        <v>4800</v>
      </c>
      <c r="H77" s="62">
        <f t="shared" si="12"/>
        <v>1.4931501735787077E-2</v>
      </c>
      <c r="I77" s="75">
        <f>SUM($G$7:G77)</f>
        <v>178016</v>
      </c>
      <c r="J77" s="64">
        <f t="shared" si="13"/>
        <v>0.55375962770789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73">
        <v>29</v>
      </c>
      <c r="D78" s="74">
        <f t="shared" si="9"/>
        <v>92</v>
      </c>
      <c r="E78" s="74">
        <f t="shared" si="8"/>
        <v>5</v>
      </c>
      <c r="F78" s="60">
        <f t="shared" si="11"/>
        <v>43.66</v>
      </c>
      <c r="G78" s="61">
        <f>IF(D78=D77,"",_xlfn.IFNA(VLOOKUP(D78,'인원 입력 기능(국수)'!$F$5:$I$103,4,FALSE),0))</f>
        <v>6190</v>
      </c>
      <c r="H78" s="62">
        <f t="shared" si="12"/>
        <v>1.925541578010875E-2</v>
      </c>
      <c r="I78" s="75">
        <f>SUM($G$7:G78)</f>
        <v>184206</v>
      </c>
      <c r="J78" s="64">
        <f t="shared" si="13"/>
        <v>0.57301504348799881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73">
        <v>28</v>
      </c>
      <c r="D79" s="74">
        <f t="shared" si="9"/>
        <v>91</v>
      </c>
      <c r="E79" s="74">
        <f t="shared" si="8"/>
        <v>5</v>
      </c>
      <c r="F79" s="60">
        <f t="shared" si="11"/>
        <v>41.9</v>
      </c>
      <c r="G79" s="61">
        <f>IF(D79=D78,"",_xlfn.IFNA(VLOOKUP(D79,'인원 입력 기능(국수)'!$F$5:$I$103,4,FALSE),0))</f>
        <v>5150</v>
      </c>
      <c r="H79" s="62">
        <f t="shared" si="12"/>
        <v>1.6020257070688219E-2</v>
      </c>
      <c r="I79" s="75">
        <f>SUM($G$7:G79)</f>
        <v>189356</v>
      </c>
      <c r="J79" s="64">
        <f t="shared" si="13"/>
        <v>0.58903530055868702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73">
        <v>27</v>
      </c>
      <c r="D80" s="74">
        <f t="shared" si="9"/>
        <v>90</v>
      </c>
      <c r="E80" s="74">
        <f t="shared" si="8"/>
        <v>5</v>
      </c>
      <c r="F80" s="60">
        <f t="shared" si="11"/>
        <v>40.25</v>
      </c>
      <c r="G80" s="61">
        <f>IF(D80=D79,"",_xlfn.IFNA(VLOOKUP(D80,'인원 입력 기능(국수)'!$F$5:$I$103,4,FALSE),0))</f>
        <v>5448</v>
      </c>
      <c r="H80" s="62">
        <f t="shared" si="12"/>
        <v>1.6947254470118332E-2</v>
      </c>
      <c r="I80" s="75">
        <f>SUM($G$7:G80)</f>
        <v>194804</v>
      </c>
      <c r="J80" s="64">
        <f t="shared" si="13"/>
        <v>0.60598255502880538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73">
        <v>26</v>
      </c>
      <c r="D81" s="74">
        <f t="shared" si="9"/>
        <v>89</v>
      </c>
      <c r="E81" s="74">
        <f t="shared" si="8"/>
        <v>6</v>
      </c>
      <c r="F81" s="60">
        <f t="shared" si="11"/>
        <v>38.450000000000003</v>
      </c>
      <c r="G81" s="61">
        <f>IF(D81=D80,"",_xlfn.IFNA(VLOOKUP(D81,'인원 입력 기능(국수)'!$F$5:$I$103,4,FALSE),0))</f>
        <v>6102</v>
      </c>
      <c r="H81" s="62">
        <f t="shared" si="12"/>
        <v>1.8981671581619321E-2</v>
      </c>
      <c r="I81" s="75">
        <f>SUM($G$7:G81)</f>
        <v>200906</v>
      </c>
      <c r="J81" s="64">
        <f t="shared" si="13"/>
        <v>0.62496422661042472</v>
      </c>
      <c r="K81" s="31"/>
      <c r="L81" s="20" t="str">
        <f t="shared" si="10"/>
        <v/>
      </c>
      <c r="N81" s="1"/>
    </row>
    <row r="82" spans="1:14" ht="25" customHeight="1" x14ac:dyDescent="0.45">
      <c r="A82" s="5"/>
      <c r="B82" s="30"/>
      <c r="C82" s="73">
        <v>25</v>
      </c>
      <c r="D82" s="204">
        <f t="shared" si="9"/>
        <v>88</v>
      </c>
      <c r="E82" s="204">
        <f t="shared" si="8"/>
        <v>6</v>
      </c>
      <c r="F82" s="206">
        <f t="shared" si="11"/>
        <v>35.590000000000003</v>
      </c>
      <c r="G82" s="208">
        <f>IF(D82=D81,"",_xlfn.IFNA(VLOOKUP(D82,'인원 입력 기능(국수)'!$F$5:$I$103,4,FALSE),0))</f>
        <v>12297</v>
      </c>
      <c r="H82" s="210">
        <f t="shared" si="12"/>
        <v>3.8252641009369516E-2</v>
      </c>
      <c r="I82" s="198">
        <f>SUM($G$7:G82)</f>
        <v>213203</v>
      </c>
      <c r="J82" s="200">
        <f t="shared" si="13"/>
        <v>0.66321686761979415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73">
        <v>24</v>
      </c>
      <c r="D83" s="205"/>
      <c r="E83" s="205"/>
      <c r="F83" s="207"/>
      <c r="G83" s="209"/>
      <c r="H83" s="211"/>
      <c r="I83" s="199"/>
      <c r="J83" s="201"/>
      <c r="K83" s="31"/>
      <c r="L83" s="20" t="str">
        <f t="shared" si="10"/>
        <v>경고</v>
      </c>
      <c r="N83" s="1"/>
    </row>
    <row r="84" spans="1:14" ht="25" customHeight="1" x14ac:dyDescent="0.45">
      <c r="A84" s="5"/>
      <c r="B84" s="30"/>
      <c r="C84" s="73">
        <v>23</v>
      </c>
      <c r="D84" s="74">
        <f t="shared" si="9"/>
        <v>87</v>
      </c>
      <c r="E84" s="74">
        <f t="shared" si="8"/>
        <v>6</v>
      </c>
      <c r="F84" s="60">
        <f t="shared" si="11"/>
        <v>32.82</v>
      </c>
      <c r="G84" s="61">
        <f>IF(D84=D83,"",_xlfn.IFNA(VLOOKUP(D84,'인원 입력 기능(국수)'!$F$5:$I$103,4,FALSE),0))</f>
        <v>5545</v>
      </c>
      <c r="H84" s="62">
        <f t="shared" si="12"/>
        <v>1.7248995234362362E-2</v>
      </c>
      <c r="I84" s="75">
        <f>SUM($G$7:G84)</f>
        <v>218748</v>
      </c>
      <c r="J84" s="64">
        <f t="shared" si="13"/>
        <v>0.68046586285415656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73">
        <v>22</v>
      </c>
      <c r="D85" s="74">
        <f t="shared" si="9"/>
        <v>86</v>
      </c>
      <c r="E85" s="74">
        <f t="shared" si="8"/>
        <v>6</v>
      </c>
      <c r="F85" s="60">
        <f t="shared" si="11"/>
        <v>31.03</v>
      </c>
      <c r="G85" s="61">
        <f>IF(D85=D84,"",_xlfn.IFNA(VLOOKUP(D85,'인원 입력 기능(국수)'!$F$5:$I$103,4,FALSE),0))</f>
        <v>5937</v>
      </c>
      <c r="H85" s="62">
        <f t="shared" si="12"/>
        <v>1.8468401209451639E-2</v>
      </c>
      <c r="I85" s="75">
        <f>SUM($G$7:G85)</f>
        <v>224685</v>
      </c>
      <c r="J85" s="64">
        <f t="shared" si="13"/>
        <v>0.69893426406360815</v>
      </c>
      <c r="K85" s="31"/>
      <c r="L85" s="20" t="str">
        <f t="shared" si="10"/>
        <v/>
      </c>
      <c r="N85" s="1"/>
    </row>
    <row r="86" spans="1:14" ht="25" customHeight="1" x14ac:dyDescent="0.45">
      <c r="A86" s="5"/>
      <c r="B86" s="30"/>
      <c r="C86" s="73">
        <v>21</v>
      </c>
      <c r="D86" s="74">
        <f t="shared" si="9"/>
        <v>85</v>
      </c>
      <c r="E86" s="74">
        <f t="shared" si="8"/>
        <v>6</v>
      </c>
      <c r="F86" s="60">
        <f t="shared" si="11"/>
        <v>28.99</v>
      </c>
      <c r="G86" s="61">
        <f>IF(D86=D85,"",_xlfn.IFNA(VLOOKUP(D86,'인원 입력 기능(국수)'!$F$5:$I$103,4,FALSE),0))</f>
        <v>7204</v>
      </c>
      <c r="H86" s="62">
        <f t="shared" si="12"/>
        <v>2.2409695521793772E-2</v>
      </c>
      <c r="I86" s="75">
        <f>SUM($G$7:G86)</f>
        <v>231889</v>
      </c>
      <c r="J86" s="64">
        <f t="shared" si="13"/>
        <v>0.72134395958540198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73">
        <v>20</v>
      </c>
      <c r="D87" s="74">
        <f t="shared" si="9"/>
        <v>84</v>
      </c>
      <c r="E87" s="74">
        <f t="shared" si="8"/>
        <v>6</v>
      </c>
      <c r="F87" s="60">
        <f t="shared" si="11"/>
        <v>26.81</v>
      </c>
      <c r="G87" s="61">
        <f>IF(D87=D86,"",_xlfn.IFNA(VLOOKUP(D87,'인원 입력 기능(국수)'!$F$5:$I$103,4,FALSE),0))</f>
        <v>6777</v>
      </c>
      <c r="H87" s="62">
        <f t="shared" si="12"/>
        <v>2.1081414013214381E-2</v>
      </c>
      <c r="I87" s="75">
        <f>SUM($G$7:G87)</f>
        <v>238666</v>
      </c>
      <c r="J87" s="64">
        <f t="shared" si="13"/>
        <v>0.74242537359861638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73">
        <v>19</v>
      </c>
      <c r="D88" s="74">
        <f t="shared" si="9"/>
        <v>83</v>
      </c>
      <c r="E88" s="74">
        <f t="shared" si="8"/>
        <v>6</v>
      </c>
      <c r="F88" s="60">
        <f t="shared" si="11"/>
        <v>24.58</v>
      </c>
      <c r="G88" s="61">
        <f>IF(D88=D87,"",_xlfn.IFNA(VLOOKUP(D88,'인원 입력 기능(국수)'!$F$5:$I$103,4,FALSE),0))</f>
        <v>7569</v>
      </c>
      <c r="H88" s="62">
        <f t="shared" si="12"/>
        <v>2.3545111799619246E-2</v>
      </c>
      <c r="I88" s="75">
        <f>SUM($G$7:G88)</f>
        <v>246235</v>
      </c>
      <c r="J88" s="64">
        <f t="shared" si="13"/>
        <v>0.76597048539823565</v>
      </c>
      <c r="K88" s="31"/>
      <c r="L88" s="20" t="str">
        <f t="shared" si="10"/>
        <v/>
      </c>
      <c r="N88" s="1"/>
    </row>
    <row r="89" spans="1:14" ht="25" customHeight="1" x14ac:dyDescent="0.45">
      <c r="A89" s="5"/>
      <c r="B89" s="30"/>
      <c r="C89" s="73">
        <v>18</v>
      </c>
      <c r="D89" s="74">
        <f t="shared" si="9"/>
        <v>82</v>
      </c>
      <c r="E89" s="74">
        <f t="shared" si="8"/>
        <v>6</v>
      </c>
      <c r="F89" s="60">
        <f t="shared" si="11"/>
        <v>22.48</v>
      </c>
      <c r="G89" s="61">
        <f>IF(D89=D88,"",_xlfn.IFNA(VLOOKUP(D89,'인원 입력 기능(국수)'!$F$5:$I$103,4,FALSE),0))</f>
        <v>5958</v>
      </c>
      <c r="H89" s="62">
        <f t="shared" si="12"/>
        <v>1.853372652954571E-2</v>
      </c>
      <c r="I89" s="75">
        <f>SUM($G$7:G89)</f>
        <v>252193</v>
      </c>
      <c r="J89" s="64">
        <f t="shared" si="13"/>
        <v>0.7845042119277813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73">
        <v>17</v>
      </c>
      <c r="D90" s="74">
        <f t="shared" si="9"/>
        <v>81</v>
      </c>
      <c r="E90" s="74">
        <f t="shared" si="8"/>
        <v>7</v>
      </c>
      <c r="F90" s="60">
        <f t="shared" si="11"/>
        <v>18.78</v>
      </c>
      <c r="G90" s="61">
        <f>IF(D90=D89,"",_xlfn.IFNA(VLOOKUP(D90,'인원 입력 기능(국수)'!$F$5:$I$103,4,FALSE),0))</f>
        <v>17779</v>
      </c>
      <c r="H90" s="62">
        <f t="shared" si="12"/>
        <v>5.5305660283449673E-2</v>
      </c>
      <c r="I90" s="75">
        <f>SUM($G$7:G90)</f>
        <v>269972</v>
      </c>
      <c r="J90" s="64">
        <f t="shared" si="13"/>
        <v>0.83980987221123093</v>
      </c>
      <c r="K90" s="31"/>
      <c r="L90" s="20" t="str">
        <f t="shared" si="10"/>
        <v/>
      </c>
      <c r="N90" s="1"/>
    </row>
    <row r="91" spans="1:14" ht="25" customHeight="1" x14ac:dyDescent="0.45">
      <c r="A91" s="5"/>
      <c r="B91" s="30"/>
      <c r="C91" s="73">
        <v>16</v>
      </c>
      <c r="D91" s="74">
        <f t="shared" si="9"/>
        <v>80</v>
      </c>
      <c r="E91" s="74">
        <f t="shared" si="8"/>
        <v>7</v>
      </c>
      <c r="F91" s="60">
        <f t="shared" si="11"/>
        <v>14.03</v>
      </c>
      <c r="G91" s="61">
        <f>IF(D91=D90,"",_xlfn.IFNA(VLOOKUP(D91,'인원 입력 기능(국수)'!$F$5:$I$103,4,FALSE),0))</f>
        <v>12819</v>
      </c>
      <c r="H91" s="62">
        <f t="shared" si="12"/>
        <v>3.9876441823136363E-2</v>
      </c>
      <c r="I91" s="75">
        <f>SUM($G$7:G91)</f>
        <v>282791</v>
      </c>
      <c r="J91" s="64">
        <f t="shared" si="13"/>
        <v>0.87968631403436737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73">
        <v>15</v>
      </c>
      <c r="D92" s="74">
        <f t="shared" si="9"/>
        <v>79</v>
      </c>
      <c r="E92" s="74">
        <f t="shared" si="8"/>
        <v>7</v>
      </c>
      <c r="F92" s="60">
        <f t="shared" si="11"/>
        <v>11.37</v>
      </c>
      <c r="G92" s="61">
        <f>IF(D92=D91,"",_xlfn.IFNA(VLOOKUP(D92,'인원 입력 기능(국수)'!$F$5:$I$103,4,FALSE),0))</f>
        <v>4226</v>
      </c>
      <c r="H92" s="62">
        <f t="shared" si="12"/>
        <v>1.3145942986549206E-2</v>
      </c>
      <c r="I92" s="75">
        <f>SUM($G$7:G92)</f>
        <v>287017</v>
      </c>
      <c r="J92" s="64">
        <f t="shared" si="13"/>
        <v>0.89283225702091651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73">
        <v>14</v>
      </c>
      <c r="D93" s="74">
        <f t="shared" si="9"/>
        <v>78</v>
      </c>
      <c r="E93" s="74">
        <f t="shared" si="8"/>
        <v>8</v>
      </c>
      <c r="F93" s="60">
        <f t="shared" si="11"/>
        <v>9.6300000000000008</v>
      </c>
      <c r="G93" s="61">
        <f>IF(D93=D92,"",_xlfn.IFNA(VLOOKUP(D93,'인원 입력 기능(국수)'!$F$5:$I$103,4,FALSE),0))</f>
        <v>6980</v>
      </c>
      <c r="H93" s="62">
        <f t="shared" si="12"/>
        <v>2.1712892107457041E-2</v>
      </c>
      <c r="I93" s="75">
        <f>SUM($G$7:G93)</f>
        <v>293997</v>
      </c>
      <c r="J93" s="64">
        <f t="shared" si="13"/>
        <v>0.91454514912837359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73">
        <v>13</v>
      </c>
      <c r="D94" s="74">
        <f t="shared" si="9"/>
        <v>77</v>
      </c>
      <c r="E94" s="74">
        <f t="shared" si="8"/>
        <v>8</v>
      </c>
      <c r="F94" s="60">
        <f t="shared" si="11"/>
        <v>7.56</v>
      </c>
      <c r="G94" s="61">
        <f>IF(D94=D93,"",_xlfn.IFNA(VLOOKUP(D94,'인원 입력 기능(국수)'!$F$5:$I$103,4,FALSE),0))</f>
        <v>6350</v>
      </c>
      <c r="H94" s="62">
        <f t="shared" si="12"/>
        <v>1.9753132504634986E-2</v>
      </c>
      <c r="I94" s="75">
        <f>SUM($G$7:G94)</f>
        <v>300347</v>
      </c>
      <c r="J94" s="64">
        <f t="shared" si="13"/>
        <v>0.93429828163300854</v>
      </c>
      <c r="K94" s="31"/>
      <c r="L94" s="20" t="str">
        <f t="shared" si="10"/>
        <v/>
      </c>
      <c r="N94" s="1"/>
    </row>
    <row r="95" spans="1:14" ht="25" customHeight="1" x14ac:dyDescent="0.45">
      <c r="A95" s="5"/>
      <c r="B95" s="30"/>
      <c r="C95" s="73">
        <v>12</v>
      </c>
      <c r="D95" s="74">
        <f t="shared" si="9"/>
        <v>76</v>
      </c>
      <c r="E95" s="74">
        <f t="shared" si="8"/>
        <v>8</v>
      </c>
      <c r="F95" s="60">
        <f t="shared" si="11"/>
        <v>6.11</v>
      </c>
      <c r="G95" s="61">
        <f>IF(D95=D94,"",_xlfn.IFNA(VLOOKUP(D95,'인원 입력 기능(국수)'!$F$5:$I$103,4,FALSE),0))</f>
        <v>2971</v>
      </c>
      <c r="H95" s="62">
        <f t="shared" si="12"/>
        <v>9.2419774285465422E-3</v>
      </c>
      <c r="I95" s="75">
        <f>SUM($G$7:G95)</f>
        <v>303318</v>
      </c>
      <c r="J95" s="64">
        <f t="shared" si="13"/>
        <v>0.94354025906155514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73">
        <v>11</v>
      </c>
      <c r="D96" s="204">
        <f t="shared" si="9"/>
        <v>75</v>
      </c>
      <c r="E96" s="204">
        <f t="shared" si="8"/>
        <v>8</v>
      </c>
      <c r="F96" s="206">
        <f t="shared" si="11"/>
        <v>4.67</v>
      </c>
      <c r="G96" s="208">
        <f>IF(D96=D95,"",_xlfn.IFNA(VLOOKUP(D96,'인원 입력 기능(국수)'!$F$5:$I$103,4,FALSE),0))</f>
        <v>6303</v>
      </c>
      <c r="H96" s="210">
        <f t="shared" si="12"/>
        <v>1.9606928216805406E-2</v>
      </c>
      <c r="I96" s="198">
        <f>SUM($G$7:G96)</f>
        <v>309621</v>
      </c>
      <c r="J96" s="200">
        <f t="shared" si="13"/>
        <v>0.96314718727836057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73">
        <v>10</v>
      </c>
      <c r="D97" s="205"/>
      <c r="E97" s="205"/>
      <c r="F97" s="207"/>
      <c r="G97" s="209"/>
      <c r="H97" s="211"/>
      <c r="I97" s="199"/>
      <c r="J97" s="201"/>
      <c r="K97" s="31"/>
      <c r="L97" s="20" t="str">
        <f t="shared" si="10"/>
        <v>경고</v>
      </c>
      <c r="N97" s="1"/>
    </row>
    <row r="98" spans="1:14" ht="25" customHeight="1" x14ac:dyDescent="0.45">
      <c r="A98" s="5"/>
      <c r="B98" s="30"/>
      <c r="C98" s="73">
        <v>9</v>
      </c>
      <c r="D98" s="74">
        <f t="shared" si="9"/>
        <v>74</v>
      </c>
      <c r="E98" s="74">
        <f t="shared" si="8"/>
        <v>9</v>
      </c>
      <c r="F98" s="60">
        <f t="shared" si="11"/>
        <v>3.35</v>
      </c>
      <c r="G98" s="61">
        <f>IF(D98=D97,"",_xlfn.IFNA(VLOOKUP(D98,'인원 입력 기능(국수)'!$F$5:$I$103,4,FALSE),0))</f>
        <v>2176</v>
      </c>
      <c r="H98" s="62">
        <f t="shared" si="12"/>
        <v>6.7689474535568084E-3</v>
      </c>
      <c r="I98" s="75">
        <f>SUM($G$7:G98)</f>
        <v>311797</v>
      </c>
      <c r="J98" s="64">
        <f t="shared" si="13"/>
        <v>0.96991613473191729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73">
        <v>8</v>
      </c>
      <c r="D99" s="74">
        <f t="shared" si="9"/>
        <v>73</v>
      </c>
      <c r="E99" s="74">
        <f t="shared" si="8"/>
        <v>9</v>
      </c>
      <c r="F99" s="60">
        <f t="shared" si="11"/>
        <v>2.61</v>
      </c>
      <c r="G99" s="61">
        <f>IF(D99=D98,"",_xlfn.IFNA(VLOOKUP(D99,'인원 입력 기능(국수)'!$F$5:$I$103,4,FALSE),0))</f>
        <v>2554</v>
      </c>
      <c r="H99" s="62">
        <f t="shared" si="12"/>
        <v>7.9448032152500403E-3</v>
      </c>
      <c r="I99" s="75">
        <f>SUM($G$7:G99)</f>
        <v>314351</v>
      </c>
      <c r="J99" s="64">
        <f t="shared" si="13"/>
        <v>0.97786093794716733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73">
        <v>7</v>
      </c>
      <c r="D100" s="74">
        <f t="shared" si="9"/>
        <v>72</v>
      </c>
      <c r="E100" s="74">
        <f t="shared" si="8"/>
        <v>9</v>
      </c>
      <c r="F100" s="60">
        <f t="shared" si="11"/>
        <v>1.94</v>
      </c>
      <c r="G100" s="61">
        <f>IF(D100=D99,"",_xlfn.IFNA(VLOOKUP(D100,'인원 입력 기능(국수)'!$F$5:$I$103,4,FALSE),0))</f>
        <v>1770</v>
      </c>
      <c r="H100" s="62">
        <f t="shared" si="12"/>
        <v>5.5059912650714847E-3</v>
      </c>
      <c r="I100" s="75">
        <f>SUM($G$7:G100)</f>
        <v>316121</v>
      </c>
      <c r="J100" s="64">
        <f t="shared" si="13"/>
        <v>0.98336692921223889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9"/>
        <v>71</v>
      </c>
      <c r="E101" s="74">
        <f t="shared" si="8"/>
        <v>9</v>
      </c>
      <c r="F101" s="60">
        <f t="shared" si="11"/>
        <v>1.48</v>
      </c>
      <c r="G101" s="61">
        <f>IF(D101=D100,"",_xlfn.IFNA(VLOOKUP(D101,'인원 입력 기능(국수)'!$F$5:$I$103,4,FALSE),0))</f>
        <v>1187</v>
      </c>
      <c r="H101" s="62">
        <f t="shared" si="12"/>
        <v>3.6924359500790124E-3</v>
      </c>
      <c r="I101" s="72">
        <f>SUM($G$7:G101)</f>
        <v>317308</v>
      </c>
      <c r="J101" s="64">
        <f t="shared" si="13"/>
        <v>0.98705936516231785</v>
      </c>
      <c r="K101" s="31"/>
      <c r="L101" s="20" t="str">
        <f t="shared" si="10"/>
        <v/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9"/>
        <v>70</v>
      </c>
      <c r="E102" s="74">
        <f t="shared" si="8"/>
        <v>9</v>
      </c>
      <c r="F102" s="60">
        <f t="shared" si="11"/>
        <v>1.21</v>
      </c>
      <c r="G102" s="61">
        <f>IF(D102=D101,"",_xlfn.IFNA(VLOOKUP(D102,'인원 입력 기능(국수)'!$F$5:$I$103,4,FALSE),0))</f>
        <v>561</v>
      </c>
      <c r="H102" s="62">
        <f t="shared" si="12"/>
        <v>1.7451192653701146E-3</v>
      </c>
      <c r="I102" s="72">
        <f>SUM($G$7:G102)</f>
        <v>317869</v>
      </c>
      <c r="J102" s="64">
        <f t="shared" si="13"/>
        <v>0.98880448442768798</v>
      </c>
      <c r="K102" s="31"/>
      <c r="L102" s="20" t="str">
        <f t="shared" si="10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9"/>
        <v>69</v>
      </c>
      <c r="E103" s="74">
        <f t="shared" si="8"/>
        <v>9</v>
      </c>
      <c r="F103" s="60">
        <f t="shared" si="11"/>
        <v>1.04</v>
      </c>
      <c r="G103" s="61">
        <f>IF(D103=D102,"",_xlfn.IFNA(VLOOKUP(D103,'인원 입력 기능(국수)'!$F$5:$I$103,4,FALSE),0))</f>
        <v>516</v>
      </c>
      <c r="H103" s="62">
        <f t="shared" si="12"/>
        <v>1.6051364365971107E-3</v>
      </c>
      <c r="I103" s="72">
        <f>SUM($G$7:G103)</f>
        <v>318385</v>
      </c>
      <c r="J103" s="64">
        <f t="shared" si="13"/>
        <v>0.99040962086428508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9"/>
        <v>68</v>
      </c>
      <c r="E104" s="59">
        <f t="shared" si="8"/>
        <v>9</v>
      </c>
      <c r="F104" s="60">
        <f t="shared" si="11"/>
        <v>0.87</v>
      </c>
      <c r="G104" s="61">
        <f>IF(D104=D103,"",_xlfn.IFNA(VLOOKUP(D104,'인원 입력 기능(국수)'!$F$5:$I$103,4,FALSE),0))</f>
        <v>595</v>
      </c>
      <c r="H104" s="62">
        <f t="shared" si="12"/>
        <v>1.8508840693319398E-3</v>
      </c>
      <c r="I104" s="72">
        <f>SUM($G$7:G104)</f>
        <v>318980</v>
      </c>
      <c r="J104" s="64">
        <f t="shared" si="13"/>
        <v>0.99226050493361706</v>
      </c>
      <c r="K104" s="31"/>
      <c r="L104" s="20" t="str">
        <f t="shared" si="10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ref="D105" si="14">ROUND(20*(C105-$H$3)/$H$4+100,0)</f>
        <v>67</v>
      </c>
      <c r="E105" s="59">
        <f t="shared" si="8"/>
        <v>9</v>
      </c>
      <c r="F105" s="60">
        <f t="shared" si="11"/>
        <v>0.74</v>
      </c>
      <c r="G105" s="61">
        <f>IF(D105=D104,"",_xlfn.IFNA(VLOOKUP(D105,'인원 입력 기능(국수)'!$F$5:$I$103,4,FALSE),0))</f>
        <v>227</v>
      </c>
      <c r="H105" s="62">
        <f t="shared" si="12"/>
        <v>7.0613560292159718E-4</v>
      </c>
      <c r="I105" s="72">
        <f>SUM($G$7:G105)</f>
        <v>319207</v>
      </c>
      <c r="J105" s="64">
        <f t="shared" si="13"/>
        <v>0.9929666405365386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65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0.35</v>
      </c>
      <c r="G107" s="80">
        <f>_xlfn.IFNA(VLOOKUP(D107,'인원 입력 기능(국수)'!$F$5:$I$103,4,FALSE),0)</f>
        <v>2261</v>
      </c>
      <c r="H107" s="81">
        <f>G107/$J$3</f>
        <v>7.0333594634613712E-3</v>
      </c>
      <c r="I107" s="82">
        <f>SUM($G$7:G107)</f>
        <v>321468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52"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  <mergeCell ref="I26:I27"/>
    <mergeCell ref="J26:J27"/>
    <mergeCell ref="D40:D41"/>
    <mergeCell ref="E40:E41"/>
    <mergeCell ref="F40:F41"/>
    <mergeCell ref="G40:G41"/>
    <mergeCell ref="H40:H41"/>
    <mergeCell ref="I40:I41"/>
    <mergeCell ref="J40:J41"/>
    <mergeCell ref="D26:D27"/>
    <mergeCell ref="E26:E27"/>
    <mergeCell ref="F26:F27"/>
    <mergeCell ref="G26:G27"/>
    <mergeCell ref="H26:H27"/>
    <mergeCell ref="I54:I55"/>
    <mergeCell ref="J54:J55"/>
    <mergeCell ref="D68:D69"/>
    <mergeCell ref="E68:E69"/>
    <mergeCell ref="F68:F69"/>
    <mergeCell ref="G68:G69"/>
    <mergeCell ref="H68:H69"/>
    <mergeCell ref="I68:I69"/>
    <mergeCell ref="J68:J69"/>
    <mergeCell ref="D54:D55"/>
    <mergeCell ref="E54:E55"/>
    <mergeCell ref="F54:F55"/>
    <mergeCell ref="G54:G55"/>
    <mergeCell ref="H54:H55"/>
    <mergeCell ref="I82:I83"/>
    <mergeCell ref="J82:J83"/>
    <mergeCell ref="D96:D97"/>
    <mergeCell ref="E96:E97"/>
    <mergeCell ref="F96:F97"/>
    <mergeCell ref="G96:G97"/>
    <mergeCell ref="H96:H97"/>
    <mergeCell ref="I96:I97"/>
    <mergeCell ref="J96:J97"/>
    <mergeCell ref="D82:D83"/>
    <mergeCell ref="E82:E83"/>
    <mergeCell ref="F82:F83"/>
    <mergeCell ref="G82:G83"/>
    <mergeCell ref="H82:H83"/>
  </mergeCells>
  <phoneticPr fontId="1" type="noConversion"/>
  <conditionalFormatting sqref="D7:G11 I7:J11 D13:G26 I13:J26 D28:G40 I28:J40 D42:G54 I42:J54 D56:G68 I56:J68 D70:G82 I70:J82 D84:G96 I84:J96 D98:G107 I98:J107">
    <cfRule type="expression" dxfId="56" priority="4">
      <formula>OR($D7=$Q$7:$Q$14)</formula>
    </cfRule>
  </conditionalFormatting>
  <conditionalFormatting sqref="C7:C106">
    <cfRule type="expression" dxfId="55" priority="3">
      <formula>OR(AND($D7=0,OR($D6=$Q$7:$Q$14)),AND($D8&gt;0,OR($D7=$Q$7:$Q$14)))</formula>
    </cfRule>
  </conditionalFormatting>
  <conditionalFormatting sqref="D7:D11 D13:D26 D28:D40 D42:D54 D56:D68 D70:D82 D84:D96 D98:D106">
    <cfRule type="expression" dxfId="54" priority="2">
      <formula>$D7=$D8</formula>
    </cfRule>
  </conditionalFormatting>
  <conditionalFormatting sqref="H7:H11 H13:H26 H28:H40 H42:H54 H56:H68 H70:H82 H84:H96 H98:H107">
    <cfRule type="expression" dxfId="53" priority="1">
      <formula>OR($D7=$Q$7:$Q$14)</formula>
    </cfRule>
  </conditionalFormatting>
  <conditionalFormatting sqref="C107">
    <cfRule type="expression" dxfId="52" priority="11">
      <formula>OR(AND($D107=0,OR($D106=$Q$7:$Q$14)),AND($D109&gt;0,OR($D107=$Q$7:$Q$14)))</formula>
    </cfRule>
  </conditionalFormatting>
  <conditionalFormatting sqref="D107">
    <cfRule type="expression" dxfId="51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기능'!D6</f>
        <v>55.38</v>
      </c>
      <c r="I3" s="21" t="s">
        <v>70</v>
      </c>
      <c r="J3" s="50">
        <f>'통계 및 응시자 수 입력 기능'!C6</f>
        <v>318686</v>
      </c>
      <c r="K3" s="31"/>
    </row>
    <row r="4" spans="1:12" ht="25" customHeight="1" thickBot="1" x14ac:dyDescent="0.5">
      <c r="A4" s="5"/>
      <c r="B4" s="30"/>
      <c r="C4" s="51" t="s">
        <v>71</v>
      </c>
      <c r="D4" s="215" t="s">
        <v>83</v>
      </c>
      <c r="E4" s="216"/>
      <c r="F4" s="217"/>
      <c r="G4" s="52" t="s">
        <v>73</v>
      </c>
      <c r="H4" s="53">
        <f>'통계 및 응시자 수 입력 기능'!E6</f>
        <v>22.04</v>
      </c>
      <c r="I4" s="218"/>
      <c r="J4" s="219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23"/>
      <c r="J5" s="223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59">
        <v>1</v>
      </c>
      <c r="D7" s="86">
        <v>90</v>
      </c>
      <c r="E7" s="87">
        <f>'표점등급&amp;절평인원 입력 기능'!D22</f>
        <v>16506</v>
      </c>
      <c r="F7" s="88">
        <f>E7/$J$3</f>
        <v>5.1793928820218021E-2</v>
      </c>
      <c r="G7" s="89">
        <f>SUM($E$7:E7)</f>
        <v>16506</v>
      </c>
      <c r="H7" s="90">
        <f>G7/$J$3</f>
        <v>5.1793928820218021E-2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92">
        <v>80</v>
      </c>
      <c r="E8" s="93">
        <f>'표점등급&amp;절평인원 입력 기능'!D23</f>
        <v>31326</v>
      </c>
      <c r="F8" s="94">
        <f t="shared" ref="F8:F15" si="0">E8/$J$3</f>
        <v>9.8297383631537005E-2</v>
      </c>
      <c r="G8" s="95">
        <f>SUM($E$7:E8)</f>
        <v>47832</v>
      </c>
      <c r="H8" s="96">
        <f t="shared" ref="H8:H15" si="1">G8/$J$3</f>
        <v>0.15009131245175503</v>
      </c>
      <c r="I8" s="20"/>
      <c r="J8" s="20"/>
      <c r="K8" s="31"/>
      <c r="L8" s="5"/>
    </row>
    <row r="9" spans="1:12" ht="25" customHeight="1" x14ac:dyDescent="0.45">
      <c r="A9" s="5"/>
      <c r="B9" s="30"/>
      <c r="C9" s="91">
        <v>3</v>
      </c>
      <c r="D9" s="92">
        <v>70</v>
      </c>
      <c r="E9" s="93">
        <f>'표점등급&amp;절평인원 입력 기능'!D24</f>
        <v>46872</v>
      </c>
      <c r="F9" s="94">
        <f t="shared" si="0"/>
        <v>0.14707894290932141</v>
      </c>
      <c r="G9" s="95">
        <f>SUM($E$7:E9)</f>
        <v>94704</v>
      </c>
      <c r="H9" s="96">
        <f t="shared" si="1"/>
        <v>0.29717025536107644</v>
      </c>
      <c r="I9" s="20"/>
      <c r="J9" s="20"/>
      <c r="K9" s="31"/>
      <c r="L9" s="5"/>
    </row>
    <row r="10" spans="1:12" ht="25" customHeight="1" x14ac:dyDescent="0.45">
      <c r="A10" s="5"/>
      <c r="B10" s="30"/>
      <c r="C10" s="91">
        <v>4</v>
      </c>
      <c r="D10" s="92">
        <v>60</v>
      </c>
      <c r="E10" s="93">
        <f>'표점등급&amp;절평인원 입력 기능'!D25</f>
        <v>52654</v>
      </c>
      <c r="F10" s="94">
        <f t="shared" si="0"/>
        <v>0.16522219363260388</v>
      </c>
      <c r="G10" s="95">
        <f>SUM($E$7:E10)</f>
        <v>147358</v>
      </c>
      <c r="H10" s="96">
        <f t="shared" si="1"/>
        <v>0.46239244899368032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1">
        <v>5</v>
      </c>
      <c r="D11" s="92">
        <v>50</v>
      </c>
      <c r="E11" s="93">
        <f>'표점등급&amp;절평인원 입력 기능'!D26</f>
        <v>47389</v>
      </c>
      <c r="F11" s="94">
        <f t="shared" si="0"/>
        <v>0.14870122942331951</v>
      </c>
      <c r="G11" s="95">
        <f>SUM($E$7:E11)</f>
        <v>194747</v>
      </c>
      <c r="H11" s="96">
        <f t="shared" si="1"/>
        <v>0.6110936784169998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1">
        <v>6</v>
      </c>
      <c r="D12" s="92">
        <v>40</v>
      </c>
      <c r="E12" s="93">
        <f>'표점등급&amp;절평인원 입력 기능'!D27</f>
        <v>39792</v>
      </c>
      <c r="F12" s="94">
        <f t="shared" si="0"/>
        <v>0.12486271753387347</v>
      </c>
      <c r="G12" s="95">
        <f>SUM($E$7:E12)</f>
        <v>234539</v>
      </c>
      <c r="H12" s="96">
        <f t="shared" si="1"/>
        <v>0.73595639595087325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1">
        <v>7</v>
      </c>
      <c r="D13" s="92">
        <v>30</v>
      </c>
      <c r="E13" s="93">
        <f>'표점등급&amp;절평인원 입력 기능'!D28</f>
        <v>33621</v>
      </c>
      <c r="F13" s="94">
        <f t="shared" si="0"/>
        <v>0.10549882956891737</v>
      </c>
      <c r="G13" s="95">
        <f>SUM($E$7:E13)</f>
        <v>268160</v>
      </c>
      <c r="H13" s="96">
        <f t="shared" si="1"/>
        <v>0.84145522551979068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1">
        <v>8</v>
      </c>
      <c r="D14" s="92">
        <v>20</v>
      </c>
      <c r="E14" s="93">
        <f>'표점등급&amp;절평인원 입력 기능'!D29</f>
        <v>31299</v>
      </c>
      <c r="F14" s="94">
        <f t="shared" si="0"/>
        <v>9.8212660738156057E-2</v>
      </c>
      <c r="G14" s="95">
        <f>SUM($E$7:E14)</f>
        <v>299459</v>
      </c>
      <c r="H14" s="96">
        <f t="shared" si="1"/>
        <v>0.93966788625794673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7">
        <v>9</v>
      </c>
      <c r="D15" s="98">
        <v>0</v>
      </c>
      <c r="E15" s="99">
        <f>'표점등급&amp;절평인원 입력 기능'!D30</f>
        <v>19227</v>
      </c>
      <c r="F15" s="100">
        <f t="shared" si="0"/>
        <v>6.0332113742053307E-2</v>
      </c>
      <c r="G15" s="101">
        <f>SUM($E$7:E15)</f>
        <v>318686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기능'!D7</f>
        <v>24.56</v>
      </c>
      <c r="I3" s="21" t="s">
        <v>70</v>
      </c>
      <c r="J3" s="50">
        <f>'통계 및 응시자 수 입력 기능'!C7</f>
        <v>317095</v>
      </c>
      <c r="K3" s="31"/>
    </row>
    <row r="4" spans="1:12" ht="25" customHeight="1" thickBot="1" x14ac:dyDescent="0.5">
      <c r="A4" s="5"/>
      <c r="B4" s="30"/>
      <c r="C4" s="51" t="s">
        <v>71</v>
      </c>
      <c r="D4" s="215" t="s">
        <v>84</v>
      </c>
      <c r="E4" s="216"/>
      <c r="F4" s="217"/>
      <c r="G4" s="52" t="s">
        <v>73</v>
      </c>
      <c r="H4" s="53">
        <f>'통계 및 응시자 수 입력 기능'!E7</f>
        <v>12.38</v>
      </c>
      <c r="I4" s="218"/>
      <c r="J4" s="219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23"/>
      <c r="J5" s="223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61">
        <v>1</v>
      </c>
      <c r="D7" s="103">
        <v>40</v>
      </c>
      <c r="E7" s="87">
        <f>'표점등급&amp;절평인원 입력 기능'!D31</f>
        <v>47833</v>
      </c>
      <c r="F7" s="88">
        <f>E7/$J$3</f>
        <v>0.1508475378041281</v>
      </c>
      <c r="G7" s="89">
        <f>SUM($E$7:E7)</f>
        <v>47833</v>
      </c>
      <c r="H7" s="90">
        <f>G7/$J$3</f>
        <v>0.1508475378041281</v>
      </c>
      <c r="I7" s="20"/>
      <c r="J7" s="20"/>
      <c r="K7" s="31"/>
      <c r="L7" s="5"/>
    </row>
    <row r="8" spans="1:12" ht="25" customHeight="1" x14ac:dyDescent="0.45">
      <c r="A8" s="5"/>
      <c r="B8" s="30"/>
      <c r="C8" s="153">
        <v>2</v>
      </c>
      <c r="D8" s="105">
        <v>35</v>
      </c>
      <c r="E8" s="93">
        <f>'표점등급&amp;절평인원 입력 기능'!D32</f>
        <v>29821</v>
      </c>
      <c r="F8" s="94">
        <f t="shared" ref="F8:F15" si="0">E8/$J$3</f>
        <v>9.4044371560573325E-2</v>
      </c>
      <c r="G8" s="95">
        <f>SUM($E$7:E8)</f>
        <v>77654</v>
      </c>
      <c r="H8" s="96">
        <f t="shared" ref="H8:H15" si="1">G8/$J$3</f>
        <v>0.24489190936470143</v>
      </c>
      <c r="I8" s="20"/>
      <c r="J8" s="20"/>
      <c r="K8" s="31"/>
      <c r="L8" s="5"/>
    </row>
    <row r="9" spans="1:12" ht="25" customHeight="1" x14ac:dyDescent="0.45">
      <c r="A9" s="5"/>
      <c r="B9" s="30"/>
      <c r="C9" s="104">
        <v>3</v>
      </c>
      <c r="D9" s="105">
        <v>30</v>
      </c>
      <c r="E9" s="93">
        <f>'표점등급&amp;절평인원 입력 기능'!D33</f>
        <v>35444</v>
      </c>
      <c r="F9" s="94">
        <f t="shared" si="0"/>
        <v>0.11177722764471215</v>
      </c>
      <c r="G9" s="95">
        <f>SUM($E$7:E9)</f>
        <v>113098</v>
      </c>
      <c r="H9" s="96">
        <f t="shared" si="1"/>
        <v>0.35666913700941361</v>
      </c>
      <c r="I9" s="20"/>
      <c r="J9" s="20"/>
      <c r="K9" s="31"/>
      <c r="L9" s="5"/>
    </row>
    <row r="10" spans="1:12" ht="25" customHeight="1" x14ac:dyDescent="0.45">
      <c r="A10" s="5"/>
      <c r="B10" s="30"/>
      <c r="C10" s="104">
        <v>4</v>
      </c>
      <c r="D10" s="105">
        <v>25</v>
      </c>
      <c r="E10" s="93">
        <f>'표점등급&amp;절평인원 입력 기능'!D34</f>
        <v>39201</v>
      </c>
      <c r="F10" s="94">
        <f t="shared" si="0"/>
        <v>0.12362541194279317</v>
      </c>
      <c r="G10" s="95">
        <f>SUM($E$7:E10)</f>
        <v>152299</v>
      </c>
      <c r="H10" s="96">
        <f t="shared" si="1"/>
        <v>0.48029454895220675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04">
        <v>5</v>
      </c>
      <c r="D11" s="105">
        <v>20</v>
      </c>
      <c r="E11" s="93">
        <f>'표점등급&amp;절평인원 입력 기능'!D35</f>
        <v>39812</v>
      </c>
      <c r="F11" s="94">
        <f t="shared" si="0"/>
        <v>0.12555227928538765</v>
      </c>
      <c r="G11" s="95">
        <f>SUM($E$7:E11)</f>
        <v>192111</v>
      </c>
      <c r="H11" s="96">
        <f t="shared" si="1"/>
        <v>0.60584682823759439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04">
        <v>6</v>
      </c>
      <c r="D12" s="105">
        <v>15</v>
      </c>
      <c r="E12" s="93">
        <f>'표점등급&amp;절평인원 입력 기능'!D36</f>
        <v>39217</v>
      </c>
      <c r="F12" s="94">
        <f t="shared" si="0"/>
        <v>0.12367587000741102</v>
      </c>
      <c r="G12" s="95">
        <f>SUM($E$7:E12)</f>
        <v>231328</v>
      </c>
      <c r="H12" s="96">
        <f t="shared" si="1"/>
        <v>0.72952269824500549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04">
        <v>7</v>
      </c>
      <c r="D13" s="105">
        <v>10</v>
      </c>
      <c r="E13" s="93">
        <f>'표점등급&amp;절평인원 입력 기능'!D37</f>
        <v>51208</v>
      </c>
      <c r="F13" s="94">
        <f t="shared" si="0"/>
        <v>0.16149103580945773</v>
      </c>
      <c r="G13" s="95">
        <f>SUM($E$7:E13)</f>
        <v>282536</v>
      </c>
      <c r="H13" s="96">
        <f t="shared" si="1"/>
        <v>0.89101373405446316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04">
        <v>8</v>
      </c>
      <c r="D14" s="105">
        <v>5</v>
      </c>
      <c r="E14" s="93">
        <f>'표점등급&amp;절평인원 입력 기능'!D38</f>
        <v>29509</v>
      </c>
      <c r="F14" s="94">
        <f t="shared" si="0"/>
        <v>9.3060439300525086E-2</v>
      </c>
      <c r="G14" s="95">
        <f>SUM($E$7:E14)</f>
        <v>312045</v>
      </c>
      <c r="H14" s="96">
        <f t="shared" si="1"/>
        <v>0.98407417335498826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06">
        <v>9</v>
      </c>
      <c r="D15" s="107">
        <v>0</v>
      </c>
      <c r="E15" s="99">
        <f>'표점등급&amp;절평인원 입력 기능'!D39</f>
        <v>5050</v>
      </c>
      <c r="F15" s="100">
        <f t="shared" si="0"/>
        <v>1.5925826645011746E-2</v>
      </c>
      <c r="G15" s="101">
        <f>SUM($E$7:E15)</f>
        <v>317095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기능'!D8</f>
        <v>21.89</v>
      </c>
      <c r="I3" s="21" t="s">
        <v>70</v>
      </c>
      <c r="J3" s="50">
        <f>'통계 및 응시자 수 입력 기능'!C8</f>
        <v>76657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91</v>
      </c>
      <c r="E4" s="216"/>
      <c r="F4" s="217"/>
      <c r="G4" s="52" t="s">
        <v>73</v>
      </c>
      <c r="H4" s="53">
        <f>'통계 및 응시자 수 입력 기능'!E8</f>
        <v>10.73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</v>
      </c>
      <c r="G7" s="61">
        <f>_xlfn.IFNA(VLOOKUP(D7,'인원 입력 기능(사과탐)'!$A$5:$D$59,4,FALSE),0)</f>
        <v>455</v>
      </c>
      <c r="H7" s="62">
        <f>G7/$J$3</f>
        <v>5.935531001735001E-3</v>
      </c>
      <c r="I7" s="63">
        <f>G7</f>
        <v>455</v>
      </c>
      <c r="J7" s="64">
        <f>I7/$J$3</f>
        <v>5.935531001735001E-3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기능'!C41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74</v>
      </c>
      <c r="E9" s="59">
        <f t="shared" si="0"/>
        <v>1</v>
      </c>
      <c r="F9" s="60">
        <f>IF(I8=0,ROUND(100*(1-(I7+I9)/2/$J$3),2),ROUND(100*(1-(I8+I9)/2/$J$3),2))</f>
        <v>99.23</v>
      </c>
      <c r="G9" s="61">
        <f>_xlfn.IFNA(VLOOKUP(D9,'인원 입력 기능(사과탐)'!$A$5:$D$59,4,FALSE),0)</f>
        <v>264</v>
      </c>
      <c r="H9" s="62">
        <f t="shared" ref="H9:H55" si="1">G9/$J$3</f>
        <v>3.4439124933143745E-3</v>
      </c>
      <c r="I9" s="72">
        <f>SUM($G$7:G9)</f>
        <v>719</v>
      </c>
      <c r="J9" s="64">
        <f>I9/$J$3</f>
        <v>9.379443495049376E-3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73</v>
      </c>
      <c r="E10" s="59">
        <f t="shared" si="0"/>
        <v>1</v>
      </c>
      <c r="F10" s="60">
        <f t="shared" ref="F10:F55" si="4">IF(I9=0,ROUND(100*(1-(I8+I10)/2/$J$3),2),ROUND(100*(1-(I9+I10)/2/$J$3),2))</f>
        <v>98.72</v>
      </c>
      <c r="G10" s="61">
        <f>IF(D10=D9,"",_xlfn.IFNA(VLOOKUP(D10,'인원 입력 기능(사과탐)'!$A$5:$D$59,4,FALSE),0))</f>
        <v>525</v>
      </c>
      <c r="H10" s="62">
        <f t="shared" si="1"/>
        <v>6.8486896173865401E-3</v>
      </c>
      <c r="I10" s="72">
        <f>SUM($G$7:G10)</f>
        <v>1244</v>
      </c>
      <c r="J10" s="64">
        <f t="shared" ref="J10:J55" si="5">I10/$J$3</f>
        <v>1.6228133112435917E-2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기능'!C43</f>
        <v>52</v>
      </c>
    </row>
    <row r="11" spans="1:17" s="22" customFormat="1" ht="25" customHeight="1" x14ac:dyDescent="0.45">
      <c r="A11" s="20"/>
      <c r="B11" s="35"/>
      <c r="C11" s="58">
        <v>46</v>
      </c>
      <c r="D11" s="202">
        <f t="shared" si="3"/>
        <v>72</v>
      </c>
      <c r="E11" s="202">
        <f t="shared" si="0"/>
        <v>1</v>
      </c>
      <c r="F11" s="206">
        <f t="shared" si="4"/>
        <v>97.92</v>
      </c>
      <c r="G11" s="208">
        <f>IF(D11=D10,"",_xlfn.IFNA(VLOOKUP(D11,'인원 입력 기능(사과탐)'!$A$5:$D$59,4,FALSE),0))</f>
        <v>695</v>
      </c>
      <c r="H11" s="210">
        <f t="shared" si="1"/>
        <v>9.0663605411117048E-3</v>
      </c>
      <c r="I11" s="221">
        <f>SUM($G$7:G11)</f>
        <v>1939</v>
      </c>
      <c r="J11" s="200">
        <f t="shared" si="5"/>
        <v>2.529449365354762E-2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45</v>
      </c>
    </row>
    <row r="12" spans="1:17" s="22" customFormat="1" ht="25" customHeight="1" x14ac:dyDescent="0.45">
      <c r="A12" s="20"/>
      <c r="B12" s="35"/>
      <c r="C12" s="65">
        <v>45</v>
      </c>
      <c r="D12" s="203"/>
      <c r="E12" s="203"/>
      <c r="F12" s="207"/>
      <c r="G12" s="209"/>
      <c r="H12" s="211"/>
      <c r="I12" s="222"/>
      <c r="J12" s="201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기능'!C45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71</v>
      </c>
      <c r="E13" s="59">
        <f t="shared" si="0"/>
        <v>1</v>
      </c>
      <c r="F13" s="60">
        <f t="shared" si="4"/>
        <v>97.13</v>
      </c>
      <c r="G13" s="61">
        <f>IF(D13=D12,"",_xlfn.IFNA(VLOOKUP(D13,'인원 입력 기능(사과탐)'!$A$5:$D$59,4,FALSE),0))</f>
        <v>528</v>
      </c>
      <c r="H13" s="62">
        <f t="shared" si="1"/>
        <v>6.887824986628749E-3</v>
      </c>
      <c r="I13" s="72">
        <f>SUM($G$7:G13)</f>
        <v>2467</v>
      </c>
      <c r="J13" s="64">
        <f t="shared" si="5"/>
        <v>3.2182318640176372E-2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70</v>
      </c>
      <c r="E14" s="59">
        <f t="shared" si="0"/>
        <v>1</v>
      </c>
      <c r="F14" s="60">
        <f t="shared" si="4"/>
        <v>96.54</v>
      </c>
      <c r="G14" s="61">
        <f>IF(D14=D13,"",_xlfn.IFNA(VLOOKUP(D14,'인원 입력 기능(사과탐)'!$A$5:$D$59,4,FALSE),0))</f>
        <v>371</v>
      </c>
      <c r="H14" s="62">
        <f t="shared" si="1"/>
        <v>4.8397406629531545E-3</v>
      </c>
      <c r="I14" s="72">
        <f>SUM($G$7:G14)</f>
        <v>2838</v>
      </c>
      <c r="J14" s="64">
        <f t="shared" si="5"/>
        <v>3.7022059303129524E-2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69</v>
      </c>
      <c r="E15" s="59">
        <f t="shared" si="0"/>
        <v>1</v>
      </c>
      <c r="F15" s="60">
        <f t="shared" si="4"/>
        <v>95.77</v>
      </c>
      <c r="G15" s="61">
        <f>IF(D15=D14,"",_xlfn.IFNA(VLOOKUP(D15,'인원 입력 기능(사과탐)'!$A$5:$D$59,4,FALSE),0))</f>
        <v>812</v>
      </c>
      <c r="H15" s="62">
        <f t="shared" si="1"/>
        <v>1.0592639941557848E-2</v>
      </c>
      <c r="I15" s="72">
        <f>SUM($G$7:G15)</f>
        <v>3650</v>
      </c>
      <c r="J15" s="64">
        <f t="shared" si="5"/>
        <v>4.7614699244687371E-2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68</v>
      </c>
      <c r="E16" s="59">
        <f t="shared" si="0"/>
        <v>2</v>
      </c>
      <c r="F16" s="60">
        <f t="shared" si="4"/>
        <v>94.83</v>
      </c>
      <c r="G16" s="61">
        <f>IF(D16=D15,"",_xlfn.IFNA(VLOOKUP(D16,'인원 입력 기능(사과탐)'!$A$5:$D$59,4,FALSE),0))</f>
        <v>620</v>
      </c>
      <c r="H16" s="62">
        <f t="shared" si="1"/>
        <v>8.0879763100564859E-3</v>
      </c>
      <c r="I16" s="72">
        <f>SUM($G$7:G16)</f>
        <v>4270</v>
      </c>
      <c r="J16" s="64">
        <f t="shared" si="5"/>
        <v>5.5702675554743862E-2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67</v>
      </c>
      <c r="E17" s="59">
        <f t="shared" si="0"/>
        <v>2</v>
      </c>
      <c r="F17" s="60">
        <f t="shared" si="4"/>
        <v>93.91</v>
      </c>
      <c r="G17" s="61">
        <f>IF(D17=D16,"",_xlfn.IFNA(VLOOKUP(D17,'인원 입력 기능(사과탐)'!$A$5:$D$59,4,FALSE),0))</f>
        <v>791</v>
      </c>
      <c r="H17" s="62">
        <f t="shared" si="1"/>
        <v>1.0318692356862388E-2</v>
      </c>
      <c r="I17" s="72">
        <f>SUM($G$7:G17)</f>
        <v>5061</v>
      </c>
      <c r="J17" s="64">
        <f t="shared" si="5"/>
        <v>6.6021367911606246E-2</v>
      </c>
      <c r="K17" s="36"/>
      <c r="L17" s="20" t="str">
        <f t="shared" si="2"/>
        <v/>
      </c>
      <c r="N17" s="24"/>
      <c r="Q17" s="24">
        <f>Q7*H3*H4*J3*IFERROR(IF(J57=1, 1, 0), 0)</f>
        <v>1242356948.2401001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66</v>
      </c>
      <c r="E18" s="59">
        <f t="shared" si="0"/>
        <v>2</v>
      </c>
      <c r="F18" s="60">
        <f t="shared" si="4"/>
        <v>92.73</v>
      </c>
      <c r="G18" s="61">
        <f>IF(D18=D17,"",_xlfn.IFNA(VLOOKUP(D18,'인원 입력 기능(사과탐)'!$A$5:$D$59,4,FALSE),0))</f>
        <v>1027</v>
      </c>
      <c r="H18" s="62">
        <f t="shared" si="1"/>
        <v>1.3397341403916145E-2</v>
      </c>
      <c r="I18" s="72">
        <f>SUM($G$7:G18)</f>
        <v>6088</v>
      </c>
      <c r="J18" s="64">
        <f t="shared" si="5"/>
        <v>7.941870931552239E-2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91.54</v>
      </c>
      <c r="G19" s="61">
        <f>IF(D19=D18,"",_xlfn.IFNA(VLOOKUP(D19,'인원 입력 기능(사과탐)'!$A$5:$D$59,4,FALSE),0))</f>
        <v>801</v>
      </c>
      <c r="H19" s="62">
        <f t="shared" si="1"/>
        <v>1.0449143587669749E-2</v>
      </c>
      <c r="I19" s="72">
        <f>SUM($G$7:G19)</f>
        <v>6889</v>
      </c>
      <c r="J19" s="64">
        <f t="shared" si="5"/>
        <v>8.9867852903192144E-2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90.19</v>
      </c>
      <c r="G20" s="61">
        <f>IF(D20=D19,"",_xlfn.IFNA(VLOOKUP(D20,'인원 입력 기능(사과탐)'!$A$5:$D$59,4,FALSE),0))</f>
        <v>1261</v>
      </c>
      <c r="H20" s="62">
        <f t="shared" si="1"/>
        <v>1.6449900204808434E-2</v>
      </c>
      <c r="I20" s="72">
        <f>SUM($G$7:G20)</f>
        <v>8150</v>
      </c>
      <c r="J20" s="64">
        <f t="shared" si="5"/>
        <v>0.10631775310800057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2</v>
      </c>
      <c r="F21" s="60">
        <f t="shared" si="4"/>
        <v>88.53</v>
      </c>
      <c r="G21" s="61">
        <f>IF(D21=D20,"",_xlfn.IFNA(VLOOKUP(D21,'인원 입력 기능(사과탐)'!$A$5:$D$59,4,FALSE),0))</f>
        <v>1282</v>
      </c>
      <c r="H21" s="62">
        <f t="shared" si="1"/>
        <v>1.6723847789503893E-2</v>
      </c>
      <c r="I21" s="72">
        <f>SUM($G$7:G21)</f>
        <v>9432</v>
      </c>
      <c r="J21" s="64">
        <f t="shared" si="5"/>
        <v>0.12304160089750447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86.82</v>
      </c>
      <c r="G22" s="61">
        <f>IF(D22=D21,"",_xlfn.IFNA(VLOOKUP(D22,'인원 입력 기능(사과탐)'!$A$5:$D$59,4,FALSE),0))</f>
        <v>1344</v>
      </c>
      <c r="H22" s="62">
        <f t="shared" si="1"/>
        <v>1.7532645420509543E-2</v>
      </c>
      <c r="I22" s="72">
        <f>SUM($G$7:G22)</f>
        <v>10776</v>
      </c>
      <c r="J22" s="64">
        <f t="shared" si="5"/>
        <v>0.14057424631801402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84.88</v>
      </c>
      <c r="G23" s="61">
        <f>IF(D23=D22,"",_xlfn.IFNA(VLOOKUP(D23,'인원 입력 기능(사과탐)'!$A$5:$D$59,4,FALSE),0))</f>
        <v>1635</v>
      </c>
      <c r="H23" s="62">
        <f t="shared" si="1"/>
        <v>2.1328776237003796E-2</v>
      </c>
      <c r="I23" s="72">
        <f>SUM($G$7:G23)</f>
        <v>12411</v>
      </c>
      <c r="J23" s="64">
        <f t="shared" si="5"/>
        <v>0.16190302255501782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82.87</v>
      </c>
      <c r="G24" s="61">
        <f>IF(D24=D23,"",_xlfn.IFNA(VLOOKUP(D24,'인원 입력 기능(사과탐)'!$A$5:$D$59,4,FALSE),0))</f>
        <v>1434</v>
      </c>
      <c r="H24" s="62">
        <f t="shared" si="1"/>
        <v>1.8706706497775807E-2</v>
      </c>
      <c r="I24" s="72">
        <f>SUM($G$7:G24)</f>
        <v>13845</v>
      </c>
      <c r="J24" s="64">
        <f t="shared" si="5"/>
        <v>0.1806097290527936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80.73</v>
      </c>
      <c r="G25" s="61">
        <f>IF(D25=D24,"",_xlfn.IFNA(VLOOKUP(D25,'인원 입력 기능(사과탐)'!$A$5:$D$59,4,FALSE),0))</f>
        <v>1858</v>
      </c>
      <c r="H25" s="62">
        <f t="shared" si="1"/>
        <v>2.4237838684007983E-2</v>
      </c>
      <c r="I25" s="72">
        <f>SUM($G$7:G25)</f>
        <v>15703</v>
      </c>
      <c r="J25" s="64">
        <f t="shared" si="5"/>
        <v>0.2048475677368016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4">
        <f t="shared" si="3"/>
        <v>58</v>
      </c>
      <c r="E26" s="204">
        <f t="shared" si="0"/>
        <v>3</v>
      </c>
      <c r="F26" s="206">
        <f t="shared" si="4"/>
        <v>77.03</v>
      </c>
      <c r="G26" s="208">
        <f>IF(D26=D25,"",_xlfn.IFNA(VLOOKUP(D26,'인원 입력 기능(사과탐)'!$A$5:$D$59,4,FALSE),0))</f>
        <v>3812</v>
      </c>
      <c r="H26" s="210">
        <f t="shared" si="1"/>
        <v>4.9728009183766651E-2</v>
      </c>
      <c r="I26" s="221">
        <f>SUM($G$7:G26)</f>
        <v>19515</v>
      </c>
      <c r="J26" s="200">
        <f t="shared" si="5"/>
        <v>0.25457557692056826</v>
      </c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05"/>
      <c r="E27" s="205"/>
      <c r="F27" s="207"/>
      <c r="G27" s="209"/>
      <c r="H27" s="211"/>
      <c r="I27" s="222"/>
      <c r="J27" s="201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4</v>
      </c>
      <c r="F28" s="60">
        <f t="shared" si="4"/>
        <v>73.11</v>
      </c>
      <c r="G28" s="61">
        <f>IF(D28=D27,"",_xlfn.IFNA(VLOOKUP(D28,'인원 입력 기능(사과탐)'!$A$5:$D$59,4,FALSE),0))</f>
        <v>2194</v>
      </c>
      <c r="H28" s="62">
        <f t="shared" si="1"/>
        <v>2.8621000039135369E-2</v>
      </c>
      <c r="I28" s="72">
        <f>SUM($G$7:G28)</f>
        <v>21709</v>
      </c>
      <c r="J28" s="64">
        <f t="shared" si="5"/>
        <v>0.28319657695970363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70.42</v>
      </c>
      <c r="G29" s="61">
        <f>IF(D29=D28,"",_xlfn.IFNA(VLOOKUP(D29,'인원 입력 기능(사과탐)'!$A$5:$D$59,4,FALSE),0))</f>
        <v>1937</v>
      </c>
      <c r="H29" s="62">
        <f t="shared" si="1"/>
        <v>2.5268403407386147E-2</v>
      </c>
      <c r="I29" s="72">
        <f>SUM($G$7:G29)</f>
        <v>23646</v>
      </c>
      <c r="J29" s="64">
        <f t="shared" si="5"/>
        <v>0.30846498036708975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67.72</v>
      </c>
      <c r="G30" s="61">
        <f>IF(D30=D29,"",_xlfn.IFNA(VLOOKUP(D30,'인원 입력 기능(사과탐)'!$A$5:$D$59,4,FALSE),0))</f>
        <v>2194</v>
      </c>
      <c r="H30" s="62">
        <f t="shared" si="1"/>
        <v>2.8621000039135369E-2</v>
      </c>
      <c r="I30" s="72">
        <f>SUM($G$7:G30)</f>
        <v>25840</v>
      </c>
      <c r="J30" s="64">
        <f t="shared" si="5"/>
        <v>0.33708598040622512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64.86</v>
      </c>
      <c r="G31" s="61">
        <f>IF(D31=D30,"",_xlfn.IFNA(VLOOKUP(D31,'인원 입력 기능(사과탐)'!$A$5:$D$59,4,FALSE),0))</f>
        <v>2191</v>
      </c>
      <c r="H31" s="62">
        <f t="shared" si="1"/>
        <v>2.858186466989316E-2</v>
      </c>
      <c r="I31" s="72">
        <f>SUM($G$7:G31)</f>
        <v>28031</v>
      </c>
      <c r="J31" s="64">
        <f t="shared" si="5"/>
        <v>0.36566784507611827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61.99</v>
      </c>
      <c r="G32" s="61">
        <f>IF(D32=D31,"",_xlfn.IFNA(VLOOKUP(D32,'인원 입력 기능(사과탐)'!$A$5:$D$59,4,FALSE),0))</f>
        <v>2212</v>
      </c>
      <c r="H32" s="62">
        <f t="shared" si="1"/>
        <v>2.8855812254588623E-2</v>
      </c>
      <c r="I32" s="72">
        <f>SUM($G$7:G32)</f>
        <v>30243</v>
      </c>
      <c r="J32" s="64">
        <f t="shared" si="5"/>
        <v>0.39452365733070693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59.03</v>
      </c>
      <c r="G33" s="61">
        <f>IF(D33=D32,"",_xlfn.IFNA(VLOOKUP(D33,'인원 입력 기능(사과탐)'!$A$5:$D$59,4,FALSE),0))</f>
        <v>2331</v>
      </c>
      <c r="H33" s="62">
        <f t="shared" si="1"/>
        <v>3.0408181901196239E-2</v>
      </c>
      <c r="I33" s="72">
        <f>SUM($G$7:G33)</f>
        <v>32574</v>
      </c>
      <c r="J33" s="64">
        <f t="shared" si="5"/>
        <v>0.42493183923190314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5</v>
      </c>
      <c r="F34" s="60">
        <f t="shared" si="4"/>
        <v>56.12</v>
      </c>
      <c r="G34" s="61">
        <f>IF(D34=D33,"",_xlfn.IFNA(VLOOKUP(D34,'인원 입력 기능(사과탐)'!$A$5:$D$59,4,FALSE),0))</f>
        <v>2119</v>
      </c>
      <c r="H34" s="62">
        <f t="shared" si="1"/>
        <v>2.764261580808015E-2</v>
      </c>
      <c r="I34" s="72">
        <f>SUM($G$7:G34)</f>
        <v>34693</v>
      </c>
      <c r="J34" s="64">
        <f t="shared" si="5"/>
        <v>0.45257445503998328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53.28</v>
      </c>
      <c r="G35" s="61">
        <f>IF(D35=D34,"",_xlfn.IFNA(VLOOKUP(D35,'인원 입력 기능(사과탐)'!$A$5:$D$59,4,FALSE),0))</f>
        <v>2248</v>
      </c>
      <c r="H35" s="62">
        <f t="shared" si="1"/>
        <v>2.9325436685495129E-2</v>
      </c>
      <c r="I35" s="72">
        <f>SUM($G$7:G35)</f>
        <v>36941</v>
      </c>
      <c r="J35" s="64">
        <f t="shared" si="5"/>
        <v>0.48189989172547842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50.36</v>
      </c>
      <c r="G36" s="61">
        <f>IF(D36=D35,"",_xlfn.IFNA(VLOOKUP(D36,'인원 입력 기능(사과탐)'!$A$5:$D$59,4,FALSE),0))</f>
        <v>2228</v>
      </c>
      <c r="H36" s="62">
        <f t="shared" si="1"/>
        <v>2.9064534223880403E-2</v>
      </c>
      <c r="I36" s="72">
        <f>SUM($G$7:G36)</f>
        <v>39169</v>
      </c>
      <c r="J36" s="64">
        <f t="shared" si="5"/>
        <v>0.51096442594935887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47.53</v>
      </c>
      <c r="G37" s="61">
        <f>IF(D37=D36,"",_xlfn.IFNA(VLOOKUP(D37,'인원 입력 기능(사과탐)'!$A$5:$D$59,4,FALSE),0))</f>
        <v>2103</v>
      </c>
      <c r="H37" s="62">
        <f t="shared" si="1"/>
        <v>2.7433893838788369E-2</v>
      </c>
      <c r="I37" s="72">
        <f>SUM($G$7:G37)</f>
        <v>41272</v>
      </c>
      <c r="J37" s="64">
        <f t="shared" si="5"/>
        <v>0.53839831978814723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44.58</v>
      </c>
      <c r="G38" s="61">
        <f>IF(D38=D37,"",_xlfn.IFNA(VLOOKUP(D38,'인원 입력 기능(사과탐)'!$A$5:$D$59,4,FALSE),0))</f>
        <v>2417</v>
      </c>
      <c r="H38" s="62">
        <f t="shared" si="1"/>
        <v>3.1530062486139557E-2</v>
      </c>
      <c r="I38" s="72">
        <f>SUM($G$7:G38)</f>
        <v>43689</v>
      </c>
      <c r="J38" s="64">
        <f t="shared" si="5"/>
        <v>0.56992838227428677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41.62</v>
      </c>
      <c r="G39" s="61">
        <f>IF(D39=D38,"",_xlfn.IFNA(VLOOKUP(D39,'인원 입력 기능(사과탐)'!$A$5:$D$59,4,FALSE),0))</f>
        <v>2122</v>
      </c>
      <c r="H39" s="62">
        <f t="shared" si="1"/>
        <v>2.7681751177322359E-2</v>
      </c>
      <c r="I39" s="72">
        <f>SUM($G$7:G39)</f>
        <v>45811</v>
      </c>
      <c r="J39" s="64">
        <f t="shared" si="5"/>
        <v>0.59761013345160907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04">
        <f t="shared" si="3"/>
        <v>45</v>
      </c>
      <c r="E40" s="204">
        <f t="shared" si="6"/>
        <v>5</v>
      </c>
      <c r="F40" s="206">
        <f t="shared" si="4"/>
        <v>37.380000000000003</v>
      </c>
      <c r="G40" s="208">
        <f>IF(D40=D39,"",_xlfn.IFNA(VLOOKUP(D40,'인원 입력 기능(사과탐)'!$A$5:$D$59,4,FALSE),0))</f>
        <v>4379</v>
      </c>
      <c r="H40" s="210">
        <f t="shared" si="1"/>
        <v>5.7124593970544112E-2</v>
      </c>
      <c r="I40" s="221">
        <f>SUM($G$7:G40)</f>
        <v>50190</v>
      </c>
      <c r="J40" s="200">
        <f t="shared" si="5"/>
        <v>0.65473472742215322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5"/>
      <c r="E41" s="205"/>
      <c r="F41" s="207"/>
      <c r="G41" s="209"/>
      <c r="H41" s="211"/>
      <c r="I41" s="222"/>
      <c r="J41" s="201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33.06</v>
      </c>
      <c r="G42" s="61">
        <f>IF(D42=D41,"",_xlfn.IFNA(VLOOKUP(D42,'인원 입력 기능(사과탐)'!$A$5:$D$59,4,FALSE),0))</f>
        <v>2246</v>
      </c>
      <c r="H42" s="62">
        <f t="shared" si="1"/>
        <v>2.9299346439333657E-2</v>
      </c>
      <c r="I42" s="72">
        <f>SUM($G$7:G42)</f>
        <v>52436</v>
      </c>
      <c r="J42" s="64">
        <f t="shared" si="5"/>
        <v>0.68403407386148685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30.19</v>
      </c>
      <c r="G43" s="61">
        <f>IF(D43=D42,"",_xlfn.IFNA(VLOOKUP(D43,'인원 입력 기능(사과탐)'!$A$5:$D$59,4,FALSE),0))</f>
        <v>2163</v>
      </c>
      <c r="H43" s="62">
        <f t="shared" si="1"/>
        <v>2.8216601223632544E-2</v>
      </c>
      <c r="I43" s="72">
        <f>SUM($G$7:G43)</f>
        <v>54599</v>
      </c>
      <c r="J43" s="64">
        <f t="shared" si="5"/>
        <v>0.71225067508511941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27.27</v>
      </c>
      <c r="G44" s="61">
        <f>IF(D44=D43,"",_xlfn.IFNA(VLOOKUP(D44,'인원 입력 기능(사과탐)'!$A$5:$D$59,4,FALSE),0))</f>
        <v>2307</v>
      </c>
      <c r="H44" s="62">
        <f t="shared" si="1"/>
        <v>3.0095098947258567E-2</v>
      </c>
      <c r="I44" s="72">
        <f>SUM($G$7:G44)</f>
        <v>56906</v>
      </c>
      <c r="J44" s="64">
        <f t="shared" si="5"/>
        <v>0.742345774032378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6</v>
      </c>
      <c r="F45" s="60">
        <f t="shared" si="4"/>
        <v>24.37</v>
      </c>
      <c r="G45" s="61">
        <f>IF(D45=D44,"",_xlfn.IFNA(VLOOKUP(D45,'인원 입력 기능(사과탐)'!$A$5:$D$59,4,FALSE),0))</f>
        <v>2139</v>
      </c>
      <c r="H45" s="62">
        <f t="shared" si="1"/>
        <v>2.7903518269694876E-2</v>
      </c>
      <c r="I45" s="72">
        <f>SUM($G$7:G45)</f>
        <v>59045</v>
      </c>
      <c r="J45" s="64">
        <f t="shared" si="5"/>
        <v>0.77024929230207284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17.850000000000001</v>
      </c>
      <c r="G46" s="61">
        <f>IF(D46=D45,"",_xlfn.IFNA(VLOOKUP(D46,'인원 입력 기능(사과탐)'!$A$5:$D$59,4,FALSE),0))</f>
        <v>7865</v>
      </c>
      <c r="H46" s="62">
        <f t="shared" si="1"/>
        <v>0.10259989302999074</v>
      </c>
      <c r="I46" s="72">
        <f>SUM($G$7:G46)</f>
        <v>66910</v>
      </c>
      <c r="J46" s="64">
        <f t="shared" si="5"/>
        <v>0.87284918533206357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39</v>
      </c>
      <c r="E47" s="74">
        <f t="shared" si="6"/>
        <v>7</v>
      </c>
      <c r="F47" s="60">
        <f t="shared" si="4"/>
        <v>11.18</v>
      </c>
      <c r="G47" s="61">
        <f>IF(D47=D46,"",_xlfn.IFNA(VLOOKUP(D47,'인원 입력 기능(사과탐)'!$A$5:$D$59,4,FALSE),0))</f>
        <v>2353</v>
      </c>
      <c r="H47" s="62">
        <f t="shared" si="1"/>
        <v>3.0695174608972437E-2</v>
      </c>
      <c r="I47" s="72">
        <f>SUM($G$7:G47)</f>
        <v>69263</v>
      </c>
      <c r="J47" s="64">
        <f t="shared" si="5"/>
        <v>0.90354435994103599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8</v>
      </c>
      <c r="F48" s="60">
        <f t="shared" si="4"/>
        <v>8.61</v>
      </c>
      <c r="G48" s="61">
        <f>IF(D48=D47,"",_xlfn.IFNA(VLOOKUP(D48,'인원 입력 기능(사과탐)'!$A$5:$D$59,4,FALSE),0))</f>
        <v>1590</v>
      </c>
      <c r="H48" s="62">
        <f t="shared" si="1"/>
        <v>2.0741745698370666E-2</v>
      </c>
      <c r="I48" s="72">
        <f>SUM($G$7:G48)</f>
        <v>70853</v>
      </c>
      <c r="J48" s="64">
        <f t="shared" si="5"/>
        <v>0.92428610563940672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6.63</v>
      </c>
      <c r="G49" s="61">
        <f>IF(D49=D48,"",_xlfn.IFNA(VLOOKUP(D49,'인원 입력 기능(사과탐)'!$A$5:$D$59,4,FALSE),0))</f>
        <v>1444</v>
      </c>
      <c r="H49" s="62">
        <f t="shared" si="1"/>
        <v>1.883715772858317E-2</v>
      </c>
      <c r="I49" s="72">
        <f>SUM($G$7:G49)</f>
        <v>72297</v>
      </c>
      <c r="J49" s="64">
        <f t="shared" si="5"/>
        <v>0.94312326336798991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4.6900000000000004</v>
      </c>
      <c r="G50" s="61">
        <f>IF(D50=D49,"",_xlfn.IFNA(VLOOKUP(D50,'인원 입력 기능(사과탐)'!$A$5:$D$59,4,FALSE),0))</f>
        <v>1534</v>
      </c>
      <c r="H50" s="62">
        <f t="shared" si="1"/>
        <v>2.0011218805849433E-2</v>
      </c>
      <c r="I50" s="72">
        <f>SUM($G$7:G50)</f>
        <v>73831</v>
      </c>
      <c r="J50" s="64">
        <f t="shared" si="5"/>
        <v>0.96313448217383935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3.2</v>
      </c>
      <c r="G51" s="61">
        <f>IF(D51=D50,"",_xlfn.IFNA(VLOOKUP(D51,'인원 입력 기능(사과탐)'!$A$5:$D$59,4,FALSE),0))</f>
        <v>750</v>
      </c>
      <c r="H51" s="62">
        <f t="shared" si="1"/>
        <v>9.7838423105521995E-3</v>
      </c>
      <c r="I51" s="72">
        <f>SUM($G$7:G51)</f>
        <v>74581</v>
      </c>
      <c r="J51" s="64">
        <f t="shared" si="5"/>
        <v>0.97291832448439153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2.17</v>
      </c>
      <c r="G52" s="61">
        <f>IF(D52=D51,"",_xlfn.IFNA(VLOOKUP(D52,'인원 입력 기능(사과탐)'!$A$5:$D$59,4,FALSE),0))</f>
        <v>823</v>
      </c>
      <c r="H52" s="62">
        <f t="shared" si="1"/>
        <v>1.0736136295445948E-2</v>
      </c>
      <c r="I52" s="72">
        <f>SUM($G$7:G52)</f>
        <v>75404</v>
      </c>
      <c r="J52" s="64">
        <f t="shared" si="5"/>
        <v>0.98365446077983743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1.37</v>
      </c>
      <c r="G53" s="61">
        <f>IF(D53=D52,"",_xlfn.IFNA(VLOOKUP(D53,'인원 입력 기능(사과탐)'!$A$5:$D$59,4,FALSE),0))</f>
        <v>413</v>
      </c>
      <c r="H53" s="62">
        <f t="shared" si="1"/>
        <v>5.3876358323440782E-3</v>
      </c>
      <c r="I53" s="72">
        <f>SUM($G$7:G53)</f>
        <v>75817</v>
      </c>
      <c r="J53" s="64">
        <f t="shared" si="5"/>
        <v>0.98904209661218156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0.8</v>
      </c>
      <c r="G54" s="61">
        <f>IF(D54=D53,"",_xlfn.IFNA(VLOOKUP(D54,'인원 입력 기능(사과탐)'!$A$5:$D$59,4,FALSE),0))</f>
        <v>453</v>
      </c>
      <c r="H54" s="62">
        <f t="shared" si="1"/>
        <v>5.9094407555735293E-3</v>
      </c>
      <c r="I54" s="72">
        <f>SUM($G$7:G54)</f>
        <v>76270</v>
      </c>
      <c r="J54" s="64">
        <f t="shared" si="5"/>
        <v>0.9949515373677551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0.33</v>
      </c>
      <c r="G55" s="61">
        <f>IF(D55=D54,"",_xlfn.IFNA(VLOOKUP(D55,'인원 입력 기능(사과탐)'!$A$5:$D$59,4,FALSE),0))</f>
        <v>265</v>
      </c>
      <c r="H55" s="62">
        <f t="shared" si="1"/>
        <v>3.4569576163951108E-3</v>
      </c>
      <c r="I55" s="72">
        <f>SUM($G$7:G55)</f>
        <v>76535</v>
      </c>
      <c r="J55" s="64">
        <f t="shared" si="5"/>
        <v>0.99840849498415019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0.08</v>
      </c>
      <c r="G57" s="113">
        <f>_xlfn.IFNA(VLOOKUP(D57,'인원 입력 기능(사과탐)'!$A$5:$D$59,4,FALSE),0)</f>
        <v>122</v>
      </c>
      <c r="H57" s="81">
        <f>G57/$J$3</f>
        <v>1.5915050158498245E-3</v>
      </c>
      <c r="I57" s="82">
        <f>SUM($G$7:G57)</f>
        <v>76657</v>
      </c>
      <c r="J57" s="114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  <mergeCell ref="I26:I27"/>
    <mergeCell ref="J26:J27"/>
    <mergeCell ref="D40:D41"/>
    <mergeCell ref="E40:E41"/>
    <mergeCell ref="F40:F41"/>
    <mergeCell ref="G40:G41"/>
    <mergeCell ref="H40:H41"/>
    <mergeCell ref="I40:I41"/>
    <mergeCell ref="J40:J41"/>
    <mergeCell ref="D26:D27"/>
    <mergeCell ref="E26:E27"/>
    <mergeCell ref="F26:F27"/>
    <mergeCell ref="G26:G27"/>
    <mergeCell ref="H26:H27"/>
  </mergeCells>
  <phoneticPr fontId="1" type="noConversion"/>
  <conditionalFormatting sqref="D7:J11 D13:J26 D28:J40 D42:J57">
    <cfRule type="expression" dxfId="50" priority="3">
      <formula>OR($D7=$Q$7:$Q$14)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D11 D13:D26 D28:D40 D42:D57">
    <cfRule type="expression" dxfId="4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기능'!D9</f>
        <v>22.32</v>
      </c>
      <c r="I3" s="21" t="s">
        <v>70</v>
      </c>
      <c r="J3" s="50">
        <f>'통계 및 응시자 수 입력 기능'!C9</f>
        <v>43610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103</v>
      </c>
      <c r="E4" s="216"/>
      <c r="F4" s="217"/>
      <c r="G4" s="52" t="s">
        <v>73</v>
      </c>
      <c r="H4" s="53">
        <f>'통계 및 응시자 수 입력 기능'!E9</f>
        <v>10.73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99.71</v>
      </c>
      <c r="G7" s="61">
        <f>_xlfn.IFNA(VLOOKUP(D7,'인원 입력 기능(사과탐)'!$F$5:$I$59,4,FALSE),0)</f>
        <v>255</v>
      </c>
      <c r="H7" s="62">
        <f>G7/$J$3</f>
        <v>5.8472827333180466E-3</v>
      </c>
      <c r="I7" s="63">
        <f>G7</f>
        <v>255</v>
      </c>
      <c r="J7" s="64">
        <f>I7/$J$3</f>
        <v>5.8472827333180466E-3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74</v>
      </c>
      <c r="E9" s="59">
        <f t="shared" si="0"/>
        <v>1</v>
      </c>
      <c r="F9" s="60">
        <f>IF(I8=0,ROUND(100*(1-(I7+I9)/2/$J$3),2),ROUND(100*(1-(I8+I9)/2/$J$3),2))</f>
        <v>99.13</v>
      </c>
      <c r="G9" s="61">
        <f>_xlfn.IFNA(VLOOKUP(D9,'인원 입력 기능(사과탐)'!$F$5:$I$59,4,FALSE),0)</f>
        <v>249</v>
      </c>
      <c r="H9" s="62">
        <f t="shared" ref="H9:H55" si="1">G9/$J$3</f>
        <v>5.7096996101811508E-3</v>
      </c>
      <c r="I9" s="72">
        <f>SUM($G$7:G9)</f>
        <v>504</v>
      </c>
      <c r="J9" s="64">
        <f>I9/$J$3</f>
        <v>1.1556982343499198E-2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73</v>
      </c>
      <c r="E10" s="59">
        <f t="shared" si="0"/>
        <v>1</v>
      </c>
      <c r="F10" s="60">
        <f t="shared" ref="F10:F55" si="4">IF(I9=0,ROUND(100*(1-(I8+I10)/2/$J$3),2),ROUND(100*(1-(I9+I10)/2/$J$3),2))</f>
        <v>98.58</v>
      </c>
      <c r="G10" s="61">
        <f>IF(D10=D9,"",_xlfn.IFNA(VLOOKUP(D10,'인원 입력 기능(사과탐)'!$F$5:$I$59,4,FALSE),0))</f>
        <v>233</v>
      </c>
      <c r="H10" s="62">
        <f t="shared" si="1"/>
        <v>5.3428112818160976E-3</v>
      </c>
      <c r="I10" s="72">
        <f>SUM($G$7:G10)</f>
        <v>737</v>
      </c>
      <c r="J10" s="64">
        <f t="shared" ref="J10:J55" si="5">I10/$J$3</f>
        <v>1.6899793625315296E-2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72</v>
      </c>
      <c r="E11" s="59">
        <f t="shared" si="0"/>
        <v>1</v>
      </c>
      <c r="F11" s="60">
        <f t="shared" si="4"/>
        <v>98.14</v>
      </c>
      <c r="G11" s="61">
        <f>IF(D11=D10,"",_xlfn.IFNA(VLOOKUP(D11,'인원 입력 기능(사과탐)'!$F$5:$I$59,4,FALSE),0))</f>
        <v>149</v>
      </c>
      <c r="H11" s="62">
        <f t="shared" si="1"/>
        <v>3.4166475578995643E-3</v>
      </c>
      <c r="I11" s="72">
        <f>SUM($G$7:G11)</f>
        <v>886</v>
      </c>
      <c r="J11" s="64">
        <f t="shared" si="5"/>
        <v>2.0316441183214858E-2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기능'!C53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71</v>
      </c>
      <c r="E12" s="59">
        <f t="shared" si="0"/>
        <v>1</v>
      </c>
      <c r="F12" s="60">
        <f t="shared" si="4"/>
        <v>97.52</v>
      </c>
      <c r="G12" s="61">
        <f>IF(D12=D11,"",_xlfn.IFNA(VLOOKUP(D12,'인원 입력 기능(사과탐)'!$F$5:$I$59,4,FALSE),0))</f>
        <v>392</v>
      </c>
      <c r="H12" s="62">
        <f t="shared" si="1"/>
        <v>8.988764044943821E-3</v>
      </c>
      <c r="I12" s="72">
        <f>SUM($G$7:G12)</f>
        <v>1278</v>
      </c>
      <c r="J12" s="64">
        <f t="shared" si="5"/>
        <v>2.930520522815868E-2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70</v>
      </c>
      <c r="E13" s="59">
        <f t="shared" si="0"/>
        <v>1</v>
      </c>
      <c r="F13" s="60">
        <f t="shared" si="4"/>
        <v>96.84</v>
      </c>
      <c r="G13" s="61">
        <f>IF(D13=D12,"",_xlfn.IFNA(VLOOKUP(D13,'인원 입력 기능(사과탐)'!$F$5:$I$59,4,FALSE),0))</f>
        <v>196</v>
      </c>
      <c r="H13" s="62">
        <f t="shared" si="1"/>
        <v>4.4943820224719105E-3</v>
      </c>
      <c r="I13" s="72">
        <f>SUM($G$7:G13)</f>
        <v>1474</v>
      </c>
      <c r="J13" s="64">
        <f t="shared" si="5"/>
        <v>3.3799587250630592E-2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기능'!C55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1</v>
      </c>
      <c r="F14" s="60">
        <f t="shared" si="4"/>
        <v>96.17</v>
      </c>
      <c r="G14" s="61">
        <f>IF(D14=D13,"",_xlfn.IFNA(VLOOKUP(D14,'인원 입력 기능(사과탐)'!$F$5:$I$59,4,FALSE),0))</f>
        <v>396</v>
      </c>
      <c r="H14" s="62">
        <f t="shared" si="1"/>
        <v>9.0804861270350843E-3</v>
      </c>
      <c r="I14" s="72">
        <f>SUM($G$7:G14)</f>
        <v>1870</v>
      </c>
      <c r="J14" s="64">
        <f t="shared" si="5"/>
        <v>4.2880073377665674E-2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95.25</v>
      </c>
      <c r="G15" s="61">
        <f>IF(D15=D14,"",_xlfn.IFNA(VLOOKUP(D15,'인원 입력 기능(사과탐)'!$F$5:$I$59,4,FALSE),0))</f>
        <v>400</v>
      </c>
      <c r="H15" s="62">
        <f t="shared" si="1"/>
        <v>9.1722082091263476E-3</v>
      </c>
      <c r="I15" s="72">
        <f>SUM($G$7:G15)</f>
        <v>2270</v>
      </c>
      <c r="J15" s="64">
        <f t="shared" si="5"/>
        <v>5.2052281586792024E-2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94.35</v>
      </c>
      <c r="G16" s="61">
        <f>IF(D16=D15,"",_xlfn.IFNA(VLOOKUP(D16,'인원 입력 기능(사과탐)'!$F$5:$I$59,4,FALSE),0))</f>
        <v>384</v>
      </c>
      <c r="H16" s="62">
        <f t="shared" si="1"/>
        <v>8.8053198807612927E-3</v>
      </c>
      <c r="I16" s="72">
        <f>SUM($G$7:G16)</f>
        <v>2654</v>
      </c>
      <c r="J16" s="64">
        <f t="shared" si="5"/>
        <v>6.0857601467553313E-2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02">
        <f t="shared" si="3"/>
        <v>66</v>
      </c>
      <c r="E17" s="202">
        <f t="shared" si="0"/>
        <v>2</v>
      </c>
      <c r="F17" s="206">
        <f t="shared" si="4"/>
        <v>92.77</v>
      </c>
      <c r="G17" s="208">
        <f>IF(D17=D16,"",_xlfn.IFNA(VLOOKUP(D17,'인원 입력 기능(사과탐)'!$F$5:$I$59,4,FALSE),0))</f>
        <v>997</v>
      </c>
      <c r="H17" s="210">
        <f t="shared" si="1"/>
        <v>2.286172896124742E-2</v>
      </c>
      <c r="I17" s="221">
        <f>SUM($G$7:G17)</f>
        <v>3651</v>
      </c>
      <c r="J17" s="200">
        <f t="shared" si="5"/>
        <v>8.3719330428800739E-2</v>
      </c>
      <c r="K17" s="36"/>
      <c r="L17" s="20" t="str">
        <f t="shared" si="2"/>
        <v/>
      </c>
      <c r="N17" s="24"/>
      <c r="Q17" s="24">
        <f>Q7*H3*H4*J3*IFERROR(IF(J57=1, 1, 0), 0)</f>
        <v>720657796.82399988</v>
      </c>
    </row>
    <row r="18" spans="1:17" s="22" customFormat="1" ht="25" customHeight="1" x14ac:dyDescent="0.45">
      <c r="A18" s="20"/>
      <c r="B18" s="35"/>
      <c r="C18" s="65">
        <v>39</v>
      </c>
      <c r="D18" s="203"/>
      <c r="E18" s="203"/>
      <c r="F18" s="207"/>
      <c r="G18" s="209"/>
      <c r="H18" s="211"/>
      <c r="I18" s="222"/>
      <c r="J18" s="201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90.89</v>
      </c>
      <c r="G19" s="61">
        <f>IF(D19=D18,"",_xlfn.IFNA(VLOOKUP(D19,'인원 입력 기능(사과탐)'!$F$5:$I$59,4,FALSE),0))</f>
        <v>647</v>
      </c>
      <c r="H19" s="62">
        <f t="shared" si="1"/>
        <v>1.4836046778261867E-2</v>
      </c>
      <c r="I19" s="72">
        <f>SUM($G$7:G19)</f>
        <v>4298</v>
      </c>
      <c r="J19" s="64">
        <f t="shared" si="5"/>
        <v>9.8555377207062603E-2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89.38</v>
      </c>
      <c r="G20" s="61">
        <f>IF(D20=D19,"",_xlfn.IFNA(VLOOKUP(D20,'인원 입력 기능(사과탐)'!$F$5:$I$59,4,FALSE),0))</f>
        <v>665</v>
      </c>
      <c r="H20" s="62">
        <f t="shared" si="1"/>
        <v>1.5248796147672551E-2</v>
      </c>
      <c r="I20" s="72">
        <f>SUM($G$7:G20)</f>
        <v>4963</v>
      </c>
      <c r="J20" s="64">
        <f t="shared" si="5"/>
        <v>0.11380417335473515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87.8</v>
      </c>
      <c r="G21" s="61">
        <f>IF(D21=D20,"",_xlfn.IFNA(VLOOKUP(D21,'인원 입력 기능(사과탐)'!$F$5:$I$59,4,FALSE),0))</f>
        <v>716</v>
      </c>
      <c r="H21" s="62">
        <f t="shared" si="1"/>
        <v>1.6418252694336163E-2</v>
      </c>
      <c r="I21" s="72">
        <f>SUM($G$7:G21)</f>
        <v>5679</v>
      </c>
      <c r="J21" s="64">
        <f t="shared" si="5"/>
        <v>0.1302224260490713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86.02</v>
      </c>
      <c r="G22" s="61">
        <f>IF(D22=D21,"",_xlfn.IFNA(VLOOKUP(D22,'인원 입력 기능(사과탐)'!$F$5:$I$59,4,FALSE),0))</f>
        <v>837</v>
      </c>
      <c r="H22" s="62">
        <f t="shared" si="1"/>
        <v>1.9192845677596881E-2</v>
      </c>
      <c r="I22" s="72">
        <f>SUM($G$7:G22)</f>
        <v>6516</v>
      </c>
      <c r="J22" s="64">
        <f t="shared" si="5"/>
        <v>0.14941527172666819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84.07</v>
      </c>
      <c r="G23" s="61">
        <f>IF(D23=D22,"",_xlfn.IFNA(VLOOKUP(D23,'인원 입력 기능(사과탐)'!$F$5:$I$59,4,FALSE),0))</f>
        <v>859</v>
      </c>
      <c r="H23" s="62">
        <f t="shared" si="1"/>
        <v>1.9697317129098831E-2</v>
      </c>
      <c r="I23" s="72">
        <f>SUM($G$7:G23)</f>
        <v>7375</v>
      </c>
      <c r="J23" s="64">
        <f t="shared" si="5"/>
        <v>0.16911258885576702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81.92</v>
      </c>
      <c r="G24" s="61">
        <f>IF(D24=D23,"",_xlfn.IFNA(VLOOKUP(D24,'인원 입력 기능(사과탐)'!$F$5:$I$59,4,FALSE),0))</f>
        <v>1018</v>
      </c>
      <c r="H24" s="62">
        <f t="shared" si="1"/>
        <v>2.3343269892226553E-2</v>
      </c>
      <c r="I24" s="72">
        <f>SUM($G$7:G24)</f>
        <v>8393</v>
      </c>
      <c r="J24" s="64">
        <f t="shared" si="5"/>
        <v>0.19245585874799359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79.63</v>
      </c>
      <c r="G25" s="61">
        <f>IF(D25=D24,"",_xlfn.IFNA(VLOOKUP(D25,'인원 입력 기능(사과탐)'!$F$5:$I$59,4,FALSE),0))</f>
        <v>979</v>
      </c>
      <c r="H25" s="62">
        <f t="shared" si="1"/>
        <v>2.2448979591836733E-2</v>
      </c>
      <c r="I25" s="72">
        <f>SUM($G$7:G25)</f>
        <v>9372</v>
      </c>
      <c r="J25" s="64">
        <f t="shared" si="5"/>
        <v>0.21490483833983032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77.22</v>
      </c>
      <c r="G26" s="61">
        <f>IF(D26=D25,"",_xlfn.IFNA(VLOOKUP(D26,'인원 입력 기능(사과탐)'!$F$5:$I$59,4,FALSE),0))</f>
        <v>1123</v>
      </c>
      <c r="H26" s="62">
        <f t="shared" si="1"/>
        <v>2.5750974547122218E-2</v>
      </c>
      <c r="I26" s="72">
        <f>SUM($G$7:G26)</f>
        <v>10495</v>
      </c>
      <c r="J26" s="64">
        <f t="shared" si="5"/>
        <v>0.24065581288695254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74.61</v>
      </c>
      <c r="G27" s="61">
        <f>IF(D27=D26,"",_xlfn.IFNA(VLOOKUP(D27,'인원 입력 기능(사과탐)'!$F$5:$I$59,4,FALSE),0))</f>
        <v>1159</v>
      </c>
      <c r="H27" s="62">
        <f t="shared" si="1"/>
        <v>2.6576473285943591E-2</v>
      </c>
      <c r="I27" s="72">
        <f>SUM($G$7:G27)</f>
        <v>11654</v>
      </c>
      <c r="J27" s="64">
        <f t="shared" si="5"/>
        <v>0.26723228617289613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71.94</v>
      </c>
      <c r="G28" s="61">
        <f>IF(D28=D27,"",_xlfn.IFNA(VLOOKUP(D28,'인원 입력 기능(사과탐)'!$F$5:$I$59,4,FALSE),0))</f>
        <v>1163</v>
      </c>
      <c r="H28" s="62">
        <f t="shared" si="1"/>
        <v>2.6668195368034855E-2</v>
      </c>
      <c r="I28" s="72">
        <f>SUM($G$7:G28)</f>
        <v>12817</v>
      </c>
      <c r="J28" s="64">
        <f t="shared" si="5"/>
        <v>0.29390048154093096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55</v>
      </c>
      <c r="E29" s="74">
        <f t="shared" si="0"/>
        <v>4</v>
      </c>
      <c r="F29" s="60">
        <f t="shared" si="4"/>
        <v>69.13</v>
      </c>
      <c r="G29" s="61">
        <f>IF(D29=D28,"",_xlfn.IFNA(VLOOKUP(D29,'인원 입력 기능(사과탐)'!$F$5:$I$59,4,FALSE),0))</f>
        <v>1289</v>
      </c>
      <c r="H29" s="62">
        <f t="shared" si="1"/>
        <v>2.9557440953909653E-2</v>
      </c>
      <c r="I29" s="72">
        <f>SUM($G$7:G29)</f>
        <v>14106</v>
      </c>
      <c r="J29" s="64">
        <f t="shared" si="5"/>
        <v>0.32345792249484062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66.33</v>
      </c>
      <c r="G30" s="61">
        <f>IF(D30=D29,"",_xlfn.IFNA(VLOOKUP(D30,'인원 입력 기능(사과탐)'!$F$5:$I$59,4,FALSE),0))</f>
        <v>1152</v>
      </c>
      <c r="H30" s="62">
        <f t="shared" si="1"/>
        <v>2.6415959642283878E-2</v>
      </c>
      <c r="I30" s="72">
        <f>SUM($G$7:G30)</f>
        <v>15258</v>
      </c>
      <c r="J30" s="64">
        <f t="shared" si="5"/>
        <v>0.3498738821371245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63.56</v>
      </c>
      <c r="G31" s="61">
        <f>IF(D31=D30,"",_xlfn.IFNA(VLOOKUP(D31,'인원 입력 기능(사과탐)'!$F$5:$I$59,4,FALSE),0))</f>
        <v>1263</v>
      </c>
      <c r="H31" s="62">
        <f t="shared" si="1"/>
        <v>2.896124742031644E-2</v>
      </c>
      <c r="I31" s="72">
        <f>SUM($G$7:G31)</f>
        <v>16521</v>
      </c>
      <c r="J31" s="64">
        <f t="shared" si="5"/>
        <v>0.37883512955744097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4">
        <f t="shared" si="3"/>
        <v>52</v>
      </c>
      <c r="E32" s="204">
        <f t="shared" si="0"/>
        <v>4</v>
      </c>
      <c r="F32" s="206">
        <f t="shared" si="4"/>
        <v>59.3</v>
      </c>
      <c r="G32" s="208">
        <f>IF(D32=D31,"",_xlfn.IFNA(VLOOKUP(D32,'인원 입력 기능(사과탐)'!$F$5:$I$59,4,FALSE),0))</f>
        <v>2456</v>
      </c>
      <c r="H32" s="210">
        <f t="shared" si="1"/>
        <v>5.6317358404035775E-2</v>
      </c>
      <c r="I32" s="221">
        <f>SUM($G$7:G32)</f>
        <v>18977</v>
      </c>
      <c r="J32" s="200">
        <f t="shared" si="5"/>
        <v>0.43515248796147671</v>
      </c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5"/>
      <c r="E33" s="205"/>
      <c r="F33" s="207"/>
      <c r="G33" s="209"/>
      <c r="H33" s="211"/>
      <c r="I33" s="222"/>
      <c r="J33" s="20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5</v>
      </c>
      <c r="F34" s="60">
        <f t="shared" si="4"/>
        <v>54.98</v>
      </c>
      <c r="G34" s="61">
        <f>IF(D34=D33,"",_xlfn.IFNA(VLOOKUP(D34,'인원 입력 기능(사과탐)'!$F$5:$I$59,4,FALSE),0))</f>
        <v>1310</v>
      </c>
      <c r="H34" s="62">
        <f t="shared" si="1"/>
        <v>3.0038981884888787E-2</v>
      </c>
      <c r="I34" s="72">
        <f>SUM($G$7:G34)</f>
        <v>20287</v>
      </c>
      <c r="J34" s="64">
        <f t="shared" si="5"/>
        <v>0.4651914698463655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52.09</v>
      </c>
      <c r="G35" s="61">
        <f>IF(D35=D34,"",_xlfn.IFNA(VLOOKUP(D35,'인원 입력 기능(사과탐)'!$F$5:$I$59,4,FALSE),0))</f>
        <v>1211</v>
      </c>
      <c r="H35" s="62">
        <f t="shared" si="1"/>
        <v>2.7768860353130018E-2</v>
      </c>
      <c r="I35" s="72">
        <f>SUM($G$7:G35)</f>
        <v>21498</v>
      </c>
      <c r="J35" s="64">
        <f t="shared" si="5"/>
        <v>0.49296033019949553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49.28</v>
      </c>
      <c r="G36" s="61">
        <f>IF(D36=D35,"",_xlfn.IFNA(VLOOKUP(D36,'인원 입력 기능(사과탐)'!$F$5:$I$59,4,FALSE),0))</f>
        <v>1245</v>
      </c>
      <c r="H36" s="62">
        <f t="shared" si="1"/>
        <v>2.8548498050905754E-2</v>
      </c>
      <c r="I36" s="72">
        <f>SUM($G$7:G36)</f>
        <v>22743</v>
      </c>
      <c r="J36" s="64">
        <f t="shared" si="5"/>
        <v>0.52150882825040124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46.36</v>
      </c>
      <c r="G37" s="61">
        <f>IF(D37=D36,"",_xlfn.IFNA(VLOOKUP(D37,'인원 입력 기능(사과탐)'!$F$5:$I$59,4,FALSE),0))</f>
        <v>1301</v>
      </c>
      <c r="H37" s="62">
        <f t="shared" si="1"/>
        <v>2.9832607200183443E-2</v>
      </c>
      <c r="I37" s="72">
        <f>SUM($G$7:G37)</f>
        <v>24044</v>
      </c>
      <c r="J37" s="64">
        <f t="shared" si="5"/>
        <v>0.55134143545058478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43.45</v>
      </c>
      <c r="G38" s="61">
        <f>IF(D38=D37,"",_xlfn.IFNA(VLOOKUP(D38,'인원 입력 기능(사과탐)'!$F$5:$I$59,4,FALSE),0))</f>
        <v>1234</v>
      </c>
      <c r="H38" s="62">
        <f t="shared" si="1"/>
        <v>2.8296262325154781E-2</v>
      </c>
      <c r="I38" s="72">
        <f>SUM($G$7:G38)</f>
        <v>25278</v>
      </c>
      <c r="J38" s="64">
        <f t="shared" si="5"/>
        <v>0.57963769777573948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40.549999999999997</v>
      </c>
      <c r="G39" s="61">
        <f>IF(D39=D38,"",_xlfn.IFNA(VLOOKUP(D39,'인원 입력 기능(사과탐)'!$F$5:$I$59,4,FALSE),0))</f>
        <v>1294</v>
      </c>
      <c r="H39" s="62">
        <f t="shared" si="1"/>
        <v>2.9672093556523733E-2</v>
      </c>
      <c r="I39" s="72">
        <f>SUM($G$7:G39)</f>
        <v>26572</v>
      </c>
      <c r="J39" s="64">
        <f t="shared" si="5"/>
        <v>0.60930979133226326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45</v>
      </c>
      <c r="E40" s="74">
        <f t="shared" si="6"/>
        <v>6</v>
      </c>
      <c r="F40" s="60">
        <f t="shared" si="4"/>
        <v>37.71</v>
      </c>
      <c r="G40" s="61">
        <f>IF(D40=D39,"",_xlfn.IFNA(VLOOKUP(D40,'인원 입력 기능(사과탐)'!$F$5:$I$59,4,FALSE),0))</f>
        <v>1182</v>
      </c>
      <c r="H40" s="62">
        <f t="shared" si="1"/>
        <v>2.7103875257968355E-2</v>
      </c>
      <c r="I40" s="72">
        <f>SUM($G$7:G40)</f>
        <v>27754</v>
      </c>
      <c r="J40" s="64">
        <f t="shared" si="5"/>
        <v>0.63641366659023157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44</v>
      </c>
      <c r="E41" s="74">
        <f t="shared" si="6"/>
        <v>6</v>
      </c>
      <c r="F41" s="60">
        <f t="shared" si="4"/>
        <v>34.880000000000003</v>
      </c>
      <c r="G41" s="61">
        <f>IF(D41=D40,"",_xlfn.IFNA(VLOOKUP(D41,'인원 입력 기능(사과탐)'!$F$5:$I$59,4,FALSE),0))</f>
        <v>1291</v>
      </c>
      <c r="H41" s="62">
        <f t="shared" si="1"/>
        <v>2.9603301994955287E-2</v>
      </c>
      <c r="I41" s="72">
        <f>SUM($G$7:G41)</f>
        <v>29045</v>
      </c>
      <c r="J41" s="64">
        <f t="shared" si="5"/>
        <v>0.66601696858518689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43</v>
      </c>
      <c r="E42" s="74">
        <f t="shared" si="6"/>
        <v>6</v>
      </c>
      <c r="F42" s="60">
        <f t="shared" si="4"/>
        <v>31.99</v>
      </c>
      <c r="G42" s="61">
        <f>IF(D42=D41,"",_xlfn.IFNA(VLOOKUP(D42,'인원 입력 기능(사과탐)'!$F$5:$I$59,4,FALSE),0))</f>
        <v>1226</v>
      </c>
      <c r="H42" s="62">
        <f t="shared" si="1"/>
        <v>2.8112818160972254E-2</v>
      </c>
      <c r="I42" s="72">
        <f>SUM($G$7:G42)</f>
        <v>30271</v>
      </c>
      <c r="J42" s="64">
        <f t="shared" si="5"/>
        <v>0.69412978674615911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42</v>
      </c>
      <c r="E43" s="74">
        <f t="shared" si="6"/>
        <v>6</v>
      </c>
      <c r="F43" s="60">
        <f t="shared" si="4"/>
        <v>28.83</v>
      </c>
      <c r="G43" s="61">
        <f>IF(D43=D42,"",_xlfn.IFNA(VLOOKUP(D43,'인원 입력 기능(사과탐)'!$F$5:$I$59,4,FALSE),0))</f>
        <v>1536</v>
      </c>
      <c r="H43" s="62">
        <f t="shared" si="1"/>
        <v>3.5221279523045171E-2</v>
      </c>
      <c r="I43" s="72">
        <f>SUM($G$7:G43)</f>
        <v>31807</v>
      </c>
      <c r="J43" s="64">
        <f t="shared" si="5"/>
        <v>0.72935106626920432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6</v>
      </c>
      <c r="F44" s="60">
        <f t="shared" si="4"/>
        <v>25.7</v>
      </c>
      <c r="G44" s="61">
        <f>IF(D44=D43,"",_xlfn.IFNA(VLOOKUP(D44,'인원 입력 기능(사과탐)'!$F$5:$I$59,4,FALSE),0))</f>
        <v>1193</v>
      </c>
      <c r="H44" s="62">
        <f t="shared" si="1"/>
        <v>2.7356110983719331E-2</v>
      </c>
      <c r="I44" s="72">
        <f>SUM($G$7:G44)</f>
        <v>33000</v>
      </c>
      <c r="J44" s="64">
        <f t="shared" si="5"/>
        <v>0.75670717725292369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6</v>
      </c>
      <c r="F45" s="60">
        <f t="shared" si="4"/>
        <v>20.14</v>
      </c>
      <c r="G45" s="61">
        <f>IF(D45=D44,"",_xlfn.IFNA(VLOOKUP(D45,'인원 입력 기능(사과탐)'!$F$5:$I$59,4,FALSE),0))</f>
        <v>3656</v>
      </c>
      <c r="H45" s="62">
        <f t="shared" si="1"/>
        <v>8.3833983031414816E-2</v>
      </c>
      <c r="I45" s="72">
        <f>SUM($G$7:G45)</f>
        <v>36656</v>
      </c>
      <c r="J45" s="64">
        <f t="shared" si="5"/>
        <v>0.84054116028433845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04">
        <f t="shared" si="3"/>
        <v>39</v>
      </c>
      <c r="E46" s="204">
        <f t="shared" si="6"/>
        <v>7</v>
      </c>
      <c r="F46" s="206">
        <f t="shared" si="4"/>
        <v>12.34</v>
      </c>
      <c r="G46" s="208">
        <f>IF(D46=D45,"",_xlfn.IFNA(VLOOKUP(D46,'인원 입력 기능(사과탐)'!$F$5:$I$59,4,FALSE),0))</f>
        <v>3149</v>
      </c>
      <c r="H46" s="210">
        <f t="shared" si="1"/>
        <v>7.2208209126347164E-2</v>
      </c>
      <c r="I46" s="221">
        <f>SUM($G$7:G46)</f>
        <v>39805</v>
      </c>
      <c r="J46" s="200">
        <f t="shared" si="5"/>
        <v>0.91274936941068563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05"/>
      <c r="E47" s="205"/>
      <c r="F47" s="207"/>
      <c r="G47" s="209"/>
      <c r="H47" s="211"/>
      <c r="I47" s="222"/>
      <c r="J47" s="201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8</v>
      </c>
      <c r="F48" s="60">
        <f t="shared" si="4"/>
        <v>7.92</v>
      </c>
      <c r="G48" s="61">
        <f>IF(D48=D47,"",_xlfn.IFNA(VLOOKUP(D48,'인원 입력 기능(사과탐)'!$F$5:$I$59,4,FALSE),0))</f>
        <v>705</v>
      </c>
      <c r="H48" s="62">
        <f t="shared" si="1"/>
        <v>1.6166016968585186E-2</v>
      </c>
      <c r="I48" s="72">
        <f>SUM($G$7:G48)</f>
        <v>40510</v>
      </c>
      <c r="J48" s="64">
        <f t="shared" si="5"/>
        <v>0.92891538637927085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6.31</v>
      </c>
      <c r="G49" s="61">
        <f>IF(D49=D48,"",_xlfn.IFNA(VLOOKUP(D49,'인원 입력 기능(사과탐)'!$F$5:$I$59,4,FALSE),0))</f>
        <v>699</v>
      </c>
      <c r="H49" s="62">
        <f t="shared" si="1"/>
        <v>1.6028433845448293E-2</v>
      </c>
      <c r="I49" s="72">
        <f>SUM($G$7:G49)</f>
        <v>41209</v>
      </c>
      <c r="J49" s="64">
        <f t="shared" si="5"/>
        <v>0.94494382022471912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4.07</v>
      </c>
      <c r="G50" s="61">
        <f>IF(D50=D49,"",_xlfn.IFNA(VLOOKUP(D50,'인원 입력 기능(사과탐)'!$F$5:$I$59,4,FALSE),0))</f>
        <v>1254</v>
      </c>
      <c r="H50" s="62">
        <f t="shared" si="1"/>
        <v>2.8754872735611097E-2</v>
      </c>
      <c r="I50" s="72">
        <f>SUM($G$7:G50)</f>
        <v>42463</v>
      </c>
      <c r="J50" s="64">
        <f t="shared" si="5"/>
        <v>0.97369869296033018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2.2599999999999998</v>
      </c>
      <c r="G51" s="61">
        <f>IF(D51=D50,"",_xlfn.IFNA(VLOOKUP(D51,'인원 입력 기능(사과탐)'!$F$5:$I$59,4,FALSE),0))</f>
        <v>323</v>
      </c>
      <c r="H51" s="62">
        <f t="shared" si="1"/>
        <v>7.406558128869525E-3</v>
      </c>
      <c r="I51" s="72">
        <f>SUM($G$7:G51)</f>
        <v>42786</v>
      </c>
      <c r="J51" s="64">
        <f t="shared" si="5"/>
        <v>0.98110525108919977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1.47</v>
      </c>
      <c r="G52" s="61">
        <f>IF(D52=D51,"",_xlfn.IFNA(VLOOKUP(D52,'인원 입력 기능(사과탐)'!$F$5:$I$59,4,FALSE),0))</f>
        <v>363</v>
      </c>
      <c r="H52" s="62">
        <f t="shared" si="1"/>
        <v>8.3237789497821596E-3</v>
      </c>
      <c r="I52" s="72">
        <f>SUM($G$7:G52)</f>
        <v>43149</v>
      </c>
      <c r="J52" s="64">
        <f t="shared" si="5"/>
        <v>0.98942903003898186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0.87</v>
      </c>
      <c r="G53" s="61">
        <f>IF(D53=D52,"",_xlfn.IFNA(VLOOKUP(D53,'인원 입력 기능(사과탐)'!$F$5:$I$59,4,FALSE),0))</f>
        <v>162</v>
      </c>
      <c r="H53" s="62">
        <f t="shared" si="1"/>
        <v>3.7147443246961704E-3</v>
      </c>
      <c r="I53" s="72">
        <f>SUM($G$7:G53)</f>
        <v>43311</v>
      </c>
      <c r="J53" s="64">
        <f t="shared" si="5"/>
        <v>0.99314377436367807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0.55000000000000004</v>
      </c>
      <c r="G54" s="61">
        <f>IF(D54=D53,"",_xlfn.IFNA(VLOOKUP(D54,'인원 입력 기능(사과탐)'!$F$5:$I$59,4,FALSE),0))</f>
        <v>118</v>
      </c>
      <c r="H54" s="62">
        <f t="shared" si="1"/>
        <v>2.7058014216922725E-3</v>
      </c>
      <c r="I54" s="72">
        <f>SUM($G$7:G54)</f>
        <v>43429</v>
      </c>
      <c r="J54" s="64">
        <f t="shared" si="5"/>
        <v>0.99584957578537037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0.27</v>
      </c>
      <c r="G55" s="61">
        <f>IF(D55=D54,"",_xlfn.IFNA(VLOOKUP(D55,'인원 입력 기능(사과탐)'!$F$5:$I$59,4,FALSE),0))</f>
        <v>125</v>
      </c>
      <c r="H55" s="62">
        <f t="shared" si="1"/>
        <v>2.8663150653519833E-3</v>
      </c>
      <c r="I55" s="72">
        <f>SUM($G$7:G55)</f>
        <v>43554</v>
      </c>
      <c r="J55" s="64">
        <f t="shared" si="5"/>
        <v>0.99871589085072232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기능(사과탐)'!$F$5:$I$59,4,FALSE),0)</f>
        <v>56</v>
      </c>
      <c r="H57" s="81">
        <f>G57/$J$3</f>
        <v>1.2841091492776886E-3</v>
      </c>
      <c r="I57" s="82">
        <f>SUM($G$7:G57)</f>
        <v>43610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I4:J5"/>
    <mergeCell ref="D17:D18"/>
    <mergeCell ref="E17:E18"/>
    <mergeCell ref="F17:F18"/>
    <mergeCell ref="G17:G18"/>
    <mergeCell ref="H17:H18"/>
    <mergeCell ref="I17:I18"/>
    <mergeCell ref="J17:J18"/>
    <mergeCell ref="I32:I33"/>
    <mergeCell ref="J32:J33"/>
    <mergeCell ref="D46:D47"/>
    <mergeCell ref="E46:E47"/>
    <mergeCell ref="F46:F47"/>
    <mergeCell ref="G46:G47"/>
    <mergeCell ref="H46:H47"/>
    <mergeCell ref="I46:I47"/>
    <mergeCell ref="J46:J47"/>
    <mergeCell ref="D32:D33"/>
    <mergeCell ref="E32:E33"/>
    <mergeCell ref="F32:F33"/>
    <mergeCell ref="G32:G33"/>
    <mergeCell ref="H32:H33"/>
  </mergeCells>
  <phoneticPr fontId="1" type="noConversion"/>
  <conditionalFormatting sqref="D7:G17 I7:J17 D19:G32 I19:J32 D34:G46 I34:J46 D48:G57 I48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17 D19:D32 D34:D46 D48:D57">
    <cfRule type="expression" dxfId="45" priority="2">
      <formula>$D7=$D8</formula>
    </cfRule>
  </conditionalFormatting>
  <conditionalFormatting sqref="H7:H17 H19:H32 H34:H46 H48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기능'!D10</f>
        <v>21.27</v>
      </c>
      <c r="I3" s="21" t="s">
        <v>70</v>
      </c>
      <c r="J3" s="50">
        <f>'통계 및 응시자 수 입력 기능'!C10</f>
        <v>27659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102</v>
      </c>
      <c r="E4" s="216"/>
      <c r="F4" s="217"/>
      <c r="G4" s="52" t="s">
        <v>73</v>
      </c>
      <c r="H4" s="53">
        <f>'통계 및 응시자 수 입력 기능'!E10</f>
        <v>9.9499999999999993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99.84</v>
      </c>
      <c r="G7" s="61">
        <f>_xlfn.IFNA(VLOOKUP(D7,'인원 입력 기능(사과탐)'!$K$5:$N$59,4,FALSE),0)</f>
        <v>91</v>
      </c>
      <c r="H7" s="62">
        <f>G7/$J$3</f>
        <v>3.2900683321884379E-3</v>
      </c>
      <c r="I7" s="63">
        <f>G7</f>
        <v>91</v>
      </c>
      <c r="J7" s="64">
        <f>I7/$J$3</f>
        <v>3.2900683321884379E-3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기능'!C59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99.62</v>
      </c>
      <c r="G9" s="61">
        <f>_xlfn.IFNA(VLOOKUP(D9,'인원 입력 기능(사과탐)'!$K$5:$N$59,4,FALSE),0)</f>
        <v>30</v>
      </c>
      <c r="H9" s="62">
        <f t="shared" ref="H9:H55" si="1">G9/$J$3</f>
        <v>1.0846379117104739E-3</v>
      </c>
      <c r="I9" s="72">
        <f>SUM($G$7:G9)</f>
        <v>121</v>
      </c>
      <c r="J9" s="64">
        <f>I9/$J$3</f>
        <v>4.3747062438989114E-3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76</v>
      </c>
      <c r="E10" s="59">
        <f t="shared" si="0"/>
        <v>1</v>
      </c>
      <c r="F10" s="60">
        <f t="shared" ref="F10:F55" si="4">IF(I9=0,ROUND(100*(1-(I8+I10)/2/$J$3),2),ROUND(100*(1-(I9+I10)/2/$J$3),2))</f>
        <v>99.18</v>
      </c>
      <c r="G10" s="61">
        <f>IF(D10=D9,"",_xlfn.IFNA(VLOOKUP(D10,'인원 입력 기능(사과탐)'!$K$5:$N$59,4,FALSE),0))</f>
        <v>211</v>
      </c>
      <c r="H10" s="62">
        <f t="shared" si="1"/>
        <v>7.6286199790303339E-3</v>
      </c>
      <c r="I10" s="72">
        <f>SUM($G$7:G10)</f>
        <v>332</v>
      </c>
      <c r="J10" s="64">
        <f t="shared" ref="J10:J55" si="5">I10/$J$3</f>
        <v>1.2003326222929246E-2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75</v>
      </c>
      <c r="E11" s="59">
        <f t="shared" si="0"/>
        <v>1</v>
      </c>
      <c r="F11" s="60">
        <f t="shared" si="4"/>
        <v>98.78</v>
      </c>
      <c r="G11" s="61">
        <f>IF(D11=D10,"",_xlfn.IFNA(VLOOKUP(D11,'인원 입력 기능(사과탐)'!$K$5:$N$59,4,FALSE),0))</f>
        <v>13</v>
      </c>
      <c r="H11" s="62">
        <f t="shared" si="1"/>
        <v>4.700097617412054E-4</v>
      </c>
      <c r="I11" s="72">
        <f>SUM($G$7:G11)</f>
        <v>345</v>
      </c>
      <c r="J11" s="64">
        <f t="shared" si="5"/>
        <v>1.2473335984670451E-2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기능'!C62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74</v>
      </c>
      <c r="E12" s="59">
        <f t="shared" si="0"/>
        <v>1</v>
      </c>
      <c r="F12" s="60">
        <f t="shared" si="4"/>
        <v>98.58</v>
      </c>
      <c r="G12" s="61">
        <f>IF(D12=D11,"",_xlfn.IFNA(VLOOKUP(D12,'인원 입력 기능(사과탐)'!$K$5:$N$59,4,FALSE),0))</f>
        <v>98</v>
      </c>
      <c r="H12" s="62">
        <f t="shared" si="1"/>
        <v>3.5431505115875485E-3</v>
      </c>
      <c r="I12" s="72">
        <f>SUM($G$7:G12)</f>
        <v>443</v>
      </c>
      <c r="J12" s="64">
        <f t="shared" si="5"/>
        <v>1.6016486496258E-2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기능'!C63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73</v>
      </c>
      <c r="E13" s="59">
        <f t="shared" si="0"/>
        <v>1</v>
      </c>
      <c r="F13" s="60">
        <f t="shared" si="4"/>
        <v>97.85</v>
      </c>
      <c r="G13" s="61">
        <f>IF(D13=D12,"",_xlfn.IFNA(VLOOKUP(D13,'인원 입력 기능(사과탐)'!$K$5:$N$59,4,FALSE),0))</f>
        <v>305</v>
      </c>
      <c r="H13" s="62">
        <f t="shared" si="1"/>
        <v>1.1027152102389819E-2</v>
      </c>
      <c r="I13" s="72">
        <f>SUM($G$7:G13)</f>
        <v>748</v>
      </c>
      <c r="J13" s="64">
        <f t="shared" si="5"/>
        <v>2.7043638598647817E-2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72</v>
      </c>
      <c r="E14" s="59">
        <f t="shared" si="0"/>
        <v>1</v>
      </c>
      <c r="F14" s="60">
        <f t="shared" si="4"/>
        <v>97.24</v>
      </c>
      <c r="G14" s="61">
        <f>IF(D14=D13,"",_xlfn.IFNA(VLOOKUP(D14,'인원 입력 기능(사과탐)'!$K$5:$N$59,4,FALSE),0))</f>
        <v>33</v>
      </c>
      <c r="H14" s="62">
        <f t="shared" si="1"/>
        <v>1.1931017028815214E-3</v>
      </c>
      <c r="I14" s="72">
        <f>SUM($G$7:G14)</f>
        <v>781</v>
      </c>
      <c r="J14" s="64">
        <f t="shared" si="5"/>
        <v>2.8236740301529339E-2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71</v>
      </c>
      <c r="E15" s="59">
        <f t="shared" si="0"/>
        <v>1</v>
      </c>
      <c r="F15" s="60">
        <f t="shared" si="4"/>
        <v>96.76</v>
      </c>
      <c r="G15" s="61">
        <f>IF(D15=D14,"",_xlfn.IFNA(VLOOKUP(D15,'인원 입력 기능(사과탐)'!$K$5:$N$59,4,FALSE),0))</f>
        <v>230</v>
      </c>
      <c r="H15" s="62">
        <f t="shared" si="1"/>
        <v>8.3155573231136343E-3</v>
      </c>
      <c r="I15" s="72">
        <f>SUM($G$7:G15)</f>
        <v>1011</v>
      </c>
      <c r="J15" s="64">
        <f t="shared" si="5"/>
        <v>3.6552297624642974E-2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70</v>
      </c>
      <c r="E16" s="59">
        <f t="shared" si="0"/>
        <v>1</v>
      </c>
      <c r="F16" s="60">
        <f t="shared" si="4"/>
        <v>95.77</v>
      </c>
      <c r="G16" s="61">
        <f>IF(D16=D15,"",_xlfn.IFNA(VLOOKUP(D16,'인원 입력 기능(사과탐)'!$K$5:$N$59,4,FALSE),0))</f>
        <v>316</v>
      </c>
      <c r="H16" s="62">
        <f t="shared" si="1"/>
        <v>1.1424852670016993E-2</v>
      </c>
      <c r="I16" s="72">
        <f>SUM($G$7:G16)</f>
        <v>1327</v>
      </c>
      <c r="J16" s="64">
        <f t="shared" si="5"/>
        <v>4.7977150294659966E-2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69</v>
      </c>
      <c r="E17" s="59">
        <f t="shared" si="0"/>
        <v>2</v>
      </c>
      <c r="F17" s="60">
        <f t="shared" si="4"/>
        <v>95.01</v>
      </c>
      <c r="G17" s="61">
        <f>IF(D17=D16,"",_xlfn.IFNA(VLOOKUP(D17,'인원 입력 기능(사과탐)'!$K$5:$N$59,4,FALSE),0))</f>
        <v>107</v>
      </c>
      <c r="H17" s="62">
        <f t="shared" si="1"/>
        <v>3.8685418851006907E-3</v>
      </c>
      <c r="I17" s="72">
        <f>SUM($G$7:G17)</f>
        <v>1434</v>
      </c>
      <c r="J17" s="64">
        <f t="shared" si="5"/>
        <v>5.1845692179760657E-2</v>
      </c>
      <c r="K17" s="36"/>
      <c r="L17" s="20" t="str">
        <f t="shared" si="2"/>
        <v/>
      </c>
      <c r="N17" s="24"/>
      <c r="Q17" s="24">
        <f>Q7*H3*H4*J3*IFERROR(IF(J57=1, 1, 0), 0)</f>
        <v>409755776.74499995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68</v>
      </c>
      <c r="E18" s="59">
        <f t="shared" si="0"/>
        <v>2</v>
      </c>
      <c r="F18" s="60">
        <f t="shared" si="4"/>
        <v>94.16</v>
      </c>
      <c r="G18" s="61">
        <f>IF(D18=D17,"",_xlfn.IFNA(VLOOKUP(D18,'인원 입력 기능(사과탐)'!$K$5:$N$59,4,FALSE),0))</f>
        <v>361</v>
      </c>
      <c r="H18" s="62">
        <f t="shared" si="1"/>
        <v>1.3051809537582703E-2</v>
      </c>
      <c r="I18" s="72">
        <f>SUM($G$7:G18)</f>
        <v>1795</v>
      </c>
      <c r="J18" s="64">
        <f t="shared" si="5"/>
        <v>6.4897501717343362E-2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92.85</v>
      </c>
      <c r="G19" s="61">
        <f>IF(D19=D18,"",_xlfn.IFNA(VLOOKUP(D19,'인원 입력 기능(사과탐)'!$K$5:$N$59,4,FALSE),0))</f>
        <v>365</v>
      </c>
      <c r="H19" s="62">
        <f t="shared" si="1"/>
        <v>1.3196427925810767E-2</v>
      </c>
      <c r="I19" s="72">
        <f>SUM($G$7:G19)</f>
        <v>2160</v>
      </c>
      <c r="J19" s="64">
        <f t="shared" si="5"/>
        <v>7.8093929643154134E-2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66</v>
      </c>
      <c r="E20" s="59">
        <f t="shared" si="0"/>
        <v>2</v>
      </c>
      <c r="F20" s="60">
        <f t="shared" si="4"/>
        <v>91.78</v>
      </c>
      <c r="G20" s="61">
        <f>IF(D20=D19,"",_xlfn.IFNA(VLOOKUP(D20,'인원 입력 기능(사과탐)'!$K$5:$N$59,4,FALSE),0))</f>
        <v>227</v>
      </c>
      <c r="H20" s="62">
        <f t="shared" si="1"/>
        <v>8.2070935319425858E-3</v>
      </c>
      <c r="I20" s="72">
        <f>SUM($G$7:G20)</f>
        <v>2387</v>
      </c>
      <c r="J20" s="64">
        <f t="shared" si="5"/>
        <v>8.6301023175096719E-2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65</v>
      </c>
      <c r="E21" s="74">
        <f t="shared" si="0"/>
        <v>2</v>
      </c>
      <c r="F21" s="60">
        <f t="shared" si="4"/>
        <v>90.54</v>
      </c>
      <c r="G21" s="61">
        <f>IF(D21=D20,"",_xlfn.IFNA(VLOOKUP(D21,'인원 입력 기능(사과탐)'!$K$5:$N$59,4,FALSE),0))</f>
        <v>457</v>
      </c>
      <c r="H21" s="62">
        <f t="shared" si="1"/>
        <v>1.652265085505622E-2</v>
      </c>
      <c r="I21" s="72">
        <f>SUM($G$7:G21)</f>
        <v>2844</v>
      </c>
      <c r="J21" s="64">
        <f t="shared" si="5"/>
        <v>0.10282367403015294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64</v>
      </c>
      <c r="E22" s="74">
        <f t="shared" si="0"/>
        <v>2</v>
      </c>
      <c r="F22" s="60">
        <f t="shared" si="4"/>
        <v>89.08</v>
      </c>
      <c r="G22" s="61">
        <f>IF(D22=D21,"",_xlfn.IFNA(VLOOKUP(D22,'인원 입력 기능(사과탐)'!$K$5:$N$59,4,FALSE),0))</f>
        <v>353</v>
      </c>
      <c r="H22" s="62">
        <f t="shared" si="1"/>
        <v>1.2762572761126577E-2</v>
      </c>
      <c r="I22" s="72">
        <f>SUM($G$7:G22)</f>
        <v>3197</v>
      </c>
      <c r="J22" s="64">
        <f t="shared" si="5"/>
        <v>0.11558624679127952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63</v>
      </c>
      <c r="E23" s="74">
        <f t="shared" si="0"/>
        <v>3</v>
      </c>
      <c r="F23" s="60">
        <f t="shared" si="4"/>
        <v>87.75</v>
      </c>
      <c r="G23" s="61">
        <f>IF(D23=D22,"",_xlfn.IFNA(VLOOKUP(D23,'인원 입력 기능(사과탐)'!$K$5:$N$59,4,FALSE),0))</f>
        <v>385</v>
      </c>
      <c r="H23" s="62">
        <f t="shared" si="1"/>
        <v>1.3919519866951082E-2</v>
      </c>
      <c r="I23" s="72">
        <f>SUM($G$7:G23)</f>
        <v>3582</v>
      </c>
      <c r="J23" s="64">
        <f t="shared" si="5"/>
        <v>0.1295057666582306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62</v>
      </c>
      <c r="E24" s="74">
        <f t="shared" si="0"/>
        <v>3</v>
      </c>
      <c r="F24" s="60">
        <f t="shared" si="4"/>
        <v>86.04</v>
      </c>
      <c r="G24" s="61">
        <f>IF(D24=D23,"",_xlfn.IFNA(VLOOKUP(D24,'인원 입력 기능(사과탐)'!$K$5:$N$59,4,FALSE),0))</f>
        <v>560</v>
      </c>
      <c r="H24" s="62">
        <f t="shared" si="1"/>
        <v>2.0246574351928847E-2</v>
      </c>
      <c r="I24" s="72">
        <f>SUM($G$7:G24)</f>
        <v>4142</v>
      </c>
      <c r="J24" s="64">
        <f t="shared" si="5"/>
        <v>0.14975234101015944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61</v>
      </c>
      <c r="E25" s="74">
        <f t="shared" si="0"/>
        <v>3</v>
      </c>
      <c r="F25" s="60">
        <f t="shared" si="4"/>
        <v>84.12</v>
      </c>
      <c r="G25" s="61">
        <f>IF(D25=D24,"",_xlfn.IFNA(VLOOKUP(D25,'인원 입력 기능(사과탐)'!$K$5:$N$59,4,FALSE),0))</f>
        <v>499</v>
      </c>
      <c r="H25" s="62">
        <f t="shared" si="1"/>
        <v>1.8041143931450884E-2</v>
      </c>
      <c r="I25" s="72">
        <f>SUM($G$7:G25)</f>
        <v>4641</v>
      </c>
      <c r="J25" s="64">
        <f t="shared" si="5"/>
        <v>0.16779348494161034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60</v>
      </c>
      <c r="E26" s="74">
        <f t="shared" si="0"/>
        <v>3</v>
      </c>
      <c r="F26" s="60">
        <f t="shared" si="4"/>
        <v>82.16</v>
      </c>
      <c r="G26" s="61">
        <f>IF(D26=D25,"",_xlfn.IFNA(VLOOKUP(D26,'인원 입력 기능(사과탐)'!$K$5:$N$59,4,FALSE),0))</f>
        <v>586</v>
      </c>
      <c r="H26" s="62">
        <f t="shared" si="1"/>
        <v>2.1186593875411257E-2</v>
      </c>
      <c r="I26" s="72">
        <f>SUM($G$7:G26)</f>
        <v>5227</v>
      </c>
      <c r="J26" s="64">
        <f t="shared" si="5"/>
        <v>0.18898007881702159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59</v>
      </c>
      <c r="E27" s="74">
        <f t="shared" si="0"/>
        <v>3</v>
      </c>
      <c r="F27" s="60">
        <f t="shared" si="4"/>
        <v>79.98</v>
      </c>
      <c r="G27" s="61">
        <f>IF(D27=D26,"",_xlfn.IFNA(VLOOKUP(D27,'인원 입력 기능(사과탐)'!$K$5:$N$59,4,FALSE),0))</f>
        <v>619</v>
      </c>
      <c r="H27" s="62">
        <f t="shared" si="1"/>
        <v>2.237969557829278E-2</v>
      </c>
      <c r="I27" s="72">
        <f>SUM($G$7:G27)</f>
        <v>5846</v>
      </c>
      <c r="J27" s="64">
        <f t="shared" si="5"/>
        <v>0.21135977439531436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58</v>
      </c>
      <c r="E28" s="74">
        <f t="shared" si="0"/>
        <v>3</v>
      </c>
      <c r="F28" s="60">
        <f t="shared" si="4"/>
        <v>77.81</v>
      </c>
      <c r="G28" s="61">
        <f>IF(D28=D27,"",_xlfn.IFNA(VLOOKUP(D28,'인원 입력 기능(사과탐)'!$K$5:$N$59,4,FALSE),0))</f>
        <v>581</v>
      </c>
      <c r="H28" s="62">
        <f t="shared" si="1"/>
        <v>2.1005820890126179E-2</v>
      </c>
      <c r="I28" s="72">
        <f>SUM($G$7:G28)</f>
        <v>6427</v>
      </c>
      <c r="J28" s="64">
        <f t="shared" si="5"/>
        <v>0.23236559528544054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57</v>
      </c>
      <c r="E29" s="74">
        <f t="shared" si="0"/>
        <v>4</v>
      </c>
      <c r="F29" s="60">
        <f t="shared" si="4"/>
        <v>75.400000000000006</v>
      </c>
      <c r="G29" s="61">
        <f>IF(D29=D28,"",_xlfn.IFNA(VLOOKUP(D29,'인원 입력 기능(사과탐)'!$K$5:$N$59,4,FALSE),0))</f>
        <v>755</v>
      </c>
      <c r="H29" s="62">
        <f t="shared" si="1"/>
        <v>2.7296720778046929E-2</v>
      </c>
      <c r="I29" s="72">
        <f>SUM($G$7:G29)</f>
        <v>7182</v>
      </c>
      <c r="J29" s="64">
        <f t="shared" si="5"/>
        <v>0.2596623160634875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56</v>
      </c>
      <c r="E30" s="74">
        <f t="shared" si="0"/>
        <v>4</v>
      </c>
      <c r="F30" s="60">
        <f t="shared" si="4"/>
        <v>72.7</v>
      </c>
      <c r="G30" s="61">
        <f>IF(D30=D29,"",_xlfn.IFNA(VLOOKUP(D30,'인원 입력 기능(사과탐)'!$K$5:$N$59,4,FALSE),0))</f>
        <v>739</v>
      </c>
      <c r="H30" s="62">
        <f t="shared" si="1"/>
        <v>2.6718247225134675E-2</v>
      </c>
      <c r="I30" s="72">
        <f>SUM($G$7:G30)</f>
        <v>7921</v>
      </c>
      <c r="J30" s="64">
        <f t="shared" si="5"/>
        <v>0.28638056328862216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55</v>
      </c>
      <c r="E31" s="74">
        <f t="shared" si="0"/>
        <v>4</v>
      </c>
      <c r="F31" s="60">
        <f t="shared" si="4"/>
        <v>69.86</v>
      </c>
      <c r="G31" s="61">
        <f>IF(D31=D30,"",_xlfn.IFNA(VLOOKUP(D31,'인원 입력 기능(사과탐)'!$K$5:$N$59,4,FALSE),0))</f>
        <v>832</v>
      </c>
      <c r="H31" s="62">
        <f t="shared" si="1"/>
        <v>3.0080624751437145E-2</v>
      </c>
      <c r="I31" s="72">
        <f>SUM($G$7:G31)</f>
        <v>8753</v>
      </c>
      <c r="J31" s="64">
        <f t="shared" si="5"/>
        <v>0.31646118804005929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54</v>
      </c>
      <c r="E32" s="74">
        <f t="shared" si="0"/>
        <v>4</v>
      </c>
      <c r="F32" s="60">
        <f t="shared" si="4"/>
        <v>66.849999999999994</v>
      </c>
      <c r="G32" s="61">
        <f>IF(D32=D31,"",_xlfn.IFNA(VLOOKUP(D32,'인원 입력 기능(사과탐)'!$K$5:$N$59,4,FALSE),0))</f>
        <v>832</v>
      </c>
      <c r="H32" s="62">
        <f t="shared" si="1"/>
        <v>3.0080624751437145E-2</v>
      </c>
      <c r="I32" s="72">
        <f>SUM($G$7:G32)</f>
        <v>9585</v>
      </c>
      <c r="J32" s="64">
        <f t="shared" si="5"/>
        <v>0.34654181279149643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53</v>
      </c>
      <c r="E33" s="74">
        <f t="shared" si="0"/>
        <v>4</v>
      </c>
      <c r="F33" s="60">
        <f t="shared" si="4"/>
        <v>63.8</v>
      </c>
      <c r="G33" s="61">
        <f>IF(D33=D32,"",_xlfn.IFNA(VLOOKUP(D33,'인원 입력 기능(사과탐)'!$K$5:$N$59,4,FALSE),0))</f>
        <v>856</v>
      </c>
      <c r="H33" s="62">
        <f t="shared" si="1"/>
        <v>3.0948335080805526E-2</v>
      </c>
      <c r="I33" s="72">
        <f>SUM($G$7:G33)</f>
        <v>10441</v>
      </c>
      <c r="J33" s="64">
        <f t="shared" si="5"/>
        <v>0.37749014787230195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52</v>
      </c>
      <c r="E34" s="74">
        <f t="shared" si="0"/>
        <v>4</v>
      </c>
      <c r="F34" s="60">
        <f t="shared" si="4"/>
        <v>60.54</v>
      </c>
      <c r="G34" s="61">
        <f>IF(D34=D33,"",_xlfn.IFNA(VLOOKUP(D34,'인원 입력 기능(사과탐)'!$K$5:$N$59,4,FALSE),0))</f>
        <v>946</v>
      </c>
      <c r="H34" s="62">
        <f t="shared" si="1"/>
        <v>3.4202248815936948E-2</v>
      </c>
      <c r="I34" s="72">
        <f>SUM($G$7:G34)</f>
        <v>11387</v>
      </c>
      <c r="J34" s="64">
        <f t="shared" si="5"/>
        <v>0.41169239668823893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5</v>
      </c>
      <c r="F35" s="60">
        <f t="shared" si="4"/>
        <v>57.28</v>
      </c>
      <c r="G35" s="61">
        <f>IF(D35=D34,"",_xlfn.IFNA(VLOOKUP(D35,'인원 입력 기능(사과탐)'!$K$5:$N$59,4,FALSE),0))</f>
        <v>857</v>
      </c>
      <c r="H35" s="62">
        <f t="shared" si="1"/>
        <v>3.0984489677862541E-2</v>
      </c>
      <c r="I35" s="72">
        <f>SUM($G$7:G35)</f>
        <v>12244</v>
      </c>
      <c r="J35" s="64">
        <f t="shared" si="5"/>
        <v>0.44267688636610147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5</v>
      </c>
      <c r="F36" s="60">
        <f t="shared" si="4"/>
        <v>53.97</v>
      </c>
      <c r="G36" s="61">
        <f>IF(D36=D35,"",_xlfn.IFNA(VLOOKUP(D36,'인원 입력 기능(사과탐)'!$K$5:$N$59,4,FALSE),0))</f>
        <v>974</v>
      </c>
      <c r="H36" s="62">
        <f t="shared" si="1"/>
        <v>3.5214577533533388E-2</v>
      </c>
      <c r="I36" s="72">
        <f>SUM($G$7:G36)</f>
        <v>13218</v>
      </c>
      <c r="J36" s="64">
        <f t="shared" si="5"/>
        <v>0.47789146389963483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50.47</v>
      </c>
      <c r="G37" s="61">
        <f>IF(D37=D36,"",_xlfn.IFNA(VLOOKUP(D37,'인원 입력 기능(사과탐)'!$K$5:$N$59,4,FALSE),0))</f>
        <v>963</v>
      </c>
      <c r="H37" s="62">
        <f t="shared" si="1"/>
        <v>3.4816876965906213E-2</v>
      </c>
      <c r="I37" s="72">
        <f>SUM($G$7:G37)</f>
        <v>14181</v>
      </c>
      <c r="J37" s="64">
        <f t="shared" si="5"/>
        <v>0.51270834086554107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47</v>
      </c>
      <c r="G38" s="61">
        <f>IF(D38=D37,"",_xlfn.IFNA(VLOOKUP(D38,'인원 입력 기능(사과탐)'!$K$5:$N$59,4,FALSE),0))</f>
        <v>954</v>
      </c>
      <c r="H38" s="62">
        <f t="shared" si="1"/>
        <v>3.4491485592393074E-2</v>
      </c>
      <c r="I38" s="72">
        <f>SUM($G$7:G38)</f>
        <v>15135</v>
      </c>
      <c r="J38" s="64">
        <f t="shared" si="5"/>
        <v>0.54719982645793408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43.49</v>
      </c>
      <c r="G39" s="61">
        <f>IF(D39=D38,"",_xlfn.IFNA(VLOOKUP(D39,'인원 입력 기능(사과탐)'!$K$5:$N$59,4,FALSE),0))</f>
        <v>988</v>
      </c>
      <c r="H39" s="62">
        <f t="shared" si="1"/>
        <v>3.5720741892331612E-2</v>
      </c>
      <c r="I39" s="72">
        <f>SUM($G$7:G39)</f>
        <v>16123</v>
      </c>
      <c r="J39" s="64">
        <f t="shared" si="5"/>
        <v>0.58292056835026573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40.1</v>
      </c>
      <c r="G40" s="61">
        <f>IF(D40=D39,"",_xlfn.IFNA(VLOOKUP(D40,'인원 입력 기능(사과탐)'!$K$5:$N$59,4,FALSE),0))</f>
        <v>892</v>
      </c>
      <c r="H40" s="62">
        <f t="shared" si="1"/>
        <v>3.2249900574858097E-2</v>
      </c>
      <c r="I40" s="72">
        <f>SUM($G$7:G40)</f>
        <v>17015</v>
      </c>
      <c r="J40" s="64">
        <f t="shared" si="5"/>
        <v>0.61517046892512384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36.630000000000003</v>
      </c>
      <c r="G41" s="61">
        <f>IF(D41=D40,"",_xlfn.IFNA(VLOOKUP(D41,'인원 입력 기능(사과탐)'!$K$5:$N$59,4,FALSE),0))</f>
        <v>1026</v>
      </c>
      <c r="H41" s="62">
        <f t="shared" si="1"/>
        <v>3.7094616580498209E-2</v>
      </c>
      <c r="I41" s="72">
        <f>SUM($G$7:G41)</f>
        <v>18041</v>
      </c>
      <c r="J41" s="64">
        <f t="shared" si="5"/>
        <v>0.65226508550562201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33.159999999999997</v>
      </c>
      <c r="G42" s="61">
        <f>IF(D42=D41,"",_xlfn.IFNA(VLOOKUP(D42,'인원 입력 기능(사과탐)'!$K$5:$N$59,4,FALSE),0))</f>
        <v>895</v>
      </c>
      <c r="H42" s="62">
        <f t="shared" si="1"/>
        <v>3.2358364366029138E-2</v>
      </c>
      <c r="I42" s="72">
        <f>SUM($G$7:G42)</f>
        <v>18936</v>
      </c>
      <c r="J42" s="64">
        <f t="shared" si="5"/>
        <v>0.68462344987165114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27.31</v>
      </c>
      <c r="G43" s="61">
        <f>IF(D43=D42,"",_xlfn.IFNA(VLOOKUP(D43,'인원 입력 기능(사과탐)'!$K$5:$N$59,4,FALSE),0))</f>
        <v>2337</v>
      </c>
      <c r="H43" s="62">
        <f t="shared" si="1"/>
        <v>8.4493293322245921E-2</v>
      </c>
      <c r="I43" s="72">
        <f>SUM($G$7:G43)</f>
        <v>21273</v>
      </c>
      <c r="J43" s="64">
        <f t="shared" si="5"/>
        <v>0.76911674319389711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21.67</v>
      </c>
      <c r="G44" s="61">
        <f>IF(D44=D43,"",_xlfn.IFNA(VLOOKUP(D44,'인원 입력 기능(사과탐)'!$K$5:$N$59,4,FALSE),0))</f>
        <v>783</v>
      </c>
      <c r="H44" s="62">
        <f t="shared" si="1"/>
        <v>2.8309049495643369E-2</v>
      </c>
      <c r="I44" s="72">
        <f>SUM($G$7:G44)</f>
        <v>22056</v>
      </c>
      <c r="J44" s="64">
        <f t="shared" si="5"/>
        <v>0.7974257926895405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7</v>
      </c>
      <c r="F45" s="60">
        <f t="shared" si="4"/>
        <v>17.59</v>
      </c>
      <c r="G45" s="61">
        <f>IF(D45=D44,"",_xlfn.IFNA(VLOOKUP(D45,'인원 입력 기능(사과탐)'!$K$5:$N$59,4,FALSE),0))</f>
        <v>1477</v>
      </c>
      <c r="H45" s="62">
        <f t="shared" si="1"/>
        <v>5.3400339853212339E-2</v>
      </c>
      <c r="I45" s="72">
        <f>SUM($G$7:G45)</f>
        <v>23533</v>
      </c>
      <c r="J45" s="64">
        <f t="shared" si="5"/>
        <v>0.85082613254275286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13.69</v>
      </c>
      <c r="G46" s="61">
        <f>IF(D46=D45,"",_xlfn.IFNA(VLOOKUP(D46,'인원 입력 기능(사과탐)'!$K$5:$N$59,4,FALSE),0))</f>
        <v>679</v>
      </c>
      <c r="H46" s="62">
        <f t="shared" si="1"/>
        <v>2.4548971401713728E-2</v>
      </c>
      <c r="I46" s="72">
        <f>SUM($G$7:G46)</f>
        <v>24212</v>
      </c>
      <c r="J46" s="64">
        <f t="shared" si="5"/>
        <v>0.87537510394446649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39</v>
      </c>
      <c r="E47" s="74">
        <f t="shared" si="6"/>
        <v>7</v>
      </c>
      <c r="F47" s="60">
        <f t="shared" si="4"/>
        <v>11.3</v>
      </c>
      <c r="G47" s="61">
        <f>IF(D47=D46,"",_xlfn.IFNA(VLOOKUP(D47,'인원 입력 기능(사과탐)'!$K$5:$N$59,4,FALSE),0))</f>
        <v>641</v>
      </c>
      <c r="H47" s="62">
        <f t="shared" si="1"/>
        <v>2.3175096713547127E-2</v>
      </c>
      <c r="I47" s="72">
        <f>SUM($G$7:G47)</f>
        <v>24853</v>
      </c>
      <c r="J47" s="64">
        <f t="shared" si="5"/>
        <v>0.89855020065801372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8</v>
      </c>
      <c r="F48" s="60">
        <f t="shared" si="4"/>
        <v>8.6300000000000008</v>
      </c>
      <c r="G48" s="61">
        <f>IF(D48=D47,"",_xlfn.IFNA(VLOOKUP(D48,'인원 입력 기능(사과탐)'!$K$5:$N$59,4,FALSE),0))</f>
        <v>838</v>
      </c>
      <c r="H48" s="62">
        <f t="shared" si="1"/>
        <v>3.0297552333779239E-2</v>
      </c>
      <c r="I48" s="72">
        <f>SUM($G$7:G48)</f>
        <v>25691</v>
      </c>
      <c r="J48" s="64">
        <f t="shared" si="5"/>
        <v>0.9288477529917929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6.18</v>
      </c>
      <c r="G49" s="61">
        <f>IF(D49=D48,"",_xlfn.IFNA(VLOOKUP(D49,'인원 입력 기능(사과탐)'!$K$5:$N$59,4,FALSE),0))</f>
        <v>520</v>
      </c>
      <c r="H49" s="62">
        <f t="shared" si="1"/>
        <v>1.8800390469648216E-2</v>
      </c>
      <c r="I49" s="72">
        <f>SUM($G$7:G49)</f>
        <v>26211</v>
      </c>
      <c r="J49" s="64">
        <f t="shared" si="5"/>
        <v>0.94764814346144111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4.16</v>
      </c>
      <c r="G50" s="61">
        <f>IF(D50=D49,"",_xlfn.IFNA(VLOOKUP(D50,'인원 입력 기능(사과탐)'!$K$5:$N$59,4,FALSE),0))</f>
        <v>594</v>
      </c>
      <c r="H50" s="62">
        <f t="shared" si="1"/>
        <v>2.1475830651867384E-2</v>
      </c>
      <c r="I50" s="72">
        <f>SUM($G$7:G50)</f>
        <v>26805</v>
      </c>
      <c r="J50" s="64">
        <f t="shared" si="5"/>
        <v>0.96912397411330853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2.64</v>
      </c>
      <c r="G51" s="61">
        <f>IF(D51=D50,"",_xlfn.IFNA(VLOOKUP(D51,'인원 입력 기능(사과탐)'!$K$5:$N$59,4,FALSE),0))</f>
        <v>249</v>
      </c>
      <c r="H51" s="62">
        <f t="shared" si="1"/>
        <v>9.0024946671969346E-3</v>
      </c>
      <c r="I51" s="72">
        <f>SUM($G$7:G51)</f>
        <v>27054</v>
      </c>
      <c r="J51" s="64">
        <f t="shared" si="5"/>
        <v>0.97812646878050546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1.72</v>
      </c>
      <c r="G52" s="61">
        <f>IF(D52=D51,"",_xlfn.IFNA(VLOOKUP(D52,'인원 입력 기능(사과탐)'!$K$5:$N$59,4,FALSE),0))</f>
        <v>261</v>
      </c>
      <c r="H52" s="62">
        <f t="shared" si="1"/>
        <v>9.4363498318811231E-3</v>
      </c>
      <c r="I52" s="72">
        <f>SUM($G$7:G52)</f>
        <v>27315</v>
      </c>
      <c r="J52" s="64">
        <f t="shared" si="5"/>
        <v>0.98756281861238659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1.01</v>
      </c>
      <c r="G53" s="61">
        <f>IF(D53=D52,"",_xlfn.IFNA(VLOOKUP(D53,'인원 입력 기능(사과탐)'!$K$5:$N$59,4,FALSE),0))</f>
        <v>132</v>
      </c>
      <c r="H53" s="62">
        <f t="shared" si="1"/>
        <v>4.7724068115260858E-3</v>
      </c>
      <c r="I53" s="72">
        <f>SUM($G$7:G53)</f>
        <v>27447</v>
      </c>
      <c r="J53" s="64">
        <f t="shared" si="5"/>
        <v>0.99233522542391261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0.64</v>
      </c>
      <c r="G54" s="61">
        <f>IF(D54=D53,"",_xlfn.IFNA(VLOOKUP(D54,'인원 입력 기능(사과탐)'!$K$5:$N$59,4,FALSE),0))</f>
        <v>71</v>
      </c>
      <c r="H54" s="62">
        <f t="shared" si="1"/>
        <v>2.5669763910481217E-3</v>
      </c>
      <c r="I54" s="72">
        <f>SUM($G$7:G54)</f>
        <v>27518</v>
      </c>
      <c r="J54" s="64">
        <f t="shared" si="5"/>
        <v>0.99490220181496081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0.31</v>
      </c>
      <c r="G55" s="61">
        <f>IF(D55=D54,"",_xlfn.IFNA(VLOOKUP(D55,'인원 입력 기능(사과탐)'!$K$5:$N$59,4,FALSE),0))</f>
        <v>112</v>
      </c>
      <c r="H55" s="62">
        <f t="shared" si="1"/>
        <v>4.0493148703857696E-3</v>
      </c>
      <c r="I55" s="72">
        <f>SUM($G$7:G55)</f>
        <v>27630</v>
      </c>
      <c r="J55" s="64">
        <f t="shared" si="5"/>
        <v>0.99895151668534654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기능(사과탐)'!$K$5:$N$59,4,FALSE),0)</f>
        <v>29</v>
      </c>
      <c r="H57" s="81">
        <f>G57/$J$3</f>
        <v>1.0484833146534582E-3</v>
      </c>
      <c r="I57" s="82">
        <f>SUM($G$7:G57)</f>
        <v>27659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57">
    <cfRule type="expression" dxfId="41" priority="2">
      <formula>$D7=$D8</formula>
    </cfRule>
  </conditionalFormatting>
  <conditionalFormatting sqref="H7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기능'!D11</f>
        <v>20.22</v>
      </c>
      <c r="I3" s="21" t="s">
        <v>70</v>
      </c>
      <c r="J3" s="50">
        <f>'통계 및 응시자 수 입력 기능'!C11</f>
        <v>22970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101</v>
      </c>
      <c r="E4" s="216"/>
      <c r="F4" s="217"/>
      <c r="G4" s="52" t="s">
        <v>73</v>
      </c>
      <c r="H4" s="53">
        <f>'통계 및 응시자 수 입력 기능'!E11</f>
        <v>10.19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99.85</v>
      </c>
      <c r="G7" s="61">
        <f>_xlfn.IFNA(VLOOKUP(D7,'인원 입력 기능(사과탐)'!$P$5:$S$59,4,FALSE),0)</f>
        <v>67</v>
      </c>
      <c r="H7" s="62">
        <f>G7/$J$3</f>
        <v>2.9168480626904658E-3</v>
      </c>
      <c r="I7" s="63">
        <f>G7</f>
        <v>67</v>
      </c>
      <c r="J7" s="64">
        <f>I7/$J$3</f>
        <v>2.9168480626904658E-3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기능'!C68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99.62</v>
      </c>
      <c r="G9" s="61">
        <f>_xlfn.IFNA(VLOOKUP(D9,'인원 입력 기능(사과탐)'!$P$5:$S$59,4,FALSE),0)</f>
        <v>41</v>
      </c>
      <c r="H9" s="62">
        <f t="shared" ref="H9:H55" si="1">G9/$J$3</f>
        <v>1.7849368741837178E-3</v>
      </c>
      <c r="I9" s="72">
        <f>SUM($G$7:G9)</f>
        <v>108</v>
      </c>
      <c r="J9" s="64">
        <f>I9/$J$3</f>
        <v>4.7017849368741838E-3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76</v>
      </c>
      <c r="E10" s="59">
        <f t="shared" si="0"/>
        <v>1</v>
      </c>
      <c r="F10" s="60">
        <f t="shared" ref="F10:F55" si="4">IF(I9=0,ROUND(100*(1-(I8+I10)/2/$J$3),2),ROUND(100*(1-(I9+I10)/2/$J$3),2))</f>
        <v>99.32</v>
      </c>
      <c r="G10" s="61">
        <f>IF(D10=D9,"",_xlfn.IFNA(VLOOKUP(D10,'인원 입력 기능(사과탐)'!$P$5:$S$59,4,FALSE),0))</f>
        <v>98</v>
      </c>
      <c r="H10" s="62">
        <f t="shared" si="1"/>
        <v>4.2664344797562039E-3</v>
      </c>
      <c r="I10" s="72">
        <f>SUM($G$7:G10)</f>
        <v>206</v>
      </c>
      <c r="J10" s="64">
        <f t="shared" ref="J10:J55" si="5">I10/$J$3</f>
        <v>8.9682194166303877E-3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75</v>
      </c>
      <c r="E11" s="59">
        <f t="shared" si="0"/>
        <v>1</v>
      </c>
      <c r="F11" s="60">
        <f t="shared" si="4"/>
        <v>99.07</v>
      </c>
      <c r="G11" s="61">
        <f>IF(D11=D10,"",_xlfn.IFNA(VLOOKUP(D11,'인원 입력 기능(사과탐)'!$P$5:$S$59,4,FALSE),0))</f>
        <v>16</v>
      </c>
      <c r="H11" s="62">
        <f t="shared" si="1"/>
        <v>6.9656073138876795E-4</v>
      </c>
      <c r="I11" s="72">
        <f>SUM($G$7:G11)</f>
        <v>222</v>
      </c>
      <c r="J11" s="64">
        <f t="shared" si="5"/>
        <v>9.6647801480191555E-3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74</v>
      </c>
      <c r="E12" s="59">
        <f t="shared" si="0"/>
        <v>1</v>
      </c>
      <c r="F12" s="60">
        <f t="shared" si="4"/>
        <v>98.7</v>
      </c>
      <c r="G12" s="61">
        <f>IF(D12=D11,"",_xlfn.IFNA(VLOOKUP(D12,'인원 입력 기능(사과탐)'!$P$5:$S$59,4,FALSE),0))</f>
        <v>155</v>
      </c>
      <c r="H12" s="62">
        <f t="shared" si="1"/>
        <v>6.7479320853286893E-3</v>
      </c>
      <c r="I12" s="72">
        <f>SUM($G$7:G12)</f>
        <v>377</v>
      </c>
      <c r="J12" s="64">
        <f t="shared" si="5"/>
        <v>1.6412712233347844E-2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기능'!C72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73</v>
      </c>
      <c r="E13" s="59">
        <f t="shared" si="0"/>
        <v>1</v>
      </c>
      <c r="F13" s="60">
        <f t="shared" si="4"/>
        <v>98.11</v>
      </c>
      <c r="G13" s="61">
        <f>IF(D13=D12,"",_xlfn.IFNA(VLOOKUP(D13,'인원 입력 기능(사과탐)'!$P$5:$S$59,4,FALSE),0))</f>
        <v>115</v>
      </c>
      <c r="H13" s="62">
        <f t="shared" si="1"/>
        <v>5.0065302568567697E-3</v>
      </c>
      <c r="I13" s="72">
        <f>SUM($G$7:G13)</f>
        <v>492</v>
      </c>
      <c r="J13" s="64">
        <f t="shared" si="5"/>
        <v>2.1419242490204615E-2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기능'!C73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72</v>
      </c>
      <c r="E14" s="59">
        <f t="shared" si="0"/>
        <v>1</v>
      </c>
      <c r="F14" s="60">
        <f t="shared" si="4"/>
        <v>97.68</v>
      </c>
      <c r="G14" s="61">
        <f>IF(D14=D13,"",_xlfn.IFNA(VLOOKUP(D14,'인원 입력 기능(사과탐)'!$P$5:$S$59,4,FALSE),0))</f>
        <v>81</v>
      </c>
      <c r="H14" s="62">
        <f t="shared" si="1"/>
        <v>3.5263387026556376E-3</v>
      </c>
      <c r="I14" s="72">
        <f>SUM($G$7:G14)</f>
        <v>573</v>
      </c>
      <c r="J14" s="64">
        <f t="shared" si="5"/>
        <v>2.4945581192860253E-2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71</v>
      </c>
      <c r="E15" s="59">
        <f t="shared" si="0"/>
        <v>1</v>
      </c>
      <c r="F15" s="60">
        <f t="shared" si="4"/>
        <v>97.07</v>
      </c>
      <c r="G15" s="61">
        <f>IF(D15=D14,"",_xlfn.IFNA(VLOOKUP(D15,'인원 입력 기능(사과탐)'!$P$5:$S$59,4,FALSE),0))</f>
        <v>202</v>
      </c>
      <c r="H15" s="62">
        <f t="shared" si="1"/>
        <v>8.7940792337831957E-3</v>
      </c>
      <c r="I15" s="72">
        <f>SUM($G$7:G15)</f>
        <v>775</v>
      </c>
      <c r="J15" s="64">
        <f t="shared" si="5"/>
        <v>3.3739660426643447E-2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70</v>
      </c>
      <c r="E16" s="59">
        <f t="shared" si="0"/>
        <v>1</v>
      </c>
      <c r="F16" s="60">
        <f t="shared" si="4"/>
        <v>96.33</v>
      </c>
      <c r="G16" s="61">
        <f>IF(D16=D15,"",_xlfn.IFNA(VLOOKUP(D16,'인원 입력 기능(사과탐)'!$P$5:$S$59,4,FALSE),0))</f>
        <v>138</v>
      </c>
      <c r="H16" s="62">
        <f t="shared" si="1"/>
        <v>6.0078363082281235E-3</v>
      </c>
      <c r="I16" s="72">
        <f>SUM($G$7:G16)</f>
        <v>913</v>
      </c>
      <c r="J16" s="64">
        <f t="shared" si="5"/>
        <v>3.9747496734871574E-2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69</v>
      </c>
      <c r="E17" s="59">
        <f t="shared" si="0"/>
        <v>1</v>
      </c>
      <c r="F17" s="60">
        <f t="shared" si="4"/>
        <v>95.61</v>
      </c>
      <c r="G17" s="61">
        <f>IF(D17=D16,"",_xlfn.IFNA(VLOOKUP(D17,'인원 입력 기능(사과탐)'!$P$5:$S$59,4,FALSE),0))</f>
        <v>190</v>
      </c>
      <c r="H17" s="62">
        <f t="shared" si="1"/>
        <v>8.2716586852416198E-3</v>
      </c>
      <c r="I17" s="72">
        <f>SUM($G$7:G17)</f>
        <v>1103</v>
      </c>
      <c r="J17" s="64">
        <f t="shared" si="5"/>
        <v>4.8019155420113188E-2</v>
      </c>
      <c r="K17" s="36"/>
      <c r="L17" s="20" t="str">
        <f t="shared" si="2"/>
        <v/>
      </c>
      <c r="N17" s="24"/>
      <c r="Q17" s="24">
        <f>Q7*H3*H4*J3*IFERROR(IF(J57=1, 1, 0), 0)</f>
        <v>326561830.07399994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68</v>
      </c>
      <c r="E18" s="59">
        <f t="shared" si="0"/>
        <v>2</v>
      </c>
      <c r="F18" s="60">
        <f t="shared" si="4"/>
        <v>94.63</v>
      </c>
      <c r="G18" s="61">
        <f>IF(D18=D17,"",_xlfn.IFNA(VLOOKUP(D18,'인원 입력 기능(사과탐)'!$P$5:$S$59,4,FALSE),0))</f>
        <v>262</v>
      </c>
      <c r="H18" s="62">
        <f t="shared" si="1"/>
        <v>1.1406181976491075E-2</v>
      </c>
      <c r="I18" s="72">
        <f>SUM($G$7:G18)</f>
        <v>1365</v>
      </c>
      <c r="J18" s="64">
        <f t="shared" si="5"/>
        <v>5.9425337396604265E-2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93.7</v>
      </c>
      <c r="G19" s="61">
        <f>IF(D19=D18,"",_xlfn.IFNA(VLOOKUP(D19,'인원 입력 기능(사과탐)'!$P$5:$S$59,4,FALSE),0))</f>
        <v>162</v>
      </c>
      <c r="H19" s="62">
        <f t="shared" si="1"/>
        <v>7.0526774053112752E-3</v>
      </c>
      <c r="I19" s="72">
        <f>SUM($G$7:G19)</f>
        <v>1527</v>
      </c>
      <c r="J19" s="64">
        <f t="shared" si="5"/>
        <v>6.6478014801915536E-2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66</v>
      </c>
      <c r="E20" s="59">
        <f t="shared" si="0"/>
        <v>2</v>
      </c>
      <c r="F20" s="60">
        <f t="shared" si="4"/>
        <v>92.67</v>
      </c>
      <c r="G20" s="61">
        <f>IF(D20=D19,"",_xlfn.IFNA(VLOOKUP(D20,'인원 입력 기능(사과탐)'!$P$5:$S$59,4,FALSE),0))</f>
        <v>314</v>
      </c>
      <c r="H20" s="62">
        <f t="shared" si="1"/>
        <v>1.3670004353504571E-2</v>
      </c>
      <c r="I20" s="72">
        <f>SUM($G$7:G20)</f>
        <v>1841</v>
      </c>
      <c r="J20" s="64">
        <f t="shared" si="5"/>
        <v>8.0148019155420108E-2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65</v>
      </c>
      <c r="E21" s="74">
        <f t="shared" si="0"/>
        <v>2</v>
      </c>
      <c r="F21" s="60">
        <f t="shared" si="4"/>
        <v>91.3</v>
      </c>
      <c r="G21" s="61">
        <f>IF(D21=D20,"",_xlfn.IFNA(VLOOKUP(D21,'인원 입력 기능(사과탐)'!$P$5:$S$59,4,FALSE),0))</f>
        <v>317</v>
      </c>
      <c r="H21" s="62">
        <f t="shared" si="1"/>
        <v>1.3800609490639965E-2</v>
      </c>
      <c r="I21" s="72">
        <f>SUM($G$7:G21)</f>
        <v>2158</v>
      </c>
      <c r="J21" s="64">
        <f t="shared" si="5"/>
        <v>9.3948628646060073E-2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4">
        <v>64</v>
      </c>
      <c r="E22" s="204">
        <f t="shared" si="0"/>
        <v>2</v>
      </c>
      <c r="F22" s="206">
        <f t="shared" si="4"/>
        <v>89.07</v>
      </c>
      <c r="G22" s="208">
        <f>IF(D22=D21,"",_xlfn.IFNA(VLOOKUP(D22,'인원 입력 기능(사과탐)'!$P$5:$S$59,4,FALSE),0))</f>
        <v>703</v>
      </c>
      <c r="H22" s="210">
        <f t="shared" si="1"/>
        <v>3.0605137135393992E-2</v>
      </c>
      <c r="I22" s="221">
        <f>SUM($G$7:G22)</f>
        <v>2861</v>
      </c>
      <c r="J22" s="200">
        <f t="shared" si="5"/>
        <v>0.12455376578145406</v>
      </c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5"/>
      <c r="E23" s="205"/>
      <c r="F23" s="207"/>
      <c r="G23" s="209"/>
      <c r="H23" s="211"/>
      <c r="I23" s="222"/>
      <c r="J23" s="201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63</v>
      </c>
      <c r="E24" s="74">
        <f t="shared" si="0"/>
        <v>3</v>
      </c>
      <c r="F24" s="60">
        <f t="shared" si="4"/>
        <v>86.8</v>
      </c>
      <c r="G24" s="61">
        <f>IF(D24=D23,"",_xlfn.IFNA(VLOOKUP(D24,'인원 입력 기능(사과탐)'!$P$5:$S$59,4,FALSE),0))</f>
        <v>343</v>
      </c>
      <c r="H24" s="62">
        <f t="shared" si="1"/>
        <v>1.4932520679146712E-2</v>
      </c>
      <c r="I24" s="72">
        <f>SUM($G$7:G24)</f>
        <v>3204</v>
      </c>
      <c r="J24" s="64">
        <f t="shared" si="5"/>
        <v>0.13948628646060079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62</v>
      </c>
      <c r="E25" s="74">
        <f t="shared" si="0"/>
        <v>3</v>
      </c>
      <c r="F25" s="60">
        <f t="shared" si="4"/>
        <v>85.2</v>
      </c>
      <c r="G25" s="61">
        <f>IF(D25=D24,"",_xlfn.IFNA(VLOOKUP(D25,'인원 입력 기능(사과탐)'!$P$5:$S$59,4,FALSE),0))</f>
        <v>389</v>
      </c>
      <c r="H25" s="62">
        <f t="shared" si="1"/>
        <v>1.693513278188942E-2</v>
      </c>
      <c r="I25" s="72">
        <f>SUM($G$7:G25)</f>
        <v>3593</v>
      </c>
      <c r="J25" s="64">
        <f t="shared" si="5"/>
        <v>0.1564214192424902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61</v>
      </c>
      <c r="E26" s="74">
        <f t="shared" si="0"/>
        <v>3</v>
      </c>
      <c r="F26" s="60">
        <f t="shared" si="4"/>
        <v>83.25</v>
      </c>
      <c r="G26" s="61">
        <f>IF(D26=D25,"",_xlfn.IFNA(VLOOKUP(D26,'인원 입력 기능(사과탐)'!$P$5:$S$59,4,FALSE),0))</f>
        <v>507</v>
      </c>
      <c r="H26" s="62">
        <f t="shared" si="1"/>
        <v>2.2072268175881586E-2</v>
      </c>
      <c r="I26" s="72">
        <f>SUM($G$7:G26)</f>
        <v>4100</v>
      </c>
      <c r="J26" s="64">
        <f t="shared" si="5"/>
        <v>0.17849368741837179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60</v>
      </c>
      <c r="E27" s="74">
        <f t="shared" si="0"/>
        <v>3</v>
      </c>
      <c r="F27" s="60">
        <f t="shared" si="4"/>
        <v>81.27</v>
      </c>
      <c r="G27" s="61">
        <f>IF(D27=D26,"",_xlfn.IFNA(VLOOKUP(D27,'인원 입력 기능(사과탐)'!$P$5:$S$59,4,FALSE),0))</f>
        <v>405</v>
      </c>
      <c r="H27" s="62">
        <f t="shared" si="1"/>
        <v>1.7631693513278188E-2</v>
      </c>
      <c r="I27" s="72">
        <f>SUM($G$7:G27)</f>
        <v>4505</v>
      </c>
      <c r="J27" s="64">
        <f t="shared" si="5"/>
        <v>0.19612538093164997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59</v>
      </c>
      <c r="E28" s="74">
        <f t="shared" si="0"/>
        <v>3</v>
      </c>
      <c r="F28" s="60">
        <f t="shared" si="4"/>
        <v>79.22</v>
      </c>
      <c r="G28" s="61">
        <f>IF(D28=D27,"",_xlfn.IFNA(VLOOKUP(D28,'인원 입력 기능(사과탐)'!$P$5:$S$59,4,FALSE),0))</f>
        <v>537</v>
      </c>
      <c r="H28" s="62">
        <f t="shared" si="1"/>
        <v>2.3378319547235526E-2</v>
      </c>
      <c r="I28" s="72">
        <f>SUM($G$7:G28)</f>
        <v>5042</v>
      </c>
      <c r="J28" s="64">
        <f t="shared" si="5"/>
        <v>0.21950370047888551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58</v>
      </c>
      <c r="E29" s="74">
        <f t="shared" si="0"/>
        <v>3</v>
      </c>
      <c r="F29" s="60">
        <f t="shared" si="4"/>
        <v>76.84</v>
      </c>
      <c r="G29" s="61">
        <f>IF(D29=D28,"",_xlfn.IFNA(VLOOKUP(D29,'인원 입력 기능(사과탐)'!$P$5:$S$59,4,FALSE),0))</f>
        <v>554</v>
      </c>
      <c r="H29" s="62">
        <f t="shared" si="1"/>
        <v>2.411841532433609E-2</v>
      </c>
      <c r="I29" s="72">
        <f>SUM($G$7:G29)</f>
        <v>5596</v>
      </c>
      <c r="J29" s="64">
        <f t="shared" si="5"/>
        <v>0.2436221158032216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57</v>
      </c>
      <c r="E30" s="74">
        <f t="shared" si="0"/>
        <v>4</v>
      </c>
      <c r="F30" s="60">
        <f t="shared" si="4"/>
        <v>74.489999999999995</v>
      </c>
      <c r="G30" s="61">
        <f>IF(D30=D29,"",_xlfn.IFNA(VLOOKUP(D30,'인원 입력 기능(사과탐)'!$P$5:$S$59,4,FALSE),0))</f>
        <v>528</v>
      </c>
      <c r="H30" s="62">
        <f t="shared" si="1"/>
        <v>2.2986504135829342E-2</v>
      </c>
      <c r="I30" s="72">
        <f>SUM($G$7:G30)</f>
        <v>6124</v>
      </c>
      <c r="J30" s="64">
        <f t="shared" si="5"/>
        <v>0.26660861993905094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56</v>
      </c>
      <c r="E31" s="74">
        <f t="shared" si="0"/>
        <v>4</v>
      </c>
      <c r="F31" s="60">
        <f t="shared" si="4"/>
        <v>72.05</v>
      </c>
      <c r="G31" s="61">
        <f>IF(D31=D30,"",_xlfn.IFNA(VLOOKUP(D31,'인원 입력 기능(사과탐)'!$P$5:$S$59,4,FALSE),0))</f>
        <v>594</v>
      </c>
      <c r="H31" s="62">
        <f t="shared" si="1"/>
        <v>2.585981715280801E-2</v>
      </c>
      <c r="I31" s="72">
        <f>SUM($G$7:G31)</f>
        <v>6718</v>
      </c>
      <c r="J31" s="64">
        <f t="shared" si="5"/>
        <v>0.29246843709185893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55</v>
      </c>
      <c r="E32" s="74">
        <f t="shared" si="0"/>
        <v>4</v>
      </c>
      <c r="F32" s="60">
        <f t="shared" si="4"/>
        <v>69.5</v>
      </c>
      <c r="G32" s="61">
        <f>IF(D32=D31,"",_xlfn.IFNA(VLOOKUP(D32,'인원 입력 기능(사과탐)'!$P$5:$S$59,4,FALSE),0))</f>
        <v>574</v>
      </c>
      <c r="H32" s="62">
        <f t="shared" si="1"/>
        <v>2.498911623857205E-2</v>
      </c>
      <c r="I32" s="72">
        <f>SUM($G$7:G32)</f>
        <v>7292</v>
      </c>
      <c r="J32" s="64">
        <f t="shared" si="5"/>
        <v>0.31745755333043102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54</v>
      </c>
      <c r="E33" s="74">
        <f t="shared" si="0"/>
        <v>4</v>
      </c>
      <c r="F33" s="60">
        <f t="shared" si="4"/>
        <v>66.78</v>
      </c>
      <c r="G33" s="61">
        <f>IF(D33=D32,"",_xlfn.IFNA(VLOOKUP(D33,'인원 입력 기능(사과탐)'!$P$5:$S$59,4,FALSE),0))</f>
        <v>678</v>
      </c>
      <c r="H33" s="62">
        <f t="shared" si="1"/>
        <v>2.9516760992599041E-2</v>
      </c>
      <c r="I33" s="72">
        <f>SUM($G$7:G33)</f>
        <v>7970</v>
      </c>
      <c r="J33" s="64">
        <f t="shared" si="5"/>
        <v>0.34697431432303005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53</v>
      </c>
      <c r="E34" s="74">
        <f t="shared" si="0"/>
        <v>4</v>
      </c>
      <c r="F34" s="60">
        <f t="shared" si="4"/>
        <v>63.83</v>
      </c>
      <c r="G34" s="61">
        <f>IF(D34=D33,"",_xlfn.IFNA(VLOOKUP(D34,'인원 입력 기능(사과탐)'!$P$5:$S$59,4,FALSE),0))</f>
        <v>676</v>
      </c>
      <c r="H34" s="62">
        <f t="shared" si="1"/>
        <v>2.9429690901175445E-2</v>
      </c>
      <c r="I34" s="72">
        <f>SUM($G$7:G34)</f>
        <v>8646</v>
      </c>
      <c r="J34" s="64">
        <f t="shared" si="5"/>
        <v>0.37640400522420547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52</v>
      </c>
      <c r="E35" s="74">
        <f t="shared" si="0"/>
        <v>4</v>
      </c>
      <c r="F35" s="60">
        <f t="shared" si="4"/>
        <v>60.85</v>
      </c>
      <c r="G35" s="61">
        <f>IF(D35=D34,"",_xlfn.IFNA(VLOOKUP(D35,'인원 입력 기능(사과탐)'!$P$5:$S$59,4,FALSE),0))</f>
        <v>692</v>
      </c>
      <c r="H35" s="62">
        <f t="shared" si="1"/>
        <v>3.0126251632564213E-2</v>
      </c>
      <c r="I35" s="72">
        <f>SUM($G$7:G35)</f>
        <v>9338</v>
      </c>
      <c r="J35" s="64">
        <f t="shared" si="5"/>
        <v>0.40653025685676969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51</v>
      </c>
      <c r="E36" s="74">
        <f t="shared" si="0"/>
        <v>5</v>
      </c>
      <c r="F36" s="60">
        <f t="shared" si="4"/>
        <v>57.76</v>
      </c>
      <c r="G36" s="61">
        <f>IF(D36=D35,"",_xlfn.IFNA(VLOOKUP(D36,'인원 입력 기능(사과탐)'!$P$5:$S$59,4,FALSE),0))</f>
        <v>728</v>
      </c>
      <c r="H36" s="62">
        <f t="shared" si="1"/>
        <v>3.1693513278188944E-2</v>
      </c>
      <c r="I36" s="72">
        <f>SUM($G$7:G36)</f>
        <v>10066</v>
      </c>
      <c r="J36" s="64">
        <f t="shared" si="5"/>
        <v>0.43822377013495867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50</v>
      </c>
      <c r="E37" s="74">
        <f t="shared" si="0"/>
        <v>5</v>
      </c>
      <c r="F37" s="60">
        <f t="shared" si="4"/>
        <v>54.68</v>
      </c>
      <c r="G37" s="61">
        <f>IF(D37=D36,"",_xlfn.IFNA(VLOOKUP(D37,'인원 입력 기능(사과탐)'!$P$5:$S$59,4,FALSE),0))</f>
        <v>686</v>
      </c>
      <c r="H37" s="62">
        <f t="shared" si="1"/>
        <v>2.9865041358293425E-2</v>
      </c>
      <c r="I37" s="72">
        <f>SUM($G$7:G37)</f>
        <v>10752</v>
      </c>
      <c r="J37" s="64">
        <f t="shared" si="5"/>
        <v>0.46808881149325204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49</v>
      </c>
      <c r="E38" s="74">
        <f t="shared" si="0"/>
        <v>5</v>
      </c>
      <c r="F38" s="60">
        <f t="shared" si="4"/>
        <v>51.51</v>
      </c>
      <c r="G38" s="61">
        <f>IF(D38=D37,"",_xlfn.IFNA(VLOOKUP(D38,'인원 입력 기능(사과탐)'!$P$5:$S$59,4,FALSE),0))</f>
        <v>771</v>
      </c>
      <c r="H38" s="62">
        <f t="shared" si="1"/>
        <v>3.3565520243796255E-2</v>
      </c>
      <c r="I38" s="72">
        <f>SUM($G$7:G38)</f>
        <v>11523</v>
      </c>
      <c r="J38" s="64">
        <f t="shared" si="5"/>
        <v>0.50165433173704832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48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48.1</v>
      </c>
      <c r="G39" s="61">
        <f>IF(D39=D38,"",_xlfn.IFNA(VLOOKUP(D39,'인원 입력 기능(사과탐)'!$P$5:$S$59,4,FALSE),0))</f>
        <v>799</v>
      </c>
      <c r="H39" s="62">
        <f t="shared" si="1"/>
        <v>3.4784501523726599E-2</v>
      </c>
      <c r="I39" s="72">
        <f>SUM($G$7:G39)</f>
        <v>12322</v>
      </c>
      <c r="J39" s="64">
        <f t="shared" si="5"/>
        <v>0.53643883326077491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47</v>
      </c>
      <c r="E40" s="74">
        <f t="shared" si="6"/>
        <v>5</v>
      </c>
      <c r="F40" s="60">
        <f t="shared" si="4"/>
        <v>44.65</v>
      </c>
      <c r="G40" s="61">
        <f>IF(D40=D39,"",_xlfn.IFNA(VLOOKUP(D40,'인원 입력 기능(사과탐)'!$P$5:$S$59,4,FALSE),0))</f>
        <v>785</v>
      </c>
      <c r="H40" s="62">
        <f t="shared" si="1"/>
        <v>3.4175010883761431E-2</v>
      </c>
      <c r="I40" s="72">
        <f>SUM($G$7:G40)</f>
        <v>13107</v>
      </c>
      <c r="J40" s="64">
        <f t="shared" si="5"/>
        <v>0.57061384414453631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46</v>
      </c>
      <c r="E41" s="74">
        <f t="shared" si="6"/>
        <v>5</v>
      </c>
      <c r="F41" s="60">
        <f t="shared" si="4"/>
        <v>41.12</v>
      </c>
      <c r="G41" s="61">
        <f>IF(D41=D40,"",_xlfn.IFNA(VLOOKUP(D41,'인원 입력 기능(사과탐)'!$P$5:$S$59,4,FALSE),0))</f>
        <v>835</v>
      </c>
      <c r="H41" s="62">
        <f t="shared" si="1"/>
        <v>3.6351763169351327E-2</v>
      </c>
      <c r="I41" s="72">
        <f>SUM($G$7:G41)</f>
        <v>13942</v>
      </c>
      <c r="J41" s="64">
        <f t="shared" si="5"/>
        <v>0.60696560731388771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45</v>
      </c>
      <c r="E42" s="74">
        <f t="shared" si="6"/>
        <v>6</v>
      </c>
      <c r="F42" s="60">
        <f t="shared" si="4"/>
        <v>37.549999999999997</v>
      </c>
      <c r="G42" s="61">
        <f>IF(D42=D41,"",_xlfn.IFNA(VLOOKUP(D42,'인원 입력 기능(사과탐)'!$P$5:$S$59,4,FALSE),0))</f>
        <v>805</v>
      </c>
      <c r="H42" s="62">
        <f t="shared" si="1"/>
        <v>3.5045711797997391E-2</v>
      </c>
      <c r="I42" s="72">
        <f>SUM($G$7:G42)</f>
        <v>14747</v>
      </c>
      <c r="J42" s="64">
        <f t="shared" si="5"/>
        <v>0.64201131911188503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34.01</v>
      </c>
      <c r="G43" s="61">
        <f>IF(D43=D42,"",_xlfn.IFNA(VLOOKUP(D43,'인원 입력 기능(사과탐)'!$P$5:$S$59,4,FALSE),0))</f>
        <v>821</v>
      </c>
      <c r="H43" s="62">
        <f t="shared" si="1"/>
        <v>3.5742272529386158E-2</v>
      </c>
      <c r="I43" s="72">
        <f>SUM($G$7:G43)</f>
        <v>15568</v>
      </c>
      <c r="J43" s="64">
        <f t="shared" si="5"/>
        <v>0.67775359164127125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30.22</v>
      </c>
      <c r="G44" s="61">
        <f>IF(D44=D43,"",_xlfn.IFNA(VLOOKUP(D44,'인원 입력 기능(사과탐)'!$P$5:$S$59,4,FALSE),0))</f>
        <v>920</v>
      </c>
      <c r="H44" s="62">
        <f t="shared" si="1"/>
        <v>4.0052242054854158E-2</v>
      </c>
      <c r="I44" s="72">
        <f>SUM($G$7:G44)</f>
        <v>16488</v>
      </c>
      <c r="J44" s="64">
        <f t="shared" si="5"/>
        <v>0.71780583369612538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26.3</v>
      </c>
      <c r="G45" s="61">
        <f>IF(D45=D44,"",_xlfn.IFNA(VLOOKUP(D45,'인원 입력 기능(사과탐)'!$P$5:$S$59,4,FALSE),0))</f>
        <v>882</v>
      </c>
      <c r="H45" s="62">
        <f t="shared" si="1"/>
        <v>3.8397910317805831E-2</v>
      </c>
      <c r="I45" s="72">
        <f>SUM($G$7:G45)</f>
        <v>17370</v>
      </c>
      <c r="J45" s="64">
        <f t="shared" si="5"/>
        <v>0.7562037440139312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6</v>
      </c>
      <c r="F46" s="60">
        <f t="shared" si="4"/>
        <v>20.34</v>
      </c>
      <c r="G46" s="61">
        <f>IF(D46=D45,"",_xlfn.IFNA(VLOOKUP(D46,'인원 입력 기능(사과탐)'!$P$5:$S$59,4,FALSE),0))</f>
        <v>1854</v>
      </c>
      <c r="H46" s="62">
        <f t="shared" si="1"/>
        <v>8.0713974749673484E-2</v>
      </c>
      <c r="I46" s="72">
        <f>SUM($G$7:G46)</f>
        <v>19224</v>
      </c>
      <c r="J46" s="64">
        <f t="shared" si="5"/>
        <v>0.83691771876360466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14.92</v>
      </c>
      <c r="G47" s="61">
        <f>IF(D47=D46,"",_xlfn.IFNA(VLOOKUP(D47,'인원 입력 기능(사과탐)'!$P$5:$S$59,4,FALSE),0))</f>
        <v>638</v>
      </c>
      <c r="H47" s="62">
        <f t="shared" si="1"/>
        <v>2.7775359164127121E-2</v>
      </c>
      <c r="I47" s="72">
        <f>SUM($G$7:G47)</f>
        <v>19862</v>
      </c>
      <c r="J47" s="64">
        <f t="shared" si="5"/>
        <v>0.86469307792773187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11.74</v>
      </c>
      <c r="G48" s="61">
        <f>IF(D48=D47,"",_xlfn.IFNA(VLOOKUP(D48,'인원 입력 기능(사과탐)'!$P$5:$S$59,4,FALSE),0))</f>
        <v>821</v>
      </c>
      <c r="H48" s="62">
        <f t="shared" si="1"/>
        <v>3.5742272529386158E-2</v>
      </c>
      <c r="I48" s="72">
        <f>SUM($G$7:G48)</f>
        <v>20683</v>
      </c>
      <c r="J48" s="64">
        <f t="shared" si="5"/>
        <v>0.90043535045711798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8.94</v>
      </c>
      <c r="G49" s="61">
        <f>IF(D49=D48,"",_xlfn.IFNA(VLOOKUP(D49,'인원 입력 기능(사과탐)'!$P$5:$S$59,4,FALSE),0))</f>
        <v>469</v>
      </c>
      <c r="H49" s="62">
        <f t="shared" si="1"/>
        <v>2.0417936438833263E-2</v>
      </c>
      <c r="I49" s="72">
        <f>SUM($G$7:G49)</f>
        <v>21152</v>
      </c>
      <c r="J49" s="64">
        <f t="shared" si="5"/>
        <v>0.92085328689595125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5.85</v>
      </c>
      <c r="G50" s="61">
        <f>IF(D50=D49,"",_xlfn.IFNA(VLOOKUP(D50,'인원 입력 기능(사과탐)'!$P$5:$S$59,4,FALSE),0))</f>
        <v>948</v>
      </c>
      <c r="H50" s="62">
        <f t="shared" si="1"/>
        <v>4.1271223334784501E-2</v>
      </c>
      <c r="I50" s="72">
        <f>SUM($G$7:G50)</f>
        <v>22100</v>
      </c>
      <c r="J50" s="64">
        <f t="shared" si="5"/>
        <v>0.96212451023073575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9</v>
      </c>
      <c r="F51" s="60">
        <f t="shared" si="4"/>
        <v>3.25</v>
      </c>
      <c r="G51" s="61">
        <f>IF(D51=D50,"",_xlfn.IFNA(VLOOKUP(D51,'인원 입력 기능(사과탐)'!$P$5:$S$59,4,FALSE),0))</f>
        <v>247</v>
      </c>
      <c r="H51" s="62">
        <f t="shared" si="1"/>
        <v>1.0753156290814105E-2</v>
      </c>
      <c r="I51" s="72">
        <f>SUM($G$7:G51)</f>
        <v>22347</v>
      </c>
      <c r="J51" s="64">
        <f t="shared" si="5"/>
        <v>0.97287766652154983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35</v>
      </c>
      <c r="E52" s="74">
        <f t="shared" si="6"/>
        <v>9</v>
      </c>
      <c r="F52" s="60">
        <f t="shared" si="4"/>
        <v>2.16</v>
      </c>
      <c r="G52" s="61">
        <f>IF(D52=D51,"",_xlfn.IFNA(VLOOKUP(D52,'인원 입력 기능(사과탐)'!$P$5:$S$59,4,FALSE),0))</f>
        <v>255</v>
      </c>
      <c r="H52" s="62">
        <f t="shared" si="1"/>
        <v>1.1101436656508489E-2</v>
      </c>
      <c r="I52" s="72">
        <f>SUM($G$7:G52)</f>
        <v>22602</v>
      </c>
      <c r="J52" s="64">
        <f t="shared" si="5"/>
        <v>0.98397910317805837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34</v>
      </c>
      <c r="E53" s="59">
        <f t="shared" si="6"/>
        <v>9</v>
      </c>
      <c r="F53" s="60">
        <f t="shared" si="4"/>
        <v>1.26</v>
      </c>
      <c r="G53" s="61">
        <f>IF(D53=D52,"",_xlfn.IFNA(VLOOKUP(D53,'인원 입력 기능(사과탐)'!$P$5:$S$59,4,FALSE),0))</f>
        <v>155</v>
      </c>
      <c r="H53" s="62">
        <f t="shared" si="1"/>
        <v>6.7479320853286893E-3</v>
      </c>
      <c r="I53" s="72">
        <f>SUM($G$7:G53)</f>
        <v>22757</v>
      </c>
      <c r="J53" s="64">
        <f t="shared" si="5"/>
        <v>0.99072703526338701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6"/>
        <v>9</v>
      </c>
      <c r="F54" s="60">
        <f t="shared" si="4"/>
        <v>0.77</v>
      </c>
      <c r="G54" s="61">
        <f>IF(D54=D53,"",_xlfn.IFNA(VLOOKUP(D54,'인원 입력 기능(사과탐)'!$P$5:$S$59,4,FALSE),0))</f>
        <v>71</v>
      </c>
      <c r="H54" s="62">
        <f t="shared" si="1"/>
        <v>3.0909882455376577E-3</v>
      </c>
      <c r="I54" s="72">
        <f>SUM($G$7:G54)</f>
        <v>22828</v>
      </c>
      <c r="J54" s="64">
        <f t="shared" si="5"/>
        <v>0.99381802350892468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0.38</v>
      </c>
      <c r="G55" s="61">
        <f>IF(D55=D54,"",_xlfn.IFNA(VLOOKUP(D55,'인원 입력 기능(사과탐)'!$P$5:$S$59,4,FALSE),0))</f>
        <v>108</v>
      </c>
      <c r="H55" s="62">
        <f t="shared" si="1"/>
        <v>4.7017849368741838E-3</v>
      </c>
      <c r="I55" s="72">
        <f>SUM($G$7:G55)</f>
        <v>22936</v>
      </c>
      <c r="J55" s="64">
        <f t="shared" si="5"/>
        <v>0.99851980844579891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7.0000000000000007E-2</v>
      </c>
      <c r="G57" s="113">
        <f>_xlfn.IFNA(VLOOKUP(D57,'인원 입력 기능(사과탐)'!$P$5:$S$59,4,FALSE),0)</f>
        <v>34</v>
      </c>
      <c r="H57" s="81">
        <f>G57/$J$3</f>
        <v>1.4801915542011319E-3</v>
      </c>
      <c r="I57" s="82">
        <f>SUM($G$7:G57)</f>
        <v>22970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22:D23"/>
    <mergeCell ref="E22:E23"/>
    <mergeCell ref="F22:F23"/>
    <mergeCell ref="G22:G23"/>
    <mergeCell ref="H22:H23"/>
    <mergeCell ref="I22:I23"/>
    <mergeCell ref="J22:J23"/>
  </mergeCells>
  <phoneticPr fontId="1" type="noConversion"/>
  <conditionalFormatting sqref="D7:G22 I7:J22 D24:G57 I24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22 D24:D57">
    <cfRule type="expression" dxfId="37" priority="2">
      <formula>$D7=$D8</formula>
    </cfRule>
  </conditionalFormatting>
  <conditionalFormatting sqref="H7:H22 H24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기능'!D12</f>
        <v>21.41</v>
      </c>
      <c r="I3" s="21" t="s">
        <v>70</v>
      </c>
      <c r="J3" s="50">
        <f>'통계 및 응시자 수 입력 기능'!C12</f>
        <v>11370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100</v>
      </c>
      <c r="E4" s="216"/>
      <c r="F4" s="217"/>
      <c r="G4" s="52" t="s">
        <v>73</v>
      </c>
      <c r="H4" s="53">
        <f>'통계 및 응시자 수 입력 기능'!E12</f>
        <v>12.28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99.1</v>
      </c>
      <c r="G7" s="61">
        <f>_xlfn.IFNA(VLOOKUP(D7,'인원 입력 기능(사과탐)'!$A$64:$D$116,4,FALSE),0)</f>
        <v>204</v>
      </c>
      <c r="H7" s="62">
        <f>G7/$J$3</f>
        <v>1.7941952506596307E-2</v>
      </c>
      <c r="I7" s="63">
        <f>G7</f>
        <v>204</v>
      </c>
      <c r="J7" s="64">
        <f>I7/$J$3</f>
        <v>1.7941952506596307E-2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72</v>
      </c>
      <c r="E9" s="59">
        <f t="shared" si="0"/>
        <v>1</v>
      </c>
      <c r="F9" s="60">
        <f>IF(I8=0,ROUND(100*(1-(I7+I9)/2/$J$3),2),ROUND(100*(1-(I8+I9)/2/$J$3),2))</f>
        <v>97.98</v>
      </c>
      <c r="G9" s="61">
        <f>_xlfn.IFNA(VLOOKUP(D9,'인원 입력 기능(사과탐)'!$A$64:$D$116,4,FALSE),0)</f>
        <v>51</v>
      </c>
      <c r="H9" s="62">
        <f t="shared" ref="H9:H55" si="1">G9/$J$3</f>
        <v>4.4854881266490768E-3</v>
      </c>
      <c r="I9" s="72">
        <f>SUM($G$7:G9)</f>
        <v>255</v>
      </c>
      <c r="J9" s="64">
        <f>I9/$J$3</f>
        <v>2.2427440633245383E-2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71</v>
      </c>
      <c r="E10" s="59">
        <f t="shared" si="0"/>
        <v>1</v>
      </c>
      <c r="F10" s="60">
        <f t="shared" ref="F10:F55" si="4">IF(I9=0,ROUND(100*(1-(I8+I10)/2/$J$3),2),ROUND(100*(1-(I9+I10)/2/$J$3),2))</f>
        <v>96.9</v>
      </c>
      <c r="G10" s="61">
        <f>IF(D10=D9,"",_xlfn.IFNA(VLOOKUP(D10,'인원 입력 기능(사과탐)'!$A$64:$D$116,4,FALSE),0))</f>
        <v>196</v>
      </c>
      <c r="H10" s="62">
        <f t="shared" si="1"/>
        <v>1.7238346525945469E-2</v>
      </c>
      <c r="I10" s="72">
        <f>SUM($G$7:G10)</f>
        <v>451</v>
      </c>
      <c r="J10" s="64">
        <f t="shared" ref="J10:J55" si="5">I10/$J$3</f>
        <v>3.9665787159190856E-2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70</v>
      </c>
      <c r="E11" s="59">
        <f t="shared" si="0"/>
        <v>1</v>
      </c>
      <c r="F11" s="60">
        <f t="shared" si="4"/>
        <v>95.88</v>
      </c>
      <c r="G11" s="61">
        <f>IF(D11=D10,"",_xlfn.IFNA(VLOOKUP(D11,'인원 입력 기능(사과탐)'!$A$64:$D$116,4,FALSE),0))</f>
        <v>36</v>
      </c>
      <c r="H11" s="62">
        <f t="shared" si="1"/>
        <v>3.1662269129287598E-3</v>
      </c>
      <c r="I11" s="72">
        <f>SUM($G$7:G11)</f>
        <v>487</v>
      </c>
      <c r="J11" s="64">
        <f t="shared" si="5"/>
        <v>4.283201407211961E-2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69</v>
      </c>
      <c r="E12" s="59">
        <f t="shared" si="0"/>
        <v>2</v>
      </c>
      <c r="F12" s="60">
        <f t="shared" si="4"/>
        <v>95.13</v>
      </c>
      <c r="G12" s="61">
        <f>IF(D12=D11,"",_xlfn.IFNA(VLOOKUP(D12,'인원 입력 기능(사과탐)'!$A$64:$D$116,4,FALSE),0))</f>
        <v>134</v>
      </c>
      <c r="H12" s="62">
        <f t="shared" si="1"/>
        <v>1.1785400175901494E-2</v>
      </c>
      <c r="I12" s="72">
        <f>SUM($G$7:G12)</f>
        <v>621</v>
      </c>
      <c r="J12" s="64">
        <f t="shared" si="5"/>
        <v>5.4617414248021107E-2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42</v>
      </c>
    </row>
    <row r="13" spans="1:17" s="22" customFormat="1" ht="25" customHeight="1" x14ac:dyDescent="0.45">
      <c r="A13" s="20"/>
      <c r="B13" s="35"/>
      <c r="C13" s="58">
        <v>44</v>
      </c>
      <c r="D13" s="202">
        <f t="shared" si="3"/>
        <v>68</v>
      </c>
      <c r="E13" s="202">
        <f t="shared" si="0"/>
        <v>2</v>
      </c>
      <c r="F13" s="206">
        <f t="shared" si="4"/>
        <v>93.53</v>
      </c>
      <c r="G13" s="208">
        <f>IF(D13=D12,"",_xlfn.IFNA(VLOOKUP(D13,'인원 입력 기능(사과탐)'!$A$64:$D$116,4,FALSE),0))</f>
        <v>229</v>
      </c>
      <c r="H13" s="210">
        <f t="shared" si="1"/>
        <v>2.0140721196130168E-2</v>
      </c>
      <c r="I13" s="221">
        <f>SUM($G$7:G13)</f>
        <v>850</v>
      </c>
      <c r="J13" s="200">
        <f t="shared" si="5"/>
        <v>7.4758135444151275E-2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40</v>
      </c>
    </row>
    <row r="14" spans="1:17" s="22" customFormat="1" ht="25" customHeight="1" x14ac:dyDescent="0.45">
      <c r="A14" s="20"/>
      <c r="B14" s="35"/>
      <c r="C14" s="65">
        <v>43</v>
      </c>
      <c r="D14" s="203"/>
      <c r="E14" s="203"/>
      <c r="F14" s="207"/>
      <c r="G14" s="209"/>
      <c r="H14" s="211"/>
      <c r="I14" s="222"/>
      <c r="J14" s="201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기능'!C83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67</v>
      </c>
      <c r="E15" s="59">
        <f t="shared" si="0"/>
        <v>2</v>
      </c>
      <c r="F15" s="60">
        <f t="shared" si="4"/>
        <v>91.82</v>
      </c>
      <c r="G15" s="61">
        <f>IF(D15=D14,"",_xlfn.IFNA(VLOOKUP(D15,'인원 입력 기능(사과탐)'!$A$64:$D$116,4,FALSE),0))</f>
        <v>159</v>
      </c>
      <c r="H15" s="62">
        <f t="shared" si="1"/>
        <v>1.3984168865435357E-2</v>
      </c>
      <c r="I15" s="72">
        <f>SUM($G$7:G15)</f>
        <v>1009</v>
      </c>
      <c r="J15" s="64">
        <f t="shared" si="5"/>
        <v>8.8742304309586628E-2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66</v>
      </c>
      <c r="E16" s="59">
        <f t="shared" si="0"/>
        <v>2</v>
      </c>
      <c r="F16" s="60">
        <f t="shared" si="4"/>
        <v>90.49</v>
      </c>
      <c r="G16" s="61">
        <f>IF(D16=D15,"",_xlfn.IFNA(VLOOKUP(D16,'인원 입력 기능(사과탐)'!$A$64:$D$116,4,FALSE),0))</f>
        <v>144</v>
      </c>
      <c r="H16" s="62">
        <f t="shared" si="1"/>
        <v>1.2664907651715039E-2</v>
      </c>
      <c r="I16" s="72">
        <f>SUM($G$7:G16)</f>
        <v>1153</v>
      </c>
      <c r="J16" s="64">
        <f t="shared" si="5"/>
        <v>0.10140721196130167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65</v>
      </c>
      <c r="E17" s="59">
        <f t="shared" si="0"/>
        <v>2</v>
      </c>
      <c r="F17" s="60">
        <f t="shared" si="4"/>
        <v>89.23</v>
      </c>
      <c r="G17" s="61">
        <f>IF(D17=D16,"",_xlfn.IFNA(VLOOKUP(D17,'인원 입력 기능(사과탐)'!$A$64:$D$116,4,FALSE),0))</f>
        <v>143</v>
      </c>
      <c r="H17" s="62">
        <f t="shared" si="1"/>
        <v>1.2576956904133685E-2</v>
      </c>
      <c r="I17" s="72">
        <f>SUM($G$7:G17)</f>
        <v>1296</v>
      </c>
      <c r="J17" s="64">
        <f t="shared" si="5"/>
        <v>0.11398416886543536</v>
      </c>
      <c r="K17" s="36"/>
      <c r="L17" s="20" t="str">
        <f t="shared" si="2"/>
        <v/>
      </c>
      <c r="N17" s="24"/>
      <c r="Q17" s="24">
        <f>Q7*H3*H4*J3*IFERROR(IF(J57=1, 1, 0), 0)</f>
        <v>209253889.31999999</v>
      </c>
    </row>
    <row r="18" spans="1:17" s="22" customFormat="1" ht="25" customHeight="1" x14ac:dyDescent="0.45">
      <c r="A18" s="20"/>
      <c r="B18" s="35"/>
      <c r="C18" s="65">
        <v>39</v>
      </c>
      <c r="D18" s="202">
        <f t="shared" si="3"/>
        <v>64</v>
      </c>
      <c r="E18" s="202">
        <f t="shared" si="0"/>
        <v>3</v>
      </c>
      <c r="F18" s="206">
        <f t="shared" si="4"/>
        <v>87.25</v>
      </c>
      <c r="G18" s="208">
        <f>IF(D18=D17,"",_xlfn.IFNA(VLOOKUP(D18,'인원 입력 기능(사과탐)'!$A$64:$D$116,4,FALSE),0))</f>
        <v>307</v>
      </c>
      <c r="H18" s="210">
        <f t="shared" si="1"/>
        <v>2.7000879507475813E-2</v>
      </c>
      <c r="I18" s="221">
        <f>SUM($G$7:G18)</f>
        <v>1603</v>
      </c>
      <c r="J18" s="200">
        <f t="shared" si="5"/>
        <v>0.14098504837291118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3"/>
      <c r="E19" s="203"/>
      <c r="F19" s="207"/>
      <c r="G19" s="209"/>
      <c r="H19" s="211"/>
      <c r="I19" s="222"/>
      <c r="J19" s="201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63</v>
      </c>
      <c r="E20" s="59">
        <f t="shared" si="0"/>
        <v>3</v>
      </c>
      <c r="F20" s="60">
        <f t="shared" si="4"/>
        <v>85.16</v>
      </c>
      <c r="G20" s="61">
        <f>IF(D20=D19,"",_xlfn.IFNA(VLOOKUP(D20,'인원 입력 기능(사과탐)'!$A$64:$D$116,4,FALSE),0))</f>
        <v>169</v>
      </c>
      <c r="H20" s="62">
        <f t="shared" si="1"/>
        <v>1.48636763412489E-2</v>
      </c>
      <c r="I20" s="72">
        <f>SUM($G$7:G20)</f>
        <v>1772</v>
      </c>
      <c r="J20" s="64">
        <f t="shared" si="5"/>
        <v>0.15584872471416006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62</v>
      </c>
      <c r="E21" s="74">
        <f t="shared" si="0"/>
        <v>3</v>
      </c>
      <c r="F21" s="60">
        <f t="shared" si="4"/>
        <v>83.7</v>
      </c>
      <c r="G21" s="61">
        <f>IF(D21=D20,"",_xlfn.IFNA(VLOOKUP(D21,'인원 입력 기능(사과탐)'!$A$64:$D$116,4,FALSE),0))</f>
        <v>163</v>
      </c>
      <c r="H21" s="62">
        <f t="shared" si="1"/>
        <v>1.4335971855760774E-2</v>
      </c>
      <c r="I21" s="72">
        <f>SUM($G$7:G21)</f>
        <v>1935</v>
      </c>
      <c r="J21" s="64">
        <f t="shared" si="5"/>
        <v>0.17018469656992086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61</v>
      </c>
      <c r="E22" s="74">
        <f t="shared" si="0"/>
        <v>3</v>
      </c>
      <c r="F22" s="60">
        <f t="shared" si="4"/>
        <v>82.27</v>
      </c>
      <c r="G22" s="61">
        <f>IF(D22=D21,"",_xlfn.IFNA(VLOOKUP(D22,'인원 입력 기능(사과탐)'!$A$64:$D$116,4,FALSE),0))</f>
        <v>162</v>
      </c>
      <c r="H22" s="62">
        <f t="shared" si="1"/>
        <v>1.424802110817942E-2</v>
      </c>
      <c r="I22" s="72">
        <f>SUM($G$7:G22)</f>
        <v>2097</v>
      </c>
      <c r="J22" s="64">
        <f t="shared" si="5"/>
        <v>0.18443271767810027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60</v>
      </c>
      <c r="E23" s="74">
        <f t="shared" si="0"/>
        <v>3</v>
      </c>
      <c r="F23" s="60">
        <f t="shared" si="4"/>
        <v>80.790000000000006</v>
      </c>
      <c r="G23" s="61">
        <f>IF(D23=D22,"",_xlfn.IFNA(VLOOKUP(D23,'인원 입력 기능(사과탐)'!$A$64:$D$116,4,FALSE),0))</f>
        <v>175</v>
      </c>
      <c r="H23" s="62">
        <f t="shared" si="1"/>
        <v>1.5391380826737027E-2</v>
      </c>
      <c r="I23" s="72">
        <f>SUM($G$7:G23)</f>
        <v>2272</v>
      </c>
      <c r="J23" s="64">
        <f t="shared" si="5"/>
        <v>0.19982409850483729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04">
        <f t="shared" si="3"/>
        <v>59</v>
      </c>
      <c r="E24" s="204">
        <f t="shared" si="0"/>
        <v>3</v>
      </c>
      <c r="F24" s="206">
        <f t="shared" si="4"/>
        <v>78.5</v>
      </c>
      <c r="G24" s="208">
        <f>IF(D24=D23,"",_xlfn.IFNA(VLOOKUP(D24,'인원 입력 기능(사과탐)'!$A$64:$D$116,4,FALSE),0))</f>
        <v>346</v>
      </c>
      <c r="H24" s="210">
        <f t="shared" si="1"/>
        <v>3.0430958663148638E-2</v>
      </c>
      <c r="I24" s="221">
        <f>SUM($G$7:G24)</f>
        <v>2618</v>
      </c>
      <c r="J24" s="200">
        <f t="shared" si="5"/>
        <v>0.23025505716798592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5"/>
      <c r="E25" s="205"/>
      <c r="F25" s="207"/>
      <c r="G25" s="209"/>
      <c r="H25" s="211"/>
      <c r="I25" s="222"/>
      <c r="J25" s="201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4</v>
      </c>
      <c r="F26" s="60">
        <f t="shared" si="4"/>
        <v>76.13</v>
      </c>
      <c r="G26" s="61">
        <f>IF(D26=D25,"",_xlfn.IFNA(VLOOKUP(D26,'인원 입력 기능(사과탐)'!$A$64:$D$116,4,FALSE),0))</f>
        <v>191</v>
      </c>
      <c r="H26" s="62">
        <f t="shared" si="1"/>
        <v>1.6798592788038698E-2</v>
      </c>
      <c r="I26" s="72">
        <f>SUM($G$7:G26)</f>
        <v>2809</v>
      </c>
      <c r="J26" s="64">
        <f t="shared" si="5"/>
        <v>0.24705364995602463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74.459999999999994</v>
      </c>
      <c r="G27" s="61">
        <f>IF(D27=D26,"",_xlfn.IFNA(VLOOKUP(D27,'인원 입력 기능(사과탐)'!$A$64:$D$116,4,FALSE),0))</f>
        <v>189</v>
      </c>
      <c r="H27" s="62">
        <f t="shared" si="1"/>
        <v>1.6622691292875989E-2</v>
      </c>
      <c r="I27" s="72">
        <f>SUM($G$7:G27)</f>
        <v>2998</v>
      </c>
      <c r="J27" s="64">
        <f t="shared" si="5"/>
        <v>0.2636763412489006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72.760000000000005</v>
      </c>
      <c r="G28" s="61">
        <f>IF(D28=D27,"",_xlfn.IFNA(VLOOKUP(D28,'인원 입력 기능(사과탐)'!$A$64:$D$116,4,FALSE),0))</f>
        <v>198</v>
      </c>
      <c r="H28" s="62">
        <f t="shared" si="1"/>
        <v>1.7414248021108178E-2</v>
      </c>
      <c r="I28" s="72">
        <f>SUM($G$7:G28)</f>
        <v>3196</v>
      </c>
      <c r="J28" s="64">
        <f t="shared" si="5"/>
        <v>0.28109058927000879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04">
        <f t="shared" si="3"/>
        <v>55</v>
      </c>
      <c r="E29" s="204">
        <f t="shared" si="0"/>
        <v>4</v>
      </c>
      <c r="F29" s="206">
        <f t="shared" si="4"/>
        <v>70.010000000000005</v>
      </c>
      <c r="G29" s="208">
        <f>IF(D29=D28,"",_xlfn.IFNA(VLOOKUP(D29,'인원 입력 기능(사과탐)'!$A$64:$D$116,4,FALSE),0))</f>
        <v>428</v>
      </c>
      <c r="H29" s="210">
        <f t="shared" si="1"/>
        <v>3.76429199648197E-2</v>
      </c>
      <c r="I29" s="221">
        <f>SUM($G$7:G29)</f>
        <v>3624</v>
      </c>
      <c r="J29" s="200">
        <f t="shared" si="5"/>
        <v>0.31873350923482852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05"/>
      <c r="E30" s="205"/>
      <c r="F30" s="207"/>
      <c r="G30" s="209"/>
      <c r="H30" s="211"/>
      <c r="I30" s="222"/>
      <c r="J30" s="201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67.12</v>
      </c>
      <c r="G31" s="61">
        <f>IF(D31=D30,"",_xlfn.IFNA(VLOOKUP(D31,'인원 입력 기능(사과탐)'!$A$64:$D$116,4,FALSE),0))</f>
        <v>228</v>
      </c>
      <c r="H31" s="62">
        <f t="shared" si="1"/>
        <v>2.0052770448548814E-2</v>
      </c>
      <c r="I31" s="72">
        <f>SUM($G$7:G31)</f>
        <v>3852</v>
      </c>
      <c r="J31" s="64">
        <f t="shared" si="5"/>
        <v>0.33878627968337732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65.099999999999994</v>
      </c>
      <c r="G32" s="61">
        <f>IF(D32=D31,"",_xlfn.IFNA(VLOOKUP(D32,'인원 입력 기능(사과탐)'!$A$64:$D$116,4,FALSE),0))</f>
        <v>232</v>
      </c>
      <c r="H32" s="62">
        <f t="shared" si="1"/>
        <v>2.0404573438874231E-2</v>
      </c>
      <c r="I32" s="72">
        <f>SUM($G$7:G32)</f>
        <v>4084</v>
      </c>
      <c r="J32" s="64">
        <f t="shared" si="5"/>
        <v>0.35919085312225152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63.19</v>
      </c>
      <c r="G33" s="61">
        <f>IF(D33=D32,"",_xlfn.IFNA(VLOOKUP(D33,'인원 입력 기능(사과탐)'!$A$64:$D$116,4,FALSE),0))</f>
        <v>202</v>
      </c>
      <c r="H33" s="62">
        <f t="shared" si="1"/>
        <v>1.7766051011433599E-2</v>
      </c>
      <c r="I33" s="72">
        <f>SUM($G$7:G33)</f>
        <v>4286</v>
      </c>
      <c r="J33" s="64">
        <f t="shared" si="5"/>
        <v>0.37695690413368516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61.27</v>
      </c>
      <c r="G34" s="61">
        <f>IF(D34=D33,"",_xlfn.IFNA(VLOOKUP(D34,'인원 입력 기능(사과탐)'!$A$64:$D$116,4,FALSE),0))</f>
        <v>235</v>
      </c>
      <c r="H34" s="62">
        <f t="shared" si="1"/>
        <v>2.0668425681618294E-2</v>
      </c>
      <c r="I34" s="72">
        <f>SUM($G$7:G34)</f>
        <v>4521</v>
      </c>
      <c r="J34" s="64">
        <f t="shared" si="5"/>
        <v>0.39762532981530341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04">
        <f t="shared" si="3"/>
        <v>50</v>
      </c>
      <c r="E35" s="204">
        <f t="shared" si="0"/>
        <v>4</v>
      </c>
      <c r="F35" s="206">
        <f t="shared" si="4"/>
        <v>57.94</v>
      </c>
      <c r="G35" s="208">
        <f>IF(D35=D34,"",_xlfn.IFNA(VLOOKUP(D35,'인원 입력 기능(사과탐)'!$A$64:$D$116,4,FALSE),0))</f>
        <v>522</v>
      </c>
      <c r="H35" s="210">
        <f t="shared" si="1"/>
        <v>4.5910290237467018E-2</v>
      </c>
      <c r="I35" s="221">
        <f>SUM($G$7:G35)</f>
        <v>5043</v>
      </c>
      <c r="J35" s="200">
        <f t="shared" si="5"/>
        <v>0.44353562005277047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05"/>
      <c r="E36" s="205"/>
      <c r="F36" s="207"/>
      <c r="G36" s="209"/>
      <c r="H36" s="211"/>
      <c r="I36" s="222"/>
      <c r="J36" s="201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54.44</v>
      </c>
      <c r="G37" s="61">
        <f>IF(D37=D36,"",_xlfn.IFNA(VLOOKUP(D37,'인원 입력 기능(사과탐)'!$A$64:$D$116,4,FALSE),0))</f>
        <v>274</v>
      </c>
      <c r="H37" s="62">
        <f t="shared" si="1"/>
        <v>2.4098504837291118E-2</v>
      </c>
      <c r="I37" s="72">
        <f>SUM($G$7:G37)</f>
        <v>5317</v>
      </c>
      <c r="J37" s="64">
        <f t="shared" si="5"/>
        <v>0.46763412489006156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52.02</v>
      </c>
      <c r="G38" s="61">
        <f>IF(D38=D37,"",_xlfn.IFNA(VLOOKUP(D38,'인원 입력 기능(사과탐)'!$A$64:$D$116,4,FALSE),0))</f>
        <v>277</v>
      </c>
      <c r="H38" s="62">
        <f t="shared" si="1"/>
        <v>2.4362357080035181E-2</v>
      </c>
      <c r="I38" s="72">
        <f>SUM($G$7:G38)</f>
        <v>5594</v>
      </c>
      <c r="J38" s="64">
        <f t="shared" si="5"/>
        <v>0.49199648197009677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49.58</v>
      </c>
      <c r="G39" s="61">
        <f>IF(D39=D38,"",_xlfn.IFNA(VLOOKUP(D39,'인원 입력 기능(사과탐)'!$A$64:$D$116,4,FALSE),0))</f>
        <v>278</v>
      </c>
      <c r="H39" s="62">
        <f t="shared" si="1"/>
        <v>2.4450307827616535E-2</v>
      </c>
      <c r="I39" s="72">
        <f>SUM($G$7:G39)</f>
        <v>5872</v>
      </c>
      <c r="J39" s="64">
        <f t="shared" si="5"/>
        <v>0.5164467897977133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04">
        <f t="shared" si="3"/>
        <v>46</v>
      </c>
      <c r="E40" s="204">
        <f t="shared" si="6"/>
        <v>5</v>
      </c>
      <c r="F40" s="206">
        <f t="shared" si="4"/>
        <v>45.45</v>
      </c>
      <c r="G40" s="208">
        <f>IF(D40=D39,"",_xlfn.IFNA(VLOOKUP(D40,'인원 입력 기능(사과탐)'!$A$64:$D$116,4,FALSE),0))</f>
        <v>661</v>
      </c>
      <c r="H40" s="210">
        <f t="shared" si="1"/>
        <v>5.8135444151275285E-2</v>
      </c>
      <c r="I40" s="221">
        <f>SUM($G$7:G40)</f>
        <v>6533</v>
      </c>
      <c r="J40" s="200">
        <f t="shared" si="5"/>
        <v>0.57458223394898855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5"/>
      <c r="E41" s="205"/>
      <c r="F41" s="207"/>
      <c r="G41" s="209"/>
      <c r="H41" s="211"/>
      <c r="I41" s="222"/>
      <c r="J41" s="201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45</v>
      </c>
      <c r="E42" s="74">
        <f t="shared" si="6"/>
        <v>5</v>
      </c>
      <c r="F42" s="60">
        <f t="shared" si="4"/>
        <v>40.78</v>
      </c>
      <c r="G42" s="61">
        <f>IF(D42=D41,"",_xlfn.IFNA(VLOOKUP(D42,'인원 입력 기능(사과탐)'!$A$64:$D$116,4,FALSE),0))</f>
        <v>400</v>
      </c>
      <c r="H42" s="62">
        <f t="shared" si="1"/>
        <v>3.518029903254178E-2</v>
      </c>
      <c r="I42" s="72">
        <f>SUM($G$7:G42)</f>
        <v>6933</v>
      </c>
      <c r="J42" s="64">
        <f t="shared" si="5"/>
        <v>0.60976253298153038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37.32</v>
      </c>
      <c r="G43" s="61">
        <f>IF(D43=D42,"",_xlfn.IFNA(VLOOKUP(D43,'인원 입력 기능(사과탐)'!$A$64:$D$116,4,FALSE),0))</f>
        <v>388</v>
      </c>
      <c r="H43" s="62">
        <f t="shared" si="1"/>
        <v>3.4124890061565522E-2</v>
      </c>
      <c r="I43" s="72">
        <f>SUM($G$7:G43)</f>
        <v>7321</v>
      </c>
      <c r="J43" s="64">
        <f t="shared" si="5"/>
        <v>0.64388742304309587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33.93</v>
      </c>
      <c r="G44" s="61">
        <f>IF(D44=D43,"",_xlfn.IFNA(VLOOKUP(D44,'인원 입력 기능(사과탐)'!$A$64:$D$116,4,FALSE),0))</f>
        <v>382</v>
      </c>
      <c r="H44" s="62">
        <f t="shared" si="1"/>
        <v>3.3597185576077396E-2</v>
      </c>
      <c r="I44" s="72">
        <f>SUM($G$7:G44)</f>
        <v>7703</v>
      </c>
      <c r="J44" s="64">
        <f t="shared" si="5"/>
        <v>0.67748460861917326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04">
        <f t="shared" si="3"/>
        <v>42</v>
      </c>
      <c r="E45" s="204">
        <f t="shared" si="6"/>
        <v>6</v>
      </c>
      <c r="F45" s="206">
        <f t="shared" si="4"/>
        <v>27.45</v>
      </c>
      <c r="G45" s="208">
        <f>IF(D45=D44,"",_xlfn.IFNA(VLOOKUP(D45,'인원 입력 기능(사과탐)'!$A$64:$D$116,4,FALSE),0))</f>
        <v>1091</v>
      </c>
      <c r="H45" s="210">
        <f t="shared" si="1"/>
        <v>9.5954265611257694E-2</v>
      </c>
      <c r="I45" s="221">
        <f>SUM($G$7:G45)</f>
        <v>8794</v>
      </c>
      <c r="J45" s="200">
        <f t="shared" si="5"/>
        <v>0.77343887423043101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05"/>
      <c r="E46" s="205"/>
      <c r="F46" s="207"/>
      <c r="G46" s="209"/>
      <c r="H46" s="211"/>
      <c r="I46" s="222"/>
      <c r="J46" s="201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41</v>
      </c>
      <c r="E47" s="74">
        <f t="shared" si="6"/>
        <v>7</v>
      </c>
      <c r="F47" s="60">
        <f t="shared" si="4"/>
        <v>17.989999999999998</v>
      </c>
      <c r="G47" s="61">
        <f>IF(D47=D46,"",_xlfn.IFNA(VLOOKUP(D47,'인원 입력 기능(사과탐)'!$A$64:$D$116,4,FALSE),0))</f>
        <v>1062</v>
      </c>
      <c r="H47" s="62">
        <f t="shared" si="1"/>
        <v>9.3403693931398413E-2</v>
      </c>
      <c r="I47" s="72">
        <f>SUM($G$7:G47)</f>
        <v>9856</v>
      </c>
      <c r="J47" s="64">
        <f t="shared" si="5"/>
        <v>0.86684256816182936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40</v>
      </c>
      <c r="E48" s="74">
        <f t="shared" si="6"/>
        <v>7</v>
      </c>
      <c r="F48" s="60">
        <f t="shared" si="4"/>
        <v>11.97</v>
      </c>
      <c r="G48" s="61">
        <f>IF(D48=D47,"",_xlfn.IFNA(VLOOKUP(D48,'인원 입력 기능(사과탐)'!$A$64:$D$116,4,FALSE),0))</f>
        <v>307</v>
      </c>
      <c r="H48" s="62">
        <f t="shared" si="1"/>
        <v>2.7000879507475813E-2</v>
      </c>
      <c r="I48" s="72">
        <f>SUM($G$7:G48)</f>
        <v>10163</v>
      </c>
      <c r="J48" s="64">
        <f t="shared" si="5"/>
        <v>0.89384344766930524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39</v>
      </c>
      <c r="E49" s="74">
        <f t="shared" si="6"/>
        <v>8</v>
      </c>
      <c r="F49" s="60">
        <f t="shared" si="4"/>
        <v>9.24</v>
      </c>
      <c r="G49" s="61">
        <f>IF(D49=D48,"",_xlfn.IFNA(VLOOKUP(D49,'인원 입력 기능(사과탐)'!$A$64:$D$116,4,FALSE),0))</f>
        <v>312</v>
      </c>
      <c r="H49" s="62">
        <f t="shared" si="1"/>
        <v>2.7440633245382585E-2</v>
      </c>
      <c r="I49" s="72">
        <f>SUM($G$7:G49)</f>
        <v>10475</v>
      </c>
      <c r="J49" s="64">
        <f t="shared" si="5"/>
        <v>0.92128408091468772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6"/>
        <v>8</v>
      </c>
      <c r="F50" s="60">
        <f t="shared" si="4"/>
        <v>6.3</v>
      </c>
      <c r="G50" s="61">
        <f>IF(D50=D49,"",_xlfn.IFNA(VLOOKUP(D50,'인원 입력 기능(사과탐)'!$A$64:$D$116,4,FALSE),0))</f>
        <v>358</v>
      </c>
      <c r="H50" s="62">
        <f t="shared" si="1"/>
        <v>3.1486367634124893E-2</v>
      </c>
      <c r="I50" s="72">
        <f>SUM($G$7:G50)</f>
        <v>10833</v>
      </c>
      <c r="J50" s="64">
        <f t="shared" si="5"/>
        <v>0.95277044854881265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204">
        <f t="shared" si="3"/>
        <v>37</v>
      </c>
      <c r="E51" s="204">
        <f t="shared" si="6"/>
        <v>8</v>
      </c>
      <c r="F51" s="206">
        <f t="shared" si="4"/>
        <v>3.38</v>
      </c>
      <c r="G51" s="208">
        <f>IF(D51=D50,"",_xlfn.IFNA(VLOOKUP(D51,'인원 입력 기능(사과탐)'!$A$64:$D$116,4,FALSE),0))</f>
        <v>306</v>
      </c>
      <c r="H51" s="210">
        <f t="shared" si="1"/>
        <v>2.6912928759894459E-2</v>
      </c>
      <c r="I51" s="221">
        <f>SUM($G$7:G51)</f>
        <v>11139</v>
      </c>
      <c r="J51" s="200">
        <f t="shared" si="5"/>
        <v>0.97968337730870714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05"/>
      <c r="E52" s="205"/>
      <c r="F52" s="207"/>
      <c r="G52" s="209"/>
      <c r="H52" s="211"/>
      <c r="I52" s="222"/>
      <c r="J52" s="201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36</v>
      </c>
      <c r="E53" s="59">
        <f t="shared" si="6"/>
        <v>9</v>
      </c>
      <c r="F53" s="60">
        <f t="shared" si="4"/>
        <v>1.62</v>
      </c>
      <c r="G53" s="61">
        <f>IF(D53=D52,"",_xlfn.IFNA(VLOOKUP(D53,'인원 입력 기능(사과탐)'!$A$64:$D$116,4,FALSE),0))</f>
        <v>93</v>
      </c>
      <c r="H53" s="62">
        <f t="shared" si="1"/>
        <v>8.1794195250659632E-3</v>
      </c>
      <c r="I53" s="72">
        <f>SUM($G$7:G53)</f>
        <v>11232</v>
      </c>
      <c r="J53" s="64">
        <f t="shared" si="5"/>
        <v>0.98786279683377309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35</v>
      </c>
      <c r="E54" s="59">
        <f t="shared" si="6"/>
        <v>9</v>
      </c>
      <c r="F54" s="60">
        <f t="shared" si="4"/>
        <v>1.03</v>
      </c>
      <c r="G54" s="61">
        <f>IF(D54=D53,"",_xlfn.IFNA(VLOOKUP(D54,'인원 입력 기능(사과탐)'!$A$64:$D$116,4,FALSE),0))</f>
        <v>42</v>
      </c>
      <c r="H54" s="62">
        <f t="shared" si="1"/>
        <v>3.6939313984168864E-3</v>
      </c>
      <c r="I54" s="72">
        <f>SUM($G$7:G54)</f>
        <v>11274</v>
      </c>
      <c r="J54" s="64">
        <f t="shared" si="5"/>
        <v>0.99155672823218999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34</v>
      </c>
      <c r="E55" s="59">
        <f t="shared" si="6"/>
        <v>9</v>
      </c>
      <c r="F55" s="60">
        <f t="shared" si="4"/>
        <v>0.56000000000000005</v>
      </c>
      <c r="G55" s="61">
        <f>IF(D55=D54,"",_xlfn.IFNA(VLOOKUP(D55,'인원 입력 기능(사과탐)'!$A$64:$D$116,4,FALSE),0))</f>
        <v>64</v>
      </c>
      <c r="H55" s="62">
        <f t="shared" si="1"/>
        <v>5.6288478452066843E-3</v>
      </c>
      <c r="I55" s="72">
        <f>SUM($G$7:G55)</f>
        <v>11338</v>
      </c>
      <c r="J55" s="64">
        <f t="shared" si="5"/>
        <v>0.99718557607739666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33</v>
      </c>
      <c r="E57" s="112">
        <f t="shared" si="6"/>
        <v>9</v>
      </c>
      <c r="F57" s="79">
        <f>IF(I55=0,ROUND(100*(1-(I54+I57)/2/$J$3),2),ROUND(100*(1-(I55+I57)/2/$J$3),2))</f>
        <v>0.14000000000000001</v>
      </c>
      <c r="G57" s="113">
        <f>_xlfn.IFNA(VLOOKUP(D57,'인원 입력 기능(사과탐)'!$A$64:$D$116,4,FALSE),0)</f>
        <v>32</v>
      </c>
      <c r="H57" s="81">
        <f>G57/$J$3</f>
        <v>2.8144239226033422E-3</v>
      </c>
      <c r="I57" s="82">
        <f>SUM($G$7:G57)</f>
        <v>11370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18:D19"/>
    <mergeCell ref="E18:E19"/>
    <mergeCell ref="F18:F19"/>
    <mergeCell ref="G18:G19"/>
    <mergeCell ref="H18:H19"/>
    <mergeCell ref="I29:I30"/>
    <mergeCell ref="J29:J30"/>
    <mergeCell ref="D35:D36"/>
    <mergeCell ref="E35:E36"/>
    <mergeCell ref="F35:F36"/>
    <mergeCell ref="G35:G36"/>
    <mergeCell ref="H35:H36"/>
    <mergeCell ref="I35:I36"/>
    <mergeCell ref="J35:J36"/>
    <mergeCell ref="D29:D30"/>
    <mergeCell ref="E29:E30"/>
    <mergeCell ref="F29:F30"/>
    <mergeCell ref="G29:G30"/>
    <mergeCell ref="H29:H30"/>
    <mergeCell ref="I40:I41"/>
    <mergeCell ref="J40:J41"/>
    <mergeCell ref="D45:D46"/>
    <mergeCell ref="E45:E46"/>
    <mergeCell ref="F45:F46"/>
    <mergeCell ref="G45:G46"/>
    <mergeCell ref="H45:H46"/>
    <mergeCell ref="I45:I46"/>
    <mergeCell ref="J45:J46"/>
    <mergeCell ref="D40:D41"/>
    <mergeCell ref="E40:E41"/>
    <mergeCell ref="F40:F41"/>
    <mergeCell ref="G40:G41"/>
    <mergeCell ref="H40:H41"/>
    <mergeCell ref="I51:I52"/>
    <mergeCell ref="J51:J52"/>
    <mergeCell ref="D51:D52"/>
    <mergeCell ref="E51:E52"/>
    <mergeCell ref="F51:F52"/>
    <mergeCell ref="G51:G52"/>
    <mergeCell ref="H51:H52"/>
  </mergeCells>
  <phoneticPr fontId="1" type="noConversion"/>
  <conditionalFormatting sqref="D7:G13 I7:J13 D15:G18 I15:J18 D20:G24 I20:J24 D26:G29 I26:J29 D31:G35 I31:J35 D37:G40 I37:J40 D42:G45 I42:J45 D47:G51 I47:J51 D53:G57 I53:J57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13 D15:D18 D20:D24 D26:D29 D31:D35 D37:D40 D42:D45 D47:D51 D53:D57">
    <cfRule type="expression" dxfId="33" priority="2">
      <formula>$D7=$D8</formula>
    </cfRule>
  </conditionalFormatting>
  <conditionalFormatting sqref="H7:H13 H15:H18 H20:H24 H26:H29 H31:H35 H37:H40 H42:H45 H47:H51 H53:H57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기능'!D13</f>
        <v>18.989999999999998</v>
      </c>
      <c r="I3" s="21" t="s">
        <v>70</v>
      </c>
      <c r="J3" s="50">
        <f>'통계 및 응시자 수 입력 기능'!C13</f>
        <v>18652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99</v>
      </c>
      <c r="E4" s="216"/>
      <c r="F4" s="217"/>
      <c r="G4" s="52" t="s">
        <v>73</v>
      </c>
      <c r="H4" s="53">
        <f>'통계 및 응시자 수 입력 기능'!E13</f>
        <v>10.93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99.44</v>
      </c>
      <c r="G7" s="61">
        <f>_xlfn.IFNA(VLOOKUP(D7,'인원 입력 기능(사과탐)'!$F$64:$I$116,4,FALSE),0)</f>
        <v>208</v>
      </c>
      <c r="H7" s="62">
        <f>G7/$J$3</f>
        <v>1.1151619129315891E-2</v>
      </c>
      <c r="I7" s="63">
        <f>G7</f>
        <v>208</v>
      </c>
      <c r="J7" s="64">
        <f>I7/$J$3</f>
        <v>1.1151619129315891E-2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73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기능'!C86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98.75</v>
      </c>
      <c r="G9" s="61">
        <f>_xlfn.IFNA(VLOOKUP(D9,'인원 입력 기능(사과탐)'!$F$64:$I$116,4,FALSE),0)</f>
        <v>50</v>
      </c>
      <c r="H9" s="62">
        <f t="shared" ref="H9:H55" si="1">G9/$J$3</f>
        <v>2.68067767531632E-3</v>
      </c>
      <c r="I9" s="72">
        <f>SUM($G$7:G9)</f>
        <v>258</v>
      </c>
      <c r="J9" s="64">
        <f>I9/$J$3</f>
        <v>1.3832296804632211E-2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56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76</v>
      </c>
      <c r="E10" s="59">
        <f t="shared" si="0"/>
        <v>1</v>
      </c>
      <c r="F10" s="60">
        <f t="shared" ref="F10:F55" si="4">IF(I9=0,ROUND(100*(1-(I8+I10)/2/$J$3),2),ROUND(100*(1-(I9+I10)/2/$J$3),2))</f>
        <v>98.02</v>
      </c>
      <c r="G10" s="61">
        <f>IF(D10=D9,"",_xlfn.IFNA(VLOOKUP(D10,'인원 입력 기능(사과탐)'!$F$64:$I$116,4,FALSE),0))</f>
        <v>224</v>
      </c>
      <c r="H10" s="62">
        <f t="shared" si="1"/>
        <v>1.2009435985417113E-2</v>
      </c>
      <c r="I10" s="72">
        <f>SUM($G$7:G10)</f>
        <v>482</v>
      </c>
      <c r="J10" s="64">
        <f t="shared" ref="J10:J55" si="5">I10/$J$3</f>
        <v>2.5841732790049324E-2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75</v>
      </c>
      <c r="E11" s="59">
        <f t="shared" si="0"/>
        <v>1</v>
      </c>
      <c r="F11" s="60">
        <f t="shared" si="4"/>
        <v>97.37</v>
      </c>
      <c r="G11" s="61">
        <f>IF(D11=D10,"",_xlfn.IFNA(VLOOKUP(D11,'인원 입력 기능(사과탐)'!$F$64:$I$116,4,FALSE),0))</f>
        <v>17</v>
      </c>
      <c r="H11" s="62">
        <f t="shared" si="1"/>
        <v>9.114304096075488E-4</v>
      </c>
      <c r="I11" s="72">
        <f>SUM($G$7:G11)</f>
        <v>499</v>
      </c>
      <c r="J11" s="64">
        <f t="shared" si="5"/>
        <v>2.6753163199656874E-2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74</v>
      </c>
      <c r="E12" s="59">
        <f t="shared" si="0"/>
        <v>1</v>
      </c>
      <c r="F12" s="60">
        <f t="shared" si="4"/>
        <v>96.99</v>
      </c>
      <c r="G12" s="61">
        <f>IF(D12=D11,"",_xlfn.IFNA(VLOOKUP(D12,'인원 입력 기능(사과탐)'!$F$64:$I$116,4,FALSE),0))</f>
        <v>126</v>
      </c>
      <c r="H12" s="62">
        <f t="shared" si="1"/>
        <v>6.7553077417971267E-3</v>
      </c>
      <c r="I12" s="72">
        <f>SUM($G$7:G12)</f>
        <v>625</v>
      </c>
      <c r="J12" s="64">
        <f t="shared" si="5"/>
        <v>3.3508470941453997E-2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73</v>
      </c>
      <c r="E13" s="59">
        <f t="shared" si="0"/>
        <v>1</v>
      </c>
      <c r="F13" s="60">
        <f t="shared" si="4"/>
        <v>96.19</v>
      </c>
      <c r="G13" s="61">
        <f>IF(D13=D12,"",_xlfn.IFNA(VLOOKUP(D13,'인원 입력 기능(사과탐)'!$F$64:$I$116,4,FALSE),0))</f>
        <v>171</v>
      </c>
      <c r="H13" s="62">
        <f t="shared" si="1"/>
        <v>9.1679176495818148E-3</v>
      </c>
      <c r="I13" s="72">
        <f>SUM($G$7:G13)</f>
        <v>796</v>
      </c>
      <c r="J13" s="64">
        <f t="shared" si="5"/>
        <v>4.2676388591035813E-2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41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72</v>
      </c>
      <c r="E14" s="59">
        <f t="shared" si="0"/>
        <v>2</v>
      </c>
      <c r="F14" s="60">
        <f t="shared" si="4"/>
        <v>95.54</v>
      </c>
      <c r="G14" s="61">
        <f>IF(D14=D13,"",_xlfn.IFNA(VLOOKUP(D14,'인원 입력 기능(사과탐)'!$F$64:$I$116,4,FALSE),0))</f>
        <v>70</v>
      </c>
      <c r="H14" s="62">
        <f t="shared" si="1"/>
        <v>3.7529487454428479E-3</v>
      </c>
      <c r="I14" s="72">
        <f>SUM($G$7:G14)</f>
        <v>866</v>
      </c>
      <c r="J14" s="64">
        <f t="shared" si="5"/>
        <v>4.6429337336478659E-2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38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71</v>
      </c>
      <c r="E15" s="59">
        <f t="shared" si="0"/>
        <v>2</v>
      </c>
      <c r="F15" s="60">
        <f t="shared" si="4"/>
        <v>94.89</v>
      </c>
      <c r="G15" s="61">
        <f>IF(D15=D14,"",_xlfn.IFNA(VLOOKUP(D15,'인원 입력 기능(사과탐)'!$F$64:$I$116,4,FALSE),0))</f>
        <v>174</v>
      </c>
      <c r="H15" s="62">
        <f t="shared" si="1"/>
        <v>9.3287583101007935E-3</v>
      </c>
      <c r="I15" s="72">
        <f>SUM($G$7:G15)</f>
        <v>1040</v>
      </c>
      <c r="J15" s="64">
        <f t="shared" si="5"/>
        <v>5.5758095646579457E-2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70</v>
      </c>
      <c r="E16" s="59">
        <f t="shared" si="0"/>
        <v>2</v>
      </c>
      <c r="F16" s="60">
        <f t="shared" si="4"/>
        <v>94.09</v>
      </c>
      <c r="G16" s="61">
        <f>IF(D16=D15,"",_xlfn.IFNA(VLOOKUP(D16,'인원 입력 기능(사과탐)'!$F$64:$I$116,4,FALSE),0))</f>
        <v>123</v>
      </c>
      <c r="H16" s="62">
        <f t="shared" si="1"/>
        <v>6.5944670812781471E-3</v>
      </c>
      <c r="I16" s="72">
        <f>SUM($G$7:G16)</f>
        <v>1163</v>
      </c>
      <c r="J16" s="64">
        <f t="shared" si="5"/>
        <v>6.2352562727857601E-2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69</v>
      </c>
      <c r="E17" s="59">
        <f t="shared" si="0"/>
        <v>2</v>
      </c>
      <c r="F17" s="60">
        <f t="shared" si="4"/>
        <v>93.4</v>
      </c>
      <c r="G17" s="61">
        <f>IF(D17=D16,"",_xlfn.IFNA(VLOOKUP(D17,'인원 입력 기능(사과탐)'!$F$64:$I$116,4,FALSE),0))</f>
        <v>137</v>
      </c>
      <c r="H17" s="62">
        <f t="shared" si="1"/>
        <v>7.3450568303667163E-3</v>
      </c>
      <c r="I17" s="72">
        <f>SUM($G$7:G17)</f>
        <v>1300</v>
      </c>
      <c r="J17" s="64">
        <f t="shared" si="5"/>
        <v>6.9697619558224316E-2</v>
      </c>
      <c r="K17" s="36"/>
      <c r="L17" s="20" t="str">
        <f t="shared" si="2"/>
        <v/>
      </c>
      <c r="N17" s="24"/>
      <c r="Q17" s="24">
        <f>Q7*H3*H4*J3*IFERROR(IF(J57=1, 1, 0), 0)</f>
        <v>282613818.87720001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68</v>
      </c>
      <c r="E18" s="59">
        <f t="shared" si="0"/>
        <v>2</v>
      </c>
      <c r="F18" s="60">
        <f t="shared" si="4"/>
        <v>92.48</v>
      </c>
      <c r="G18" s="61">
        <f>IF(D18=D17,"",_xlfn.IFNA(VLOOKUP(D18,'인원 입력 기능(사과탐)'!$F$64:$I$116,4,FALSE),0))</f>
        <v>206</v>
      </c>
      <c r="H18" s="62">
        <f t="shared" si="1"/>
        <v>1.1044392022303237E-2</v>
      </c>
      <c r="I18" s="72">
        <f>SUM($G$7:G18)</f>
        <v>1506</v>
      </c>
      <c r="J18" s="64">
        <f t="shared" si="5"/>
        <v>8.0742011580527559E-2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91.57</v>
      </c>
      <c r="G19" s="61">
        <f>IF(D19=D18,"",_xlfn.IFNA(VLOOKUP(D19,'인원 입력 기능(사과탐)'!$F$64:$I$116,4,FALSE),0))</f>
        <v>131</v>
      </c>
      <c r="H19" s="62">
        <f t="shared" si="1"/>
        <v>7.0233755093287581E-3</v>
      </c>
      <c r="I19" s="72">
        <f>SUM($G$7:G19)</f>
        <v>1637</v>
      </c>
      <c r="J19" s="64">
        <f t="shared" si="5"/>
        <v>8.7765387089856317E-2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02">
        <f t="shared" si="3"/>
        <v>66</v>
      </c>
      <c r="E20" s="202">
        <f t="shared" si="0"/>
        <v>2</v>
      </c>
      <c r="F20" s="206">
        <f t="shared" si="4"/>
        <v>90.29</v>
      </c>
      <c r="G20" s="208">
        <f>IF(D20=D19,"",_xlfn.IFNA(VLOOKUP(D20,'인원 입력 기능(사과탐)'!$F$64:$I$116,4,FALSE),0))</f>
        <v>348</v>
      </c>
      <c r="H20" s="210">
        <f t="shared" si="1"/>
        <v>1.8657516620201587E-2</v>
      </c>
      <c r="I20" s="221">
        <f>SUM($G$7:G20)</f>
        <v>1985</v>
      </c>
      <c r="J20" s="200">
        <f t="shared" si="5"/>
        <v>0.1064229037100579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03"/>
      <c r="E21" s="203"/>
      <c r="F21" s="207"/>
      <c r="G21" s="209"/>
      <c r="H21" s="211"/>
      <c r="I21" s="222"/>
      <c r="J21" s="201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65</v>
      </c>
      <c r="E22" s="74">
        <f t="shared" si="0"/>
        <v>2</v>
      </c>
      <c r="F22" s="60">
        <f t="shared" si="4"/>
        <v>88.84</v>
      </c>
      <c r="G22" s="61">
        <f>IF(D22=D21,"",_xlfn.IFNA(VLOOKUP(D22,'인원 입력 기능(사과탐)'!$F$64:$I$116,4,FALSE),0))</f>
        <v>192</v>
      </c>
      <c r="H22" s="62">
        <f t="shared" si="1"/>
        <v>1.0293802273214669E-2</v>
      </c>
      <c r="I22" s="72">
        <f>SUM($G$7:G22)</f>
        <v>2177</v>
      </c>
      <c r="J22" s="64">
        <f t="shared" si="5"/>
        <v>0.11671670598327256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64</v>
      </c>
      <c r="E23" s="74">
        <f t="shared" si="0"/>
        <v>3</v>
      </c>
      <c r="F23" s="60">
        <f t="shared" si="4"/>
        <v>87.78</v>
      </c>
      <c r="G23" s="61">
        <f>IF(D23=D22,"",_xlfn.IFNA(VLOOKUP(D23,'인원 입력 기능(사과탐)'!$F$64:$I$116,4,FALSE),0))</f>
        <v>205</v>
      </c>
      <c r="H23" s="62">
        <f t="shared" si="1"/>
        <v>1.0990778468796912E-2</v>
      </c>
      <c r="I23" s="72">
        <f>SUM($G$7:G23)</f>
        <v>2382</v>
      </c>
      <c r="J23" s="64">
        <f t="shared" si="5"/>
        <v>0.12770748445206948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63</v>
      </c>
      <c r="E24" s="74">
        <f t="shared" si="0"/>
        <v>3</v>
      </c>
      <c r="F24" s="60">
        <f t="shared" si="4"/>
        <v>86.71</v>
      </c>
      <c r="G24" s="61">
        <f>IF(D24=D23,"",_xlfn.IFNA(VLOOKUP(D24,'인원 입력 기능(사과탐)'!$F$64:$I$116,4,FALSE),0))</f>
        <v>194</v>
      </c>
      <c r="H24" s="62">
        <f t="shared" si="1"/>
        <v>1.0401029380227321E-2</v>
      </c>
      <c r="I24" s="72">
        <f>SUM($G$7:G24)</f>
        <v>2576</v>
      </c>
      <c r="J24" s="64">
        <f t="shared" si="5"/>
        <v>0.1381085138322968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62</v>
      </c>
      <c r="E25" s="74">
        <f t="shared" si="0"/>
        <v>3</v>
      </c>
      <c r="F25" s="60">
        <f t="shared" si="4"/>
        <v>85.62</v>
      </c>
      <c r="G25" s="61">
        <f>IF(D25=D24,"",_xlfn.IFNA(VLOOKUP(D25,'인원 입력 기능(사과탐)'!$F$64:$I$116,4,FALSE),0))</f>
        <v>211</v>
      </c>
      <c r="H25" s="62">
        <f t="shared" si="1"/>
        <v>1.131245978983487E-2</v>
      </c>
      <c r="I25" s="72">
        <f>SUM($G$7:G25)</f>
        <v>2787</v>
      </c>
      <c r="J25" s="64">
        <f t="shared" si="5"/>
        <v>0.14942097362213166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61</v>
      </c>
      <c r="E26" s="74">
        <f t="shared" si="0"/>
        <v>3</v>
      </c>
      <c r="F26" s="60">
        <f t="shared" si="4"/>
        <v>84.47</v>
      </c>
      <c r="G26" s="61">
        <f>IF(D26=D25,"",_xlfn.IFNA(VLOOKUP(D26,'인원 입력 기능(사과탐)'!$F$64:$I$116,4,FALSE),0))</f>
        <v>220</v>
      </c>
      <c r="H26" s="62">
        <f t="shared" si="1"/>
        <v>1.1794981771391808E-2</v>
      </c>
      <c r="I26" s="72">
        <f>SUM($G$7:G26)</f>
        <v>3007</v>
      </c>
      <c r="J26" s="64">
        <f t="shared" si="5"/>
        <v>0.16121595539352349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60</v>
      </c>
      <c r="E27" s="74">
        <f t="shared" si="0"/>
        <v>3</v>
      </c>
      <c r="F27" s="60">
        <f t="shared" si="4"/>
        <v>83.15</v>
      </c>
      <c r="G27" s="61">
        <f>IF(D27=D26,"",_xlfn.IFNA(VLOOKUP(D27,'인원 입력 기능(사과탐)'!$F$64:$I$116,4,FALSE),0))</f>
        <v>271</v>
      </c>
      <c r="H27" s="62">
        <f t="shared" si="1"/>
        <v>1.4529273000214454E-2</v>
      </c>
      <c r="I27" s="72">
        <f>SUM($G$7:G27)</f>
        <v>3278</v>
      </c>
      <c r="J27" s="64">
        <f t="shared" si="5"/>
        <v>0.17574522839373793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59</v>
      </c>
      <c r="E28" s="74">
        <f t="shared" si="0"/>
        <v>3</v>
      </c>
      <c r="F28" s="60">
        <f t="shared" si="4"/>
        <v>81.69</v>
      </c>
      <c r="G28" s="61">
        <f>IF(D28=D27,"",_xlfn.IFNA(VLOOKUP(D28,'인원 입력 기능(사과탐)'!$F$64:$I$116,4,FALSE),0))</f>
        <v>273</v>
      </c>
      <c r="H28" s="62">
        <f t="shared" si="1"/>
        <v>1.4636500107227108E-2</v>
      </c>
      <c r="I28" s="72">
        <f>SUM($G$7:G28)</f>
        <v>3551</v>
      </c>
      <c r="J28" s="64">
        <f t="shared" si="5"/>
        <v>0.19038172850096505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58</v>
      </c>
      <c r="E29" s="74">
        <f t="shared" si="0"/>
        <v>3</v>
      </c>
      <c r="F29" s="60">
        <f t="shared" si="4"/>
        <v>80.28</v>
      </c>
      <c r="G29" s="61">
        <f>IF(D29=D28,"",_xlfn.IFNA(VLOOKUP(D29,'인원 입력 기능(사과탐)'!$F$64:$I$116,4,FALSE),0))</f>
        <v>256</v>
      </c>
      <c r="H29" s="62">
        <f t="shared" si="1"/>
        <v>1.3725069697619559E-2</v>
      </c>
      <c r="I29" s="72">
        <f>SUM($G$7:G29)</f>
        <v>3807</v>
      </c>
      <c r="J29" s="64">
        <f t="shared" si="5"/>
        <v>0.2041067981985846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57</v>
      </c>
      <c r="E30" s="74">
        <f t="shared" si="0"/>
        <v>3</v>
      </c>
      <c r="F30" s="60">
        <f t="shared" si="4"/>
        <v>78.73</v>
      </c>
      <c r="G30" s="61">
        <f>IF(D30=D29,"",_xlfn.IFNA(VLOOKUP(D30,'인원 입력 기능(사과탐)'!$F$64:$I$116,4,FALSE),0))</f>
        <v>320</v>
      </c>
      <c r="H30" s="62">
        <f t="shared" si="1"/>
        <v>1.7156337122024447E-2</v>
      </c>
      <c r="I30" s="72">
        <f>SUM($G$7:G30)</f>
        <v>4127</v>
      </c>
      <c r="J30" s="64">
        <f t="shared" si="5"/>
        <v>0.22126313532060904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56</v>
      </c>
      <c r="E31" s="74">
        <f t="shared" si="0"/>
        <v>3</v>
      </c>
      <c r="F31" s="60">
        <f t="shared" si="4"/>
        <v>76.959999999999994</v>
      </c>
      <c r="G31" s="61">
        <f>IF(D31=D30,"",_xlfn.IFNA(VLOOKUP(D31,'인원 입력 기능(사과탐)'!$F$64:$I$116,4,FALSE),0))</f>
        <v>339</v>
      </c>
      <c r="H31" s="62">
        <f t="shared" si="1"/>
        <v>1.8174994638644651E-2</v>
      </c>
      <c r="I31" s="72">
        <f>SUM($G$7:G31)</f>
        <v>4466</v>
      </c>
      <c r="J31" s="64">
        <f t="shared" si="5"/>
        <v>0.2394381299592537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4">
        <f t="shared" si="3"/>
        <v>55</v>
      </c>
      <c r="E32" s="204">
        <f t="shared" si="0"/>
        <v>4</v>
      </c>
      <c r="F32" s="206">
        <f t="shared" si="4"/>
        <v>73.94</v>
      </c>
      <c r="G32" s="208">
        <f>IF(D32=D31,"",_xlfn.IFNA(VLOOKUP(D32,'인원 입력 기능(사과탐)'!$F$64:$I$116,4,FALSE),0))</f>
        <v>788</v>
      </c>
      <c r="H32" s="210">
        <f t="shared" si="1"/>
        <v>4.2247480162985206E-2</v>
      </c>
      <c r="I32" s="221">
        <f>SUM($G$7:G32)</f>
        <v>5254</v>
      </c>
      <c r="J32" s="200">
        <f t="shared" si="5"/>
        <v>0.28168561012223892</v>
      </c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5"/>
      <c r="E33" s="205"/>
      <c r="F33" s="207"/>
      <c r="G33" s="209"/>
      <c r="H33" s="211"/>
      <c r="I33" s="222"/>
      <c r="J33" s="20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54</v>
      </c>
      <c r="E34" s="74">
        <f t="shared" si="0"/>
        <v>4</v>
      </c>
      <c r="F34" s="60">
        <f t="shared" si="4"/>
        <v>70.709999999999994</v>
      </c>
      <c r="G34" s="61">
        <f>IF(D34=D33,"",_xlfn.IFNA(VLOOKUP(D34,'인원 입력 기능(사과탐)'!$F$64:$I$116,4,FALSE),0))</f>
        <v>420</v>
      </c>
      <c r="H34" s="62">
        <f t="shared" si="1"/>
        <v>2.2517692472657089E-2</v>
      </c>
      <c r="I34" s="72">
        <f>SUM($G$7:G34)</f>
        <v>5674</v>
      </c>
      <c r="J34" s="64">
        <f t="shared" si="5"/>
        <v>0.30420330259489597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53</v>
      </c>
      <c r="E35" s="74">
        <f t="shared" si="0"/>
        <v>4</v>
      </c>
      <c r="F35" s="60">
        <f t="shared" si="4"/>
        <v>68.44</v>
      </c>
      <c r="G35" s="61">
        <f>IF(D35=D34,"",_xlfn.IFNA(VLOOKUP(D35,'인원 입력 기능(사과탐)'!$F$64:$I$116,4,FALSE),0))</f>
        <v>426</v>
      </c>
      <c r="H35" s="62">
        <f t="shared" si="1"/>
        <v>2.2839373793695047E-2</v>
      </c>
      <c r="I35" s="72">
        <f>SUM($G$7:G35)</f>
        <v>6100</v>
      </c>
      <c r="J35" s="64">
        <f t="shared" si="5"/>
        <v>0.32704267638859102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52</v>
      </c>
      <c r="E36" s="74">
        <f t="shared" si="0"/>
        <v>4</v>
      </c>
      <c r="F36" s="60">
        <f t="shared" si="4"/>
        <v>66.150000000000006</v>
      </c>
      <c r="G36" s="61">
        <f>IF(D36=D35,"",_xlfn.IFNA(VLOOKUP(D36,'인원 입력 기능(사과탐)'!$F$64:$I$116,4,FALSE),0))</f>
        <v>427</v>
      </c>
      <c r="H36" s="62">
        <f t="shared" si="1"/>
        <v>2.2892987347201372E-2</v>
      </c>
      <c r="I36" s="72">
        <f>SUM($G$7:G36)</f>
        <v>6527</v>
      </c>
      <c r="J36" s="64">
        <f t="shared" si="5"/>
        <v>0.34993566373579243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51</v>
      </c>
      <c r="E37" s="74">
        <f t="shared" si="0"/>
        <v>4</v>
      </c>
      <c r="F37" s="60">
        <f t="shared" si="4"/>
        <v>63.45</v>
      </c>
      <c r="G37" s="61">
        <f>IF(D37=D36,"",_xlfn.IFNA(VLOOKUP(D37,'인원 입력 기능(사과탐)'!$F$64:$I$116,4,FALSE),0))</f>
        <v>581</v>
      </c>
      <c r="H37" s="62">
        <f t="shared" si="1"/>
        <v>3.1149474587175638E-2</v>
      </c>
      <c r="I37" s="72">
        <f>SUM($G$7:G37)</f>
        <v>7108</v>
      </c>
      <c r="J37" s="64">
        <f t="shared" si="5"/>
        <v>0.38108513832296803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50</v>
      </c>
      <c r="E38" s="74">
        <f t="shared" si="0"/>
        <v>4</v>
      </c>
      <c r="F38" s="60">
        <f t="shared" si="4"/>
        <v>60.48</v>
      </c>
      <c r="G38" s="61">
        <f>IF(D38=D37,"",_xlfn.IFNA(VLOOKUP(D38,'인원 입력 기능(사과탐)'!$F$64:$I$116,4,FALSE),0))</f>
        <v>526</v>
      </c>
      <c r="H38" s="62">
        <f t="shared" si="1"/>
        <v>2.8200729144327686E-2</v>
      </c>
      <c r="I38" s="72">
        <f>SUM($G$7:G38)</f>
        <v>7634</v>
      </c>
      <c r="J38" s="64">
        <f t="shared" si="5"/>
        <v>0.40928586746729573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49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57.43</v>
      </c>
      <c r="G39" s="61">
        <f>IF(D39=D38,"",_xlfn.IFNA(VLOOKUP(D39,'인원 입력 기능(사과탐)'!$F$64:$I$116,4,FALSE),0))</f>
        <v>612</v>
      </c>
      <c r="H39" s="62">
        <f t="shared" si="1"/>
        <v>3.2811494745871757E-2</v>
      </c>
      <c r="I39" s="72">
        <f>SUM($G$7:G39)</f>
        <v>8246</v>
      </c>
      <c r="J39" s="64">
        <f t="shared" si="5"/>
        <v>0.44209736221316748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48</v>
      </c>
      <c r="E40" s="74">
        <f t="shared" si="6"/>
        <v>5</v>
      </c>
      <c r="F40" s="60">
        <f t="shared" si="4"/>
        <v>54.13</v>
      </c>
      <c r="G40" s="61">
        <f>IF(D40=D39,"",_xlfn.IFNA(VLOOKUP(D40,'인원 입력 기능(사과탐)'!$F$64:$I$116,4,FALSE),0))</f>
        <v>621</v>
      </c>
      <c r="H40" s="62">
        <f t="shared" si="1"/>
        <v>3.3294016727428696E-2</v>
      </c>
      <c r="I40" s="72">
        <f>SUM($G$7:G40)</f>
        <v>8867</v>
      </c>
      <c r="J40" s="64">
        <f t="shared" si="5"/>
        <v>0.47539137894059619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47</v>
      </c>
      <c r="E41" s="74">
        <f t="shared" si="6"/>
        <v>5</v>
      </c>
      <c r="F41" s="60">
        <f t="shared" si="4"/>
        <v>50.72</v>
      </c>
      <c r="G41" s="61">
        <f>IF(D41=D40,"",_xlfn.IFNA(VLOOKUP(D41,'인원 입력 기능(사과탐)'!$F$64:$I$116,4,FALSE),0))</f>
        <v>648</v>
      </c>
      <c r="H41" s="62">
        <f t="shared" si="1"/>
        <v>3.4741582672099508E-2</v>
      </c>
      <c r="I41" s="72">
        <f>SUM($G$7:G41)</f>
        <v>9515</v>
      </c>
      <c r="J41" s="64">
        <f t="shared" si="5"/>
        <v>0.51013296161269572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46</v>
      </c>
      <c r="E42" s="74">
        <f t="shared" si="6"/>
        <v>5</v>
      </c>
      <c r="F42" s="60">
        <f t="shared" si="4"/>
        <v>46.98</v>
      </c>
      <c r="G42" s="61">
        <f>IF(D42=D41,"",_xlfn.IFNA(VLOOKUP(D42,'인원 입력 기능(사과탐)'!$F$64:$I$116,4,FALSE),0))</f>
        <v>749</v>
      </c>
      <c r="H42" s="62">
        <f t="shared" si="1"/>
        <v>4.0156551576238472E-2</v>
      </c>
      <c r="I42" s="72">
        <f>SUM($G$7:G42)</f>
        <v>10264</v>
      </c>
      <c r="J42" s="64">
        <f t="shared" si="5"/>
        <v>0.55028951318893415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4">
        <f t="shared" si="3"/>
        <v>45</v>
      </c>
      <c r="E43" s="204">
        <f t="shared" si="6"/>
        <v>5</v>
      </c>
      <c r="F43" s="206">
        <f t="shared" si="4"/>
        <v>40.85</v>
      </c>
      <c r="G43" s="208">
        <f>IF(D43=D42,"",_xlfn.IFNA(VLOOKUP(D43,'인원 입력 기능(사과탐)'!$F$64:$I$116,4,FALSE),0))</f>
        <v>1536</v>
      </c>
      <c r="H43" s="210">
        <f t="shared" si="1"/>
        <v>8.2350418185717353E-2</v>
      </c>
      <c r="I43" s="221">
        <f>SUM($G$7:G43)</f>
        <v>11800</v>
      </c>
      <c r="J43" s="200">
        <f t="shared" si="5"/>
        <v>0.63263993137465147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5"/>
      <c r="E44" s="205"/>
      <c r="F44" s="207"/>
      <c r="G44" s="209"/>
      <c r="H44" s="211"/>
      <c r="I44" s="222"/>
      <c r="J44" s="201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44</v>
      </c>
      <c r="E45" s="74">
        <f t="shared" si="6"/>
        <v>6</v>
      </c>
      <c r="F45" s="60">
        <f t="shared" si="4"/>
        <v>34.28</v>
      </c>
      <c r="G45" s="61">
        <f>IF(D45=D44,"",_xlfn.IFNA(VLOOKUP(D45,'인원 입력 기능(사과탐)'!$F$64:$I$116,4,FALSE),0))</f>
        <v>918</v>
      </c>
      <c r="H45" s="62">
        <f t="shared" si="1"/>
        <v>4.9217242118807632E-2</v>
      </c>
      <c r="I45" s="72">
        <f>SUM($G$7:G45)</f>
        <v>12718</v>
      </c>
      <c r="J45" s="64">
        <f t="shared" si="5"/>
        <v>0.6818571734934592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43</v>
      </c>
      <c r="E46" s="74">
        <f t="shared" si="6"/>
        <v>6</v>
      </c>
      <c r="F46" s="60">
        <f t="shared" si="4"/>
        <v>28.62</v>
      </c>
      <c r="G46" s="61">
        <f>IF(D46=D45,"",_xlfn.IFNA(VLOOKUP(D46,'인원 입력 기능(사과탐)'!$F$64:$I$116,4,FALSE),0))</f>
        <v>1193</v>
      </c>
      <c r="H46" s="62">
        <f t="shared" si="1"/>
        <v>6.3960969333047388E-2</v>
      </c>
      <c r="I46" s="72">
        <f>SUM($G$7:G46)</f>
        <v>13911</v>
      </c>
      <c r="J46" s="64">
        <f t="shared" si="5"/>
        <v>0.74581814282650649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42</v>
      </c>
      <c r="E47" s="74">
        <f t="shared" si="6"/>
        <v>6</v>
      </c>
      <c r="F47" s="60">
        <f t="shared" si="4"/>
        <v>19.600000000000001</v>
      </c>
      <c r="G47" s="61">
        <f>IF(D47=D46,"",_xlfn.IFNA(VLOOKUP(D47,'인원 입력 기능(사과탐)'!$F$64:$I$116,4,FALSE),0))</f>
        <v>2172</v>
      </c>
      <c r="H47" s="62">
        <f t="shared" si="1"/>
        <v>0.11644863821574095</v>
      </c>
      <c r="I47" s="72">
        <f>SUM($G$7:G47)</f>
        <v>16083</v>
      </c>
      <c r="J47" s="64">
        <f t="shared" si="5"/>
        <v>0.86226678104224752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41</v>
      </c>
      <c r="E48" s="74">
        <f t="shared" si="6"/>
        <v>7</v>
      </c>
      <c r="F48" s="60">
        <f t="shared" si="4"/>
        <v>11.96</v>
      </c>
      <c r="G48" s="61">
        <f>IF(D48=D47,"",_xlfn.IFNA(VLOOKUP(D48,'인원 입력 기능(사과탐)'!$F$64:$I$116,4,FALSE),0))</f>
        <v>675</v>
      </c>
      <c r="H48" s="62">
        <f t="shared" si="1"/>
        <v>3.618914861677032E-2</v>
      </c>
      <c r="I48" s="72">
        <f>SUM($G$7:G48)</f>
        <v>16758</v>
      </c>
      <c r="J48" s="64">
        <f t="shared" si="5"/>
        <v>0.89845592965901777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40</v>
      </c>
      <c r="E49" s="74">
        <f t="shared" si="6"/>
        <v>8</v>
      </c>
      <c r="F49" s="60">
        <f t="shared" si="4"/>
        <v>8.8800000000000008</v>
      </c>
      <c r="G49" s="61">
        <f>IF(D49=D48,"",_xlfn.IFNA(VLOOKUP(D49,'인원 입력 기능(사과탐)'!$F$64:$I$116,4,FALSE),0))</f>
        <v>476</v>
      </c>
      <c r="H49" s="62">
        <f t="shared" si="1"/>
        <v>2.5520051469011366E-2</v>
      </c>
      <c r="I49" s="72">
        <f>SUM($G$7:G49)</f>
        <v>17234</v>
      </c>
      <c r="J49" s="64">
        <f t="shared" si="5"/>
        <v>0.92397598112802914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39</v>
      </c>
      <c r="E50" s="74">
        <f t="shared" si="6"/>
        <v>8</v>
      </c>
      <c r="F50" s="60">
        <f t="shared" si="4"/>
        <v>6.29</v>
      </c>
      <c r="G50" s="61">
        <f>IF(D50=D49,"",_xlfn.IFNA(VLOOKUP(D50,'인원 입력 기능(사과탐)'!$F$64:$I$116,4,FALSE),0))</f>
        <v>489</v>
      </c>
      <c r="H50" s="62">
        <f t="shared" si="1"/>
        <v>2.621702766459361E-2</v>
      </c>
      <c r="I50" s="72">
        <f>SUM($G$7:G50)</f>
        <v>17723</v>
      </c>
      <c r="J50" s="64">
        <f t="shared" si="5"/>
        <v>0.95019300879262281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38</v>
      </c>
      <c r="E51" s="74">
        <f t="shared" si="6"/>
        <v>8</v>
      </c>
      <c r="F51" s="60">
        <f t="shared" si="4"/>
        <v>4.32</v>
      </c>
      <c r="G51" s="61">
        <f>IF(D51=D50,"",_xlfn.IFNA(VLOOKUP(D51,'인원 입력 기능(사과탐)'!$F$64:$I$116,4,FALSE),0))</f>
        <v>247</v>
      </c>
      <c r="H51" s="62">
        <f t="shared" si="1"/>
        <v>1.3242547716062621E-2</v>
      </c>
      <c r="I51" s="72">
        <f>SUM($G$7:G51)</f>
        <v>17970</v>
      </c>
      <c r="J51" s="64">
        <f t="shared" si="5"/>
        <v>0.9634355565086854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37</v>
      </c>
      <c r="E52" s="74">
        <f t="shared" si="6"/>
        <v>9</v>
      </c>
      <c r="F52" s="60">
        <f t="shared" si="4"/>
        <v>2.86</v>
      </c>
      <c r="G52" s="61">
        <f>IF(D52=D51,"",_xlfn.IFNA(VLOOKUP(D52,'인원 입력 기능(사과탐)'!$F$64:$I$116,4,FALSE),0))</f>
        <v>297</v>
      </c>
      <c r="H52" s="62">
        <f t="shared" si="1"/>
        <v>1.5923225391378942E-2</v>
      </c>
      <c r="I52" s="72">
        <f>SUM($G$7:G52)</f>
        <v>18267</v>
      </c>
      <c r="J52" s="64">
        <f t="shared" si="5"/>
        <v>0.97935878190006431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36</v>
      </c>
      <c r="E53" s="59">
        <f t="shared" si="6"/>
        <v>9</v>
      </c>
      <c r="F53" s="60">
        <f t="shared" si="4"/>
        <v>1.7</v>
      </c>
      <c r="G53" s="61">
        <f>IF(D53=D52,"",_xlfn.IFNA(VLOOKUP(D53,'인원 입력 기능(사과탐)'!$F$64:$I$116,4,FALSE),0))</f>
        <v>137</v>
      </c>
      <c r="H53" s="62">
        <f t="shared" si="1"/>
        <v>7.3450568303667163E-3</v>
      </c>
      <c r="I53" s="72">
        <f>SUM($G$7:G53)</f>
        <v>18404</v>
      </c>
      <c r="J53" s="64">
        <f t="shared" si="5"/>
        <v>0.9867038387304311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35</v>
      </c>
      <c r="E54" s="59">
        <f t="shared" si="6"/>
        <v>9</v>
      </c>
      <c r="F54" s="60">
        <f t="shared" si="4"/>
        <v>1.08</v>
      </c>
      <c r="G54" s="61">
        <f>IF(D54=D53,"",_xlfn.IFNA(VLOOKUP(D54,'인원 입력 기능(사과탐)'!$F$64:$I$116,4,FALSE),0))</f>
        <v>92</v>
      </c>
      <c r="H54" s="62">
        <f t="shared" si="1"/>
        <v>4.9324469225820291E-3</v>
      </c>
      <c r="I54" s="72">
        <f>SUM($G$7:G54)</f>
        <v>18496</v>
      </c>
      <c r="J54" s="64">
        <f t="shared" si="5"/>
        <v>0.99163628565301309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34</v>
      </c>
      <c r="E55" s="59">
        <f t="shared" si="6"/>
        <v>9</v>
      </c>
      <c r="F55" s="60">
        <f t="shared" si="4"/>
        <v>0.52</v>
      </c>
      <c r="G55" s="61">
        <f>IF(D55=D54,"",_xlfn.IFNA(VLOOKUP(D55,'인원 입력 기능(사과탐)'!$F$64:$I$116,4,FALSE),0))</f>
        <v>117</v>
      </c>
      <c r="H55" s="62">
        <f t="shared" si="1"/>
        <v>6.2727857602401889E-3</v>
      </c>
      <c r="I55" s="72">
        <f>SUM($G$7:G55)</f>
        <v>18613</v>
      </c>
      <c r="J55" s="64">
        <f t="shared" si="5"/>
        <v>0.99790907141325325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33</v>
      </c>
      <c r="E57" s="112">
        <f t="shared" si="6"/>
        <v>9</v>
      </c>
      <c r="F57" s="79">
        <f>IF(I55=0,ROUND(100*(1-(I54+I57)/2/$J$3),2),ROUND(100*(1-(I55+I57)/2/$J$3),2))</f>
        <v>0.1</v>
      </c>
      <c r="G57" s="113">
        <f>_xlfn.IFNA(VLOOKUP(D57,'인원 입력 기능(사과탐)'!$F$64:$I$116,4,FALSE),0)</f>
        <v>39</v>
      </c>
      <c r="H57" s="81">
        <f>G57/$J$3</f>
        <v>2.0909285867467295E-3</v>
      </c>
      <c r="I57" s="82">
        <f>SUM($G$7:G57)</f>
        <v>18652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I4:J5"/>
    <mergeCell ref="D20:D21"/>
    <mergeCell ref="E20:E21"/>
    <mergeCell ref="F20:F21"/>
    <mergeCell ref="G20:G21"/>
    <mergeCell ref="H20:H21"/>
    <mergeCell ref="I20:I21"/>
    <mergeCell ref="J20:J21"/>
    <mergeCell ref="I32:I33"/>
    <mergeCell ref="J32:J33"/>
    <mergeCell ref="D43:D44"/>
    <mergeCell ref="E43:E44"/>
    <mergeCell ref="F43:F44"/>
    <mergeCell ref="G43:G44"/>
    <mergeCell ref="H43:H44"/>
    <mergeCell ref="I43:I44"/>
    <mergeCell ref="J43:J44"/>
    <mergeCell ref="D32:D33"/>
    <mergeCell ref="E32:E33"/>
    <mergeCell ref="F32:F33"/>
    <mergeCell ref="G32:G33"/>
    <mergeCell ref="H32:H33"/>
  </mergeCells>
  <phoneticPr fontId="1" type="noConversion"/>
  <conditionalFormatting sqref="D7:G20 I7:J20 D22:G32 I22:J32 D34:G43 I34:J43 D45:G57 I45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20 D22:D32 D34:D43 D45:D57">
    <cfRule type="expression" dxfId="29" priority="2">
      <formula>$D7=$D8</formula>
    </cfRule>
  </conditionalFormatting>
  <conditionalFormatting sqref="H7:H20 H22:H32 H34:H43 H45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기능'!D14</f>
        <v>18.3</v>
      </c>
      <c r="I3" s="21" t="s">
        <v>70</v>
      </c>
      <c r="J3" s="50">
        <f>'통계 및 응시자 수 입력 기능'!C14</f>
        <v>13567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98</v>
      </c>
      <c r="E4" s="216"/>
      <c r="F4" s="217"/>
      <c r="G4" s="52" t="s">
        <v>73</v>
      </c>
      <c r="H4" s="53">
        <f>'통계 및 응시자 수 입력 기능'!E14</f>
        <v>10.36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81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99.71</v>
      </c>
      <c r="G7" s="61">
        <f>_xlfn.IFNA(VLOOKUP(D7,'인원 입력 기능(사과탐)'!$K$64:$N$116,4,FALSE),0)</f>
        <v>80</v>
      </c>
      <c r="H7" s="62">
        <f>G7/$J$3</f>
        <v>5.8966610156998599E-3</v>
      </c>
      <c r="I7" s="63">
        <f>G7</f>
        <v>80</v>
      </c>
      <c r="J7" s="64">
        <f>I7/$J$3</f>
        <v>5.8966610156998599E-3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72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기능'!C95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79</v>
      </c>
      <c r="E9" s="59">
        <f t="shared" si="0"/>
        <v>1</v>
      </c>
      <c r="F9" s="60">
        <f>IF(I8=0,ROUND(100*(1-(I7+I9)/2/$J$3),2),ROUND(100*(1-(I8+I9)/2/$J$3),2))</f>
        <v>99.3</v>
      </c>
      <c r="G9" s="61">
        <f>_xlfn.IFNA(VLOOKUP(D9,'인원 입력 기능(사과탐)'!$K$64:$N$116,4,FALSE),0)</f>
        <v>31</v>
      </c>
      <c r="H9" s="62">
        <f t="shared" ref="H9:H55" si="1">G9/$J$3</f>
        <v>2.2849561435836956E-3</v>
      </c>
      <c r="I9" s="72">
        <f>SUM($G$7:G9)</f>
        <v>111</v>
      </c>
      <c r="J9" s="64">
        <f>I9/$J$3</f>
        <v>8.1816171592835555E-3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78</v>
      </c>
      <c r="E10" s="59">
        <f t="shared" si="0"/>
        <v>1</v>
      </c>
      <c r="F10" s="60">
        <f t="shared" ref="F10:F55" si="4">IF(I9=0,ROUND(100*(1-(I8+I10)/2/$J$3),2),ROUND(100*(1-(I9+I10)/2/$J$3),2))</f>
        <v>98.86</v>
      </c>
      <c r="G10" s="61">
        <f>IF(D10=D9,"",_xlfn.IFNA(VLOOKUP(D10,'인원 입력 기능(사과탐)'!$K$64:$N$116,4,FALSE),0))</f>
        <v>88</v>
      </c>
      <c r="H10" s="62">
        <f t="shared" si="1"/>
        <v>6.4863271172698458E-3</v>
      </c>
      <c r="I10" s="72">
        <f>SUM($G$7:G10)</f>
        <v>199</v>
      </c>
      <c r="J10" s="64">
        <f t="shared" ref="J10:J55" si="5">I10/$J$3</f>
        <v>1.4667944276553402E-2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77</v>
      </c>
      <c r="E11" s="59">
        <f t="shared" si="0"/>
        <v>1</v>
      </c>
      <c r="F11" s="60">
        <f t="shared" si="4"/>
        <v>98.49</v>
      </c>
      <c r="G11" s="61">
        <f>IF(D11=D10,"",_xlfn.IFNA(VLOOKUP(D11,'인원 입력 기능(사과탐)'!$K$64:$N$116,4,FALSE),0))</f>
        <v>11</v>
      </c>
      <c r="H11" s="62">
        <f t="shared" si="1"/>
        <v>8.1079088965873073E-4</v>
      </c>
      <c r="I11" s="72">
        <f>SUM($G$7:G11)</f>
        <v>210</v>
      </c>
      <c r="J11" s="64">
        <f t="shared" si="5"/>
        <v>1.5478735166212133E-2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76</v>
      </c>
      <c r="E12" s="59">
        <f t="shared" si="0"/>
        <v>1</v>
      </c>
      <c r="F12" s="60">
        <f t="shared" si="4"/>
        <v>98.2</v>
      </c>
      <c r="G12" s="61">
        <f>IF(D12=D11,"",_xlfn.IFNA(VLOOKUP(D12,'인원 입력 기능(사과탐)'!$K$64:$N$116,4,FALSE),0))</f>
        <v>69</v>
      </c>
      <c r="H12" s="62">
        <f t="shared" si="1"/>
        <v>5.0858701260411291E-3</v>
      </c>
      <c r="I12" s="72">
        <f>SUM($G$7:G12)</f>
        <v>279</v>
      </c>
      <c r="J12" s="64">
        <f t="shared" si="5"/>
        <v>2.0564605292253263E-2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75</v>
      </c>
      <c r="E13" s="59">
        <f t="shared" si="0"/>
        <v>1</v>
      </c>
      <c r="F13" s="60">
        <f t="shared" si="4"/>
        <v>97.68</v>
      </c>
      <c r="G13" s="61">
        <f>IF(D13=D12,"",_xlfn.IFNA(VLOOKUP(D13,'인원 입력 기능(사과탐)'!$K$64:$N$116,4,FALSE),0))</f>
        <v>72</v>
      </c>
      <c r="H13" s="62">
        <f t="shared" si="1"/>
        <v>5.306994914129874E-3</v>
      </c>
      <c r="I13" s="72">
        <f>SUM($G$7:G13)</f>
        <v>351</v>
      </c>
      <c r="J13" s="64">
        <f t="shared" si="5"/>
        <v>2.5871600206383134E-2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74</v>
      </c>
      <c r="E14" s="59">
        <f t="shared" si="0"/>
        <v>1</v>
      </c>
      <c r="F14" s="60">
        <f t="shared" si="4"/>
        <v>97.32</v>
      </c>
      <c r="G14" s="61">
        <f>IF(D14=D13,"",_xlfn.IFNA(VLOOKUP(D14,'인원 입력 기능(사과탐)'!$K$64:$N$116,4,FALSE),0))</f>
        <v>25</v>
      </c>
      <c r="H14" s="62">
        <f t="shared" si="1"/>
        <v>1.8427065674062062E-3</v>
      </c>
      <c r="I14" s="72">
        <f>SUM($G$7:G14)</f>
        <v>376</v>
      </c>
      <c r="J14" s="64">
        <f t="shared" si="5"/>
        <v>2.7714306773789343E-2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38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73</v>
      </c>
      <c r="E15" s="59">
        <f t="shared" si="0"/>
        <v>1</v>
      </c>
      <c r="F15" s="60">
        <f t="shared" si="4"/>
        <v>96.8</v>
      </c>
      <c r="G15" s="61">
        <f>IF(D15=D14,"",_xlfn.IFNA(VLOOKUP(D15,'인원 입력 기능(사과탐)'!$K$64:$N$116,4,FALSE),0))</f>
        <v>117</v>
      </c>
      <c r="H15" s="62">
        <f t="shared" si="1"/>
        <v>8.6238667354610454E-3</v>
      </c>
      <c r="I15" s="72">
        <f>SUM($G$7:G15)</f>
        <v>493</v>
      </c>
      <c r="J15" s="64">
        <f t="shared" si="5"/>
        <v>3.6338173509250386E-2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72</v>
      </c>
      <c r="E16" s="59">
        <f t="shared" si="0"/>
        <v>1</v>
      </c>
      <c r="F16" s="60">
        <f t="shared" si="4"/>
        <v>96.12</v>
      </c>
      <c r="G16" s="61">
        <f>IF(D16=D15,"",_xlfn.IFNA(VLOOKUP(D16,'인원 입력 기능(사과탐)'!$K$64:$N$116,4,FALSE),0))</f>
        <v>66</v>
      </c>
      <c r="H16" s="62">
        <f t="shared" si="1"/>
        <v>4.8647453379523841E-3</v>
      </c>
      <c r="I16" s="72">
        <f>SUM($G$7:G16)</f>
        <v>559</v>
      </c>
      <c r="J16" s="64">
        <f t="shared" si="5"/>
        <v>4.1202918847202771E-2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71</v>
      </c>
      <c r="E17" s="59">
        <f t="shared" si="0"/>
        <v>2</v>
      </c>
      <c r="F17" s="60">
        <f t="shared" si="4"/>
        <v>95.57</v>
      </c>
      <c r="G17" s="61">
        <f>IF(D17=D16,"",_xlfn.IFNA(VLOOKUP(D17,'인원 입력 기능(사과탐)'!$K$64:$N$116,4,FALSE),0))</f>
        <v>85</v>
      </c>
      <c r="H17" s="62">
        <f t="shared" si="1"/>
        <v>6.2652023291811009E-3</v>
      </c>
      <c r="I17" s="72">
        <f>SUM($G$7:G17)</f>
        <v>644</v>
      </c>
      <c r="J17" s="64">
        <f t="shared" si="5"/>
        <v>4.7468121176383875E-2</v>
      </c>
      <c r="K17" s="36"/>
      <c r="L17" s="20" t="str">
        <f t="shared" si="2"/>
        <v/>
      </c>
      <c r="N17" s="24"/>
      <c r="Q17" s="24">
        <f>Q7*H3*H4*J3*IFERROR(IF(J57=1, 1, 0), 0)</f>
        <v>185194108.51200002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70</v>
      </c>
      <c r="E18" s="59">
        <f t="shared" si="0"/>
        <v>2</v>
      </c>
      <c r="F18" s="60">
        <f t="shared" si="4"/>
        <v>94.79</v>
      </c>
      <c r="G18" s="61">
        <f>IF(D18=D17,"",_xlfn.IFNA(VLOOKUP(D18,'인원 입력 기능(사과탐)'!$K$64:$N$116,4,FALSE),0))</f>
        <v>126</v>
      </c>
      <c r="H18" s="62">
        <f t="shared" si="1"/>
        <v>9.2872410997272802E-3</v>
      </c>
      <c r="I18" s="72">
        <f>SUM($G$7:G18)</f>
        <v>770</v>
      </c>
      <c r="J18" s="64">
        <f t="shared" si="5"/>
        <v>5.6755362276111151E-2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69</v>
      </c>
      <c r="E19" s="59">
        <f t="shared" si="0"/>
        <v>2</v>
      </c>
      <c r="F19" s="60">
        <f t="shared" si="4"/>
        <v>94.05</v>
      </c>
      <c r="G19" s="61">
        <f>IF(D19=D18,"",_xlfn.IFNA(VLOOKUP(D19,'인원 입력 기능(사과탐)'!$K$64:$N$116,4,FALSE),0))</f>
        <v>74</v>
      </c>
      <c r="H19" s="62">
        <f t="shared" si="1"/>
        <v>5.45441143952237E-3</v>
      </c>
      <c r="I19" s="72">
        <f>SUM($G$7:G19)</f>
        <v>844</v>
      </c>
      <c r="J19" s="64">
        <f t="shared" si="5"/>
        <v>6.2209773715633521E-2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68</v>
      </c>
      <c r="E20" s="59">
        <f t="shared" si="0"/>
        <v>2</v>
      </c>
      <c r="F20" s="60">
        <f t="shared" si="4"/>
        <v>93.32</v>
      </c>
      <c r="G20" s="61">
        <f>IF(D20=D19,"",_xlfn.IFNA(VLOOKUP(D20,'인원 입력 기능(사과탐)'!$K$64:$N$116,4,FALSE),0))</f>
        <v>124</v>
      </c>
      <c r="H20" s="62">
        <f t="shared" si="1"/>
        <v>9.1398245743347824E-3</v>
      </c>
      <c r="I20" s="72">
        <f>SUM($G$7:G20)</f>
        <v>968</v>
      </c>
      <c r="J20" s="64">
        <f t="shared" si="5"/>
        <v>7.13495982899683E-2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67</v>
      </c>
      <c r="E21" s="74">
        <f t="shared" si="0"/>
        <v>2</v>
      </c>
      <c r="F21" s="60">
        <f t="shared" si="4"/>
        <v>92.32</v>
      </c>
      <c r="G21" s="61">
        <f>IF(D21=D20,"",_xlfn.IFNA(VLOOKUP(D21,'인원 입력 기능(사과탐)'!$K$64:$N$116,4,FALSE),0))</f>
        <v>149</v>
      </c>
      <c r="H21" s="62">
        <f t="shared" si="1"/>
        <v>1.0982531141740989E-2</v>
      </c>
      <c r="I21" s="72">
        <f>SUM($G$7:G21)</f>
        <v>1117</v>
      </c>
      <c r="J21" s="64">
        <f t="shared" si="5"/>
        <v>8.2332129431709297E-2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66</v>
      </c>
      <c r="E22" s="74">
        <f t="shared" si="0"/>
        <v>2</v>
      </c>
      <c r="F22" s="60">
        <f t="shared" si="4"/>
        <v>91.35</v>
      </c>
      <c r="G22" s="61">
        <f>IF(D22=D21,"",_xlfn.IFNA(VLOOKUP(D22,'인원 입력 기능(사과탐)'!$K$64:$N$116,4,FALSE),0))</f>
        <v>112</v>
      </c>
      <c r="H22" s="62">
        <f t="shared" si="1"/>
        <v>8.2553254219798044E-3</v>
      </c>
      <c r="I22" s="72">
        <f>SUM($G$7:G22)</f>
        <v>1229</v>
      </c>
      <c r="J22" s="64">
        <f t="shared" si="5"/>
        <v>9.0587454853689103E-2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65</v>
      </c>
      <c r="E23" s="74">
        <f t="shared" si="0"/>
        <v>2</v>
      </c>
      <c r="F23" s="60">
        <f t="shared" si="4"/>
        <v>90.19</v>
      </c>
      <c r="G23" s="61">
        <f>IF(D23=D22,"",_xlfn.IFNA(VLOOKUP(D23,'인원 입력 기능(사과탐)'!$K$64:$N$116,4,FALSE),0))</f>
        <v>205</v>
      </c>
      <c r="H23" s="62">
        <f t="shared" si="1"/>
        <v>1.511019385273089E-2</v>
      </c>
      <c r="I23" s="72">
        <f>SUM($G$7:G23)</f>
        <v>1434</v>
      </c>
      <c r="J23" s="64">
        <f t="shared" si="5"/>
        <v>0.10569764870641998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64</v>
      </c>
      <c r="E24" s="74">
        <f t="shared" si="0"/>
        <v>2</v>
      </c>
      <c r="F24" s="60">
        <f t="shared" si="4"/>
        <v>88.94</v>
      </c>
      <c r="G24" s="61">
        <f>IF(D24=D23,"",_xlfn.IFNA(VLOOKUP(D24,'인원 입력 기능(사과탐)'!$K$64:$N$116,4,FALSE),0))</f>
        <v>133</v>
      </c>
      <c r="H24" s="62">
        <f t="shared" si="1"/>
        <v>9.8031989386010172E-3</v>
      </c>
      <c r="I24" s="72">
        <f>SUM($G$7:G24)</f>
        <v>1567</v>
      </c>
      <c r="J24" s="64">
        <f t="shared" si="5"/>
        <v>0.11550084764502101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63</v>
      </c>
      <c r="E25" s="74">
        <f t="shared" si="0"/>
        <v>3</v>
      </c>
      <c r="F25" s="60">
        <f t="shared" si="4"/>
        <v>87.76</v>
      </c>
      <c r="G25" s="61">
        <f>IF(D25=D24,"",_xlfn.IFNA(VLOOKUP(D25,'인원 입력 기능(사과탐)'!$K$64:$N$116,4,FALSE),0))</f>
        <v>188</v>
      </c>
      <c r="H25" s="62">
        <f t="shared" si="1"/>
        <v>1.3857153386894671E-2</v>
      </c>
      <c r="I25" s="72">
        <f>SUM($G$7:G25)</f>
        <v>1755</v>
      </c>
      <c r="J25" s="64">
        <f t="shared" si="5"/>
        <v>0.12935800103191566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62</v>
      </c>
      <c r="E26" s="74">
        <f t="shared" si="0"/>
        <v>3</v>
      </c>
      <c r="F26" s="60">
        <f t="shared" si="4"/>
        <v>86.28</v>
      </c>
      <c r="G26" s="61">
        <f>IF(D26=D25,"",_xlfn.IFNA(VLOOKUP(D26,'인원 입력 기능(사과탐)'!$K$64:$N$116,4,FALSE),0))</f>
        <v>213</v>
      </c>
      <c r="H26" s="62">
        <f t="shared" si="1"/>
        <v>1.5699859954300878E-2</v>
      </c>
      <c r="I26" s="72">
        <f>SUM($G$7:G26)</f>
        <v>1968</v>
      </c>
      <c r="J26" s="64">
        <f t="shared" si="5"/>
        <v>0.14505786098621656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61</v>
      </c>
      <c r="E27" s="74">
        <f t="shared" si="0"/>
        <v>3</v>
      </c>
      <c r="F27" s="60">
        <f t="shared" si="4"/>
        <v>84.8</v>
      </c>
      <c r="G27" s="61">
        <f>IF(D27=D26,"",_xlfn.IFNA(VLOOKUP(D27,'인원 입력 기능(사과탐)'!$K$64:$N$116,4,FALSE),0))</f>
        <v>189</v>
      </c>
      <c r="H27" s="62">
        <f t="shared" si="1"/>
        <v>1.3930861649590918E-2</v>
      </c>
      <c r="I27" s="72">
        <f>SUM($G$7:G27)</f>
        <v>2157</v>
      </c>
      <c r="J27" s="64">
        <f t="shared" si="5"/>
        <v>0.15898872263580746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60</v>
      </c>
      <c r="E28" s="74">
        <f t="shared" si="0"/>
        <v>3</v>
      </c>
      <c r="F28" s="60">
        <f t="shared" si="4"/>
        <v>83.17</v>
      </c>
      <c r="G28" s="61">
        <f>IF(D28=D27,"",_xlfn.IFNA(VLOOKUP(D28,'인원 입력 기능(사과탐)'!$K$64:$N$116,4,FALSE),0))</f>
        <v>254</v>
      </c>
      <c r="H28" s="62">
        <f t="shared" si="1"/>
        <v>1.8721898724847055E-2</v>
      </c>
      <c r="I28" s="72">
        <f>SUM($G$7:G28)</f>
        <v>2411</v>
      </c>
      <c r="J28" s="64">
        <f t="shared" si="5"/>
        <v>0.17771062136065452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59</v>
      </c>
      <c r="E29" s="74">
        <f t="shared" si="0"/>
        <v>3</v>
      </c>
      <c r="F29" s="60">
        <f t="shared" si="4"/>
        <v>81.430000000000007</v>
      </c>
      <c r="G29" s="61">
        <f>IF(D29=D28,"",_xlfn.IFNA(VLOOKUP(D29,'인원 입력 기능(사과탐)'!$K$64:$N$116,4,FALSE),0))</f>
        <v>216</v>
      </c>
      <c r="H29" s="62">
        <f t="shared" si="1"/>
        <v>1.5920984742389621E-2</v>
      </c>
      <c r="I29" s="72">
        <f>SUM($G$7:G29)</f>
        <v>2627</v>
      </c>
      <c r="J29" s="64">
        <f t="shared" si="5"/>
        <v>0.19363160610304414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58</v>
      </c>
      <c r="E30" s="74">
        <f t="shared" si="0"/>
        <v>3</v>
      </c>
      <c r="F30" s="60">
        <f t="shared" si="4"/>
        <v>79.650000000000006</v>
      </c>
      <c r="G30" s="61">
        <f>IF(D30=D29,"",_xlfn.IFNA(VLOOKUP(D30,'인원 입력 기능(사과탐)'!$K$64:$N$116,4,FALSE),0))</f>
        <v>267</v>
      </c>
      <c r="H30" s="62">
        <f t="shared" si="1"/>
        <v>1.9680106139898283E-2</v>
      </c>
      <c r="I30" s="72">
        <f>SUM($G$7:G30)</f>
        <v>2894</v>
      </c>
      <c r="J30" s="64">
        <f t="shared" si="5"/>
        <v>0.21331171224294243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57</v>
      </c>
      <c r="E31" s="74">
        <f t="shared" si="0"/>
        <v>3</v>
      </c>
      <c r="F31" s="60">
        <f t="shared" si="4"/>
        <v>77.67</v>
      </c>
      <c r="G31" s="61">
        <f>IF(D31=D30,"",_xlfn.IFNA(VLOOKUP(D31,'인원 입력 기능(사과탐)'!$K$64:$N$116,4,FALSE),0))</f>
        <v>271</v>
      </c>
      <c r="H31" s="62">
        <f t="shared" si="1"/>
        <v>1.9974939190683275E-2</v>
      </c>
      <c r="I31" s="72">
        <f>SUM($G$7:G31)</f>
        <v>3165</v>
      </c>
      <c r="J31" s="64">
        <f t="shared" si="5"/>
        <v>0.2332866514336257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56</v>
      </c>
      <c r="E32" s="74">
        <f t="shared" si="0"/>
        <v>4</v>
      </c>
      <c r="F32" s="60">
        <f t="shared" si="4"/>
        <v>75.81</v>
      </c>
      <c r="G32" s="61">
        <f>IF(D32=D31,"",_xlfn.IFNA(VLOOKUP(D32,'인원 입력 기능(사과탐)'!$K$64:$N$116,4,FALSE),0))</f>
        <v>233</v>
      </c>
      <c r="H32" s="62">
        <f t="shared" si="1"/>
        <v>1.7174025208225842E-2</v>
      </c>
      <c r="I32" s="72">
        <f>SUM($G$7:G32)</f>
        <v>3398</v>
      </c>
      <c r="J32" s="64">
        <f t="shared" si="5"/>
        <v>0.25046067664185157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4">
        <v>55</v>
      </c>
      <c r="E33" s="204">
        <f t="shared" si="0"/>
        <v>4</v>
      </c>
      <c r="F33" s="206">
        <f t="shared" si="4"/>
        <v>72.75</v>
      </c>
      <c r="G33" s="208">
        <f>IF(D33=D32,"",_xlfn.IFNA(VLOOKUP(D33,'인원 입력 기능(사과탐)'!$K$64:$N$116,4,FALSE),0))</f>
        <v>599</v>
      </c>
      <c r="H33" s="210">
        <f t="shared" si="1"/>
        <v>4.4151249355052699E-2</v>
      </c>
      <c r="I33" s="221">
        <f>SUM($G$7:G33)</f>
        <v>3997</v>
      </c>
      <c r="J33" s="200">
        <f t="shared" si="5"/>
        <v>0.29461192599690428</v>
      </c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205"/>
      <c r="E34" s="205"/>
      <c r="F34" s="207"/>
      <c r="G34" s="209"/>
      <c r="H34" s="211"/>
      <c r="I34" s="222"/>
      <c r="J34" s="201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54</v>
      </c>
      <c r="E35" s="74">
        <f t="shared" si="0"/>
        <v>4</v>
      </c>
      <c r="F35" s="60">
        <f t="shared" si="4"/>
        <v>69.33</v>
      </c>
      <c r="G35" s="61">
        <f>IF(D35=D34,"",_xlfn.IFNA(VLOOKUP(D35,'인원 입력 기능(사과탐)'!$K$64:$N$116,4,FALSE),0))</f>
        <v>327</v>
      </c>
      <c r="H35" s="62">
        <f t="shared" si="1"/>
        <v>2.4102601901673178E-2</v>
      </c>
      <c r="I35" s="72">
        <f>SUM($G$7:G35)</f>
        <v>4324</v>
      </c>
      <c r="J35" s="64">
        <f t="shared" si="5"/>
        <v>0.3187145278985774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53</v>
      </c>
      <c r="E36" s="74">
        <f t="shared" si="0"/>
        <v>4</v>
      </c>
      <c r="F36" s="60">
        <f t="shared" si="4"/>
        <v>66.8</v>
      </c>
      <c r="G36" s="61">
        <f>IF(D36=D35,"",_xlfn.IFNA(VLOOKUP(D36,'인원 입력 기능(사과탐)'!$K$64:$N$116,4,FALSE),0))</f>
        <v>360</v>
      </c>
      <c r="H36" s="62">
        <f t="shared" si="1"/>
        <v>2.6534974570649371E-2</v>
      </c>
      <c r="I36" s="72">
        <f>SUM($G$7:G36)</f>
        <v>4684</v>
      </c>
      <c r="J36" s="64">
        <f t="shared" si="5"/>
        <v>0.34524950246922681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52</v>
      </c>
      <c r="E37" s="74">
        <f t="shared" si="0"/>
        <v>4</v>
      </c>
      <c r="F37" s="60">
        <f t="shared" si="4"/>
        <v>64.28</v>
      </c>
      <c r="G37" s="61">
        <f>IF(D37=D36,"",_xlfn.IFNA(VLOOKUP(D37,'인원 입력 기능(사과탐)'!$K$64:$N$116,4,FALSE),0))</f>
        <v>323</v>
      </c>
      <c r="H37" s="62">
        <f t="shared" si="1"/>
        <v>2.3807768850888186E-2</v>
      </c>
      <c r="I37" s="72">
        <f>SUM($G$7:G37)</f>
        <v>5007</v>
      </c>
      <c r="J37" s="64">
        <f t="shared" si="5"/>
        <v>0.36905727132011501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51</v>
      </c>
      <c r="E38" s="74">
        <f t="shared" si="0"/>
        <v>4</v>
      </c>
      <c r="F38" s="60">
        <f t="shared" si="4"/>
        <v>61.58</v>
      </c>
      <c r="G38" s="61">
        <f>IF(D38=D37,"",_xlfn.IFNA(VLOOKUP(D38,'인원 입력 기능(사과탐)'!$K$64:$N$116,4,FALSE),0))</f>
        <v>410</v>
      </c>
      <c r="H38" s="62">
        <f t="shared" si="1"/>
        <v>3.0220387705461781E-2</v>
      </c>
      <c r="I38" s="72">
        <f>SUM($G$7:G38)</f>
        <v>5417</v>
      </c>
      <c r="J38" s="64">
        <f t="shared" si="5"/>
        <v>0.39927765902557677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50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60">
        <f t="shared" si="4"/>
        <v>58.72</v>
      </c>
      <c r="G39" s="61">
        <f>IF(D39=D38,"",_xlfn.IFNA(VLOOKUP(D39,'인원 입력 기능(사과탐)'!$K$64:$N$116,4,FALSE),0))</f>
        <v>366</v>
      </c>
      <c r="H39" s="62">
        <f t="shared" si="1"/>
        <v>2.6977224146826861E-2</v>
      </c>
      <c r="I39" s="72">
        <f>SUM($G$7:G39)</f>
        <v>5783</v>
      </c>
      <c r="J39" s="64">
        <f t="shared" si="5"/>
        <v>0.42625488317240362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49</v>
      </c>
      <c r="E40" s="74">
        <f t="shared" si="6"/>
        <v>5</v>
      </c>
      <c r="F40" s="60">
        <f t="shared" si="4"/>
        <v>55.68</v>
      </c>
      <c r="G40" s="61">
        <f>IF(D40=D39,"",_xlfn.IFNA(VLOOKUP(D40,'인원 입력 기능(사과탐)'!$K$64:$N$116,4,FALSE),0))</f>
        <v>459</v>
      </c>
      <c r="H40" s="62">
        <f t="shared" si="1"/>
        <v>3.3832092577577945E-2</v>
      </c>
      <c r="I40" s="72">
        <f>SUM($G$7:G40)</f>
        <v>6242</v>
      </c>
      <c r="J40" s="64">
        <f t="shared" si="5"/>
        <v>0.46008697574998159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48</v>
      </c>
      <c r="E41" s="74">
        <f t="shared" si="6"/>
        <v>5</v>
      </c>
      <c r="F41" s="60">
        <f t="shared" si="4"/>
        <v>52.38</v>
      </c>
      <c r="G41" s="61">
        <f>IF(D41=D40,"",_xlfn.IFNA(VLOOKUP(D41,'인원 입력 기능(사과탐)'!$K$64:$N$116,4,FALSE),0))</f>
        <v>438</v>
      </c>
      <c r="H41" s="62">
        <f t="shared" si="1"/>
        <v>3.2284219060956736E-2</v>
      </c>
      <c r="I41" s="72">
        <f>SUM($G$7:G41)</f>
        <v>6680</v>
      </c>
      <c r="J41" s="64">
        <f t="shared" si="5"/>
        <v>0.49237119481093833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47</v>
      </c>
      <c r="E42" s="74">
        <f t="shared" si="6"/>
        <v>5</v>
      </c>
      <c r="F42" s="60">
        <f t="shared" si="4"/>
        <v>48.79</v>
      </c>
      <c r="G42" s="61">
        <f>IF(D42=D41,"",_xlfn.IFNA(VLOOKUP(D42,'인원 입력 기능(사과탐)'!$K$64:$N$116,4,FALSE),0))</f>
        <v>535</v>
      </c>
      <c r="H42" s="62">
        <f t="shared" si="1"/>
        <v>3.9433920542492812E-2</v>
      </c>
      <c r="I42" s="72">
        <f>SUM($G$7:G42)</f>
        <v>7215</v>
      </c>
      <c r="J42" s="64">
        <f t="shared" si="5"/>
        <v>0.53180511535343111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46</v>
      </c>
      <c r="E43" s="74">
        <f t="shared" si="6"/>
        <v>5</v>
      </c>
      <c r="F43" s="60">
        <f t="shared" si="4"/>
        <v>44.97</v>
      </c>
      <c r="G43" s="61">
        <f>IF(D43=D42,"",_xlfn.IFNA(VLOOKUP(D43,'인원 입력 기능(사과탐)'!$K$64:$N$116,4,FALSE),0))</f>
        <v>501</v>
      </c>
      <c r="H43" s="62">
        <f t="shared" si="1"/>
        <v>3.692783961082037E-2</v>
      </c>
      <c r="I43" s="72">
        <f>SUM($G$7:G43)</f>
        <v>7716</v>
      </c>
      <c r="J43" s="64">
        <f t="shared" si="5"/>
        <v>0.56873295496425147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45</v>
      </c>
      <c r="E44" s="74">
        <f t="shared" si="6"/>
        <v>5</v>
      </c>
      <c r="F44" s="60">
        <f t="shared" si="4"/>
        <v>41.22</v>
      </c>
      <c r="G44" s="61">
        <f>IF(D44=D43,"",_xlfn.IFNA(VLOOKUP(D44,'인원 입력 기능(사과탐)'!$K$64:$N$116,4,FALSE),0))</f>
        <v>517</v>
      </c>
      <c r="H44" s="62">
        <f t="shared" si="1"/>
        <v>3.8107171813960346E-2</v>
      </c>
      <c r="I44" s="72">
        <f>SUM($G$7:G44)</f>
        <v>8233</v>
      </c>
      <c r="J44" s="64">
        <f t="shared" si="5"/>
        <v>0.60684012677821186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44</v>
      </c>
      <c r="E45" s="74">
        <f t="shared" si="6"/>
        <v>6</v>
      </c>
      <c r="F45" s="60">
        <f t="shared" si="4"/>
        <v>33.619999999999997</v>
      </c>
      <c r="G45" s="61">
        <f>IF(D45=D44,"",_xlfn.IFNA(VLOOKUP(D45,'인원 입력 기능(사과탐)'!$K$64:$N$116,4,FALSE),0))</f>
        <v>1545</v>
      </c>
      <c r="H45" s="62">
        <f t="shared" si="1"/>
        <v>0.11387926586570354</v>
      </c>
      <c r="I45" s="72">
        <f>SUM($G$7:G45)</f>
        <v>9778</v>
      </c>
      <c r="J45" s="64">
        <f t="shared" si="5"/>
        <v>0.72071939264391538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43</v>
      </c>
      <c r="E46" s="74">
        <f t="shared" si="6"/>
        <v>6</v>
      </c>
      <c r="F46" s="60">
        <f t="shared" si="4"/>
        <v>26.19</v>
      </c>
      <c r="G46" s="61">
        <f>IF(D46=D45,"",_xlfn.IFNA(VLOOKUP(D46,'인원 입력 기능(사과탐)'!$K$64:$N$116,4,FALSE),0))</f>
        <v>472</v>
      </c>
      <c r="H46" s="62">
        <f t="shared" si="1"/>
        <v>3.4790299992629177E-2</v>
      </c>
      <c r="I46" s="72">
        <f>SUM($G$7:G46)</f>
        <v>10250</v>
      </c>
      <c r="J46" s="64">
        <f t="shared" si="5"/>
        <v>0.75550969263654455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42</v>
      </c>
      <c r="E47" s="74">
        <f t="shared" si="6"/>
        <v>6</v>
      </c>
      <c r="F47" s="60">
        <f t="shared" si="4"/>
        <v>21.72</v>
      </c>
      <c r="G47" s="61">
        <f>IF(D47=D46,"",_xlfn.IFNA(VLOOKUP(D47,'인원 입력 기능(사과탐)'!$K$64:$N$116,4,FALSE),0))</f>
        <v>741</v>
      </c>
      <c r="H47" s="62">
        <f t="shared" si="1"/>
        <v>5.4617822657919951E-2</v>
      </c>
      <c r="I47" s="72">
        <f>SUM($G$7:G47)</f>
        <v>10991</v>
      </c>
      <c r="J47" s="64">
        <f t="shared" si="5"/>
        <v>0.81012751529446447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41</v>
      </c>
      <c r="E48" s="74">
        <f t="shared" si="6"/>
        <v>7</v>
      </c>
      <c r="F48" s="60">
        <f t="shared" si="4"/>
        <v>16.86</v>
      </c>
      <c r="G48" s="61">
        <f>IF(D48=D47,"",_xlfn.IFNA(VLOOKUP(D48,'인원 입력 기능(사과탐)'!$K$64:$N$116,4,FALSE),0))</f>
        <v>578</v>
      </c>
      <c r="H48" s="62">
        <f t="shared" si="1"/>
        <v>4.260337583843149E-2</v>
      </c>
      <c r="I48" s="72">
        <f>SUM($G$7:G48)</f>
        <v>11569</v>
      </c>
      <c r="J48" s="64">
        <f t="shared" si="5"/>
        <v>0.85273089113289602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40</v>
      </c>
      <c r="E49" s="74">
        <f t="shared" si="6"/>
        <v>7</v>
      </c>
      <c r="F49" s="60">
        <f t="shared" si="4"/>
        <v>13.1</v>
      </c>
      <c r="G49" s="61">
        <f>IF(D49=D48,"",_xlfn.IFNA(VLOOKUP(D49,'인원 입력 기능(사과탐)'!$K$64:$N$116,4,FALSE),0))</f>
        <v>442</v>
      </c>
      <c r="H49" s="62">
        <f t="shared" si="1"/>
        <v>3.2579052111741724E-2</v>
      </c>
      <c r="I49" s="72">
        <f>SUM($G$7:G49)</f>
        <v>12011</v>
      </c>
      <c r="J49" s="64">
        <f t="shared" si="5"/>
        <v>0.88530994324463774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39</v>
      </c>
      <c r="E50" s="74">
        <f t="shared" si="6"/>
        <v>7</v>
      </c>
      <c r="F50" s="60">
        <f t="shared" si="4"/>
        <v>8.43</v>
      </c>
      <c r="G50" s="61">
        <f>IF(D50=D49,"",_xlfn.IFNA(VLOOKUP(D50,'인원 입력 기능(사과탐)'!$K$64:$N$116,4,FALSE),0))</f>
        <v>825</v>
      </c>
      <c r="H50" s="62">
        <f t="shared" si="1"/>
        <v>6.0809316724404809E-2</v>
      </c>
      <c r="I50" s="72">
        <f>SUM($G$7:G50)</f>
        <v>12836</v>
      </c>
      <c r="J50" s="64">
        <f t="shared" si="5"/>
        <v>0.94611925996904256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38</v>
      </c>
      <c r="E51" s="74">
        <f t="shared" si="6"/>
        <v>8</v>
      </c>
      <c r="F51" s="60">
        <f t="shared" si="4"/>
        <v>4.6500000000000004</v>
      </c>
      <c r="G51" s="61">
        <f>IF(D51=D50,"",_xlfn.IFNA(VLOOKUP(D51,'인원 입력 기능(사과탐)'!$K$64:$N$116,4,FALSE),0))</f>
        <v>199</v>
      </c>
      <c r="H51" s="62">
        <f t="shared" si="1"/>
        <v>1.4667944276553402E-2</v>
      </c>
      <c r="I51" s="72">
        <f>SUM($G$7:G51)</f>
        <v>13035</v>
      </c>
      <c r="J51" s="64">
        <f t="shared" si="5"/>
        <v>0.96078720424559594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37</v>
      </c>
      <c r="E52" s="74">
        <f t="shared" si="6"/>
        <v>9</v>
      </c>
      <c r="F52" s="60">
        <f t="shared" si="4"/>
        <v>3.07</v>
      </c>
      <c r="G52" s="61">
        <f>IF(D52=D51,"",_xlfn.IFNA(VLOOKUP(D52,'인원 입력 기능(사과탐)'!$K$64:$N$116,4,FALSE),0))</f>
        <v>230</v>
      </c>
      <c r="H52" s="62">
        <f t="shared" si="1"/>
        <v>1.6952900420137099E-2</v>
      </c>
      <c r="I52" s="72">
        <f>SUM($G$7:G52)</f>
        <v>13265</v>
      </c>
      <c r="J52" s="64">
        <f t="shared" si="5"/>
        <v>0.97774010466573302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36</v>
      </c>
      <c r="E53" s="59">
        <f t="shared" si="6"/>
        <v>9</v>
      </c>
      <c r="F53" s="60">
        <f t="shared" si="4"/>
        <v>1.82</v>
      </c>
      <c r="G53" s="61">
        <f>IF(D53=D52,"",_xlfn.IFNA(VLOOKUP(D53,'인원 입력 기능(사과탐)'!$K$64:$N$116,4,FALSE),0))</f>
        <v>110</v>
      </c>
      <c r="H53" s="62">
        <f t="shared" si="1"/>
        <v>8.1079088965873066E-3</v>
      </c>
      <c r="I53" s="72">
        <f>SUM($G$7:G53)</f>
        <v>13375</v>
      </c>
      <c r="J53" s="64">
        <f t="shared" si="5"/>
        <v>0.98584801356232032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35</v>
      </c>
      <c r="E54" s="59">
        <f t="shared" si="6"/>
        <v>9</v>
      </c>
      <c r="F54" s="60">
        <f t="shared" si="4"/>
        <v>1.1200000000000001</v>
      </c>
      <c r="G54" s="61">
        <f>IF(D54=D53,"",_xlfn.IFNA(VLOOKUP(D54,'인원 입력 기능(사과탐)'!$K$64:$N$116,4,FALSE),0))</f>
        <v>80</v>
      </c>
      <c r="H54" s="62">
        <f t="shared" si="1"/>
        <v>5.8966610156998599E-3</v>
      </c>
      <c r="I54" s="72">
        <f>SUM($G$7:G54)</f>
        <v>13455</v>
      </c>
      <c r="J54" s="64">
        <f t="shared" si="5"/>
        <v>0.99174467457802018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34</v>
      </c>
      <c r="E55" s="59">
        <f t="shared" si="6"/>
        <v>9</v>
      </c>
      <c r="F55" s="60">
        <f t="shared" si="4"/>
        <v>0.53</v>
      </c>
      <c r="G55" s="61">
        <f>IF(D55=D54,"",_xlfn.IFNA(VLOOKUP(D55,'인원 입력 기능(사과탐)'!$K$64:$N$116,4,FALSE),0))</f>
        <v>81</v>
      </c>
      <c r="H55" s="62">
        <f t="shared" si="1"/>
        <v>5.9703692783961079E-3</v>
      </c>
      <c r="I55" s="72">
        <f>SUM($G$7:G55)</f>
        <v>13536</v>
      </c>
      <c r="J55" s="64">
        <f t="shared" si="5"/>
        <v>0.99771504385641629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0.11</v>
      </c>
      <c r="G57" s="113">
        <f>_xlfn.IFNA(VLOOKUP(D57,'인원 입력 기능(사과탐)'!$K$64:$N$116,4,FALSE),0)</f>
        <v>31</v>
      </c>
      <c r="H57" s="81">
        <f>G57/$J$3</f>
        <v>2.2849561435836956E-3</v>
      </c>
      <c r="I57" s="82">
        <f>SUM($G$7:G57)</f>
        <v>13567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33:D34"/>
    <mergeCell ref="E33:E34"/>
    <mergeCell ref="F33:F34"/>
    <mergeCell ref="G33:G34"/>
    <mergeCell ref="H33:H34"/>
    <mergeCell ref="I33:I34"/>
    <mergeCell ref="J33:J34"/>
  </mergeCells>
  <phoneticPr fontId="1" type="noConversion"/>
  <conditionalFormatting sqref="D7:G33 I7:J33 D35:G57 I35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33 D35:D57">
    <cfRule type="expression" dxfId="25" priority="2">
      <formula>$D7=$D8</formula>
    </cfRule>
  </conditionalFormatting>
  <conditionalFormatting sqref="H7:H33 H35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기능'!D15</f>
        <v>21.21</v>
      </c>
      <c r="I3" s="21" t="s">
        <v>70</v>
      </c>
      <c r="J3" s="50">
        <f>'통계 및 응시자 수 입력 기능'!C15</f>
        <v>35316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97</v>
      </c>
      <c r="E4" s="216"/>
      <c r="F4" s="217"/>
      <c r="G4" s="52" t="s">
        <v>73</v>
      </c>
      <c r="H4" s="53">
        <f>'통계 및 응시자 수 입력 기능'!E15</f>
        <v>11.52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75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99.48</v>
      </c>
      <c r="G7" s="61">
        <f>_xlfn.IFNA(VLOOKUP(D7,'인원 입력 기능(사과탐)'!$P$64:$S$116,4,FALSE),0)</f>
        <v>370</v>
      </c>
      <c r="H7" s="62">
        <f>G7/$J$3</f>
        <v>1.0476837693963076E-2</v>
      </c>
      <c r="I7" s="63">
        <f>G7</f>
        <v>370</v>
      </c>
      <c r="J7" s="64">
        <f>I7/$J$3</f>
        <v>1.0476837693963076E-2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기능'!C104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73</v>
      </c>
      <c r="E9" s="59">
        <f t="shared" si="0"/>
        <v>1</v>
      </c>
      <c r="F9" s="60">
        <f>IF(I8=0,ROUND(100*(1-(I7+I9)/2/$J$3),2),ROUND(100*(1-(I8+I9)/2/$J$3),2))</f>
        <v>98.71</v>
      </c>
      <c r="G9" s="61">
        <f>_xlfn.IFNA(VLOOKUP(D9,'인원 입력 기능(사과탐)'!$P$64:$S$116,4,FALSE),0)</f>
        <v>173</v>
      </c>
      <c r="H9" s="62">
        <f t="shared" ref="H9:H55" si="1">G9/$J$3</f>
        <v>4.8986295163665197E-3</v>
      </c>
      <c r="I9" s="72">
        <f>SUM($G$7:G9)</f>
        <v>543</v>
      </c>
      <c r="J9" s="64">
        <f>I9/$J$3</f>
        <v>1.5375467210329596E-2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58</v>
      </c>
    </row>
    <row r="10" spans="1:17" s="22" customFormat="1" ht="25" customHeight="1" x14ac:dyDescent="0.45">
      <c r="A10" s="20"/>
      <c r="B10" s="35"/>
      <c r="C10" s="65">
        <v>47</v>
      </c>
      <c r="D10" s="202">
        <f t="shared" ref="D10:D55" si="3">ROUND(10*(C10-$H$3)/$H$4+50,0)</f>
        <v>72</v>
      </c>
      <c r="E10" s="202">
        <f t="shared" si="0"/>
        <v>1</v>
      </c>
      <c r="F10" s="206">
        <f t="shared" ref="F10:F55" si="4">IF(I9=0,ROUND(100*(1-(I8+I10)/2/$J$3),2),ROUND(100*(1-(I9+I10)/2/$J$3),2))</f>
        <v>97.81</v>
      </c>
      <c r="G10" s="208">
        <f>IF(D10=D9,"",_xlfn.IFNA(VLOOKUP(D10,'인원 입력 기능(사과탐)'!$P$64:$S$116,4,FALSE),0))</f>
        <v>461</v>
      </c>
      <c r="H10" s="210">
        <f t="shared" si="1"/>
        <v>1.3053573451126968E-2</v>
      </c>
      <c r="I10" s="221">
        <f>SUM($G$7:G10)</f>
        <v>1004</v>
      </c>
      <c r="J10" s="200">
        <f t="shared" ref="J10:J55" si="5">I10/$J$3</f>
        <v>2.8429040661456562E-2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기능'!C106</f>
        <v>52</v>
      </c>
    </row>
    <row r="11" spans="1:17" s="22" customFormat="1" ht="25" customHeight="1" x14ac:dyDescent="0.45">
      <c r="A11" s="20"/>
      <c r="B11" s="35"/>
      <c r="C11" s="58">
        <v>46</v>
      </c>
      <c r="D11" s="203"/>
      <c r="E11" s="203"/>
      <c r="F11" s="207"/>
      <c r="G11" s="209"/>
      <c r="H11" s="211"/>
      <c r="I11" s="222"/>
      <c r="J11" s="201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기능'!C107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71</v>
      </c>
      <c r="E12" s="59">
        <f t="shared" si="0"/>
        <v>1</v>
      </c>
      <c r="F12" s="60">
        <f t="shared" si="4"/>
        <v>96.68</v>
      </c>
      <c r="G12" s="61">
        <f>IF(D12=D11,"",_xlfn.IFNA(VLOOKUP(D12,'인원 입력 기능(사과탐)'!$P$64:$S$116,4,FALSE),0))</f>
        <v>337</v>
      </c>
      <c r="H12" s="62">
        <f t="shared" si="1"/>
        <v>9.542417034771775E-3</v>
      </c>
      <c r="I12" s="72">
        <f>SUM($G$7:G12)</f>
        <v>1341</v>
      </c>
      <c r="J12" s="64">
        <f t="shared" si="5"/>
        <v>3.7971457696228339E-2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기능'!C108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70</v>
      </c>
      <c r="E13" s="59">
        <f t="shared" si="0"/>
        <v>1</v>
      </c>
      <c r="F13" s="60">
        <f t="shared" si="4"/>
        <v>95.74</v>
      </c>
      <c r="G13" s="61">
        <f>IF(D13=D12,"",_xlfn.IFNA(VLOOKUP(D13,'인원 입력 기능(사과탐)'!$P$64:$S$116,4,FALSE),0))</f>
        <v>330</v>
      </c>
      <c r="H13" s="62">
        <f t="shared" si="1"/>
        <v>9.3442065919130141E-3</v>
      </c>
      <c r="I13" s="72">
        <f>SUM($G$7:G13)</f>
        <v>1671</v>
      </c>
      <c r="J13" s="64">
        <f t="shared" si="5"/>
        <v>4.7315664288141351E-2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2</v>
      </c>
      <c r="F14" s="60">
        <f t="shared" si="4"/>
        <v>95.02</v>
      </c>
      <c r="G14" s="61">
        <f>IF(D14=D13,"",_xlfn.IFNA(VLOOKUP(D14,'인원 입력 기능(사과탐)'!$P$64:$S$116,4,FALSE),0))</f>
        <v>177</v>
      </c>
      <c r="H14" s="62">
        <f t="shared" si="1"/>
        <v>5.011892626571526E-3</v>
      </c>
      <c r="I14" s="72">
        <f>SUM($G$7:G14)</f>
        <v>1848</v>
      </c>
      <c r="J14" s="64">
        <f t="shared" si="5"/>
        <v>5.2327556914712879E-2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94.07</v>
      </c>
      <c r="G15" s="61">
        <f>IF(D15=D14,"",_xlfn.IFNA(VLOOKUP(D15,'인원 입력 기능(사과탐)'!$P$64:$S$116,4,FALSE),0))</f>
        <v>496</v>
      </c>
      <c r="H15" s="62">
        <f t="shared" si="1"/>
        <v>1.4044625665420772E-2</v>
      </c>
      <c r="I15" s="72">
        <f>SUM($G$7:G15)</f>
        <v>2344</v>
      </c>
      <c r="J15" s="64">
        <f t="shared" si="5"/>
        <v>6.6372182580133651E-2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92.91</v>
      </c>
      <c r="G16" s="61">
        <f>IF(D16=D15,"",_xlfn.IFNA(VLOOKUP(D16,'인원 입력 기능(사과탐)'!$P$64:$S$116,4,FALSE),0))</f>
        <v>319</v>
      </c>
      <c r="H16" s="62">
        <f t="shared" si="1"/>
        <v>9.0327330388492461E-3</v>
      </c>
      <c r="I16" s="72">
        <f>SUM($G$7:G16)</f>
        <v>2663</v>
      </c>
      <c r="J16" s="64">
        <f t="shared" si="5"/>
        <v>7.5404915618982896E-2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66</v>
      </c>
      <c r="E17" s="59">
        <f t="shared" si="0"/>
        <v>2</v>
      </c>
      <c r="F17" s="60">
        <f t="shared" si="4"/>
        <v>92</v>
      </c>
      <c r="G17" s="61">
        <f>IF(D17=D16,"",_xlfn.IFNA(VLOOKUP(D17,'인원 입력 기능(사과탐)'!$P$64:$S$116,4,FALSE),0))</f>
        <v>323</v>
      </c>
      <c r="H17" s="62">
        <f t="shared" si="1"/>
        <v>9.1459961490542533E-3</v>
      </c>
      <c r="I17" s="72">
        <f>SUM($G$7:G17)</f>
        <v>2986</v>
      </c>
      <c r="J17" s="64">
        <f t="shared" si="5"/>
        <v>8.4550911768037154E-2</v>
      </c>
      <c r="K17" s="36"/>
      <c r="L17" s="20" t="str">
        <f t="shared" si="2"/>
        <v/>
      </c>
      <c r="N17" s="24"/>
      <c r="Q17" s="24">
        <f>Q7*H3*H4*J3*IFERROR(IF(J57=1, 1, 0), 0)</f>
        <v>604035823.10399997</v>
      </c>
    </row>
    <row r="18" spans="1:17" s="22" customFormat="1" ht="25" customHeight="1" x14ac:dyDescent="0.45">
      <c r="A18" s="20"/>
      <c r="B18" s="35"/>
      <c r="C18" s="65">
        <v>39</v>
      </c>
      <c r="D18" s="202">
        <f t="shared" si="3"/>
        <v>65</v>
      </c>
      <c r="E18" s="202">
        <f t="shared" si="0"/>
        <v>2</v>
      </c>
      <c r="F18" s="206">
        <f t="shared" si="4"/>
        <v>90.27</v>
      </c>
      <c r="G18" s="208">
        <f>IF(D18=D17,"",_xlfn.IFNA(VLOOKUP(D18,'인원 입력 기능(사과탐)'!$P$64:$S$116,4,FALSE),0))</f>
        <v>897</v>
      </c>
      <c r="H18" s="210">
        <f t="shared" si="1"/>
        <v>2.5399252463472646E-2</v>
      </c>
      <c r="I18" s="221">
        <f>SUM($G$7:G18)</f>
        <v>3883</v>
      </c>
      <c r="J18" s="200">
        <f t="shared" si="5"/>
        <v>0.1099501642315098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3"/>
      <c r="E19" s="203"/>
      <c r="F19" s="207"/>
      <c r="G19" s="209"/>
      <c r="H19" s="211"/>
      <c r="I19" s="222"/>
      <c r="J19" s="201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88.23</v>
      </c>
      <c r="G20" s="61">
        <f>IF(D20=D19,"",_xlfn.IFNA(VLOOKUP(D20,'인원 입력 기능(사과탐)'!$P$64:$S$116,4,FALSE),0))</f>
        <v>544</v>
      </c>
      <c r="H20" s="62">
        <f t="shared" si="1"/>
        <v>1.5403782987880848E-2</v>
      </c>
      <c r="I20" s="72">
        <f>SUM($G$7:G20)</f>
        <v>4427</v>
      </c>
      <c r="J20" s="64">
        <f t="shared" si="5"/>
        <v>0.12535394721939064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86.71</v>
      </c>
      <c r="G21" s="61">
        <f>IF(D21=D20,"",_xlfn.IFNA(VLOOKUP(D21,'인원 입력 기능(사과탐)'!$P$64:$S$116,4,FALSE),0))</f>
        <v>534</v>
      </c>
      <c r="H21" s="62">
        <f t="shared" si="1"/>
        <v>1.5120625212368332E-2</v>
      </c>
      <c r="I21" s="72">
        <f>SUM($G$7:G21)</f>
        <v>4961</v>
      </c>
      <c r="J21" s="64">
        <f t="shared" si="5"/>
        <v>0.14047457243175898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85.36</v>
      </c>
      <c r="G22" s="61">
        <f>IF(D22=D21,"",_xlfn.IFNA(VLOOKUP(D22,'인원 입력 기능(사과탐)'!$P$64:$S$116,4,FALSE),0))</f>
        <v>421</v>
      </c>
      <c r="H22" s="62">
        <f t="shared" si="1"/>
        <v>1.1920942349076905E-2</v>
      </c>
      <c r="I22" s="72">
        <f>SUM($G$7:G22)</f>
        <v>5382</v>
      </c>
      <c r="J22" s="64">
        <f t="shared" si="5"/>
        <v>0.15239551478083588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83.81</v>
      </c>
      <c r="G23" s="61">
        <f>IF(D23=D22,"",_xlfn.IFNA(VLOOKUP(D23,'인원 입력 기능(사과탐)'!$P$64:$S$116,4,FALSE),0))</f>
        <v>673</v>
      </c>
      <c r="H23" s="62">
        <f t="shared" si="1"/>
        <v>1.9056518291992296E-2</v>
      </c>
      <c r="I23" s="72">
        <f>SUM($G$7:G23)</f>
        <v>6055</v>
      </c>
      <c r="J23" s="64">
        <f t="shared" si="5"/>
        <v>0.17145203307282819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82.03</v>
      </c>
      <c r="G24" s="61">
        <f>IF(D24=D23,"",_xlfn.IFNA(VLOOKUP(D24,'인원 입력 기능(사과탐)'!$P$64:$S$116,4,FALSE),0))</f>
        <v>580</v>
      </c>
      <c r="H24" s="62">
        <f t="shared" si="1"/>
        <v>1.6423150979725902E-2</v>
      </c>
      <c r="I24" s="72">
        <f>SUM($G$7:G24)</f>
        <v>6635</v>
      </c>
      <c r="J24" s="64">
        <f t="shared" si="5"/>
        <v>0.18787518405255407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4">
        <f t="shared" si="3"/>
        <v>59</v>
      </c>
      <c r="E25" s="204">
        <f t="shared" si="0"/>
        <v>3</v>
      </c>
      <c r="F25" s="206">
        <f t="shared" si="4"/>
        <v>79.28</v>
      </c>
      <c r="G25" s="208">
        <f>IF(D25=D24,"",_xlfn.IFNA(VLOOKUP(D25,'인원 입력 기능(사과탐)'!$P$64:$S$116,4,FALSE),0))</f>
        <v>1367</v>
      </c>
      <c r="H25" s="210">
        <f t="shared" si="1"/>
        <v>3.8707667912560882E-2</v>
      </c>
      <c r="I25" s="221">
        <f>SUM($G$7:G25)</f>
        <v>8002</v>
      </c>
      <c r="J25" s="200">
        <f t="shared" si="5"/>
        <v>0.22658285196511496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5"/>
      <c r="E26" s="205"/>
      <c r="F26" s="207"/>
      <c r="G26" s="209"/>
      <c r="H26" s="211"/>
      <c r="I26" s="222"/>
      <c r="J26" s="201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58</v>
      </c>
      <c r="E27" s="74">
        <f t="shared" si="0"/>
        <v>3</v>
      </c>
      <c r="F27" s="60">
        <f t="shared" si="4"/>
        <v>76.45</v>
      </c>
      <c r="G27" s="61">
        <f>IF(D27=D26,"",_xlfn.IFNA(VLOOKUP(D27,'인원 입력 기능(사과탐)'!$P$64:$S$116,4,FALSE),0))</f>
        <v>627</v>
      </c>
      <c r="H27" s="62">
        <f t="shared" si="1"/>
        <v>1.7753992524634728E-2</v>
      </c>
      <c r="I27" s="72">
        <f>SUM($G$7:G27)</f>
        <v>8629</v>
      </c>
      <c r="J27" s="64">
        <f t="shared" si="5"/>
        <v>0.24433684448974968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4</v>
      </c>
      <c r="F28" s="60">
        <f t="shared" si="4"/>
        <v>74.430000000000007</v>
      </c>
      <c r="G28" s="61">
        <f>IF(D28=D27,"",_xlfn.IFNA(VLOOKUP(D28,'인원 입력 기능(사과탐)'!$P$64:$S$116,4,FALSE),0))</f>
        <v>805</v>
      </c>
      <c r="H28" s="62">
        <f t="shared" si="1"/>
        <v>2.2794200928757502E-2</v>
      </c>
      <c r="I28" s="72">
        <f>SUM($G$7:G28)</f>
        <v>9434</v>
      </c>
      <c r="J28" s="64">
        <f t="shared" si="5"/>
        <v>0.26713104541850718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72.22</v>
      </c>
      <c r="G29" s="61">
        <f>IF(D29=D28,"",_xlfn.IFNA(VLOOKUP(D29,'인원 입력 기능(사과탐)'!$P$64:$S$116,4,FALSE),0))</f>
        <v>755</v>
      </c>
      <c r="H29" s="62">
        <f t="shared" si="1"/>
        <v>2.1378412051194926E-2</v>
      </c>
      <c r="I29" s="72">
        <f>SUM($G$7:G29)</f>
        <v>10189</v>
      </c>
      <c r="J29" s="64">
        <f t="shared" si="5"/>
        <v>0.28850945746970214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70.069999999999993</v>
      </c>
      <c r="G30" s="61">
        <f>IF(D30=D29,"",_xlfn.IFNA(VLOOKUP(D30,'인원 입력 기능(사과탐)'!$P$64:$S$116,4,FALSE),0))</f>
        <v>759</v>
      </c>
      <c r="H30" s="62">
        <f t="shared" si="1"/>
        <v>2.1491675161399933E-2</v>
      </c>
      <c r="I30" s="72">
        <f>SUM($G$7:G30)</f>
        <v>10948</v>
      </c>
      <c r="J30" s="64">
        <f t="shared" si="5"/>
        <v>0.31000113263110207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67.849999999999994</v>
      </c>
      <c r="G31" s="61">
        <f>IF(D31=D30,"",_xlfn.IFNA(VLOOKUP(D31,'인원 입력 기능(사과탐)'!$P$64:$S$116,4,FALSE),0))</f>
        <v>814</v>
      </c>
      <c r="H31" s="62">
        <f t="shared" si="1"/>
        <v>2.3049042926718766E-2</v>
      </c>
      <c r="I31" s="72">
        <f>SUM($G$7:G31)</f>
        <v>11762</v>
      </c>
      <c r="J31" s="64">
        <f t="shared" si="5"/>
        <v>0.33305017555782079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65.540000000000006</v>
      </c>
      <c r="G32" s="61">
        <f>IF(D32=D31,"",_xlfn.IFNA(VLOOKUP(D32,'인원 입력 기능(사과탐)'!$P$64:$S$116,4,FALSE),0))</f>
        <v>816</v>
      </c>
      <c r="H32" s="62">
        <f t="shared" si="1"/>
        <v>2.310567448182127E-2</v>
      </c>
      <c r="I32" s="72">
        <f>SUM($G$7:G32)</f>
        <v>12578</v>
      </c>
      <c r="J32" s="64">
        <f t="shared" si="5"/>
        <v>0.35615585003964206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4">
        <f t="shared" si="3"/>
        <v>52</v>
      </c>
      <c r="E33" s="204">
        <f t="shared" si="0"/>
        <v>4</v>
      </c>
      <c r="F33" s="206">
        <f t="shared" si="4"/>
        <v>61.83</v>
      </c>
      <c r="G33" s="208">
        <f>IF(D33=D32,"",_xlfn.IFNA(VLOOKUP(D33,'인원 입력 기능(사과탐)'!$P$64:$S$116,4,FALSE),0))</f>
        <v>1803</v>
      </c>
      <c r="H33" s="210">
        <f t="shared" si="1"/>
        <v>5.1053346924906561E-2</v>
      </c>
      <c r="I33" s="221">
        <f>SUM($G$7:G33)</f>
        <v>14381</v>
      </c>
      <c r="J33" s="200">
        <f t="shared" si="5"/>
        <v>0.40720919696454866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205"/>
      <c r="E34" s="205"/>
      <c r="F34" s="207"/>
      <c r="G34" s="209"/>
      <c r="H34" s="211"/>
      <c r="I34" s="222"/>
      <c r="J34" s="201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5</v>
      </c>
      <c r="F35" s="60">
        <f t="shared" si="4"/>
        <v>57.92</v>
      </c>
      <c r="G35" s="61">
        <f>IF(D35=D34,"",_xlfn.IFNA(VLOOKUP(D35,'인원 입력 기능(사과탐)'!$P$64:$S$116,4,FALSE),0))</f>
        <v>958</v>
      </c>
      <c r="H35" s="62">
        <f t="shared" si="1"/>
        <v>2.7126514894098994E-2</v>
      </c>
      <c r="I35" s="72">
        <f>SUM($G$7:G35)</f>
        <v>15339</v>
      </c>
      <c r="J35" s="64">
        <f t="shared" si="5"/>
        <v>0.43433571185864767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5</v>
      </c>
      <c r="F36" s="60">
        <f t="shared" si="4"/>
        <v>55.14</v>
      </c>
      <c r="G36" s="61">
        <f>IF(D36=D35,"",_xlfn.IFNA(VLOOKUP(D36,'인원 입력 기능(사과탐)'!$P$64:$S$116,4,FALSE),0))</f>
        <v>1005</v>
      </c>
      <c r="H36" s="62">
        <f t="shared" si="1"/>
        <v>2.8457356439007816E-2</v>
      </c>
      <c r="I36" s="72">
        <f>SUM($G$7:G36)</f>
        <v>16344</v>
      </c>
      <c r="J36" s="64">
        <f t="shared" si="5"/>
        <v>0.46279306829765543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52.36</v>
      </c>
      <c r="G37" s="61">
        <f>IF(D37=D36,"",_xlfn.IFNA(VLOOKUP(D37,'인원 입력 기능(사과탐)'!$P$64:$S$116,4,FALSE),0))</f>
        <v>964</v>
      </c>
      <c r="H37" s="62">
        <f t="shared" si="1"/>
        <v>2.7296409559406501E-2</v>
      </c>
      <c r="I37" s="72">
        <f>SUM($G$7:G37)</f>
        <v>17308</v>
      </c>
      <c r="J37" s="64">
        <f t="shared" si="5"/>
        <v>0.49008947785706197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49.46</v>
      </c>
      <c r="G38" s="61">
        <f>IF(D38=D37,"",_xlfn.IFNA(VLOOKUP(D38,'인원 입력 기능(사과탐)'!$P$64:$S$116,4,FALSE),0))</f>
        <v>1084</v>
      </c>
      <c r="H38" s="62">
        <f t="shared" si="1"/>
        <v>3.0694302865556689E-2</v>
      </c>
      <c r="I38" s="72">
        <f>SUM($G$7:G38)</f>
        <v>18392</v>
      </c>
      <c r="J38" s="64">
        <f t="shared" si="5"/>
        <v>0.52078378072261866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46.48</v>
      </c>
      <c r="G39" s="61">
        <f>IF(D39=D38,"",_xlfn.IFNA(VLOOKUP(D39,'인원 입력 기능(사과탐)'!$P$64:$S$116,4,FALSE),0))</f>
        <v>1015</v>
      </c>
      <c r="H39" s="62">
        <f t="shared" si="1"/>
        <v>2.874051421452033E-2</v>
      </c>
      <c r="I39" s="72">
        <f>SUM($G$7:G39)</f>
        <v>19407</v>
      </c>
      <c r="J39" s="64">
        <f t="shared" si="5"/>
        <v>0.54952429493713895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43.46</v>
      </c>
      <c r="G40" s="61">
        <f>IF(D40=D39,"",_xlfn.IFNA(VLOOKUP(D40,'인원 입력 기능(사과탐)'!$P$64:$S$116,4,FALSE),0))</f>
        <v>1120</v>
      </c>
      <c r="H40" s="62">
        <f t="shared" si="1"/>
        <v>3.1713670857401746E-2</v>
      </c>
      <c r="I40" s="72">
        <f>SUM($G$7:G40)</f>
        <v>20527</v>
      </c>
      <c r="J40" s="64">
        <f t="shared" si="5"/>
        <v>0.58123796579454068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4">
        <f t="shared" si="3"/>
        <v>45</v>
      </c>
      <c r="E41" s="204">
        <f t="shared" si="6"/>
        <v>5</v>
      </c>
      <c r="F41" s="206">
        <f t="shared" si="4"/>
        <v>38.72</v>
      </c>
      <c r="G41" s="208">
        <f>IF(D41=D40,"",_xlfn.IFNA(VLOOKUP(D41,'인원 입력 기능(사과탐)'!$P$64:$S$116,4,FALSE),0))</f>
        <v>2226</v>
      </c>
      <c r="H41" s="210">
        <f t="shared" si="1"/>
        <v>6.3030920829085971E-2</v>
      </c>
      <c r="I41" s="221">
        <f>SUM($G$7:G41)</f>
        <v>22753</v>
      </c>
      <c r="J41" s="200">
        <f t="shared" si="5"/>
        <v>0.64426888662362669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5"/>
      <c r="E42" s="205"/>
      <c r="F42" s="207"/>
      <c r="G42" s="209"/>
      <c r="H42" s="211"/>
      <c r="I42" s="222"/>
      <c r="J42" s="201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44</v>
      </c>
      <c r="E43" s="74">
        <f t="shared" si="6"/>
        <v>6</v>
      </c>
      <c r="F43" s="60">
        <f t="shared" si="4"/>
        <v>34.020000000000003</v>
      </c>
      <c r="G43" s="61">
        <f>IF(D43=D42,"",_xlfn.IFNA(VLOOKUP(D43,'인원 입력 기능(사과탐)'!$P$64:$S$116,4,FALSE),0))</f>
        <v>1097</v>
      </c>
      <c r="H43" s="62">
        <f t="shared" si="1"/>
        <v>3.106240797372296E-2</v>
      </c>
      <c r="I43" s="72">
        <f>SUM($G$7:G43)</f>
        <v>23850</v>
      </c>
      <c r="J43" s="64">
        <f t="shared" si="5"/>
        <v>0.67533129459734964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29.08</v>
      </c>
      <c r="G44" s="61">
        <f>IF(D44=D43,"",_xlfn.IFNA(VLOOKUP(D44,'인원 입력 기능(사과탐)'!$P$64:$S$116,4,FALSE),0))</f>
        <v>2391</v>
      </c>
      <c r="H44" s="62">
        <f t="shared" si="1"/>
        <v>6.7703024125042477E-2</v>
      </c>
      <c r="I44" s="72">
        <f>SUM($G$7:G44)</f>
        <v>26241</v>
      </c>
      <c r="J44" s="64">
        <f t="shared" si="5"/>
        <v>0.74303431872239212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24.16</v>
      </c>
      <c r="G45" s="61">
        <f>IF(D45=D44,"",_xlfn.IFNA(VLOOKUP(D45,'인원 입력 기능(사과탐)'!$P$64:$S$116,4,FALSE),0))</f>
        <v>1083</v>
      </c>
      <c r="H45" s="62">
        <f t="shared" si="1"/>
        <v>3.0665987088005435E-2</v>
      </c>
      <c r="I45" s="72">
        <f>SUM($G$7:G45)</f>
        <v>27324</v>
      </c>
      <c r="J45" s="64">
        <f t="shared" si="5"/>
        <v>0.7737003058103975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21.39</v>
      </c>
      <c r="G46" s="61">
        <f>IF(D46=D45,"",_xlfn.IFNA(VLOOKUP(D46,'인원 입력 기능(사과탐)'!$P$64:$S$116,4,FALSE),0))</f>
        <v>873</v>
      </c>
      <c r="H46" s="62">
        <f t="shared" si="1"/>
        <v>2.471967380224261E-2</v>
      </c>
      <c r="I46" s="72">
        <f>SUM($G$7:G46)</f>
        <v>28197</v>
      </c>
      <c r="J46" s="64">
        <f t="shared" si="5"/>
        <v>0.79841997961264022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18.63</v>
      </c>
      <c r="G47" s="61">
        <f>IF(D47=D46,"",_xlfn.IFNA(VLOOKUP(D47,'인원 입력 기능(사과탐)'!$P$64:$S$116,4,FALSE),0))</f>
        <v>1076</v>
      </c>
      <c r="H47" s="62">
        <f t="shared" si="1"/>
        <v>3.0467776645146674E-2</v>
      </c>
      <c r="I47" s="72">
        <f>SUM($G$7:G47)</f>
        <v>29273</v>
      </c>
      <c r="J47" s="64">
        <f t="shared" si="5"/>
        <v>0.82888775625778688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04">
        <f t="shared" si="3"/>
        <v>39</v>
      </c>
      <c r="E48" s="204">
        <f t="shared" si="6"/>
        <v>7</v>
      </c>
      <c r="F48" s="206">
        <f t="shared" si="4"/>
        <v>14.28</v>
      </c>
      <c r="G48" s="208">
        <f>IF(D48=D47,"",_xlfn.IFNA(VLOOKUP(D48,'인원 입력 기능(사과탐)'!$P$64:$S$116,4,FALSE),0))</f>
        <v>2002</v>
      </c>
      <c r="H48" s="210">
        <f t="shared" si="1"/>
        <v>5.6688186657605617E-2</v>
      </c>
      <c r="I48" s="221">
        <f>SUM($G$7:G48)</f>
        <v>31275</v>
      </c>
      <c r="J48" s="200">
        <f t="shared" si="5"/>
        <v>0.88557594291539243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5"/>
      <c r="E49" s="205"/>
      <c r="F49" s="207"/>
      <c r="G49" s="209"/>
      <c r="H49" s="211"/>
      <c r="I49" s="222"/>
      <c r="J49" s="201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6"/>
        <v>7</v>
      </c>
      <c r="F50" s="60">
        <f t="shared" si="4"/>
        <v>7.86</v>
      </c>
      <c r="G50" s="61">
        <f>IF(D50=D49,"",_xlfn.IFNA(VLOOKUP(D50,'인원 입력 기능(사과탐)'!$P$64:$S$116,4,FALSE),0))</f>
        <v>2527</v>
      </c>
      <c r="H50" s="62">
        <f t="shared" si="1"/>
        <v>7.1553969872012679E-2</v>
      </c>
      <c r="I50" s="72">
        <f>SUM($G$7:G50)</f>
        <v>33802</v>
      </c>
      <c r="J50" s="64">
        <f t="shared" si="5"/>
        <v>0.95712991278740511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6"/>
        <v>8</v>
      </c>
      <c r="F51" s="60">
        <f t="shared" si="4"/>
        <v>3.8</v>
      </c>
      <c r="G51" s="61">
        <f>IF(D51=D50,"",_xlfn.IFNA(VLOOKUP(D51,'인원 입력 기능(사과탐)'!$P$64:$S$116,4,FALSE),0))</f>
        <v>344</v>
      </c>
      <c r="H51" s="62">
        <f t="shared" si="1"/>
        <v>9.7406274776305358E-3</v>
      </c>
      <c r="I51" s="72">
        <f>SUM($G$7:G51)</f>
        <v>34146</v>
      </c>
      <c r="J51" s="64">
        <f t="shared" si="5"/>
        <v>0.96687054026503572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6"/>
        <v>9</v>
      </c>
      <c r="F52" s="60">
        <f t="shared" si="4"/>
        <v>2.5299999999999998</v>
      </c>
      <c r="G52" s="61">
        <f>IF(D52=D51,"",_xlfn.IFNA(VLOOKUP(D52,'인원 입력 기능(사과탐)'!$P$64:$S$116,4,FALSE),0))</f>
        <v>552</v>
      </c>
      <c r="H52" s="62">
        <f t="shared" si="1"/>
        <v>1.5630309208290859E-2</v>
      </c>
      <c r="I52" s="72">
        <f>SUM($G$7:G52)</f>
        <v>34698</v>
      </c>
      <c r="J52" s="64">
        <f t="shared" si="5"/>
        <v>0.9825008494733265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35</v>
      </c>
      <c r="E53" s="59">
        <f t="shared" si="6"/>
        <v>9</v>
      </c>
      <c r="F53" s="60">
        <f t="shared" si="4"/>
        <v>1.44</v>
      </c>
      <c r="G53" s="61">
        <f>IF(D53=D52,"",_xlfn.IFNA(VLOOKUP(D53,'인원 입력 기능(사과탐)'!$P$64:$S$116,4,FALSE),0))</f>
        <v>220</v>
      </c>
      <c r="H53" s="62">
        <f t="shared" si="1"/>
        <v>6.2294710612753428E-3</v>
      </c>
      <c r="I53" s="72">
        <f>SUM($G$7:G53)</f>
        <v>34918</v>
      </c>
      <c r="J53" s="64">
        <f t="shared" si="5"/>
        <v>0.98873032053460186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0.9</v>
      </c>
      <c r="G54" s="61">
        <f>IF(D54=D53,"",_xlfn.IFNA(VLOOKUP(D54,'인원 입력 기능(사과탐)'!$P$64:$S$116,4,FALSE),0))</f>
        <v>158</v>
      </c>
      <c r="H54" s="62">
        <f t="shared" si="1"/>
        <v>4.4738928530977462E-3</v>
      </c>
      <c r="I54" s="72">
        <f>SUM($G$7:G54)</f>
        <v>35076</v>
      </c>
      <c r="J54" s="64">
        <f t="shared" si="5"/>
        <v>0.9932042133876996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0.43</v>
      </c>
      <c r="G55" s="61">
        <f>IF(D55=D54,"",_xlfn.IFNA(VLOOKUP(D55,'인원 입력 기능(사과탐)'!$P$64:$S$116,4,FALSE),0))</f>
        <v>173</v>
      </c>
      <c r="H55" s="62">
        <f t="shared" si="1"/>
        <v>4.8986295163665197E-3</v>
      </c>
      <c r="I55" s="72">
        <f>SUM($G$7:G55)</f>
        <v>35249</v>
      </c>
      <c r="J55" s="64">
        <f t="shared" si="5"/>
        <v>0.99810284290406615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0.09</v>
      </c>
      <c r="G57" s="113">
        <f>_xlfn.IFNA(VLOOKUP(D57,'인원 입력 기능(사과탐)'!$P$64:$S$116,4,FALSE),0)</f>
        <v>67</v>
      </c>
      <c r="H57" s="81">
        <f>G57/$J$3</f>
        <v>1.8971570959338544E-3</v>
      </c>
      <c r="I57" s="82">
        <f>SUM($G$7:G57)</f>
        <v>35316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  <mergeCell ref="I18:I19"/>
    <mergeCell ref="J18:J19"/>
    <mergeCell ref="D25:D26"/>
    <mergeCell ref="E25:E26"/>
    <mergeCell ref="F25:F26"/>
    <mergeCell ref="G25:G26"/>
    <mergeCell ref="H25:H26"/>
    <mergeCell ref="I25:I26"/>
    <mergeCell ref="J25:J26"/>
    <mergeCell ref="D18:D19"/>
    <mergeCell ref="E18:E19"/>
    <mergeCell ref="F18:F19"/>
    <mergeCell ref="G18:G19"/>
    <mergeCell ref="H18:H19"/>
    <mergeCell ref="I33:I34"/>
    <mergeCell ref="J33:J34"/>
    <mergeCell ref="D41:D42"/>
    <mergeCell ref="E41:E42"/>
    <mergeCell ref="F41:F42"/>
    <mergeCell ref="G41:G42"/>
    <mergeCell ref="H41:H42"/>
    <mergeCell ref="I41:I42"/>
    <mergeCell ref="J41:J42"/>
    <mergeCell ref="D33:D34"/>
    <mergeCell ref="E33:E34"/>
    <mergeCell ref="F33:F34"/>
    <mergeCell ref="G33:G34"/>
    <mergeCell ref="H33:H34"/>
    <mergeCell ref="I48:I49"/>
    <mergeCell ref="J48:J49"/>
    <mergeCell ref="D48:D49"/>
    <mergeCell ref="E48:E49"/>
    <mergeCell ref="F48:F49"/>
    <mergeCell ref="G48:G49"/>
    <mergeCell ref="H48:H49"/>
  </mergeCells>
  <phoneticPr fontId="1" type="noConversion"/>
  <conditionalFormatting sqref="D7:G10 I7:J10 D12:G18 I12:J18 D20:G25 I20:J25 D27:G33 I27:J33 D35:G41 I35:J41 D43:G48 I43:J48 D50:G57 I50:J57">
    <cfRule type="expression" dxfId="23" priority="4">
      <formula>OR($D7=$Q$7:$Q$14)</formula>
    </cfRule>
  </conditionalFormatting>
  <conditionalFormatting sqref="C7:C57">
    <cfRule type="expression" dxfId="22" priority="3">
      <formula>OR(AND($D7=0,OR($D6=$Q$7:$Q$14)),AND($D8&gt;0,OR($D7=$Q$7:$Q$14)))</formula>
    </cfRule>
  </conditionalFormatting>
  <conditionalFormatting sqref="D7:D10 D12:D18 D20:D25 D27:D33 D35:D41 D43:D48 D50:D57">
    <cfRule type="expression" dxfId="21" priority="2">
      <formula>$D7=$D8</formula>
    </cfRule>
  </conditionalFormatting>
  <conditionalFormatting sqref="H7:H10 H12:H18 H20:H25 H27:H33 H35:H41 H43:H48 H50:H57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="98" zoomScaleNormal="98" workbookViewId="0">
      <selection activeCell="K58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기능'!D16</f>
        <v>22.41</v>
      </c>
      <c r="I3" s="21" t="s">
        <v>70</v>
      </c>
      <c r="J3" s="50">
        <f>'통계 및 응시자 수 입력 기능'!C16</f>
        <v>60984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96</v>
      </c>
      <c r="E4" s="216"/>
      <c r="F4" s="217"/>
      <c r="G4" s="52" t="s">
        <v>73</v>
      </c>
      <c r="H4" s="53">
        <f>'통계 및 응시자 수 입력 기능'!E16</f>
        <v>12.34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72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98.97</v>
      </c>
      <c r="G7" s="61">
        <f>_xlfn.IFNA(VLOOKUP(D7,'인원 입력 기능(사과탐)'!$A$121:$D$172,4,FALSE),0)</f>
        <v>1258</v>
      </c>
      <c r="H7" s="62">
        <f>G7/$J$3</f>
        <v>2.0628361537452445E-2</v>
      </c>
      <c r="I7" s="63">
        <f>G7</f>
        <v>1258</v>
      </c>
      <c r="J7" s="64">
        <f>I7/$J$3</f>
        <v>2.0628361537452445E-2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기능'!C113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71</v>
      </c>
      <c r="E9" s="59">
        <f t="shared" si="0"/>
        <v>1</v>
      </c>
      <c r="F9" s="60">
        <f>IF(I8=0,ROUND(100*(1-(I7+I9)/2/$J$3),2),ROUND(100*(1-(I8+I9)/2/$J$3),2))</f>
        <v>97.51</v>
      </c>
      <c r="G9" s="61">
        <f>_xlfn.IFNA(VLOOKUP(D9,'인원 입력 기능(사과탐)'!$A$121:$D$172,4,FALSE),0)</f>
        <v>526</v>
      </c>
      <c r="H9" s="62">
        <f t="shared" ref="H9:H55" si="1">G9/$J$3</f>
        <v>8.6252131706677157E-3</v>
      </c>
      <c r="I9" s="72">
        <f>SUM($G$7:G9)</f>
        <v>1784</v>
      </c>
      <c r="J9" s="64">
        <f>I9/$J$3</f>
        <v>2.9253574708120164E-2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70</v>
      </c>
      <c r="E10" s="59">
        <f t="shared" si="0"/>
        <v>1</v>
      </c>
      <c r="F10" s="60">
        <f t="shared" ref="F10:F55" si="4">IF(I9=0,ROUND(100*(1-(I8+I10)/2/$J$3),2),ROUND(100*(1-(I9+I10)/2/$J$3),2))</f>
        <v>96.04</v>
      </c>
      <c r="G10" s="61">
        <f>IF(D10=D9,"",_xlfn.IFNA(VLOOKUP(D10,'인원 입력 기능(사과탐)'!$A$121:$D$172,4,FALSE),0))</f>
        <v>1257</v>
      </c>
      <c r="H10" s="62">
        <f t="shared" si="1"/>
        <v>2.0611963793781975E-2</v>
      </c>
      <c r="I10" s="72">
        <f>SUM($G$7:G10)</f>
        <v>3041</v>
      </c>
      <c r="J10" s="64">
        <f t="shared" ref="J10:J55" si="5">I10/$J$3</f>
        <v>4.9865538501902139E-2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69</v>
      </c>
      <c r="E11" s="59">
        <f t="shared" si="0"/>
        <v>2</v>
      </c>
      <c r="F11" s="60">
        <f t="shared" si="4"/>
        <v>94.88</v>
      </c>
      <c r="G11" s="61">
        <f>IF(D11=D10,"",_xlfn.IFNA(VLOOKUP(D11,'인원 입력 기능(사과탐)'!$A$121:$D$172,4,FALSE),0))</f>
        <v>161</v>
      </c>
      <c r="H11" s="62">
        <f t="shared" si="1"/>
        <v>2.6400367309458218E-3</v>
      </c>
      <c r="I11" s="72">
        <f>SUM($G$7:G11)</f>
        <v>3202</v>
      </c>
      <c r="J11" s="64">
        <f t="shared" si="5"/>
        <v>5.2505575232847962E-2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기능'!C116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68</v>
      </c>
      <c r="E12" s="59">
        <f t="shared" si="0"/>
        <v>2</v>
      </c>
      <c r="F12" s="60">
        <f t="shared" si="4"/>
        <v>94</v>
      </c>
      <c r="G12" s="61">
        <f>IF(D12=D11,"",_xlfn.IFNA(VLOOKUP(D12,'인원 입력 기능(사과탐)'!$A$121:$D$172,4,FALSE),0))</f>
        <v>920</v>
      </c>
      <c r="H12" s="62">
        <f t="shared" si="1"/>
        <v>1.5085924176833267E-2</v>
      </c>
      <c r="I12" s="72">
        <f>SUM($G$7:G12)</f>
        <v>4122</v>
      </c>
      <c r="J12" s="64">
        <f t="shared" si="5"/>
        <v>6.7591499409681233E-2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42</v>
      </c>
    </row>
    <row r="13" spans="1:17" s="22" customFormat="1" ht="25" customHeight="1" x14ac:dyDescent="0.45">
      <c r="A13" s="20"/>
      <c r="B13" s="35"/>
      <c r="C13" s="58">
        <v>44</v>
      </c>
      <c r="D13" s="202">
        <f t="shared" si="3"/>
        <v>67</v>
      </c>
      <c r="E13" s="202">
        <f t="shared" si="0"/>
        <v>2</v>
      </c>
      <c r="F13" s="206">
        <f t="shared" si="4"/>
        <v>92.16</v>
      </c>
      <c r="G13" s="208">
        <f>IF(D13=D12,"",_xlfn.IFNA(VLOOKUP(D13,'인원 입력 기능(사과탐)'!$A$121:$D$172,4,FALSE),0))</f>
        <v>1317</v>
      </c>
      <c r="H13" s="210">
        <f t="shared" si="1"/>
        <v>2.1595828414010233E-2</v>
      </c>
      <c r="I13" s="221">
        <f>SUM($G$7:G13)</f>
        <v>5439</v>
      </c>
      <c r="J13" s="200">
        <f t="shared" si="5"/>
        <v>8.9187327823691459E-2</v>
      </c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기능'!C118</f>
        <v>38</v>
      </c>
    </row>
    <row r="14" spans="1:17" s="22" customFormat="1" ht="25" customHeight="1" x14ac:dyDescent="0.45">
      <c r="A14" s="20"/>
      <c r="B14" s="35"/>
      <c r="C14" s="65">
        <v>43</v>
      </c>
      <c r="D14" s="203"/>
      <c r="E14" s="203"/>
      <c r="F14" s="207"/>
      <c r="G14" s="209"/>
      <c r="H14" s="211"/>
      <c r="I14" s="222"/>
      <c r="J14" s="201"/>
      <c r="K14" s="36"/>
      <c r="L14" s="20" t="str">
        <f t="shared" si="2"/>
        <v>경고</v>
      </c>
      <c r="N14" s="24"/>
      <c r="P14" s="24">
        <v>8</v>
      </c>
      <c r="Q14" s="24" t="str">
        <f>'표점등급&amp;절평인원 입력 기능'!C119</f>
        <v>-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66</v>
      </c>
      <c r="E15" s="59">
        <f t="shared" si="0"/>
        <v>2</v>
      </c>
      <c r="F15" s="60">
        <f t="shared" si="4"/>
        <v>90.29</v>
      </c>
      <c r="G15" s="61">
        <f>IF(D15=D14,"",_xlfn.IFNA(VLOOKUP(D15,'인원 입력 기능(사과탐)'!$A$121:$D$172,4,FALSE),0))</f>
        <v>970</v>
      </c>
      <c r="H15" s="62">
        <f t="shared" si="1"/>
        <v>1.5905811360356816E-2</v>
      </c>
      <c r="I15" s="72">
        <f>SUM($G$7:G15)</f>
        <v>6409</v>
      </c>
      <c r="J15" s="64">
        <f t="shared" si="5"/>
        <v>0.10509313918404828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65</v>
      </c>
      <c r="E16" s="59">
        <f t="shared" si="0"/>
        <v>2</v>
      </c>
      <c r="F16" s="60">
        <f t="shared" si="4"/>
        <v>88.99</v>
      </c>
      <c r="G16" s="61">
        <f>IF(D16=D15,"",_xlfn.IFNA(VLOOKUP(D16,'인원 입력 기능(사과탐)'!$A$121:$D$172,4,FALSE),0))</f>
        <v>609</v>
      </c>
      <c r="H16" s="62">
        <f t="shared" si="1"/>
        <v>9.9862258953168047E-3</v>
      </c>
      <c r="I16" s="72">
        <f>SUM($G$7:G16)</f>
        <v>7018</v>
      </c>
      <c r="J16" s="64">
        <f t="shared" si="5"/>
        <v>0.11507936507936507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64</v>
      </c>
      <c r="E17" s="59">
        <f t="shared" si="0"/>
        <v>3</v>
      </c>
      <c r="F17" s="60">
        <f t="shared" si="4"/>
        <v>87.86</v>
      </c>
      <c r="G17" s="61">
        <f>IF(D17=D16,"",_xlfn.IFNA(VLOOKUP(D17,'인원 입력 기능(사과탐)'!$A$121:$D$172,4,FALSE),0))</f>
        <v>775</v>
      </c>
      <c r="H17" s="62">
        <f t="shared" si="1"/>
        <v>1.2708251344614981E-2</v>
      </c>
      <c r="I17" s="72">
        <f>SUM($G$7:G17)</f>
        <v>7793</v>
      </c>
      <c r="J17" s="64">
        <f t="shared" si="5"/>
        <v>0.12778761642398007</v>
      </c>
      <c r="K17" s="36"/>
      <c r="L17" s="20" t="str">
        <f t="shared" si="2"/>
        <v/>
      </c>
      <c r="N17" s="24"/>
      <c r="Q17" s="24">
        <f>Q7*H3*H4*J3*IFERROR(IF(J57=1, 1, 0), 0)</f>
        <v>1180513513.8720002</v>
      </c>
    </row>
    <row r="18" spans="1:17" s="22" customFormat="1" ht="25" customHeight="1" x14ac:dyDescent="0.45">
      <c r="A18" s="20"/>
      <c r="B18" s="35"/>
      <c r="C18" s="65">
        <v>39</v>
      </c>
      <c r="D18" s="202">
        <f t="shared" si="3"/>
        <v>63</v>
      </c>
      <c r="E18" s="202">
        <f t="shared" si="0"/>
        <v>3</v>
      </c>
      <c r="F18" s="206">
        <f t="shared" si="4"/>
        <v>85.97</v>
      </c>
      <c r="G18" s="208">
        <f>IF(D18=D17,"",_xlfn.IFNA(VLOOKUP(D18,'인원 입력 기능(사과탐)'!$A$121:$D$172,4,FALSE),0))</f>
        <v>1531</v>
      </c>
      <c r="H18" s="210">
        <f t="shared" si="1"/>
        <v>2.5104945559491013E-2</v>
      </c>
      <c r="I18" s="221">
        <f>SUM($G$7:G18)</f>
        <v>9324</v>
      </c>
      <c r="J18" s="200">
        <f t="shared" si="5"/>
        <v>0.15289256198347106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3"/>
      <c r="E19" s="203"/>
      <c r="F19" s="207"/>
      <c r="G19" s="209"/>
      <c r="H19" s="211"/>
      <c r="I19" s="222"/>
      <c r="J19" s="201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62</v>
      </c>
      <c r="E20" s="59">
        <f t="shared" si="0"/>
        <v>3</v>
      </c>
      <c r="F20" s="60">
        <f t="shared" si="4"/>
        <v>84</v>
      </c>
      <c r="G20" s="61">
        <f>IF(D20=D19,"",_xlfn.IFNA(VLOOKUP(D20,'인원 입력 기능(사과탐)'!$A$121:$D$172,4,FALSE),0))</f>
        <v>864</v>
      </c>
      <c r="H20" s="62">
        <f t="shared" si="1"/>
        <v>1.4167650531286895E-2</v>
      </c>
      <c r="I20" s="72">
        <f>SUM($G$7:G20)</f>
        <v>10188</v>
      </c>
      <c r="J20" s="64">
        <f t="shared" si="5"/>
        <v>0.16706021251475797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61</v>
      </c>
      <c r="E21" s="74">
        <f t="shared" si="0"/>
        <v>3</v>
      </c>
      <c r="F21" s="60">
        <f t="shared" si="4"/>
        <v>82.64</v>
      </c>
      <c r="G21" s="61">
        <f>IF(D21=D20,"",_xlfn.IFNA(VLOOKUP(D21,'인원 입력 기능(사과탐)'!$A$121:$D$172,4,FALSE),0))</f>
        <v>800</v>
      </c>
      <c r="H21" s="62">
        <f t="shared" si="1"/>
        <v>1.3118194936376755E-2</v>
      </c>
      <c r="I21" s="72">
        <f>SUM($G$7:G21)</f>
        <v>10988</v>
      </c>
      <c r="J21" s="64">
        <f t="shared" si="5"/>
        <v>0.18017840745113473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60</v>
      </c>
      <c r="E22" s="74">
        <f t="shared" si="0"/>
        <v>3</v>
      </c>
      <c r="F22" s="60">
        <f t="shared" si="4"/>
        <v>81.28</v>
      </c>
      <c r="G22" s="61">
        <f>IF(D22=D21,"",_xlfn.IFNA(VLOOKUP(D22,'인원 입력 기능(사과탐)'!$A$121:$D$172,4,FALSE),0))</f>
        <v>859</v>
      </c>
      <c r="H22" s="62">
        <f t="shared" si="1"/>
        <v>1.408566181293454E-2</v>
      </c>
      <c r="I22" s="72">
        <f>SUM($G$7:G22)</f>
        <v>11847</v>
      </c>
      <c r="J22" s="64">
        <f t="shared" si="5"/>
        <v>0.19426406926406928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4">
        <f t="shared" si="3"/>
        <v>59</v>
      </c>
      <c r="E23" s="204">
        <f t="shared" si="0"/>
        <v>3</v>
      </c>
      <c r="F23" s="206">
        <f t="shared" si="4"/>
        <v>79.040000000000006</v>
      </c>
      <c r="G23" s="208">
        <f>IF(D23=D22,"",_xlfn.IFNA(VLOOKUP(D23,'인원 입력 기능(사과탐)'!$A$121:$D$172,4,FALSE),0))</f>
        <v>1875</v>
      </c>
      <c r="H23" s="210">
        <f t="shared" si="1"/>
        <v>3.0745769382133019E-2</v>
      </c>
      <c r="I23" s="221">
        <f>SUM($G$7:G23)</f>
        <v>13722</v>
      </c>
      <c r="J23" s="200">
        <f t="shared" si="5"/>
        <v>0.22500983864620228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05"/>
      <c r="E24" s="205"/>
      <c r="F24" s="207"/>
      <c r="G24" s="209"/>
      <c r="H24" s="211"/>
      <c r="I24" s="222"/>
      <c r="J24" s="201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58</v>
      </c>
      <c r="E25" s="74">
        <f t="shared" si="0"/>
        <v>3</v>
      </c>
      <c r="F25" s="60">
        <f t="shared" si="4"/>
        <v>76.650000000000006</v>
      </c>
      <c r="G25" s="61">
        <f>IF(D25=D24,"",_xlfn.IFNA(VLOOKUP(D25,'인원 입력 기능(사과탐)'!$A$121:$D$172,4,FALSE),0))</f>
        <v>1034</v>
      </c>
      <c r="H25" s="62">
        <f t="shared" si="1"/>
        <v>1.6955266955266956E-2</v>
      </c>
      <c r="I25" s="72">
        <f>SUM($G$7:G25)</f>
        <v>14756</v>
      </c>
      <c r="J25" s="64">
        <f t="shared" si="5"/>
        <v>0.24196510560146925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57</v>
      </c>
      <c r="E26" s="74">
        <f t="shared" si="0"/>
        <v>4</v>
      </c>
      <c r="F26" s="60">
        <f t="shared" si="4"/>
        <v>74.94</v>
      </c>
      <c r="G26" s="61">
        <f>IF(D26=D25,"",_xlfn.IFNA(VLOOKUP(D26,'인원 입력 기능(사과탐)'!$A$121:$D$172,4,FALSE),0))</f>
        <v>1048</v>
      </c>
      <c r="H26" s="62">
        <f t="shared" si="1"/>
        <v>1.7184835366653547E-2</v>
      </c>
      <c r="I26" s="72">
        <f>SUM($G$7:G26)</f>
        <v>15804</v>
      </c>
      <c r="J26" s="64">
        <f t="shared" si="5"/>
        <v>0.25914994096812277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56</v>
      </c>
      <c r="E27" s="74">
        <f t="shared" si="0"/>
        <v>4</v>
      </c>
      <c r="F27" s="60">
        <f t="shared" si="4"/>
        <v>73.209999999999994</v>
      </c>
      <c r="G27" s="61">
        <f>IF(D27=D26,"",_xlfn.IFNA(VLOOKUP(D27,'인원 입력 기능(사과탐)'!$A$121:$D$172,4,FALSE),0))</f>
        <v>1073</v>
      </c>
      <c r="H27" s="62">
        <f t="shared" si="1"/>
        <v>1.7594778958415321E-2</v>
      </c>
      <c r="I27" s="72">
        <f>SUM($G$7:G27)</f>
        <v>16877</v>
      </c>
      <c r="J27" s="64">
        <f t="shared" si="5"/>
        <v>0.2767447199265381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04">
        <f t="shared" si="3"/>
        <v>55</v>
      </c>
      <c r="E28" s="204">
        <f t="shared" si="0"/>
        <v>4</v>
      </c>
      <c r="F28" s="206">
        <f t="shared" si="4"/>
        <v>70.34</v>
      </c>
      <c r="G28" s="208">
        <f>IF(D28=D27,"",_xlfn.IFNA(VLOOKUP(D28,'인원 입력 기능(사과탐)'!$A$121:$D$172,4,FALSE),0))</f>
        <v>2425</v>
      </c>
      <c r="H28" s="210">
        <f t="shared" si="1"/>
        <v>3.9764528400892035E-2</v>
      </c>
      <c r="I28" s="221">
        <f>SUM($G$7:G28)</f>
        <v>19302</v>
      </c>
      <c r="J28" s="200">
        <f t="shared" si="5"/>
        <v>0.31650924832743016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05"/>
      <c r="E29" s="205"/>
      <c r="F29" s="207"/>
      <c r="G29" s="209"/>
      <c r="H29" s="211"/>
      <c r="I29" s="222"/>
      <c r="J29" s="201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67.22</v>
      </c>
      <c r="G30" s="61">
        <f>IF(D30=D29,"",_xlfn.IFNA(VLOOKUP(D30,'인원 입력 기능(사과탐)'!$A$121:$D$172,4,FALSE),0))</f>
        <v>1374</v>
      </c>
      <c r="H30" s="62">
        <f t="shared" si="1"/>
        <v>2.2530499803227078E-2</v>
      </c>
      <c r="I30" s="72">
        <f>SUM($G$7:G30)</f>
        <v>20676</v>
      </c>
      <c r="J30" s="64">
        <f t="shared" si="5"/>
        <v>0.33903974813065724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65.03</v>
      </c>
      <c r="G31" s="61">
        <f>IF(D31=D30,"",_xlfn.IFNA(VLOOKUP(D31,'인원 입력 기능(사과탐)'!$A$121:$D$172,4,FALSE),0))</f>
        <v>1300</v>
      </c>
      <c r="H31" s="62">
        <f t="shared" si="1"/>
        <v>2.1317066771612225E-2</v>
      </c>
      <c r="I31" s="72">
        <f>SUM($G$7:G31)</f>
        <v>21976</v>
      </c>
      <c r="J31" s="64">
        <f t="shared" si="5"/>
        <v>0.36035681490226945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62.81</v>
      </c>
      <c r="G32" s="61">
        <f>IF(D32=D31,"",_xlfn.IFNA(VLOOKUP(D32,'인원 입력 기능(사과탐)'!$A$121:$D$172,4,FALSE),0))</f>
        <v>1405</v>
      </c>
      <c r="H32" s="62">
        <f t="shared" si="1"/>
        <v>2.3038829857011674E-2</v>
      </c>
      <c r="I32" s="72">
        <f>SUM($G$7:G32)</f>
        <v>23381</v>
      </c>
      <c r="J32" s="64">
        <f t="shared" si="5"/>
        <v>0.38339564475928112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4</v>
      </c>
      <c r="F33" s="60">
        <f t="shared" si="4"/>
        <v>60.47</v>
      </c>
      <c r="G33" s="61">
        <f>IF(D33=D32,"",_xlfn.IFNA(VLOOKUP(D33,'인원 입력 기능(사과탐)'!$A$121:$D$172,4,FALSE),0))</f>
        <v>1451</v>
      </c>
      <c r="H33" s="62">
        <f t="shared" si="1"/>
        <v>2.3793126065853338E-2</v>
      </c>
      <c r="I33" s="72">
        <f>SUM($G$7:G33)</f>
        <v>24832</v>
      </c>
      <c r="J33" s="64">
        <f t="shared" si="5"/>
        <v>0.40718877082513444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204">
        <f t="shared" si="3"/>
        <v>50</v>
      </c>
      <c r="E34" s="204">
        <f t="shared" si="0"/>
        <v>5</v>
      </c>
      <c r="F34" s="206">
        <f t="shared" si="4"/>
        <v>56.79</v>
      </c>
      <c r="G34" s="208">
        <f>IF(D34=D33,"",_xlfn.IFNA(VLOOKUP(D34,'인원 입력 기능(사과탐)'!$A$121:$D$172,4,FALSE),0))</f>
        <v>3042</v>
      </c>
      <c r="H34" s="210">
        <f t="shared" si="1"/>
        <v>4.9881936245572613E-2</v>
      </c>
      <c r="I34" s="221">
        <f>SUM($G$7:G34)</f>
        <v>27874</v>
      </c>
      <c r="J34" s="200">
        <f t="shared" si="5"/>
        <v>0.45707070707070707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05"/>
      <c r="E35" s="205"/>
      <c r="F35" s="207"/>
      <c r="G35" s="209"/>
      <c r="H35" s="211"/>
      <c r="I35" s="222"/>
      <c r="J35" s="201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52.95</v>
      </c>
      <c r="G36" s="61">
        <f>IF(D36=D35,"",_xlfn.IFNA(VLOOKUP(D36,'인원 입력 기능(사과탐)'!$A$121:$D$172,4,FALSE),0))</f>
        <v>1636</v>
      </c>
      <c r="H36" s="62">
        <f t="shared" si="1"/>
        <v>2.6826708644890462E-2</v>
      </c>
      <c r="I36" s="72">
        <f>SUM($G$7:G36)</f>
        <v>29510</v>
      </c>
      <c r="J36" s="64">
        <f t="shared" si="5"/>
        <v>0.48389741571559752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50.18</v>
      </c>
      <c r="G37" s="61">
        <f>IF(D37=D36,"",_xlfn.IFNA(VLOOKUP(D37,'인원 입력 기능(사과탐)'!$A$121:$D$172,4,FALSE),0))</f>
        <v>1748</v>
      </c>
      <c r="H37" s="62">
        <f t="shared" si="1"/>
        <v>2.866325593598321E-2</v>
      </c>
      <c r="I37" s="72">
        <f>SUM($G$7:G37)</f>
        <v>31258</v>
      </c>
      <c r="J37" s="64">
        <f t="shared" si="5"/>
        <v>0.5125606716515807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47.21</v>
      </c>
      <c r="G38" s="61">
        <f>IF(D38=D37,"",_xlfn.IFNA(VLOOKUP(D38,'인원 입력 기능(사과탐)'!$A$121:$D$172,4,FALSE),0))</f>
        <v>1874</v>
      </c>
      <c r="H38" s="62">
        <f t="shared" si="1"/>
        <v>3.0729371638462549E-2</v>
      </c>
      <c r="I38" s="72">
        <f>SUM($G$7:G38)</f>
        <v>33132</v>
      </c>
      <c r="J38" s="64">
        <f t="shared" si="5"/>
        <v>0.54329004329004327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04">
        <f t="shared" si="3"/>
        <v>46</v>
      </c>
      <c r="E39" s="20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206">
        <f t="shared" si="4"/>
        <v>42.68</v>
      </c>
      <c r="G39" s="208">
        <f>IF(D39=D38,"",_xlfn.IFNA(VLOOKUP(D39,'인원 입력 기능(사과탐)'!$A$121:$D$172,4,FALSE),0))</f>
        <v>3643</v>
      </c>
      <c r="H39" s="210">
        <f t="shared" si="1"/>
        <v>5.9736980191525645E-2</v>
      </c>
      <c r="I39" s="221">
        <f>SUM($G$7:G39)</f>
        <v>36775</v>
      </c>
      <c r="J39" s="200">
        <f t="shared" si="5"/>
        <v>0.60302702348156889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05"/>
      <c r="E40" s="205"/>
      <c r="F40" s="207"/>
      <c r="G40" s="209"/>
      <c r="H40" s="211"/>
      <c r="I40" s="222"/>
      <c r="J40" s="201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38.14</v>
      </c>
      <c r="G41" s="61">
        <f>IF(D41=D40,"",_xlfn.IFNA(VLOOKUP(D41,'인원 입력 기능(사과탐)'!$A$121:$D$172,4,FALSE),0))</f>
        <v>1905</v>
      </c>
      <c r="H41" s="62">
        <f t="shared" si="1"/>
        <v>3.1237701692247148E-2</v>
      </c>
      <c r="I41" s="72">
        <f>SUM($G$7:G41)</f>
        <v>38680</v>
      </c>
      <c r="J41" s="64">
        <f t="shared" si="5"/>
        <v>0.63426472517381605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34.950000000000003</v>
      </c>
      <c r="G42" s="61">
        <f>IF(D42=D41,"",_xlfn.IFNA(VLOOKUP(D42,'인원 입력 기능(사과탐)'!$A$121:$D$172,4,FALSE),0))</f>
        <v>1986</v>
      </c>
      <c r="H42" s="62">
        <f t="shared" si="1"/>
        <v>3.2565918929555293E-2</v>
      </c>
      <c r="I42" s="72">
        <f>SUM($G$7:G42)</f>
        <v>40666</v>
      </c>
      <c r="J42" s="64">
        <f t="shared" si="5"/>
        <v>0.66683064410337134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30.41</v>
      </c>
      <c r="G43" s="61">
        <f>IF(D43=D42,"",_xlfn.IFNA(VLOOKUP(D43,'인원 입력 기능(사과탐)'!$A$121:$D$172,4,FALSE),0))</f>
        <v>3550</v>
      </c>
      <c r="H43" s="62">
        <f t="shared" si="1"/>
        <v>5.8211990030171849E-2</v>
      </c>
      <c r="I43" s="72">
        <f>SUM($G$7:G43)</f>
        <v>44216</v>
      </c>
      <c r="J43" s="64">
        <f t="shared" si="5"/>
        <v>0.7250426341335432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4">
        <f t="shared" si="3"/>
        <v>42</v>
      </c>
      <c r="E44" s="204">
        <f t="shared" si="6"/>
        <v>6</v>
      </c>
      <c r="F44" s="206">
        <f t="shared" si="4"/>
        <v>24.41</v>
      </c>
      <c r="G44" s="208">
        <f>IF(D44=D43,"",_xlfn.IFNA(VLOOKUP(D44,'인원 입력 기능(사과탐)'!$A$121:$D$172,4,FALSE),0))</f>
        <v>3763</v>
      </c>
      <c r="H44" s="210">
        <f t="shared" si="1"/>
        <v>6.1704709431982162E-2</v>
      </c>
      <c r="I44" s="221">
        <f>SUM($G$7:G44)</f>
        <v>47979</v>
      </c>
      <c r="J44" s="200">
        <f t="shared" si="5"/>
        <v>0.78674734356552534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05"/>
      <c r="E45" s="205"/>
      <c r="F45" s="207"/>
      <c r="G45" s="209"/>
      <c r="H45" s="211"/>
      <c r="I45" s="222"/>
      <c r="J45" s="201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19.84</v>
      </c>
      <c r="G46" s="61">
        <f>IF(D46=D45,"",_xlfn.IFNA(VLOOKUP(D46,'인원 입력 기능(사과탐)'!$A$121:$D$172,4,FALSE),0))</f>
        <v>1807</v>
      </c>
      <c r="H46" s="62">
        <f t="shared" si="1"/>
        <v>2.9630722812540995E-2</v>
      </c>
      <c r="I46" s="72">
        <f>SUM($G$7:G46)</f>
        <v>49786</v>
      </c>
      <c r="J46" s="64">
        <f t="shared" si="5"/>
        <v>0.81637806637806642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16.649999999999999</v>
      </c>
      <c r="G47" s="61">
        <f>IF(D47=D46,"",_xlfn.IFNA(VLOOKUP(D47,'인원 입력 기능(사과탐)'!$A$121:$D$172,4,FALSE),0))</f>
        <v>2092</v>
      </c>
      <c r="H47" s="62">
        <f t="shared" si="1"/>
        <v>3.4304079758625212E-2</v>
      </c>
      <c r="I47" s="72">
        <f>SUM($G$7:G47)</f>
        <v>51878</v>
      </c>
      <c r="J47" s="64">
        <f t="shared" si="5"/>
        <v>0.85068214613669157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13.93</v>
      </c>
      <c r="G48" s="61">
        <f>IF(D48=D47,"",_xlfn.IFNA(VLOOKUP(D48,'인원 입력 기능(사과탐)'!$A$121:$D$172,4,FALSE),0))</f>
        <v>1223</v>
      </c>
      <c r="H48" s="62">
        <f t="shared" si="1"/>
        <v>2.0054440508985964E-2</v>
      </c>
      <c r="I48" s="72">
        <f>SUM($G$7:G48)</f>
        <v>53101</v>
      </c>
      <c r="J48" s="64">
        <f t="shared" si="5"/>
        <v>0.87073658664567755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28">
        <f t="shared" si="3"/>
        <v>38</v>
      </c>
      <c r="E49" s="228">
        <f t="shared" si="6"/>
        <v>7</v>
      </c>
      <c r="F49" s="230">
        <f t="shared" si="4"/>
        <v>8.4499999999999993</v>
      </c>
      <c r="G49" s="232">
        <f>IF(D49=D48,"",_xlfn.IFNA(VLOOKUP(D49,'인원 입력 기능(사과탐)'!$A$121:$D$172,4,FALSE),0))</f>
        <v>5464</v>
      </c>
      <c r="H49" s="234">
        <f t="shared" si="1"/>
        <v>8.9597271415453233E-2</v>
      </c>
      <c r="I49" s="224">
        <f>SUM($G$7:G49)</f>
        <v>58565</v>
      </c>
      <c r="J49" s="226">
        <f t="shared" si="5"/>
        <v>0.96033385806113081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96">
        <v>7</v>
      </c>
      <c r="D50" s="229"/>
      <c r="E50" s="229"/>
      <c r="F50" s="231"/>
      <c r="G50" s="233"/>
      <c r="H50" s="235"/>
      <c r="I50" s="225"/>
      <c r="J50" s="227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6"/>
        <v>9</v>
      </c>
      <c r="F51" s="60">
        <f t="shared" si="4"/>
        <v>3.52</v>
      </c>
      <c r="G51" s="61">
        <f>IF(D51=D50,"",_xlfn.IFNA(VLOOKUP(D51,'인원 입력 기능(사과탐)'!$A$121:$D$172,4,FALSE),0))</f>
        <v>539</v>
      </c>
      <c r="H51" s="62">
        <f t="shared" si="1"/>
        <v>8.8383838383838381E-3</v>
      </c>
      <c r="I51" s="72">
        <f>SUM($G$7:G51)</f>
        <v>59104</v>
      </c>
      <c r="J51" s="64">
        <f t="shared" si="5"/>
        <v>0.96917224189951467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6"/>
        <v>9</v>
      </c>
      <c r="F52" s="60">
        <f t="shared" si="4"/>
        <v>2.38</v>
      </c>
      <c r="G52" s="61">
        <f>IF(D52=D51,"",_xlfn.IFNA(VLOOKUP(D52,'인원 입력 기능(사과탐)'!$A$121:$D$172,4,FALSE),0))</f>
        <v>854</v>
      </c>
      <c r="H52" s="62">
        <f t="shared" si="1"/>
        <v>1.4003673094582185E-2</v>
      </c>
      <c r="I52" s="72">
        <f>SUM($G$7:G52)</f>
        <v>59958</v>
      </c>
      <c r="J52" s="64">
        <f t="shared" si="5"/>
        <v>0.98317591499409684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35</v>
      </c>
      <c r="E53" s="59">
        <f t="shared" si="6"/>
        <v>9</v>
      </c>
      <c r="F53" s="60">
        <f t="shared" si="4"/>
        <v>1.42</v>
      </c>
      <c r="G53" s="61">
        <f>IF(D53=D52,"",_xlfn.IFNA(VLOOKUP(D53,'인원 입력 기능(사과탐)'!$A$121:$D$172,4,FALSE),0))</f>
        <v>318</v>
      </c>
      <c r="H53" s="62">
        <f t="shared" si="1"/>
        <v>5.2144824872097598E-3</v>
      </c>
      <c r="I53" s="72">
        <f>SUM($G$7:G53)</f>
        <v>60276</v>
      </c>
      <c r="J53" s="64">
        <f t="shared" si="5"/>
        <v>0.98839039748130653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0.98</v>
      </c>
      <c r="G54" s="61">
        <f>IF(D54=D53,"",_xlfn.IFNA(VLOOKUP(D54,'인원 입력 기능(사과탐)'!$A$121:$D$172,4,FALSE),0))</f>
        <v>221</v>
      </c>
      <c r="H54" s="62">
        <f t="shared" si="1"/>
        <v>3.6239013511740787E-3</v>
      </c>
      <c r="I54" s="72">
        <f>SUM($G$7:G54)</f>
        <v>60497</v>
      </c>
      <c r="J54" s="64">
        <f t="shared" si="5"/>
        <v>0.9920142988324806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0.54</v>
      </c>
      <c r="G55" s="61">
        <f>IF(D55=D54,"",_xlfn.IFNA(VLOOKUP(D55,'인원 입력 기능(사과탐)'!$A$121:$D$172,4,FALSE),0))</f>
        <v>312</v>
      </c>
      <c r="H55" s="62">
        <f t="shared" si="1"/>
        <v>5.1160960251869347E-3</v>
      </c>
      <c r="I55" s="72">
        <f>SUM($G$7:G55)</f>
        <v>60809</v>
      </c>
      <c r="J55" s="64">
        <f t="shared" si="5"/>
        <v>0.99713039485766763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0.14000000000000001</v>
      </c>
      <c r="G57" s="113">
        <f>_xlfn.IFNA(VLOOKUP(D57,'인원 입력 기능(사과탐)'!$A$121:$D$172,4,FALSE),0)</f>
        <v>175</v>
      </c>
      <c r="H57" s="81">
        <f>G57/$J$3</f>
        <v>2.8696051423324149E-3</v>
      </c>
      <c r="I57" s="82">
        <f>SUM($G$7:G57)</f>
        <v>60984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  <mergeCell ref="I18:I19"/>
    <mergeCell ref="J18:J19"/>
    <mergeCell ref="D23:D24"/>
    <mergeCell ref="E23:E24"/>
    <mergeCell ref="F23:F24"/>
    <mergeCell ref="G23:G24"/>
    <mergeCell ref="H23:H24"/>
    <mergeCell ref="I23:I24"/>
    <mergeCell ref="J23:J24"/>
    <mergeCell ref="D18:D19"/>
    <mergeCell ref="E18:E19"/>
    <mergeCell ref="F18:F19"/>
    <mergeCell ref="G18:G19"/>
    <mergeCell ref="H18:H19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39:I40"/>
    <mergeCell ref="J39:J40"/>
    <mergeCell ref="D44:D45"/>
    <mergeCell ref="E44:E45"/>
    <mergeCell ref="F44:F45"/>
    <mergeCell ref="G44:G45"/>
    <mergeCell ref="H44:H45"/>
    <mergeCell ref="I44:I45"/>
    <mergeCell ref="J44:J45"/>
    <mergeCell ref="D39:D40"/>
    <mergeCell ref="E39:E40"/>
    <mergeCell ref="F39:F40"/>
    <mergeCell ref="G39:G40"/>
    <mergeCell ref="H39:H40"/>
    <mergeCell ref="I49:I50"/>
    <mergeCell ref="J49:J50"/>
    <mergeCell ref="D49:D50"/>
    <mergeCell ref="E49:E50"/>
    <mergeCell ref="F49:F50"/>
    <mergeCell ref="G49:G50"/>
    <mergeCell ref="H49:H50"/>
  </mergeCells>
  <phoneticPr fontId="1" type="noConversion"/>
  <conditionalFormatting sqref="D7:G13 I7:J13 D15:G18 I15:J18 D20:G23 I20:J23 D25:G28 I25:J28 D30:G34 I30:J34 D36:G39 I36:J39 D41:G44 I41:J44 D46:G48 I46:J48 D51:G57 I51:J57">
    <cfRule type="expression" dxfId="19" priority="4">
      <formula>OR($D7=$Q$7:$Q$14)</formula>
    </cfRule>
  </conditionalFormatting>
  <conditionalFormatting sqref="C7:C49 C51:C57">
    <cfRule type="expression" dxfId="18" priority="3">
      <formula>OR(AND($D7=0,OR($D6=$Q$7:$Q$14)),AND($D8&gt;0,OR($D7=$Q$7:$Q$14)))</formula>
    </cfRule>
  </conditionalFormatting>
  <conditionalFormatting sqref="D7:D13 D15:D18 D20:D23 D25:D28 D30:D34 D36:D39 D41:D44 D46:D48 D51:D57">
    <cfRule type="expression" dxfId="17" priority="2">
      <formula>$D7=$D8</formula>
    </cfRule>
  </conditionalFormatting>
  <conditionalFormatting sqref="H7:H13 H15:H18 H20:H23 H25:H28 H30:H34 H36:H39 H41:H44 H46:H48 H51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기능'!D17</f>
        <v>23.16</v>
      </c>
      <c r="I3" s="21" t="s">
        <v>70</v>
      </c>
      <c r="J3" s="50">
        <f>'통계 및 응시자 수 입력 기능'!C17</f>
        <v>52650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95</v>
      </c>
      <c r="E4" s="216"/>
      <c r="F4" s="217"/>
      <c r="G4" s="52" t="s">
        <v>73</v>
      </c>
      <c r="H4" s="53">
        <f>'통계 및 응시자 수 입력 기능'!E17</f>
        <v>12.52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71</v>
      </c>
      <c r="E7" s="59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98.91</v>
      </c>
      <c r="G7" s="61">
        <f>_xlfn.IFNA(VLOOKUP(D7,'인원 입력 기능(사과탐)'!$A$177:$D$231,4,FALSE),0)</f>
        <v>1151</v>
      </c>
      <c r="H7" s="62">
        <f>G7/$J$3</f>
        <v>2.1861348528015193E-2</v>
      </c>
      <c r="I7" s="63">
        <f>G7</f>
        <v>1151</v>
      </c>
      <c r="J7" s="64">
        <f>I7/$J$3</f>
        <v>2.1861348528015193E-2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기능'!C122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70</v>
      </c>
      <c r="E9" s="59">
        <f t="shared" si="0"/>
        <v>1</v>
      </c>
      <c r="F9" s="60">
        <f>IF(I8=0,ROUND(100*(1-(I7+I9)/2/$J$3),2),ROUND(100*(1-(I8+I9)/2/$J$3),2))</f>
        <v>97.56</v>
      </c>
      <c r="G9" s="61">
        <f>_xlfn.IFNA(VLOOKUP(D9,'인원 입력 기능(사과탐)'!$A$177:$D$231,4,FALSE),0)</f>
        <v>268</v>
      </c>
      <c r="H9" s="62">
        <f t="shared" ref="H9:H55" si="1">G9/$J$3</f>
        <v>5.0902184235517567E-3</v>
      </c>
      <c r="I9" s="72">
        <f>SUM($G$7:G9)</f>
        <v>1419</v>
      </c>
      <c r="J9" s="64">
        <f>I9/$J$3</f>
        <v>2.695156695156695E-2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69</v>
      </c>
      <c r="E10" s="59">
        <f t="shared" si="0"/>
        <v>1</v>
      </c>
      <c r="F10" s="60">
        <f t="shared" ref="F10:F55" si="4">IF(I9=0,ROUND(100*(1-(I8+I10)/2/$J$3),2),ROUND(100*(1-(I9+I10)/2/$J$3),2))</f>
        <v>96.11</v>
      </c>
      <c r="G10" s="61">
        <f>IF(D10=D9,"",_xlfn.IFNA(VLOOKUP(D10,'인원 입력 기능(사과탐)'!$A$177:$D$231,4,FALSE),0))</f>
        <v>1260</v>
      </c>
      <c r="H10" s="62">
        <f t="shared" si="1"/>
        <v>2.3931623931623933E-2</v>
      </c>
      <c r="I10" s="72">
        <f>SUM($G$7:G10)</f>
        <v>2679</v>
      </c>
      <c r="J10" s="64">
        <f t="shared" ref="J10:J55" si="5">I10/$J$3</f>
        <v>5.0883190883190883E-2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기능'!C124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68</v>
      </c>
      <c r="E11" s="59">
        <f t="shared" si="0"/>
        <v>2</v>
      </c>
      <c r="F11" s="60">
        <f t="shared" si="4"/>
        <v>94.86</v>
      </c>
      <c r="G11" s="61">
        <f>IF(D11=D10,"",_xlfn.IFNA(VLOOKUP(D11,'인원 입력 기능(사과탐)'!$A$177:$D$231,4,FALSE),0))</f>
        <v>56</v>
      </c>
      <c r="H11" s="62">
        <f t="shared" si="1"/>
        <v>1.0636277302943969E-3</v>
      </c>
      <c r="I11" s="72">
        <f>SUM($G$7:G11)</f>
        <v>2735</v>
      </c>
      <c r="J11" s="64">
        <f t="shared" si="5"/>
        <v>5.1946818613485282E-2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45</v>
      </c>
    </row>
    <row r="12" spans="1:17" s="22" customFormat="1" ht="25" customHeight="1" x14ac:dyDescent="0.45">
      <c r="A12" s="20"/>
      <c r="B12" s="35"/>
      <c r="C12" s="65">
        <v>45</v>
      </c>
      <c r="D12" s="202">
        <f t="shared" si="3"/>
        <v>67</v>
      </c>
      <c r="E12" s="202">
        <f t="shared" si="0"/>
        <v>2</v>
      </c>
      <c r="F12" s="206">
        <f t="shared" si="4"/>
        <v>93.09</v>
      </c>
      <c r="G12" s="208">
        <f>IF(D12=D11,"",_xlfn.IFNA(VLOOKUP(D12,'인원 입력 기능(사과탐)'!$A$177:$D$231,4,FALSE),0))</f>
        <v>1809</v>
      </c>
      <c r="H12" s="210">
        <f t="shared" si="1"/>
        <v>3.4358974358974358E-2</v>
      </c>
      <c r="I12" s="221">
        <f>SUM($G$7:G12)</f>
        <v>4544</v>
      </c>
      <c r="J12" s="200">
        <f t="shared" si="5"/>
        <v>8.6305792972459633E-2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41</v>
      </c>
    </row>
    <row r="13" spans="1:17" s="22" customFormat="1" ht="25" customHeight="1" x14ac:dyDescent="0.45">
      <c r="A13" s="20"/>
      <c r="B13" s="35"/>
      <c r="C13" s="58">
        <v>44</v>
      </c>
      <c r="D13" s="203"/>
      <c r="E13" s="203"/>
      <c r="F13" s="207"/>
      <c r="G13" s="209"/>
      <c r="H13" s="211"/>
      <c r="I13" s="222"/>
      <c r="J13" s="20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기능'!C127</f>
        <v>38</v>
      </c>
    </row>
    <row r="14" spans="1:17" s="22" customFormat="1" ht="25" customHeight="1" x14ac:dyDescent="0.45">
      <c r="A14" s="20"/>
      <c r="B14" s="35"/>
      <c r="C14" s="73">
        <v>43</v>
      </c>
      <c r="D14" s="115">
        <f t="shared" si="3"/>
        <v>66</v>
      </c>
      <c r="E14" s="115">
        <f t="shared" si="0"/>
        <v>2</v>
      </c>
      <c r="F14" s="60">
        <f t="shared" si="4"/>
        <v>91.18</v>
      </c>
      <c r="G14" s="61">
        <f>IF(D14=D13,"",_xlfn.IFNA(VLOOKUP(D14,'인원 입력 기능(사과탐)'!$A$177:$D$231,4,FALSE),0))</f>
        <v>204</v>
      </c>
      <c r="H14" s="62">
        <f t="shared" si="1"/>
        <v>3.8746438746438748E-3</v>
      </c>
      <c r="I14" s="72">
        <f>SUM($G$7:G14)</f>
        <v>4748</v>
      </c>
      <c r="J14" s="64">
        <f t="shared" si="5"/>
        <v>9.0180436847103515E-2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37</v>
      </c>
    </row>
    <row r="15" spans="1:17" s="22" customFormat="1" ht="25" customHeight="1" x14ac:dyDescent="0.45">
      <c r="A15" s="20"/>
      <c r="B15" s="35"/>
      <c r="C15" s="58">
        <v>42</v>
      </c>
      <c r="D15" s="115">
        <f t="shared" ref="D15" si="6">ROUND(10*(C15-$H$3)/$H$4+50,0)</f>
        <v>65</v>
      </c>
      <c r="E15" s="115">
        <f t="shared" si="0"/>
        <v>2</v>
      </c>
      <c r="F15" s="60">
        <f t="shared" si="4"/>
        <v>90.1</v>
      </c>
      <c r="G15" s="61">
        <f>IF(D15=D14,"",_xlfn.IFNA(VLOOKUP(D15,'인원 입력 기능(사과탐)'!$A$177:$D$231,4,FALSE),0))</f>
        <v>931</v>
      </c>
      <c r="H15" s="62">
        <f t="shared" si="1"/>
        <v>1.7682811016144349E-2</v>
      </c>
      <c r="I15" s="72">
        <f>SUM($G$7:G15)</f>
        <v>5679</v>
      </c>
      <c r="J15" s="64">
        <f t="shared" si="5"/>
        <v>0.10786324786324786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64</v>
      </c>
      <c r="E16" s="59">
        <f t="shared" si="0"/>
        <v>2</v>
      </c>
      <c r="F16" s="60">
        <f t="shared" si="4"/>
        <v>88.31</v>
      </c>
      <c r="G16" s="61">
        <f>IF(D16=D15,"",_xlfn.IFNA(VLOOKUP(D16,'인원 입력 기능(사과탐)'!$A$177:$D$231,4,FALSE),0))</f>
        <v>952</v>
      </c>
      <c r="H16" s="62">
        <f t="shared" si="1"/>
        <v>1.808167141500475E-2</v>
      </c>
      <c r="I16" s="72">
        <f>SUM($G$7:G16)</f>
        <v>6631</v>
      </c>
      <c r="J16" s="64">
        <f t="shared" si="5"/>
        <v>0.1259449192782526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02">
        <f t="shared" si="3"/>
        <v>63</v>
      </c>
      <c r="E17" s="202">
        <f t="shared" si="0"/>
        <v>3</v>
      </c>
      <c r="F17" s="206">
        <f t="shared" si="4"/>
        <v>86.02</v>
      </c>
      <c r="G17" s="208">
        <f>IF(D17=D16,"",_xlfn.IFNA(VLOOKUP(D17,'인원 입력 기능(사과탐)'!$A$177:$D$231,4,FALSE),0))</f>
        <v>1462</v>
      </c>
      <c r="H17" s="210">
        <f t="shared" si="1"/>
        <v>2.7768281101614434E-2</v>
      </c>
      <c r="I17" s="221">
        <f>SUM($G$7:G17)</f>
        <v>8093</v>
      </c>
      <c r="J17" s="200">
        <f t="shared" si="5"/>
        <v>0.15371320037986705</v>
      </c>
      <c r="K17" s="36"/>
      <c r="L17" s="20" t="str">
        <f t="shared" si="2"/>
        <v/>
      </c>
      <c r="N17" s="24"/>
      <c r="Q17" s="24">
        <f>Q7*H3*H4*J3*IFERROR(IF(J57=1, 1, 0), 0)</f>
        <v>1053392811.1199999</v>
      </c>
    </row>
    <row r="18" spans="1:17" s="22" customFormat="1" ht="25" customHeight="1" x14ac:dyDescent="0.45">
      <c r="A18" s="20"/>
      <c r="B18" s="35"/>
      <c r="C18" s="65">
        <v>39</v>
      </c>
      <c r="D18" s="203"/>
      <c r="E18" s="203"/>
      <c r="F18" s="207"/>
      <c r="G18" s="209"/>
      <c r="H18" s="211"/>
      <c r="I18" s="222"/>
      <c r="J18" s="201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62</v>
      </c>
      <c r="E19" s="59">
        <f t="shared" si="0"/>
        <v>3</v>
      </c>
      <c r="F19" s="60">
        <f t="shared" si="4"/>
        <v>83.8</v>
      </c>
      <c r="G19" s="61">
        <f>IF(D19=D18,"",_xlfn.IFNA(VLOOKUP(D19,'인원 입력 기능(사과탐)'!$A$177:$D$231,4,FALSE),0))</f>
        <v>874</v>
      </c>
      <c r="H19" s="62">
        <f t="shared" si="1"/>
        <v>1.6600189933523267E-2</v>
      </c>
      <c r="I19" s="72">
        <f>SUM($G$7:G19)</f>
        <v>8967</v>
      </c>
      <c r="J19" s="64">
        <f t="shared" si="5"/>
        <v>0.17031339031339032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61</v>
      </c>
      <c r="E20" s="59">
        <f t="shared" si="0"/>
        <v>3</v>
      </c>
      <c r="F20" s="60">
        <f t="shared" si="4"/>
        <v>82.34</v>
      </c>
      <c r="G20" s="61">
        <f>IF(D20=D19,"",_xlfn.IFNA(VLOOKUP(D20,'인원 입력 기능(사과탐)'!$A$177:$D$231,4,FALSE),0))</f>
        <v>662</v>
      </c>
      <c r="H20" s="62">
        <f t="shared" si="1"/>
        <v>1.2573599240265907E-2</v>
      </c>
      <c r="I20" s="72">
        <f>SUM($G$7:G20)</f>
        <v>9629</v>
      </c>
      <c r="J20" s="64">
        <f t="shared" si="5"/>
        <v>0.18288698955365623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60</v>
      </c>
      <c r="E21" s="74">
        <f t="shared" si="0"/>
        <v>3</v>
      </c>
      <c r="F21" s="60">
        <f t="shared" si="4"/>
        <v>80.66</v>
      </c>
      <c r="G21" s="61">
        <f>IF(D21=D20,"",_xlfn.IFNA(VLOOKUP(D21,'인원 입력 기능(사과탐)'!$A$177:$D$231,4,FALSE),0))</f>
        <v>1112</v>
      </c>
      <c r="H21" s="62">
        <f t="shared" si="1"/>
        <v>2.1120607787274454E-2</v>
      </c>
      <c r="I21" s="72">
        <f>SUM($G$7:G21)</f>
        <v>10741</v>
      </c>
      <c r="J21" s="64">
        <f t="shared" si="5"/>
        <v>0.20400759734093069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4">
        <f t="shared" si="3"/>
        <v>59</v>
      </c>
      <c r="E22" s="204">
        <f t="shared" si="0"/>
        <v>3</v>
      </c>
      <c r="F22" s="206">
        <f t="shared" si="4"/>
        <v>77.989999999999995</v>
      </c>
      <c r="G22" s="208">
        <f>IF(D22=D21,"",_xlfn.IFNA(VLOOKUP(D22,'인원 입력 기능(사과탐)'!$A$177:$D$231,4,FALSE),0))</f>
        <v>1693</v>
      </c>
      <c r="H22" s="210">
        <f t="shared" si="1"/>
        <v>3.2155745489078826E-2</v>
      </c>
      <c r="I22" s="221">
        <f>SUM($G$7:G22)</f>
        <v>12434</v>
      </c>
      <c r="J22" s="200">
        <f t="shared" si="5"/>
        <v>0.2361633428300095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5"/>
      <c r="E23" s="205"/>
      <c r="F23" s="207"/>
      <c r="G23" s="209"/>
      <c r="H23" s="211"/>
      <c r="I23" s="222"/>
      <c r="J23" s="201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58</v>
      </c>
      <c r="E24" s="74">
        <f t="shared" si="0"/>
        <v>4</v>
      </c>
      <c r="F24" s="60">
        <f t="shared" si="4"/>
        <v>75.349999999999994</v>
      </c>
      <c r="G24" s="61">
        <f>IF(D24=D23,"",_xlfn.IFNA(VLOOKUP(D24,'인원 입력 기능(사과탐)'!$A$177:$D$231,4,FALSE),0))</f>
        <v>1084</v>
      </c>
      <c r="H24" s="62">
        <f t="shared" si="1"/>
        <v>2.0588793922127254E-2</v>
      </c>
      <c r="I24" s="72">
        <f>SUM($G$7:G24)</f>
        <v>13518</v>
      </c>
      <c r="J24" s="64">
        <f t="shared" si="5"/>
        <v>0.25675213675213676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57</v>
      </c>
      <c r="E25" s="74">
        <f t="shared" si="0"/>
        <v>4</v>
      </c>
      <c r="F25" s="60">
        <f t="shared" si="4"/>
        <v>73.52</v>
      </c>
      <c r="G25" s="61">
        <f>IF(D25=D24,"",_xlfn.IFNA(VLOOKUP(D25,'인원 입력 기능(사과탐)'!$A$177:$D$231,4,FALSE),0))</f>
        <v>848</v>
      </c>
      <c r="H25" s="62">
        <f t="shared" si="1"/>
        <v>1.6106362773029438E-2</v>
      </c>
      <c r="I25" s="72">
        <f>SUM($G$7:G25)</f>
        <v>14366</v>
      </c>
      <c r="J25" s="64">
        <f t="shared" si="5"/>
        <v>0.27285849952516616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56</v>
      </c>
      <c r="E26" s="74">
        <f t="shared" si="0"/>
        <v>4</v>
      </c>
      <c r="F26" s="60">
        <f t="shared" si="4"/>
        <v>71.709999999999994</v>
      </c>
      <c r="G26" s="61">
        <f>IF(D26=D25,"",_xlfn.IFNA(VLOOKUP(D26,'인원 입력 기능(사과탐)'!$A$177:$D$231,4,FALSE),0))</f>
        <v>1059</v>
      </c>
      <c r="H26" s="62">
        <f t="shared" si="1"/>
        <v>2.0113960113960112E-2</v>
      </c>
      <c r="I26" s="72">
        <f>SUM($G$7:G26)</f>
        <v>15425</v>
      </c>
      <c r="J26" s="64">
        <f t="shared" si="5"/>
        <v>0.29297245963912633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04">
        <f t="shared" si="3"/>
        <v>55</v>
      </c>
      <c r="E27" s="204">
        <f t="shared" si="0"/>
        <v>4</v>
      </c>
      <c r="F27" s="206">
        <f t="shared" si="4"/>
        <v>68.77</v>
      </c>
      <c r="G27" s="208">
        <f>IF(D27=D26,"",_xlfn.IFNA(VLOOKUP(D27,'인원 입력 기능(사과탐)'!$A$177:$D$231,4,FALSE),0))</f>
        <v>2032</v>
      </c>
      <c r="H27" s="210">
        <f t="shared" si="1"/>
        <v>3.8594491927825263E-2</v>
      </c>
      <c r="I27" s="221">
        <f>SUM($G$7:G27)</f>
        <v>17457</v>
      </c>
      <c r="J27" s="200">
        <f t="shared" si="5"/>
        <v>0.33156695156695154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05"/>
      <c r="E28" s="205"/>
      <c r="F28" s="207"/>
      <c r="G28" s="209"/>
      <c r="H28" s="211"/>
      <c r="I28" s="222"/>
      <c r="J28" s="201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54</v>
      </c>
      <c r="E29" s="74">
        <f t="shared" si="0"/>
        <v>4</v>
      </c>
      <c r="F29" s="60">
        <f t="shared" si="4"/>
        <v>65.77</v>
      </c>
      <c r="G29" s="61">
        <f>IF(D29=D28,"",_xlfn.IFNA(VLOOKUP(D29,'인원 입력 기능(사과탐)'!$A$177:$D$231,4,FALSE),0))</f>
        <v>1126</v>
      </c>
      <c r="H29" s="62">
        <f t="shared" si="1"/>
        <v>2.1386514719848052E-2</v>
      </c>
      <c r="I29" s="72">
        <f>SUM($G$7:G29)</f>
        <v>18583</v>
      </c>
      <c r="J29" s="64">
        <f t="shared" si="5"/>
        <v>0.35295346628679963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53</v>
      </c>
      <c r="E30" s="74">
        <f t="shared" si="0"/>
        <v>4</v>
      </c>
      <c r="F30" s="60">
        <f t="shared" si="4"/>
        <v>63.69</v>
      </c>
      <c r="G30" s="61">
        <f>IF(D30=D29,"",_xlfn.IFNA(VLOOKUP(D30,'인원 입력 기능(사과탐)'!$A$177:$D$231,4,FALSE),0))</f>
        <v>1064</v>
      </c>
      <c r="H30" s="62">
        <f t="shared" si="1"/>
        <v>2.0208926875593541E-2</v>
      </c>
      <c r="I30" s="72">
        <f>SUM($G$7:G30)</f>
        <v>19647</v>
      </c>
      <c r="J30" s="64">
        <f t="shared" si="5"/>
        <v>0.37316239316239314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52</v>
      </c>
      <c r="E31" s="74">
        <f t="shared" si="0"/>
        <v>4</v>
      </c>
      <c r="F31" s="60">
        <f t="shared" si="4"/>
        <v>61.58</v>
      </c>
      <c r="G31" s="61">
        <f>IF(D31=D30,"",_xlfn.IFNA(VLOOKUP(D31,'인원 입력 기능(사과탐)'!$A$177:$D$231,4,FALSE),0))</f>
        <v>1166</v>
      </c>
      <c r="H31" s="62">
        <f t="shared" si="1"/>
        <v>2.2146248812915478E-2</v>
      </c>
      <c r="I31" s="72">
        <f>SUM($G$7:G31)</f>
        <v>20813</v>
      </c>
      <c r="J31" s="64">
        <f t="shared" si="5"/>
        <v>0.39530864197530863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4">
        <f t="shared" si="3"/>
        <v>51</v>
      </c>
      <c r="E32" s="204">
        <f t="shared" si="0"/>
        <v>4</v>
      </c>
      <c r="F32" s="206">
        <f t="shared" si="4"/>
        <v>58.21</v>
      </c>
      <c r="G32" s="208">
        <f>IF(D32=D31,"",_xlfn.IFNA(VLOOKUP(D32,'인원 입력 기능(사과탐)'!$A$177:$D$231,4,FALSE),0))</f>
        <v>2374</v>
      </c>
      <c r="H32" s="210">
        <f t="shared" si="1"/>
        <v>4.5090218423551758E-2</v>
      </c>
      <c r="I32" s="221">
        <f>SUM($G$7:G32)</f>
        <v>23187</v>
      </c>
      <c r="J32" s="200">
        <f t="shared" si="5"/>
        <v>0.44039886039886039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5"/>
      <c r="E33" s="205"/>
      <c r="F33" s="207"/>
      <c r="G33" s="209"/>
      <c r="H33" s="211"/>
      <c r="I33" s="222"/>
      <c r="J33" s="20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54.76</v>
      </c>
      <c r="G34" s="61">
        <f>IF(D34=D33,"",_xlfn.IFNA(VLOOKUP(D34,'인원 입력 기능(사과탐)'!$A$177:$D$231,4,FALSE),0))</f>
        <v>1268</v>
      </c>
      <c r="H34" s="62">
        <f t="shared" si="1"/>
        <v>2.4083570750237416E-2</v>
      </c>
      <c r="I34" s="72">
        <f>SUM($G$7:G34)</f>
        <v>24455</v>
      </c>
      <c r="J34" s="64">
        <f t="shared" si="5"/>
        <v>0.46448243114909782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52.33</v>
      </c>
      <c r="G35" s="61">
        <f>IF(D35=D34,"",_xlfn.IFNA(VLOOKUP(D35,'인원 입력 기능(사과탐)'!$A$177:$D$231,4,FALSE),0))</f>
        <v>1287</v>
      </c>
      <c r="H35" s="62">
        <f t="shared" si="1"/>
        <v>2.4444444444444446E-2</v>
      </c>
      <c r="I35" s="72">
        <f>SUM($G$7:G35)</f>
        <v>25742</v>
      </c>
      <c r="J35" s="64">
        <f t="shared" si="5"/>
        <v>0.48892687559354225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49.83</v>
      </c>
      <c r="G36" s="61">
        <f>IF(D36=D35,"",_xlfn.IFNA(VLOOKUP(D36,'인원 입력 기능(사과탐)'!$A$177:$D$231,4,FALSE),0))</f>
        <v>1350</v>
      </c>
      <c r="H36" s="62">
        <f t="shared" si="1"/>
        <v>2.564102564102564E-2</v>
      </c>
      <c r="I36" s="72">
        <f>SUM($G$7:G36)</f>
        <v>27092</v>
      </c>
      <c r="J36" s="64">
        <f t="shared" si="5"/>
        <v>0.51456790123456786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04">
        <f t="shared" si="3"/>
        <v>47</v>
      </c>
      <c r="E37" s="204">
        <f t="shared" si="0"/>
        <v>5</v>
      </c>
      <c r="F37" s="206">
        <f t="shared" si="4"/>
        <v>45.89</v>
      </c>
      <c r="G37" s="208">
        <f>IF(D37=D36,"",_xlfn.IFNA(VLOOKUP(D37,'인원 입력 기능(사과탐)'!$A$177:$D$231,4,FALSE),0))</f>
        <v>2790</v>
      </c>
      <c r="H37" s="210">
        <f t="shared" si="1"/>
        <v>5.2991452991452991E-2</v>
      </c>
      <c r="I37" s="221">
        <f>SUM($G$7:G37)</f>
        <v>29882</v>
      </c>
      <c r="J37" s="200">
        <f t="shared" si="5"/>
        <v>0.56755935422602088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05"/>
      <c r="E38" s="205"/>
      <c r="F38" s="207"/>
      <c r="G38" s="209"/>
      <c r="H38" s="211"/>
      <c r="I38" s="222"/>
      <c r="J38" s="201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41.78</v>
      </c>
      <c r="G39" s="61">
        <f>IF(D39=D38,"",_xlfn.IFNA(VLOOKUP(D39,'인원 입력 기능(사과탐)'!$A$177:$D$231,4,FALSE),0))</f>
        <v>1540</v>
      </c>
      <c r="H39" s="62">
        <f t="shared" si="1"/>
        <v>2.9249762583095917E-2</v>
      </c>
      <c r="I39" s="72">
        <f>SUM($G$7:G39)</f>
        <v>31422</v>
      </c>
      <c r="J39" s="64">
        <f t="shared" si="5"/>
        <v>0.59680911680911686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45</v>
      </c>
      <c r="E40" s="74">
        <f t="shared" si="7"/>
        <v>5</v>
      </c>
      <c r="F40" s="60">
        <f t="shared" si="4"/>
        <v>38.869999999999997</v>
      </c>
      <c r="G40" s="61">
        <f>IF(D40=D39,"",_xlfn.IFNA(VLOOKUP(D40,'인원 입력 기능(사과탐)'!$A$177:$D$231,4,FALSE),0))</f>
        <v>1527</v>
      </c>
      <c r="H40" s="62">
        <f t="shared" si="1"/>
        <v>2.9002849002849003E-2</v>
      </c>
      <c r="I40" s="72">
        <f>SUM($G$7:G40)</f>
        <v>32949</v>
      </c>
      <c r="J40" s="64">
        <f t="shared" si="5"/>
        <v>0.62581196581196585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44</v>
      </c>
      <c r="E41" s="74">
        <f t="shared" si="7"/>
        <v>6</v>
      </c>
      <c r="F41" s="60">
        <f t="shared" si="4"/>
        <v>35.770000000000003</v>
      </c>
      <c r="G41" s="61">
        <f>IF(D41=D40,"",_xlfn.IFNA(VLOOKUP(D41,'인원 입력 기능(사과탐)'!$A$177:$D$231,4,FALSE),0))</f>
        <v>1735</v>
      </c>
      <c r="H41" s="62">
        <f t="shared" si="1"/>
        <v>3.2953466286799619E-2</v>
      </c>
      <c r="I41" s="72">
        <f>SUM($G$7:G41)</f>
        <v>34684</v>
      </c>
      <c r="J41" s="64">
        <f t="shared" si="5"/>
        <v>0.65876543209876548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4">
        <f t="shared" si="3"/>
        <v>43</v>
      </c>
      <c r="E42" s="204">
        <f t="shared" si="7"/>
        <v>6</v>
      </c>
      <c r="F42" s="206">
        <f t="shared" si="4"/>
        <v>31.08</v>
      </c>
      <c r="G42" s="208">
        <f>IF(D42=D41,"",_xlfn.IFNA(VLOOKUP(D42,'인원 입력 기능(사과탐)'!$A$177:$D$231,4,FALSE),0))</f>
        <v>3202</v>
      </c>
      <c r="H42" s="210">
        <f t="shared" si="1"/>
        <v>6.0816714150047482E-2</v>
      </c>
      <c r="I42" s="221">
        <f>SUM($G$7:G42)</f>
        <v>37886</v>
      </c>
      <c r="J42" s="200">
        <f t="shared" si="5"/>
        <v>0.71958214624881289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5"/>
      <c r="E43" s="205"/>
      <c r="F43" s="207"/>
      <c r="G43" s="209"/>
      <c r="H43" s="211"/>
      <c r="I43" s="222"/>
      <c r="J43" s="20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7"/>
        <v>6</v>
      </c>
      <c r="F44" s="60">
        <f t="shared" si="4"/>
        <v>26.01</v>
      </c>
      <c r="G44" s="61">
        <f>IF(D44=D43,"",_xlfn.IFNA(VLOOKUP(D44,'인원 입력 기능(사과탐)'!$A$177:$D$231,4,FALSE),0))</f>
        <v>2137</v>
      </c>
      <c r="H44" s="62">
        <f t="shared" si="1"/>
        <v>4.0588793922127255E-2</v>
      </c>
      <c r="I44" s="72">
        <f>SUM($G$7:G44)</f>
        <v>40023</v>
      </c>
      <c r="J44" s="64">
        <f t="shared" si="5"/>
        <v>0.76017094017094022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7"/>
        <v>6</v>
      </c>
      <c r="F45" s="60">
        <f t="shared" si="4"/>
        <v>22.48</v>
      </c>
      <c r="G45" s="61">
        <f>IF(D45=D44,"",_xlfn.IFNA(VLOOKUP(D45,'인원 입력 기능(사과탐)'!$A$177:$D$231,4,FALSE),0))</f>
        <v>1585</v>
      </c>
      <c r="H45" s="62">
        <f t="shared" si="1"/>
        <v>3.0104463437796773E-2</v>
      </c>
      <c r="I45" s="72">
        <f>SUM($G$7:G45)</f>
        <v>41608</v>
      </c>
      <c r="J45" s="64">
        <f t="shared" si="5"/>
        <v>0.79027540360873694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7"/>
        <v>7</v>
      </c>
      <c r="F46" s="60">
        <f t="shared" si="4"/>
        <v>19.329999999999998</v>
      </c>
      <c r="G46" s="61">
        <f>IF(D46=D45,"",_xlfn.IFNA(VLOOKUP(D46,'인원 입력 기능(사과탐)'!$A$177:$D$231,4,FALSE),0))</f>
        <v>1726</v>
      </c>
      <c r="H46" s="62">
        <f t="shared" si="1"/>
        <v>3.2782526115859446E-2</v>
      </c>
      <c r="I46" s="72">
        <f>SUM($G$7:G46)</f>
        <v>43334</v>
      </c>
      <c r="J46" s="64">
        <f t="shared" si="5"/>
        <v>0.82305792972459635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04">
        <f t="shared" si="3"/>
        <v>39</v>
      </c>
      <c r="E47" s="204">
        <f t="shared" si="7"/>
        <v>7</v>
      </c>
      <c r="F47" s="206">
        <f t="shared" si="4"/>
        <v>14.75</v>
      </c>
      <c r="G47" s="208">
        <f>IF(D47=D46,"",_xlfn.IFNA(VLOOKUP(D47,'인원 입력 기능(사과탐)'!$A$177:$D$231,4,FALSE),0))</f>
        <v>3098</v>
      </c>
      <c r="H47" s="210">
        <f t="shared" si="1"/>
        <v>5.8841405508072174E-2</v>
      </c>
      <c r="I47" s="221">
        <f>SUM($G$7:G47)</f>
        <v>46432</v>
      </c>
      <c r="J47" s="200">
        <f t="shared" si="5"/>
        <v>0.88189933523266861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05"/>
      <c r="E48" s="205"/>
      <c r="F48" s="207"/>
      <c r="G48" s="209"/>
      <c r="H48" s="211"/>
      <c r="I48" s="222"/>
      <c r="J48" s="20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7"/>
        <v>7</v>
      </c>
      <c r="F49" s="60">
        <f t="shared" si="4"/>
        <v>10.9</v>
      </c>
      <c r="G49" s="61">
        <f>IF(D49=D48,"",_xlfn.IFNA(VLOOKUP(D49,'인원 입력 기능(사과탐)'!$A$177:$D$231,4,FALSE),0))</f>
        <v>963</v>
      </c>
      <c r="H49" s="62">
        <f t="shared" si="1"/>
        <v>1.829059829059829E-2</v>
      </c>
      <c r="I49" s="72">
        <f>SUM($G$7:G49)</f>
        <v>47395</v>
      </c>
      <c r="J49" s="64">
        <f t="shared" si="5"/>
        <v>0.90018993352326682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7"/>
        <v>8</v>
      </c>
      <c r="F50" s="60">
        <f t="shared" si="4"/>
        <v>6.99</v>
      </c>
      <c r="G50" s="61">
        <f>IF(D50=D49,"",_xlfn.IFNA(VLOOKUP(D50,'인원 입력 기능(사과탐)'!$A$177:$D$231,4,FALSE),0))</f>
        <v>3150</v>
      </c>
      <c r="H50" s="62">
        <f t="shared" si="1"/>
        <v>5.9829059829059832E-2</v>
      </c>
      <c r="I50" s="72">
        <f>SUM($G$7:G50)</f>
        <v>50545</v>
      </c>
      <c r="J50" s="64">
        <f t="shared" si="5"/>
        <v>0.96001899335232665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7"/>
        <v>9</v>
      </c>
      <c r="F51" s="60">
        <f t="shared" si="4"/>
        <v>3.34</v>
      </c>
      <c r="G51" s="61">
        <f>IF(D51=D50,"",_xlfn.IFNA(VLOOKUP(D51,'인원 입력 기능(사과탐)'!$A$177:$D$231,4,FALSE),0))</f>
        <v>688</v>
      </c>
      <c r="H51" s="62">
        <f t="shared" si="1"/>
        <v>1.3067426400759734E-2</v>
      </c>
      <c r="I51" s="72">
        <f>SUM($G$7:G51)</f>
        <v>51233</v>
      </c>
      <c r="J51" s="64">
        <f t="shared" si="5"/>
        <v>0.97308641975308641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04">
        <f t="shared" si="3"/>
        <v>35</v>
      </c>
      <c r="E52" s="204">
        <f t="shared" si="7"/>
        <v>9</v>
      </c>
      <c r="F52" s="206">
        <f t="shared" si="4"/>
        <v>1.8</v>
      </c>
      <c r="G52" s="208">
        <f>IF(D52=D51,"",_xlfn.IFNA(VLOOKUP(D52,'인원 입력 기능(사과탐)'!$A$177:$D$231,4,FALSE),0))</f>
        <v>943</v>
      </c>
      <c r="H52" s="210">
        <f t="shared" si="1"/>
        <v>1.7910731244064577E-2</v>
      </c>
      <c r="I52" s="221">
        <f>SUM($G$7:G52)</f>
        <v>52176</v>
      </c>
      <c r="J52" s="200">
        <f t="shared" si="5"/>
        <v>0.99099715099715102</v>
      </c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109">
        <v>4</v>
      </c>
      <c r="D53" s="205"/>
      <c r="E53" s="205"/>
      <c r="F53" s="207"/>
      <c r="G53" s="209"/>
      <c r="H53" s="211"/>
      <c r="I53" s="222"/>
      <c r="J53" s="201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7"/>
        <v>9</v>
      </c>
      <c r="F54" s="60">
        <f t="shared" si="4"/>
        <v>0.75</v>
      </c>
      <c r="G54" s="61">
        <f>IF(D54=D53,"",_xlfn.IFNA(VLOOKUP(D54,'인원 입력 기능(사과탐)'!$A$177:$D$231,4,FALSE),0))</f>
        <v>159</v>
      </c>
      <c r="H54" s="62">
        <f t="shared" si="1"/>
        <v>3.0199430199430201E-3</v>
      </c>
      <c r="I54" s="72">
        <f>SUM($G$7:G54)</f>
        <v>52335</v>
      </c>
      <c r="J54" s="64">
        <f t="shared" si="5"/>
        <v>0.99401709401709404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7"/>
        <v>9</v>
      </c>
      <c r="F55" s="60">
        <f t="shared" si="4"/>
        <v>0.38</v>
      </c>
      <c r="G55" s="61">
        <f>IF(D55=D54,"",_xlfn.IFNA(VLOOKUP(D55,'인원 입력 기능(사과탐)'!$A$177:$D$231,4,FALSE),0))</f>
        <v>234</v>
      </c>
      <c r="H55" s="62">
        <f t="shared" si="1"/>
        <v>4.4444444444444444E-3</v>
      </c>
      <c r="I55" s="72">
        <f>SUM($G$7:G55)</f>
        <v>52569</v>
      </c>
      <c r="J55" s="64">
        <f t="shared" si="5"/>
        <v>0.99846153846153851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7"/>
        <v>9</v>
      </c>
      <c r="F57" s="79">
        <f>IF(I55=0,ROUND(100*(1-(I54+I57)/2/$J$3),2),ROUND(100*(1-(I55+I57)/2/$J$3),2))</f>
        <v>0.08</v>
      </c>
      <c r="G57" s="113">
        <f>_xlfn.IFNA(VLOOKUP(D57,'인원 입력 기능(사과탐)'!$A$177:$D$231,4,FALSE),0)</f>
        <v>81</v>
      </c>
      <c r="H57" s="81">
        <f>G57/$J$3</f>
        <v>1.5384615384615385E-3</v>
      </c>
      <c r="I57" s="82">
        <f>SUM($G$7:G57)</f>
        <v>52650</v>
      </c>
      <c r="J57" s="114">
        <f>I57/$J$3</f>
        <v>1</v>
      </c>
      <c r="K57" s="36"/>
      <c r="L57" s="20" t="str">
        <f t="shared" si="2"/>
        <v>경고</v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6"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17:D18"/>
    <mergeCell ref="E17:E18"/>
    <mergeCell ref="F17:F18"/>
    <mergeCell ref="G17:G18"/>
    <mergeCell ref="H17:H18"/>
    <mergeCell ref="I27:I28"/>
    <mergeCell ref="J27:J28"/>
    <mergeCell ref="D32:D33"/>
    <mergeCell ref="E32:E33"/>
    <mergeCell ref="F32:F33"/>
    <mergeCell ref="G32:G33"/>
    <mergeCell ref="H32:H33"/>
    <mergeCell ref="I32:I33"/>
    <mergeCell ref="J32:J33"/>
    <mergeCell ref="D27:D28"/>
    <mergeCell ref="E27:E28"/>
    <mergeCell ref="F27:F28"/>
    <mergeCell ref="G27:G28"/>
    <mergeCell ref="H27:H28"/>
    <mergeCell ref="I37:I38"/>
    <mergeCell ref="J37:J38"/>
    <mergeCell ref="D42:D43"/>
    <mergeCell ref="E42:E43"/>
    <mergeCell ref="F42:F43"/>
    <mergeCell ref="G42:G43"/>
    <mergeCell ref="H42:H43"/>
    <mergeCell ref="I42:I43"/>
    <mergeCell ref="J42:J43"/>
    <mergeCell ref="D37:D38"/>
    <mergeCell ref="E37:E38"/>
    <mergeCell ref="F37:F38"/>
    <mergeCell ref="G37:G38"/>
    <mergeCell ref="H37:H38"/>
    <mergeCell ref="I47:I48"/>
    <mergeCell ref="J47:J48"/>
    <mergeCell ref="D52:D53"/>
    <mergeCell ref="E52:E53"/>
    <mergeCell ref="F52:F53"/>
    <mergeCell ref="G52:G53"/>
    <mergeCell ref="H52:H53"/>
    <mergeCell ref="I52:I53"/>
    <mergeCell ref="J52:J53"/>
    <mergeCell ref="D47:D48"/>
    <mergeCell ref="E47:E48"/>
    <mergeCell ref="F47:F48"/>
    <mergeCell ref="G47:G48"/>
    <mergeCell ref="H47:H48"/>
  </mergeCells>
  <phoneticPr fontId="1" type="noConversion"/>
  <conditionalFormatting sqref="D7:G12 I7:J12 D14:G17 I14:J17 D19:G22 I19:J22 D24:G27 I24:J27 D29:G32 I29:J32 D34:G37 I34:J37 D39:G42 I39:J42 D44:G47 I44:J47 D49:G52 I49:J52 D54:G57 I54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12 D14:D17 D19:D22 D24:D27 D29:D32 D34:D37 D39:D42 D44:D47 D49:D52 D54:D57">
    <cfRule type="expression" dxfId="13" priority="2">
      <formula>$D7=$D8</formula>
    </cfRule>
  </conditionalFormatting>
  <conditionalFormatting sqref="H7:H12 H14:H17 H19:H22 H24:H27 H29:H32 H34:H37 H39:H42 H44:H47 H49:H52 H54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기능'!D18</f>
        <v>21.93</v>
      </c>
      <c r="I3" s="21" t="s">
        <v>70</v>
      </c>
      <c r="J3" s="50">
        <f>'통계 및 응시자 수 입력 기능'!C18</f>
        <v>69583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94</v>
      </c>
      <c r="E4" s="216"/>
      <c r="F4" s="217"/>
      <c r="G4" s="52" t="s">
        <v>73</v>
      </c>
      <c r="H4" s="53">
        <f>'통계 및 응시자 수 입력 기능'!E18</f>
        <v>11.26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75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99.11</v>
      </c>
      <c r="G7" s="61">
        <f>_xlfn.IFNA(VLOOKUP(D7,'인원 입력 기능(사과탐)'!$F$177:$I$231,4,FALSE),0)</f>
        <v>1233</v>
      </c>
      <c r="H7" s="62">
        <f>G7/$J$3</f>
        <v>1.7719845364528693E-2</v>
      </c>
      <c r="I7" s="63">
        <f>G7</f>
        <v>1233</v>
      </c>
      <c r="J7" s="64">
        <f>I7/$J$3</f>
        <v>1.7719845364528693E-2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기능'!C131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73</v>
      </c>
      <c r="E9" s="59">
        <f t="shared" si="0"/>
        <v>1</v>
      </c>
      <c r="F9" s="60">
        <f>IF(I8=0,ROUND(100*(1-(I7+I9)/2/$J$3),2),ROUND(100*(1-(I8+I9)/2/$J$3),2))</f>
        <v>97.92</v>
      </c>
      <c r="G9" s="61">
        <f>_xlfn.IFNA(VLOOKUP(D9,'인원 입력 기능(사과탐)'!$F$177:$I$231,4,FALSE),0)</f>
        <v>431</v>
      </c>
      <c r="H9" s="62">
        <f t="shared" ref="H9:H55" si="1">G9/$J$3</f>
        <v>6.1940416481037035E-3</v>
      </c>
      <c r="I9" s="72">
        <f>SUM($G$7:G9)</f>
        <v>1664</v>
      </c>
      <c r="J9" s="64">
        <f>I9/$J$3</f>
        <v>2.3913887012632397E-2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72</v>
      </c>
      <c r="E10" s="59">
        <f t="shared" si="0"/>
        <v>1</v>
      </c>
      <c r="F10" s="60">
        <f t="shared" ref="F10:F55" si="4">IF(I9=0,ROUND(100*(1-(I8+I10)/2/$J$3),2),ROUND(100*(1-(I9+I10)/2/$J$3),2))</f>
        <v>96.91</v>
      </c>
      <c r="G10" s="61">
        <f>IF(D10=D9,"",_xlfn.IFNA(VLOOKUP(D10,'인원 입력 기능(사과탐)'!$F$177:$I$231,4,FALSE),0))</f>
        <v>977</v>
      </c>
      <c r="H10" s="62">
        <f t="shared" si="1"/>
        <v>1.4040785824123709E-2</v>
      </c>
      <c r="I10" s="72">
        <f>SUM($G$7:G10)</f>
        <v>2641</v>
      </c>
      <c r="J10" s="64">
        <f t="shared" ref="J10:J55" si="5">I10/$J$3</f>
        <v>3.7954672836756104E-2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71</v>
      </c>
      <c r="E11" s="59">
        <f t="shared" si="0"/>
        <v>1</v>
      </c>
      <c r="F11" s="60">
        <f t="shared" si="4"/>
        <v>96.13</v>
      </c>
      <c r="G11" s="61">
        <f>IF(D11=D10,"",_xlfn.IFNA(VLOOKUP(D11,'인원 입력 기능(사과탐)'!$F$177:$I$231,4,FALSE),0))</f>
        <v>108</v>
      </c>
      <c r="H11" s="62">
        <f t="shared" si="1"/>
        <v>1.5521032436083527E-3</v>
      </c>
      <c r="I11" s="72">
        <f>SUM($G$7:G11)</f>
        <v>2749</v>
      </c>
      <c r="J11" s="64">
        <f t="shared" si="5"/>
        <v>3.9506776080364459E-2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5"/>
      <c r="C12" s="65">
        <v>45</v>
      </c>
      <c r="D12" s="202">
        <f t="shared" si="3"/>
        <v>70</v>
      </c>
      <c r="E12" s="202">
        <f t="shared" si="0"/>
        <v>1</v>
      </c>
      <c r="F12" s="206">
        <f t="shared" si="4"/>
        <v>94.96</v>
      </c>
      <c r="G12" s="208">
        <f>IF(D12=D11,"",_xlfn.IFNA(VLOOKUP(D12,'인원 입력 기능(사과탐)'!$F$177:$I$231,4,FALSE),0))</f>
        <v>1513</v>
      </c>
      <c r="H12" s="210">
        <f t="shared" si="1"/>
        <v>2.1743816736846642E-2</v>
      </c>
      <c r="I12" s="221">
        <f>SUM($G$7:G12)</f>
        <v>4262</v>
      </c>
      <c r="J12" s="200">
        <f t="shared" si="5"/>
        <v>6.1250592817211104E-2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42</v>
      </c>
    </row>
    <row r="13" spans="1:17" s="22" customFormat="1" ht="25" customHeight="1" x14ac:dyDescent="0.45">
      <c r="A13" s="20"/>
      <c r="B13" s="35"/>
      <c r="C13" s="58">
        <v>44</v>
      </c>
      <c r="D13" s="203"/>
      <c r="E13" s="203"/>
      <c r="F13" s="207"/>
      <c r="G13" s="209"/>
      <c r="H13" s="211"/>
      <c r="I13" s="222"/>
      <c r="J13" s="20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기능'!C136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69</v>
      </c>
      <c r="E14" s="59">
        <f t="shared" si="0"/>
        <v>2</v>
      </c>
      <c r="F14" s="60">
        <f t="shared" si="4"/>
        <v>93.72</v>
      </c>
      <c r="G14" s="61">
        <f>IF(D14=D13,"",_xlfn.IFNA(VLOOKUP(D14,'인원 입력 기능(사과탐)'!$F$177:$I$231,4,FALSE),0))</f>
        <v>221</v>
      </c>
      <c r="H14" s="62">
        <f t="shared" si="1"/>
        <v>3.1760631188652399E-3</v>
      </c>
      <c r="I14" s="72">
        <f>SUM($G$7:G14)</f>
        <v>4483</v>
      </c>
      <c r="J14" s="64">
        <f t="shared" si="5"/>
        <v>6.4426655936076341E-2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37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68</v>
      </c>
      <c r="E15" s="59">
        <f t="shared" si="0"/>
        <v>2</v>
      </c>
      <c r="F15" s="60">
        <f t="shared" si="4"/>
        <v>92.91</v>
      </c>
      <c r="G15" s="61">
        <f>IF(D15=D14,"",_xlfn.IFNA(VLOOKUP(D15,'인원 입력 기능(사과탐)'!$F$177:$I$231,4,FALSE),0))</f>
        <v>894</v>
      </c>
      <c r="H15" s="62">
        <f t="shared" si="1"/>
        <v>1.284796573875803E-2</v>
      </c>
      <c r="I15" s="72">
        <f>SUM($G$7:G15)</f>
        <v>5377</v>
      </c>
      <c r="J15" s="64">
        <f t="shared" si="5"/>
        <v>7.7274621674834371E-2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67</v>
      </c>
      <c r="E16" s="59">
        <f t="shared" si="0"/>
        <v>2</v>
      </c>
      <c r="F16" s="60">
        <f t="shared" si="4"/>
        <v>91.64</v>
      </c>
      <c r="G16" s="61">
        <f>IF(D16=D15,"",_xlfn.IFNA(VLOOKUP(D16,'인원 입력 기능(사과탐)'!$F$177:$I$231,4,FALSE),0))</f>
        <v>876</v>
      </c>
      <c r="H16" s="62">
        <f t="shared" si="1"/>
        <v>1.2589281864823304E-2</v>
      </c>
      <c r="I16" s="72">
        <f>SUM($G$7:G16)</f>
        <v>6253</v>
      </c>
      <c r="J16" s="64">
        <f t="shared" si="5"/>
        <v>8.9863903539657675E-2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66</v>
      </c>
      <c r="E17" s="59">
        <f t="shared" si="0"/>
        <v>2</v>
      </c>
      <c r="F17" s="60">
        <f t="shared" si="4"/>
        <v>90.7</v>
      </c>
      <c r="G17" s="61">
        <f>IF(D17=D16,"",_xlfn.IFNA(VLOOKUP(D17,'인원 입력 기능(사과탐)'!$F$177:$I$231,4,FALSE),0))</f>
        <v>436</v>
      </c>
      <c r="H17" s="62">
        <f t="shared" si="1"/>
        <v>6.2658982797522385E-3</v>
      </c>
      <c r="I17" s="72">
        <f>SUM($G$7:G17)</f>
        <v>6689</v>
      </c>
      <c r="J17" s="64">
        <f t="shared" si="5"/>
        <v>9.6129801819409916E-2</v>
      </c>
      <c r="K17" s="36"/>
      <c r="L17" s="20" t="str">
        <f t="shared" si="2"/>
        <v/>
      </c>
      <c r="N17" s="24"/>
      <c r="Q17" s="24">
        <f>Q7*H3*H4*J3*IFERROR(IF(J57=1, 1, 0), 0)</f>
        <v>1202757880.7579999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65</v>
      </c>
      <c r="E18" s="59">
        <f t="shared" si="0"/>
        <v>2</v>
      </c>
      <c r="F18" s="60">
        <f t="shared" si="4"/>
        <v>89.64</v>
      </c>
      <c r="G18" s="61">
        <f>IF(D18=D17,"",_xlfn.IFNA(VLOOKUP(D18,'인원 입력 기능(사과탐)'!$F$177:$I$231,4,FALSE),0))</f>
        <v>1033</v>
      </c>
      <c r="H18" s="62">
        <f t="shared" si="1"/>
        <v>1.4845580098587299E-2</v>
      </c>
      <c r="I18" s="72">
        <f>SUM($G$7:G18)</f>
        <v>7722</v>
      </c>
      <c r="J18" s="64">
        <f t="shared" si="5"/>
        <v>0.11097538191799722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64</v>
      </c>
      <c r="E19" s="59">
        <f t="shared" si="0"/>
        <v>3</v>
      </c>
      <c r="F19" s="60">
        <f t="shared" si="4"/>
        <v>88.31</v>
      </c>
      <c r="G19" s="61">
        <f>IF(D19=D18,"",_xlfn.IFNA(VLOOKUP(D19,'인원 입력 기능(사과탐)'!$F$177:$I$231,4,FALSE),0))</f>
        <v>822</v>
      </c>
      <c r="H19" s="62">
        <f t="shared" si="1"/>
        <v>1.1813230243019128E-2</v>
      </c>
      <c r="I19" s="72">
        <f>SUM($G$7:G19)</f>
        <v>8544</v>
      </c>
      <c r="J19" s="64">
        <f t="shared" si="5"/>
        <v>0.12278861216101634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02">
        <f t="shared" si="3"/>
        <v>63</v>
      </c>
      <c r="E20" s="202">
        <f t="shared" si="0"/>
        <v>3</v>
      </c>
      <c r="F20" s="206">
        <f t="shared" si="4"/>
        <v>86.4</v>
      </c>
      <c r="G20" s="208">
        <f>IF(D20=D19,"",_xlfn.IFNA(VLOOKUP(D20,'인원 입력 기능(사과탐)'!$F$177:$I$231,4,FALSE),0))</f>
        <v>1841</v>
      </c>
      <c r="H20" s="210">
        <f t="shared" si="1"/>
        <v>2.6457611772990528E-2</v>
      </c>
      <c r="I20" s="221">
        <f>SUM($G$7:G20)</f>
        <v>10385</v>
      </c>
      <c r="J20" s="200">
        <f t="shared" si="5"/>
        <v>0.14924622393400688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03"/>
      <c r="E21" s="203"/>
      <c r="F21" s="207"/>
      <c r="G21" s="209"/>
      <c r="H21" s="211"/>
      <c r="I21" s="222"/>
      <c r="J21" s="201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84.51</v>
      </c>
      <c r="G22" s="61">
        <f>IF(D22=D21,"",_xlfn.IFNA(VLOOKUP(D22,'인원 입력 기능(사과탐)'!$F$177:$I$231,4,FALSE),0))</f>
        <v>786</v>
      </c>
      <c r="H22" s="62">
        <f t="shared" si="1"/>
        <v>1.1295862495149677E-2</v>
      </c>
      <c r="I22" s="72">
        <f>SUM($G$7:G22)</f>
        <v>11171</v>
      </c>
      <c r="J22" s="64">
        <f t="shared" si="5"/>
        <v>0.16054208642915654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83.24</v>
      </c>
      <c r="G23" s="61">
        <f>IF(D23=D22,"",_xlfn.IFNA(VLOOKUP(D23,'인원 입력 기능(사과탐)'!$F$177:$I$231,4,FALSE),0))</f>
        <v>986</v>
      </c>
      <c r="H23" s="62">
        <f t="shared" si="1"/>
        <v>1.4170127761091071E-2</v>
      </c>
      <c r="I23" s="72">
        <f>SUM($G$7:G23)</f>
        <v>12157</v>
      </c>
      <c r="J23" s="64">
        <f t="shared" si="5"/>
        <v>0.17471221419024763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81.69</v>
      </c>
      <c r="G24" s="61">
        <f>IF(D24=D23,"",_xlfn.IFNA(VLOOKUP(D24,'인원 입력 기능(사과탐)'!$F$177:$I$231,4,FALSE),0))</f>
        <v>1167</v>
      </c>
      <c r="H24" s="62">
        <f t="shared" si="1"/>
        <v>1.6771337826768033E-2</v>
      </c>
      <c r="I24" s="72">
        <f>SUM($G$7:G24)</f>
        <v>13324</v>
      </c>
      <c r="J24" s="64">
        <f t="shared" si="5"/>
        <v>0.19148355201701564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80.17</v>
      </c>
      <c r="G25" s="61">
        <f>IF(D25=D24,"",_xlfn.IFNA(VLOOKUP(D25,'인원 입력 기능(사과탐)'!$F$177:$I$231,4,FALSE),0))</f>
        <v>948</v>
      </c>
      <c r="H25" s="62">
        <f t="shared" si="1"/>
        <v>1.3624017360562206E-2</v>
      </c>
      <c r="I25" s="72">
        <f>SUM($G$7:G25)</f>
        <v>14272</v>
      </c>
      <c r="J25" s="64">
        <f t="shared" si="5"/>
        <v>0.20510756937757785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78.56</v>
      </c>
      <c r="G26" s="61">
        <f>IF(D26=D25,"",_xlfn.IFNA(VLOOKUP(D26,'인원 입력 기능(사과탐)'!$F$177:$I$231,4,FALSE),0))</f>
        <v>1300</v>
      </c>
      <c r="H26" s="62">
        <f t="shared" si="1"/>
        <v>1.8682724228619059E-2</v>
      </c>
      <c r="I26" s="72">
        <f>SUM($G$7:G26)</f>
        <v>15572</v>
      </c>
      <c r="J26" s="64">
        <f t="shared" si="5"/>
        <v>0.22379029360619693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3</v>
      </c>
      <c r="F27" s="60">
        <f t="shared" si="4"/>
        <v>76.73</v>
      </c>
      <c r="G27" s="61">
        <f>IF(D27=D26,"",_xlfn.IFNA(VLOOKUP(D27,'인원 입력 기능(사과탐)'!$F$177:$I$231,4,FALSE),0))</f>
        <v>1241</v>
      </c>
      <c r="H27" s="62">
        <f t="shared" si="1"/>
        <v>1.7834815975166347E-2</v>
      </c>
      <c r="I27" s="72">
        <f>SUM($G$7:G27)</f>
        <v>16813</v>
      </c>
      <c r="J27" s="64">
        <f t="shared" si="5"/>
        <v>0.24162510958136327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74.87</v>
      </c>
      <c r="G28" s="61">
        <f>IF(D28=D27,"",_xlfn.IFNA(VLOOKUP(D28,'인원 입력 기능(사과탐)'!$F$177:$I$231,4,FALSE),0))</f>
        <v>1344</v>
      </c>
      <c r="H28" s="62">
        <f t="shared" si="1"/>
        <v>1.9315062587126165E-2</v>
      </c>
      <c r="I28" s="72">
        <f>SUM($G$7:G28)</f>
        <v>18157</v>
      </c>
      <c r="J28" s="64">
        <f t="shared" si="5"/>
        <v>0.26094017216848941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04">
        <f t="shared" si="3"/>
        <v>55</v>
      </c>
      <c r="E29" s="204">
        <f t="shared" si="0"/>
        <v>4</v>
      </c>
      <c r="F29" s="206">
        <f t="shared" si="4"/>
        <v>71.849999999999994</v>
      </c>
      <c r="G29" s="208">
        <f>IF(D29=D28,"",_xlfn.IFNA(VLOOKUP(D29,'인원 입력 기능(사과탐)'!$F$177:$I$231,4,FALSE),0))</f>
        <v>2866</v>
      </c>
      <c r="H29" s="210">
        <f t="shared" si="1"/>
        <v>4.1188221260940169E-2</v>
      </c>
      <c r="I29" s="221">
        <f>SUM($G$7:G29)</f>
        <v>21023</v>
      </c>
      <c r="J29" s="200">
        <f t="shared" si="5"/>
        <v>0.3021283934294296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05"/>
      <c r="E30" s="205"/>
      <c r="F30" s="207"/>
      <c r="G30" s="209"/>
      <c r="H30" s="211"/>
      <c r="I30" s="222"/>
      <c r="J30" s="201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68.62</v>
      </c>
      <c r="G31" s="61">
        <f>IF(D31=D30,"",_xlfn.IFNA(VLOOKUP(D31,'인원 입력 기능(사과탐)'!$F$177:$I$231,4,FALSE),0))</f>
        <v>1623</v>
      </c>
      <c r="H31" s="62">
        <f t="shared" si="1"/>
        <v>2.3324662633114411E-2</v>
      </c>
      <c r="I31" s="72">
        <f>SUM($G$7:G31)</f>
        <v>22646</v>
      </c>
      <c r="J31" s="64">
        <f t="shared" si="5"/>
        <v>0.32545305606254399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66.27</v>
      </c>
      <c r="G32" s="61">
        <f>IF(D32=D31,"",_xlfn.IFNA(VLOOKUP(D32,'인원 입력 기능(사과탐)'!$F$177:$I$231,4,FALSE),0))</f>
        <v>1646</v>
      </c>
      <c r="H32" s="62">
        <f t="shared" si="1"/>
        <v>2.3655203138697671E-2</v>
      </c>
      <c r="I32" s="72">
        <f>SUM($G$7:G32)</f>
        <v>24292</v>
      </c>
      <c r="J32" s="64">
        <f t="shared" si="5"/>
        <v>0.34910825920124167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63.78</v>
      </c>
      <c r="G33" s="61">
        <f>IF(D33=D32,"",_xlfn.IFNA(VLOOKUP(D33,'인원 입력 기능(사과탐)'!$F$177:$I$231,4,FALSE),0))</f>
        <v>1819</v>
      </c>
      <c r="H33" s="62">
        <f t="shared" si="1"/>
        <v>2.6141442593736977E-2</v>
      </c>
      <c r="I33" s="72">
        <f>SUM($G$7:G33)</f>
        <v>26111</v>
      </c>
      <c r="J33" s="64">
        <f t="shared" si="5"/>
        <v>0.37524970179497869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61.1</v>
      </c>
      <c r="G34" s="61">
        <f>IF(D34=D33,"",_xlfn.IFNA(VLOOKUP(D34,'인원 입력 기능(사과탐)'!$F$177:$I$231,4,FALSE),0))</f>
        <v>1915</v>
      </c>
      <c r="H34" s="62">
        <f t="shared" si="1"/>
        <v>2.7521089921388846E-2</v>
      </c>
      <c r="I34" s="72">
        <f>SUM($G$7:G34)</f>
        <v>28026</v>
      </c>
      <c r="J34" s="64">
        <f t="shared" si="5"/>
        <v>0.40277079171636748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58.27</v>
      </c>
      <c r="G35" s="61">
        <f>IF(D35=D34,"",_xlfn.IFNA(VLOOKUP(D35,'인원 입력 기능(사과탐)'!$F$177:$I$231,4,FALSE),0))</f>
        <v>2025</v>
      </c>
      <c r="H35" s="62">
        <f t="shared" si="1"/>
        <v>2.9101935817656611E-2</v>
      </c>
      <c r="I35" s="72">
        <f>SUM($G$7:G35)</f>
        <v>30051</v>
      </c>
      <c r="J35" s="64">
        <f t="shared" si="5"/>
        <v>0.43187272753402411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55.16</v>
      </c>
      <c r="G36" s="61">
        <f>IF(D36=D35,"",_xlfn.IFNA(VLOOKUP(D36,'인원 입력 기능(사과탐)'!$F$177:$I$231,4,FALSE),0))</f>
        <v>2304</v>
      </c>
      <c r="H36" s="62">
        <f t="shared" si="1"/>
        <v>3.3111535863644855E-2</v>
      </c>
      <c r="I36" s="72">
        <f>SUM($G$7:G36)</f>
        <v>32355</v>
      </c>
      <c r="J36" s="64">
        <f t="shared" si="5"/>
        <v>0.46498426339766896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51.88</v>
      </c>
      <c r="G37" s="61">
        <f>IF(D37=D36,"",_xlfn.IFNA(VLOOKUP(D37,'인원 입력 기능(사과탐)'!$F$177:$I$231,4,FALSE),0))</f>
        <v>2262</v>
      </c>
      <c r="H37" s="62">
        <f t="shared" si="1"/>
        <v>3.2507940157797163E-2</v>
      </c>
      <c r="I37" s="72">
        <f>SUM($G$7:G37)</f>
        <v>34617</v>
      </c>
      <c r="J37" s="64">
        <f t="shared" si="5"/>
        <v>0.49749220355546614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04">
        <f t="shared" si="3"/>
        <v>47</v>
      </c>
      <c r="E38" s="204">
        <f t="shared" si="0"/>
        <v>5</v>
      </c>
      <c r="F38" s="206">
        <f t="shared" si="4"/>
        <v>46.67</v>
      </c>
      <c r="G38" s="208">
        <f>IF(D38=D37,"",_xlfn.IFNA(VLOOKUP(D38,'인원 입력 기능(사과탐)'!$F$177:$I$231,4,FALSE),0))</f>
        <v>4981</v>
      </c>
      <c r="H38" s="210">
        <f t="shared" si="1"/>
        <v>7.1583576448270417E-2</v>
      </c>
      <c r="I38" s="221">
        <f>SUM($G$7:G38)</f>
        <v>39598</v>
      </c>
      <c r="J38" s="200">
        <f t="shared" si="5"/>
        <v>0.5690757800037366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05"/>
      <c r="E39" s="205"/>
      <c r="F39" s="207"/>
      <c r="G39" s="209"/>
      <c r="H39" s="211"/>
      <c r="I39" s="222"/>
      <c r="J39" s="201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60">
        <f t="shared" si="4"/>
        <v>41.2</v>
      </c>
      <c r="G40" s="61">
        <f>IF(D40=D39,"",_xlfn.IFNA(VLOOKUP(D40,'인원 입력 기능(사과탐)'!$F$177:$I$231,4,FALSE),0))</f>
        <v>2635</v>
      </c>
      <c r="H40" s="62">
        <f t="shared" si="1"/>
        <v>3.7868444878777864E-2</v>
      </c>
      <c r="I40" s="72">
        <f>SUM($G$7:G40)</f>
        <v>42233</v>
      </c>
      <c r="J40" s="64">
        <f t="shared" si="5"/>
        <v>0.60694422488251443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37.21</v>
      </c>
      <c r="G41" s="61">
        <f>IF(D41=D40,"",_xlfn.IFNA(VLOOKUP(D41,'인원 입력 기능(사과탐)'!$F$177:$I$231,4,FALSE),0))</f>
        <v>2923</v>
      </c>
      <c r="H41" s="62">
        <f t="shared" si="1"/>
        <v>4.200738686173347E-2</v>
      </c>
      <c r="I41" s="72">
        <f>SUM($G$7:G41)</f>
        <v>45156</v>
      </c>
      <c r="J41" s="64">
        <f t="shared" si="5"/>
        <v>0.64895161174424787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33.090000000000003</v>
      </c>
      <c r="G42" s="61">
        <f>IF(D42=D41,"",_xlfn.IFNA(VLOOKUP(D42,'인원 입력 기능(사과탐)'!$F$177:$I$231,4,FALSE),0))</f>
        <v>2806</v>
      </c>
      <c r="H42" s="62">
        <f t="shared" si="1"/>
        <v>4.0325941681157752E-2</v>
      </c>
      <c r="I42" s="72">
        <f>SUM($G$7:G42)</f>
        <v>47962</v>
      </c>
      <c r="J42" s="64">
        <f t="shared" si="5"/>
        <v>0.68927755342540564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28.88</v>
      </c>
      <c r="G43" s="61">
        <f>IF(D43=D42,"",_xlfn.IFNA(VLOOKUP(D43,'인원 입력 기능(사과탐)'!$F$177:$I$231,4,FALSE),0))</f>
        <v>3053</v>
      </c>
      <c r="H43" s="62">
        <f t="shared" si="1"/>
        <v>4.3875659284595372E-2</v>
      </c>
      <c r="I43" s="72">
        <f>SUM($G$7:G43)</f>
        <v>51015</v>
      </c>
      <c r="J43" s="64">
        <f t="shared" si="5"/>
        <v>0.733153212710001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24.71</v>
      </c>
      <c r="G44" s="61">
        <f>IF(D44=D43,"",_xlfn.IFNA(VLOOKUP(D44,'인원 입력 기능(사과탐)'!$F$177:$I$231,4,FALSE),0))</f>
        <v>2750</v>
      </c>
      <c r="H44" s="62">
        <f t="shared" si="1"/>
        <v>3.9521147406694164E-2</v>
      </c>
      <c r="I44" s="72">
        <f>SUM($G$7:G44)</f>
        <v>53765</v>
      </c>
      <c r="J44" s="64">
        <f t="shared" si="5"/>
        <v>0.77267436011669521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7</v>
      </c>
      <c r="F45" s="60">
        <f t="shared" si="4"/>
        <v>20.66</v>
      </c>
      <c r="G45" s="61">
        <f>IF(D45=D44,"",_xlfn.IFNA(VLOOKUP(D45,'인원 입력 기능(사과탐)'!$F$177:$I$231,4,FALSE),0))</f>
        <v>2891</v>
      </c>
      <c r="H45" s="62">
        <f t="shared" si="1"/>
        <v>4.1547504419182847E-2</v>
      </c>
      <c r="I45" s="72">
        <f>SUM($G$7:G45)</f>
        <v>56656</v>
      </c>
      <c r="J45" s="64">
        <f t="shared" si="5"/>
        <v>0.81422186453587797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16.690000000000001</v>
      </c>
      <c r="G46" s="61">
        <f>IF(D46=D45,"",_xlfn.IFNA(VLOOKUP(D46,'인원 입력 기능(사과탐)'!$F$177:$I$231,4,FALSE),0))</f>
        <v>2621</v>
      </c>
      <c r="H46" s="62">
        <f t="shared" si="1"/>
        <v>3.7667246310161967E-2</v>
      </c>
      <c r="I46" s="72">
        <f>SUM($G$7:G46)</f>
        <v>59277</v>
      </c>
      <c r="J46" s="64">
        <f t="shared" si="5"/>
        <v>0.85188911084604002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04">
        <f t="shared" si="3"/>
        <v>39</v>
      </c>
      <c r="E47" s="204">
        <f t="shared" si="6"/>
        <v>7</v>
      </c>
      <c r="F47" s="206">
        <f t="shared" si="4"/>
        <v>10.32</v>
      </c>
      <c r="G47" s="208">
        <f>IF(D47=D46,"",_xlfn.IFNA(VLOOKUP(D47,'인원 입력 기능(사과탐)'!$F$177:$I$231,4,FALSE),0))</f>
        <v>6245</v>
      </c>
      <c r="H47" s="210">
        <f t="shared" si="1"/>
        <v>8.9748932929020017E-2</v>
      </c>
      <c r="I47" s="221">
        <f>SUM($G$7:G47)</f>
        <v>65522</v>
      </c>
      <c r="J47" s="200">
        <f t="shared" si="5"/>
        <v>0.94163804377506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05"/>
      <c r="E48" s="205"/>
      <c r="F48" s="207"/>
      <c r="G48" s="209"/>
      <c r="H48" s="211"/>
      <c r="I48" s="222"/>
      <c r="J48" s="20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4.99</v>
      </c>
      <c r="G49" s="61">
        <f>IF(D49=D48,"",_xlfn.IFNA(VLOOKUP(D49,'인원 입력 기능(사과탐)'!$F$177:$I$231,4,FALSE),0))</f>
        <v>1179</v>
      </c>
      <c r="H49" s="62">
        <f t="shared" si="1"/>
        <v>1.6943793742724516E-2</v>
      </c>
      <c r="I49" s="72">
        <f>SUM($G$7:G49)</f>
        <v>66701</v>
      </c>
      <c r="J49" s="64">
        <f t="shared" si="5"/>
        <v>0.95858183751778447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3.42</v>
      </c>
      <c r="G50" s="61">
        <f>IF(D50=D49,"",_xlfn.IFNA(VLOOKUP(D50,'인원 입력 기능(사과탐)'!$F$177:$I$231,4,FALSE),0))</f>
        <v>999</v>
      </c>
      <c r="H50" s="62">
        <f t="shared" si="1"/>
        <v>1.4356955003377261E-2</v>
      </c>
      <c r="I50" s="72">
        <f>SUM($G$7:G50)</f>
        <v>67700</v>
      </c>
      <c r="J50" s="64">
        <f t="shared" si="5"/>
        <v>0.97293879252116178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9</v>
      </c>
      <c r="F51" s="60">
        <f t="shared" si="4"/>
        <v>2.2200000000000002</v>
      </c>
      <c r="G51" s="61">
        <f>IF(D51=D50,"",_xlfn.IFNA(VLOOKUP(D51,'인원 입력 기능(사과탐)'!$F$177:$I$231,4,FALSE),0))</f>
        <v>680</v>
      </c>
      <c r="H51" s="62">
        <f t="shared" si="1"/>
        <v>9.772501904200738E-3</v>
      </c>
      <c r="I51" s="72">
        <f>SUM($G$7:G51)</f>
        <v>68380</v>
      </c>
      <c r="J51" s="64">
        <f t="shared" si="5"/>
        <v>0.98271129442536254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35</v>
      </c>
      <c r="E52" s="74">
        <f t="shared" si="6"/>
        <v>9</v>
      </c>
      <c r="F52" s="60">
        <f t="shared" si="4"/>
        <v>1.42</v>
      </c>
      <c r="G52" s="61">
        <f>IF(D52=D51,"",_xlfn.IFNA(VLOOKUP(D52,'인원 입력 기능(사과탐)'!$F$177:$I$231,4,FALSE),0))</f>
        <v>431</v>
      </c>
      <c r="H52" s="62">
        <f t="shared" si="1"/>
        <v>6.1940416481037035E-3</v>
      </c>
      <c r="I52" s="72">
        <f>SUM($G$7:G52)</f>
        <v>68811</v>
      </c>
      <c r="J52" s="64">
        <f t="shared" si="5"/>
        <v>0.9889053360734662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34</v>
      </c>
      <c r="E53" s="59">
        <f t="shared" si="6"/>
        <v>9</v>
      </c>
      <c r="F53" s="60">
        <f t="shared" si="4"/>
        <v>0.84</v>
      </c>
      <c r="G53" s="61">
        <f>IF(D53=D52,"",_xlfn.IFNA(VLOOKUP(D53,'인원 입력 기능(사과탐)'!$F$177:$I$231,4,FALSE),0))</f>
        <v>376</v>
      </c>
      <c r="H53" s="62">
        <f t="shared" si="1"/>
        <v>5.4036186999698206E-3</v>
      </c>
      <c r="I53" s="72">
        <f>SUM($G$7:G53)</f>
        <v>69187</v>
      </c>
      <c r="J53" s="64">
        <f t="shared" si="5"/>
        <v>0.99430895477343606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6"/>
        <v>9</v>
      </c>
      <c r="F54" s="60">
        <f t="shared" si="4"/>
        <v>0.5</v>
      </c>
      <c r="G54" s="61">
        <f>IF(D54=D53,"",_xlfn.IFNA(VLOOKUP(D54,'인원 입력 기능(사과탐)'!$F$177:$I$231,4,FALSE),0))</f>
        <v>100</v>
      </c>
      <c r="H54" s="62">
        <f t="shared" si="1"/>
        <v>1.4371326329706969E-3</v>
      </c>
      <c r="I54" s="72">
        <f>SUM($G$7:G54)</f>
        <v>69287</v>
      </c>
      <c r="J54" s="64">
        <f t="shared" si="5"/>
        <v>0.99574608740640669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0.25</v>
      </c>
      <c r="G55" s="61">
        <f>IF(D55=D54,"",_xlfn.IFNA(VLOOKUP(D55,'인원 입력 기능(사과탐)'!$F$177:$I$231,4,FALSE),0))</f>
        <v>240</v>
      </c>
      <c r="H55" s="62">
        <f t="shared" si="1"/>
        <v>3.4491183191296725E-3</v>
      </c>
      <c r="I55" s="72">
        <f>SUM($G$7:G55)</f>
        <v>69527</v>
      </c>
      <c r="J55" s="64">
        <f t="shared" si="5"/>
        <v>0.99919520572553644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31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기능(사과탐)'!$F$177:$I$231,4,FALSE),0)</f>
        <v>56</v>
      </c>
      <c r="H57" s="81">
        <f>G57/$J$3</f>
        <v>8.0479427446359026E-4</v>
      </c>
      <c r="I57" s="82">
        <f>SUM($G$7:G57)</f>
        <v>69583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  <mergeCell ref="I20:I21"/>
    <mergeCell ref="J20:J21"/>
    <mergeCell ref="D29:D30"/>
    <mergeCell ref="E29:E30"/>
    <mergeCell ref="F29:F30"/>
    <mergeCell ref="G29:G30"/>
    <mergeCell ref="H29:H30"/>
    <mergeCell ref="I29:I30"/>
    <mergeCell ref="J29:J30"/>
    <mergeCell ref="D20:D21"/>
    <mergeCell ref="E20:E21"/>
    <mergeCell ref="F20:F21"/>
    <mergeCell ref="G20:G21"/>
    <mergeCell ref="H20:H21"/>
    <mergeCell ref="I38:I39"/>
    <mergeCell ref="J38:J39"/>
    <mergeCell ref="D47:D48"/>
    <mergeCell ref="E47:E48"/>
    <mergeCell ref="F47:F48"/>
    <mergeCell ref="G47:G48"/>
    <mergeCell ref="H47:H48"/>
    <mergeCell ref="I47:I48"/>
    <mergeCell ref="J47:J48"/>
    <mergeCell ref="D38:D39"/>
    <mergeCell ref="E38:E39"/>
    <mergeCell ref="F38:F39"/>
    <mergeCell ref="G38:G39"/>
    <mergeCell ref="H38:H39"/>
  </mergeCells>
  <phoneticPr fontId="1" type="noConversion"/>
  <conditionalFormatting sqref="D7:G12 I7:J12 D14:G20 I14:J20 D22:G29 I22:J29 D31:G38 I31:J38 D40:G47 I40:J47 D49:G57 I49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12 D14:D20 D22:D29 D31:D38 D40:D47 D49:D57">
    <cfRule type="expression" dxfId="9" priority="2">
      <formula>$D7=$D8</formula>
    </cfRule>
  </conditionalFormatting>
  <conditionalFormatting sqref="H7:H12 H14:H20 H22:H29 H31:H38 H40:H47 H49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기능'!D19</f>
        <v>23.38</v>
      </c>
      <c r="I3" s="21" t="s">
        <v>70</v>
      </c>
      <c r="J3" s="50">
        <f>'통계 및 응시자 수 입력 기능'!C19</f>
        <v>109673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93</v>
      </c>
      <c r="E4" s="216"/>
      <c r="F4" s="217"/>
      <c r="G4" s="52" t="s">
        <v>73</v>
      </c>
      <c r="H4" s="53">
        <f>'통계 및 응시자 수 입력 기능'!E19</f>
        <v>11.35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99.21</v>
      </c>
      <c r="G7" s="61">
        <f>_xlfn.IFNA(VLOOKUP(D7,'인원 입력 기능(사과탐)'!$K$177:$N$231,4,FALSE),0)</f>
        <v>1733</v>
      </c>
      <c r="H7" s="62">
        <f>G7/$J$3</f>
        <v>1.5801519061209232E-2</v>
      </c>
      <c r="I7" s="63">
        <f>G7</f>
        <v>1733</v>
      </c>
      <c r="J7" s="64">
        <f>I7/$J$3</f>
        <v>1.5801519061209232E-2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기능'!C140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72</v>
      </c>
      <c r="E9" s="59">
        <f t="shared" si="0"/>
        <v>1</v>
      </c>
      <c r="F9" s="60">
        <f>IF(I8=0,ROUND(100*(1-(I7+I9)/2/$J$3),2),ROUND(100*(1-(I8+I9)/2/$J$3),2))</f>
        <v>98.04</v>
      </c>
      <c r="G9" s="61">
        <f>_xlfn.IFNA(VLOOKUP(D9,'인원 입력 기능(사과탐)'!$K$177:$N$231,4,FALSE),0)</f>
        <v>823</v>
      </c>
      <c r="H9" s="62">
        <f t="shared" ref="H9:H55" si="1">G9/$J$3</f>
        <v>7.5041259015436795E-3</v>
      </c>
      <c r="I9" s="72">
        <f>SUM($G$7:G9)</f>
        <v>2556</v>
      </c>
      <c r="J9" s="64">
        <f>I9/$J$3</f>
        <v>2.3305644962752912E-2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71</v>
      </c>
      <c r="E10" s="59">
        <f t="shared" si="0"/>
        <v>1</v>
      </c>
      <c r="F10" s="60">
        <f t="shared" ref="F10:F55" si="4">IF(I9=0,ROUND(100*(1-(I8+I10)/2/$J$3),2),ROUND(100*(1-(I9+I10)/2/$J$3),2))</f>
        <v>96.9</v>
      </c>
      <c r="G10" s="61">
        <f>IF(D10=D9,"",_xlfn.IFNA(VLOOKUP(D10,'인원 입력 기능(사과탐)'!$K$177:$N$231,4,FALSE),0))</f>
        <v>1692</v>
      </c>
      <c r="H10" s="62">
        <f t="shared" si="1"/>
        <v>1.5427680468301223E-2</v>
      </c>
      <c r="I10" s="72">
        <f>SUM($G$7:G10)</f>
        <v>4248</v>
      </c>
      <c r="J10" s="64">
        <f t="shared" ref="J10:J55" si="5">I10/$J$3</f>
        <v>3.8733325431054136E-2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70</v>
      </c>
      <c r="E11" s="59">
        <f t="shared" si="0"/>
        <v>1</v>
      </c>
      <c r="F11" s="60">
        <f t="shared" si="4"/>
        <v>96.02</v>
      </c>
      <c r="G11" s="61">
        <f>IF(D11=D10,"",_xlfn.IFNA(VLOOKUP(D11,'인원 입력 기능(사과탐)'!$K$177:$N$231,4,FALSE),0))</f>
        <v>227</v>
      </c>
      <c r="H11" s="62">
        <f t="shared" si="1"/>
        <v>2.0697892826858025E-3</v>
      </c>
      <c r="I11" s="72">
        <f>SUM($G$7:G11)</f>
        <v>4475</v>
      </c>
      <c r="J11" s="64">
        <f t="shared" si="5"/>
        <v>4.0803114713739937E-2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69</v>
      </c>
      <c r="E12" s="59">
        <f t="shared" si="0"/>
        <v>2</v>
      </c>
      <c r="F12" s="60">
        <f t="shared" si="4"/>
        <v>95.25</v>
      </c>
      <c r="G12" s="61">
        <f>IF(D12=D11,"",_xlfn.IFNA(VLOOKUP(D12,'인원 입력 기능(사과탐)'!$K$177:$N$231,4,FALSE),0))</f>
        <v>1479</v>
      </c>
      <c r="H12" s="62">
        <f t="shared" si="1"/>
        <v>1.3485543388071813E-2</v>
      </c>
      <c r="I12" s="72">
        <f>SUM($G$7:G12)</f>
        <v>5954</v>
      </c>
      <c r="J12" s="64">
        <f t="shared" si="5"/>
        <v>5.428865810181175E-2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68</v>
      </c>
      <c r="E13" s="59">
        <f t="shared" si="0"/>
        <v>2</v>
      </c>
      <c r="F13" s="60">
        <f t="shared" si="4"/>
        <v>94.03</v>
      </c>
      <c r="G13" s="61">
        <f>IF(D13=D12,"",_xlfn.IFNA(VLOOKUP(D13,'인원 입력 기능(사과탐)'!$K$177:$N$231,4,FALSE),0))</f>
        <v>1178</v>
      </c>
      <c r="H13" s="62">
        <f t="shared" si="1"/>
        <v>1.0741021035259361E-2</v>
      </c>
      <c r="I13" s="72">
        <f>SUM($G$7:G13)</f>
        <v>7132</v>
      </c>
      <c r="J13" s="64">
        <f t="shared" si="5"/>
        <v>6.5029679137071111E-2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67</v>
      </c>
      <c r="E14" s="59">
        <f t="shared" si="0"/>
        <v>2</v>
      </c>
      <c r="F14" s="60">
        <f t="shared" si="4"/>
        <v>93.11</v>
      </c>
      <c r="G14" s="61">
        <f>IF(D14=D13,"",_xlfn.IFNA(VLOOKUP(D14,'인원 입력 기능(사과탐)'!$K$177:$N$231,4,FALSE),0))</f>
        <v>857</v>
      </c>
      <c r="H14" s="62">
        <f t="shared" si="1"/>
        <v>7.8141383932234919E-3</v>
      </c>
      <c r="I14" s="72">
        <f>SUM($G$7:G14)</f>
        <v>7989</v>
      </c>
      <c r="J14" s="64">
        <f t="shared" si="5"/>
        <v>7.2843817530294605E-2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기능'!C146</f>
        <v>36</v>
      </c>
    </row>
    <row r="15" spans="1:17" s="22" customFormat="1" ht="25" customHeight="1" x14ac:dyDescent="0.45">
      <c r="A15" s="20"/>
      <c r="B15" s="35"/>
      <c r="C15" s="58">
        <v>42</v>
      </c>
      <c r="D15" s="202">
        <f t="shared" si="3"/>
        <v>66</v>
      </c>
      <c r="E15" s="202">
        <f t="shared" si="0"/>
        <v>2</v>
      </c>
      <c r="F15" s="206">
        <f t="shared" si="4"/>
        <v>91.39</v>
      </c>
      <c r="G15" s="208">
        <f>IF(D15=D14,"",_xlfn.IFNA(VLOOKUP(D15,'인원 입력 기능(사과탐)'!$K$177:$N$231,4,FALSE),0))</f>
        <v>2915</v>
      </c>
      <c r="H15" s="210">
        <f t="shared" si="1"/>
        <v>2.6579012154313277E-2</v>
      </c>
      <c r="I15" s="221">
        <f>SUM($G$7:G15)</f>
        <v>10904</v>
      </c>
      <c r="J15" s="200">
        <f t="shared" si="5"/>
        <v>9.9422829684607875E-2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03"/>
      <c r="E16" s="203"/>
      <c r="F16" s="207"/>
      <c r="G16" s="209"/>
      <c r="H16" s="211"/>
      <c r="I16" s="222"/>
      <c r="J16" s="201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65</v>
      </c>
      <c r="E17" s="59">
        <f t="shared" si="0"/>
        <v>2</v>
      </c>
      <c r="F17" s="60">
        <f t="shared" si="4"/>
        <v>89.4</v>
      </c>
      <c r="G17" s="61">
        <f>IF(D17=D16,"",_xlfn.IFNA(VLOOKUP(D17,'인원 입력 기능(사과탐)'!$K$177:$N$231,4,FALSE),0))</f>
        <v>1441</v>
      </c>
      <c r="H17" s="62">
        <f t="shared" si="1"/>
        <v>1.3139058838547319E-2</v>
      </c>
      <c r="I17" s="72">
        <f>SUM($G$7:G17)</f>
        <v>12345</v>
      </c>
      <c r="J17" s="64">
        <f t="shared" si="5"/>
        <v>0.1125618885231552</v>
      </c>
      <c r="K17" s="36"/>
      <c r="L17" s="20" t="str">
        <f t="shared" si="2"/>
        <v/>
      </c>
      <c r="N17" s="24"/>
      <c r="Q17" s="24">
        <f>Q7*H3*H4*J3*IFERROR(IF(J57=1, 1, 0), 0)</f>
        <v>2037220940.9300001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64</v>
      </c>
      <c r="E18" s="59">
        <f t="shared" si="0"/>
        <v>3</v>
      </c>
      <c r="F18" s="60">
        <f t="shared" si="4"/>
        <v>87.96</v>
      </c>
      <c r="G18" s="61">
        <f>IF(D18=D17,"",_xlfn.IFNA(VLOOKUP(D18,'인원 입력 기능(사과탐)'!$K$177:$N$231,4,FALSE),0))</f>
        <v>1715</v>
      </c>
      <c r="H18" s="62">
        <f t="shared" si="1"/>
        <v>1.5637394800908155E-2</v>
      </c>
      <c r="I18" s="72">
        <f>SUM($G$7:G18)</f>
        <v>14060</v>
      </c>
      <c r="J18" s="64">
        <f t="shared" si="5"/>
        <v>0.12819928332406336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63</v>
      </c>
      <c r="E19" s="59">
        <f t="shared" si="0"/>
        <v>3</v>
      </c>
      <c r="F19" s="60">
        <f t="shared" si="4"/>
        <v>86.65</v>
      </c>
      <c r="G19" s="61">
        <f>IF(D19=D18,"",_xlfn.IFNA(VLOOKUP(D19,'인원 입력 기능(사과탐)'!$K$177:$N$231,4,FALSE),0))</f>
        <v>1163</v>
      </c>
      <c r="H19" s="62">
        <f t="shared" si="1"/>
        <v>1.0604250818341798E-2</v>
      </c>
      <c r="I19" s="72">
        <f>SUM($G$7:G19)</f>
        <v>15223</v>
      </c>
      <c r="J19" s="64">
        <f t="shared" si="5"/>
        <v>0.13880353414240515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62</v>
      </c>
      <c r="E20" s="59">
        <f t="shared" si="0"/>
        <v>3</v>
      </c>
      <c r="F20" s="60">
        <f t="shared" si="4"/>
        <v>85.24</v>
      </c>
      <c r="G20" s="61">
        <f>IF(D20=D19,"",_xlfn.IFNA(VLOOKUP(D20,'인원 입력 기능(사과탐)'!$K$177:$N$231,4,FALSE),0))</f>
        <v>1922</v>
      </c>
      <c r="H20" s="62">
        <f t="shared" si="1"/>
        <v>1.7524823794370537E-2</v>
      </c>
      <c r="I20" s="72">
        <f>SUM($G$7:G20)</f>
        <v>17145</v>
      </c>
      <c r="J20" s="64">
        <f t="shared" si="5"/>
        <v>0.15632835793677569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61</v>
      </c>
      <c r="E21" s="74">
        <f t="shared" si="0"/>
        <v>3</v>
      </c>
      <c r="F21" s="60">
        <f t="shared" si="4"/>
        <v>83.59</v>
      </c>
      <c r="G21" s="61">
        <f>IF(D21=D20,"",_xlfn.IFNA(VLOOKUP(D21,'인원 입력 기능(사과탐)'!$K$177:$N$231,4,FALSE),0))</f>
        <v>1709</v>
      </c>
      <c r="H21" s="62">
        <f t="shared" si="1"/>
        <v>1.5582686714141128E-2</v>
      </c>
      <c r="I21" s="72">
        <f>SUM($G$7:G21)</f>
        <v>18854</v>
      </c>
      <c r="J21" s="64">
        <f t="shared" si="5"/>
        <v>0.17191104465091681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60</v>
      </c>
      <c r="E22" s="74">
        <f t="shared" si="0"/>
        <v>3</v>
      </c>
      <c r="F22" s="60">
        <f t="shared" si="4"/>
        <v>82.03</v>
      </c>
      <c r="G22" s="61">
        <f>IF(D22=D21,"",_xlfn.IFNA(VLOOKUP(D22,'인원 입력 기능(사과탐)'!$K$177:$N$231,4,FALSE),0))</f>
        <v>1707</v>
      </c>
      <c r="H22" s="62">
        <f t="shared" si="1"/>
        <v>1.5564450685218787E-2</v>
      </c>
      <c r="I22" s="72">
        <f>SUM($G$7:G22)</f>
        <v>20561</v>
      </c>
      <c r="J22" s="64">
        <f t="shared" si="5"/>
        <v>0.18747549533613561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59</v>
      </c>
      <c r="E23" s="74">
        <f t="shared" si="0"/>
        <v>3</v>
      </c>
      <c r="F23" s="60">
        <f t="shared" si="4"/>
        <v>80.23</v>
      </c>
      <c r="G23" s="61">
        <f>IF(D23=D22,"",_xlfn.IFNA(VLOOKUP(D23,'인원 입력 기능(사과탐)'!$K$177:$N$231,4,FALSE),0))</f>
        <v>2239</v>
      </c>
      <c r="H23" s="62">
        <f t="shared" si="1"/>
        <v>2.0415234378561724E-2</v>
      </c>
      <c r="I23" s="72">
        <f>SUM($G$7:G23)</f>
        <v>22800</v>
      </c>
      <c r="J23" s="64">
        <f t="shared" si="5"/>
        <v>0.20789072971469733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04">
        <f t="shared" si="3"/>
        <v>58</v>
      </c>
      <c r="E24" s="204">
        <f t="shared" si="0"/>
        <v>3</v>
      </c>
      <c r="F24" s="206">
        <f t="shared" si="4"/>
        <v>77.36</v>
      </c>
      <c r="G24" s="208">
        <f>IF(D24=D23,"",_xlfn.IFNA(VLOOKUP(D24,'인원 입력 기능(사과탐)'!$K$177:$N$231,4,FALSE),0))</f>
        <v>4049</v>
      </c>
      <c r="H24" s="210">
        <f t="shared" si="1"/>
        <v>3.6918840553281117E-2</v>
      </c>
      <c r="I24" s="221">
        <f>SUM($G$7:G24)</f>
        <v>26849</v>
      </c>
      <c r="J24" s="200">
        <f t="shared" si="5"/>
        <v>0.24480957026797845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5"/>
      <c r="E25" s="205"/>
      <c r="F25" s="207"/>
      <c r="G25" s="209"/>
      <c r="H25" s="211"/>
      <c r="I25" s="222"/>
      <c r="J25" s="201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57</v>
      </c>
      <c r="E26" s="74">
        <f t="shared" si="0"/>
        <v>4</v>
      </c>
      <c r="F26" s="60">
        <f t="shared" si="4"/>
        <v>74.47</v>
      </c>
      <c r="G26" s="61">
        <f>IF(D26=D25,"",_xlfn.IFNA(VLOOKUP(D26,'인원 입력 기능(사과탐)'!$K$177:$N$231,4,FALSE),0))</f>
        <v>2297</v>
      </c>
      <c r="H26" s="62">
        <f t="shared" si="1"/>
        <v>2.094407921730964E-2</v>
      </c>
      <c r="I26" s="72">
        <f>SUM($G$7:G26)</f>
        <v>29146</v>
      </c>
      <c r="J26" s="64">
        <f t="shared" si="5"/>
        <v>0.26575364948528807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56</v>
      </c>
      <c r="E27" s="74">
        <f t="shared" si="0"/>
        <v>4</v>
      </c>
      <c r="F27" s="60">
        <f t="shared" si="4"/>
        <v>72.48</v>
      </c>
      <c r="G27" s="61">
        <f>IF(D27=D26,"",_xlfn.IFNA(VLOOKUP(D27,'인원 입력 기능(사과탐)'!$K$177:$N$231,4,FALSE),0))</f>
        <v>2081</v>
      </c>
      <c r="H27" s="62">
        <f t="shared" si="1"/>
        <v>1.8974588093696718E-2</v>
      </c>
      <c r="I27" s="72">
        <f>SUM($G$7:G27)</f>
        <v>31227</v>
      </c>
      <c r="J27" s="64">
        <f t="shared" si="5"/>
        <v>0.2847282375789848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55</v>
      </c>
      <c r="E28" s="74">
        <f t="shared" si="0"/>
        <v>4</v>
      </c>
      <c r="F28" s="60">
        <f t="shared" si="4"/>
        <v>70.28</v>
      </c>
      <c r="G28" s="61">
        <f>IF(D28=D27,"",_xlfn.IFNA(VLOOKUP(D28,'인원 입력 기능(사과탐)'!$K$177:$N$231,4,FALSE),0))</f>
        <v>2736</v>
      </c>
      <c r="H28" s="62">
        <f t="shared" si="1"/>
        <v>2.494688756576368E-2</v>
      </c>
      <c r="I28" s="72">
        <f>SUM($G$7:G28)</f>
        <v>33963</v>
      </c>
      <c r="J28" s="64">
        <f t="shared" si="5"/>
        <v>0.30967512514474849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54</v>
      </c>
      <c r="E29" s="74">
        <f t="shared" si="0"/>
        <v>4</v>
      </c>
      <c r="F29" s="60">
        <f t="shared" si="4"/>
        <v>67.88</v>
      </c>
      <c r="G29" s="61">
        <f>IF(D29=D28,"",_xlfn.IFNA(VLOOKUP(D29,'인원 입력 기능(사과탐)'!$K$177:$N$231,4,FALSE),0))</f>
        <v>2524</v>
      </c>
      <c r="H29" s="62">
        <f t="shared" si="1"/>
        <v>2.3013868499995441E-2</v>
      </c>
      <c r="I29" s="72">
        <f>SUM($G$7:G29)</f>
        <v>36487</v>
      </c>
      <c r="J29" s="64">
        <f t="shared" si="5"/>
        <v>0.33268899364474391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53</v>
      </c>
      <c r="E30" s="74">
        <f t="shared" si="0"/>
        <v>4</v>
      </c>
      <c r="F30" s="60">
        <f t="shared" si="4"/>
        <v>65.510000000000005</v>
      </c>
      <c r="G30" s="61">
        <f>IF(D30=D29,"",_xlfn.IFNA(VLOOKUP(D30,'인원 입력 기능(사과탐)'!$K$177:$N$231,4,FALSE),0))</f>
        <v>2674</v>
      </c>
      <c r="H30" s="62">
        <f t="shared" si="1"/>
        <v>2.4381570669171081E-2</v>
      </c>
      <c r="I30" s="72">
        <f>SUM($G$7:G30)</f>
        <v>39161</v>
      </c>
      <c r="J30" s="64">
        <f t="shared" si="5"/>
        <v>0.35707056431391498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52</v>
      </c>
      <c r="E31" s="74">
        <f t="shared" si="0"/>
        <v>4</v>
      </c>
      <c r="F31" s="60">
        <f t="shared" si="4"/>
        <v>62.88</v>
      </c>
      <c r="G31" s="61">
        <f>IF(D31=D30,"",_xlfn.IFNA(VLOOKUP(D31,'인원 입력 기능(사과탐)'!$K$177:$N$231,4,FALSE),0))</f>
        <v>3097</v>
      </c>
      <c r="H31" s="62">
        <f t="shared" si="1"/>
        <v>2.8238490786246385E-2</v>
      </c>
      <c r="I31" s="72">
        <f>SUM($G$7:G31)</f>
        <v>42258</v>
      </c>
      <c r="J31" s="64">
        <f t="shared" si="5"/>
        <v>0.38530905510016139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4">
        <f t="shared" si="3"/>
        <v>51</v>
      </c>
      <c r="E32" s="204">
        <f t="shared" si="0"/>
        <v>4</v>
      </c>
      <c r="F32" s="206">
        <f t="shared" si="4"/>
        <v>58.62</v>
      </c>
      <c r="G32" s="208">
        <f>IF(D32=D31,"",_xlfn.IFNA(VLOOKUP(D32,'인원 입력 기능(사과탐)'!$K$177:$N$231,4,FALSE),0))</f>
        <v>6256</v>
      </c>
      <c r="H32" s="210">
        <f t="shared" si="1"/>
        <v>5.7042298469085373E-2</v>
      </c>
      <c r="I32" s="221">
        <f>SUM($G$7:G32)</f>
        <v>48514</v>
      </c>
      <c r="J32" s="200">
        <f t="shared" si="5"/>
        <v>0.44235135356924676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5"/>
      <c r="E33" s="205"/>
      <c r="F33" s="207"/>
      <c r="G33" s="209"/>
      <c r="H33" s="211"/>
      <c r="I33" s="222"/>
      <c r="J33" s="20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54.29</v>
      </c>
      <c r="G34" s="61">
        <f>IF(D34=D33,"",_xlfn.IFNA(VLOOKUP(D34,'인원 입력 기능(사과탐)'!$K$177:$N$231,4,FALSE),0))</f>
        <v>3232</v>
      </c>
      <c r="H34" s="62">
        <f t="shared" si="1"/>
        <v>2.9469422738504465E-2</v>
      </c>
      <c r="I34" s="72">
        <f>SUM($G$7:G34)</f>
        <v>51746</v>
      </c>
      <c r="J34" s="64">
        <f t="shared" si="5"/>
        <v>0.47182077630775121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51.29</v>
      </c>
      <c r="G35" s="61">
        <f>IF(D35=D34,"",_xlfn.IFNA(VLOOKUP(D35,'인원 입력 기능(사과탐)'!$K$177:$N$231,4,FALSE),0))</f>
        <v>3344</v>
      </c>
      <c r="H35" s="62">
        <f t="shared" si="1"/>
        <v>3.0490640358155609E-2</v>
      </c>
      <c r="I35" s="72">
        <f>SUM($G$7:G35)</f>
        <v>55090</v>
      </c>
      <c r="J35" s="64">
        <f t="shared" si="5"/>
        <v>0.50231141666590684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47.96</v>
      </c>
      <c r="G36" s="61">
        <f>IF(D36=D35,"",_xlfn.IFNA(VLOOKUP(D36,'인원 입력 기능(사과탐)'!$K$177:$N$231,4,FALSE),0))</f>
        <v>3962</v>
      </c>
      <c r="H36" s="62">
        <f t="shared" si="1"/>
        <v>3.6125573295159245E-2</v>
      </c>
      <c r="I36" s="72">
        <f>SUM($G$7:G36)</f>
        <v>59052</v>
      </c>
      <c r="J36" s="64">
        <f t="shared" si="5"/>
        <v>0.53843698996106604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47</v>
      </c>
      <c r="E37" s="74">
        <f t="shared" si="0"/>
        <v>5</v>
      </c>
      <c r="F37" s="60">
        <f t="shared" si="4"/>
        <v>44.63</v>
      </c>
      <c r="G37" s="61">
        <f>IF(D37=D36,"",_xlfn.IFNA(VLOOKUP(D37,'인원 입력 기능(사과탐)'!$K$177:$N$231,4,FALSE),0))</f>
        <v>3353</v>
      </c>
      <c r="H37" s="62">
        <f t="shared" si="1"/>
        <v>3.0572702488306146E-2</v>
      </c>
      <c r="I37" s="72">
        <f>SUM($G$7:G37)</f>
        <v>62405</v>
      </c>
      <c r="J37" s="64">
        <f t="shared" si="5"/>
        <v>0.56900969244937227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46</v>
      </c>
      <c r="E38" s="74">
        <f t="shared" si="0"/>
        <v>5</v>
      </c>
      <c r="F38" s="60">
        <f t="shared" si="4"/>
        <v>41.27</v>
      </c>
      <c r="G38" s="61">
        <f>IF(D38=D37,"",_xlfn.IFNA(VLOOKUP(D38,'인원 입력 기능(사과탐)'!$K$177:$N$231,4,FALSE),0))</f>
        <v>4001</v>
      </c>
      <c r="H38" s="62">
        <f t="shared" si="1"/>
        <v>3.6481175859144913E-2</v>
      </c>
      <c r="I38" s="72">
        <f>SUM($G$7:G38)</f>
        <v>66406</v>
      </c>
      <c r="J38" s="64">
        <f t="shared" si="5"/>
        <v>0.60549086830851717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37.79</v>
      </c>
      <c r="G39" s="61">
        <f>IF(D39=D38,"",_xlfn.IFNA(VLOOKUP(D39,'인원 입력 기능(사과탐)'!$K$177:$N$231,4,FALSE),0))</f>
        <v>3635</v>
      </c>
      <c r="H39" s="62">
        <f t="shared" si="1"/>
        <v>3.3143982566356353E-2</v>
      </c>
      <c r="I39" s="72">
        <f>SUM($G$7:G39)</f>
        <v>70041</v>
      </c>
      <c r="J39" s="64">
        <f t="shared" si="5"/>
        <v>0.63863485087487348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34.4</v>
      </c>
      <c r="G40" s="61">
        <f>IF(D40=D39,"",_xlfn.IFNA(VLOOKUP(D40,'인원 입력 기능(사과탐)'!$K$177:$N$231,4,FALSE),0))</f>
        <v>3815</v>
      </c>
      <c r="H40" s="62">
        <f t="shared" si="1"/>
        <v>3.4785225169367121E-2</v>
      </c>
      <c r="I40" s="72">
        <f>SUM($G$7:G40)</f>
        <v>73856</v>
      </c>
      <c r="J40" s="64">
        <f t="shared" si="5"/>
        <v>0.67342007604424059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4">
        <f t="shared" si="3"/>
        <v>43</v>
      </c>
      <c r="E41" s="204">
        <f t="shared" si="6"/>
        <v>6</v>
      </c>
      <c r="F41" s="206">
        <f t="shared" si="4"/>
        <v>29.19</v>
      </c>
      <c r="G41" s="208">
        <f>IF(D41=D40,"",_xlfn.IFNA(VLOOKUP(D41,'인원 입력 기능(사과탐)'!$K$177:$N$231,4,FALSE),0))</f>
        <v>7596</v>
      </c>
      <c r="H41" s="210">
        <f t="shared" si="1"/>
        <v>6.9260437847054421E-2</v>
      </c>
      <c r="I41" s="221">
        <f>SUM($G$7:G41)</f>
        <v>81452</v>
      </c>
      <c r="J41" s="200">
        <f t="shared" si="5"/>
        <v>0.74268051389129508</v>
      </c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5"/>
      <c r="E42" s="205"/>
      <c r="F42" s="207"/>
      <c r="G42" s="209"/>
      <c r="H42" s="211"/>
      <c r="I42" s="222"/>
      <c r="J42" s="201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42</v>
      </c>
      <c r="E43" s="74">
        <f t="shared" si="6"/>
        <v>6</v>
      </c>
      <c r="F43" s="60">
        <f t="shared" si="4"/>
        <v>23.91</v>
      </c>
      <c r="G43" s="61">
        <f>IF(D43=D42,"",_xlfn.IFNA(VLOOKUP(D43,'인원 입력 기능(사과탐)'!$K$177:$N$231,4,FALSE),0))</f>
        <v>3995</v>
      </c>
      <c r="H43" s="62">
        <f t="shared" si="1"/>
        <v>3.6426467772377888E-2</v>
      </c>
      <c r="I43" s="72">
        <f>SUM($G$7:G43)</f>
        <v>85447</v>
      </c>
      <c r="J43" s="64">
        <f t="shared" si="5"/>
        <v>0.77910698166367287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7</v>
      </c>
      <c r="F44" s="60">
        <f t="shared" si="4"/>
        <v>20.48</v>
      </c>
      <c r="G44" s="61">
        <f>IF(D44=D43,"",_xlfn.IFNA(VLOOKUP(D44,'인원 입력 기능(사과탐)'!$K$177:$N$231,4,FALSE),0))</f>
        <v>3526</v>
      </c>
      <c r="H44" s="62">
        <f t="shared" si="1"/>
        <v>3.2150118990088718E-2</v>
      </c>
      <c r="I44" s="72">
        <f>SUM($G$7:G44)</f>
        <v>88973</v>
      </c>
      <c r="J44" s="64">
        <f t="shared" si="5"/>
        <v>0.81125710065376166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7</v>
      </c>
      <c r="F45" s="60">
        <f t="shared" si="4"/>
        <v>17.36</v>
      </c>
      <c r="G45" s="61">
        <f>IF(D45=D44,"",_xlfn.IFNA(VLOOKUP(D45,'인원 입력 기능(사과탐)'!$K$177:$N$231,4,FALSE),0))</f>
        <v>3326</v>
      </c>
      <c r="H45" s="62">
        <f t="shared" si="1"/>
        <v>3.0326516097854531E-2</v>
      </c>
      <c r="I45" s="72">
        <f>SUM($G$7:G45)</f>
        <v>92299</v>
      </c>
      <c r="J45" s="64">
        <f t="shared" si="5"/>
        <v>0.84158361675161619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14.37</v>
      </c>
      <c r="G46" s="61">
        <f>IF(D46=D45,"",_xlfn.IFNA(VLOOKUP(D46,'인원 입력 기능(사과탐)'!$K$177:$N$231,4,FALSE),0))</f>
        <v>3227</v>
      </c>
      <c r="H46" s="62">
        <f t="shared" si="1"/>
        <v>2.9423832666198607E-2</v>
      </c>
      <c r="I46" s="72">
        <f>SUM($G$7:G46)</f>
        <v>95526</v>
      </c>
      <c r="J46" s="64">
        <f t="shared" si="5"/>
        <v>0.87100744941781483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7</v>
      </c>
      <c r="F47" s="60">
        <f t="shared" si="4"/>
        <v>11.27</v>
      </c>
      <c r="G47" s="61">
        <f>IF(D47=D46,"",_xlfn.IFNA(VLOOKUP(D47,'인원 입력 기능(사과탐)'!$K$177:$N$231,4,FALSE),0))</f>
        <v>3573</v>
      </c>
      <c r="H47" s="62">
        <f t="shared" si="1"/>
        <v>3.2578665669763751E-2</v>
      </c>
      <c r="I47" s="72">
        <f>SUM($G$7:G47)</f>
        <v>99099</v>
      </c>
      <c r="J47" s="64">
        <f t="shared" si="5"/>
        <v>0.90358611508757858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7.48</v>
      </c>
      <c r="G48" s="61">
        <f>IF(D48=D47,"",_xlfn.IFNA(VLOOKUP(D48,'인원 입력 기능(사과탐)'!$K$177:$N$231,4,FALSE),0))</f>
        <v>4732</v>
      </c>
      <c r="H48" s="62">
        <f t="shared" si="1"/>
        <v>4.3146444430260868E-2</v>
      </c>
      <c r="I48" s="72">
        <f>SUM($G$7:G48)</f>
        <v>103831</v>
      </c>
      <c r="J48" s="64">
        <f t="shared" si="5"/>
        <v>0.94673255951783941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4">
        <f t="shared" si="3"/>
        <v>36</v>
      </c>
      <c r="E49" s="204">
        <f t="shared" si="6"/>
        <v>8</v>
      </c>
      <c r="F49" s="206">
        <f t="shared" si="4"/>
        <v>3.83</v>
      </c>
      <c r="G49" s="208">
        <f>IF(D49=D48,"",_xlfn.IFNA(VLOOKUP(D49,'인원 입력 기능(사과탐)'!$K$177:$N$231,4,FALSE),0))</f>
        <v>3286</v>
      </c>
      <c r="H49" s="210">
        <f t="shared" si="1"/>
        <v>2.9961795519407693E-2</v>
      </c>
      <c r="I49" s="221">
        <f>SUM($G$7:G49)</f>
        <v>107117</v>
      </c>
      <c r="J49" s="200">
        <f t="shared" si="5"/>
        <v>0.97669435503724711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05"/>
      <c r="E50" s="205"/>
      <c r="F50" s="207"/>
      <c r="G50" s="209"/>
      <c r="H50" s="211"/>
      <c r="I50" s="222"/>
      <c r="J50" s="201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1.94</v>
      </c>
      <c r="G51" s="61">
        <f>IF(D51=D50,"",_xlfn.IFNA(VLOOKUP(D51,'인원 입력 기능(사과탐)'!$K$177:$N$231,4,FALSE),0))</f>
        <v>861</v>
      </c>
      <c r="H51" s="62">
        <f t="shared" si="1"/>
        <v>7.8506104510681751E-3</v>
      </c>
      <c r="I51" s="72">
        <f>SUM($G$7:G51)</f>
        <v>107978</v>
      </c>
      <c r="J51" s="64">
        <f t="shared" si="5"/>
        <v>0.98454496548831527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1.23</v>
      </c>
      <c r="G52" s="61">
        <f>IF(D52=D51,"",_xlfn.IFNA(VLOOKUP(D52,'인원 입력 기능(사과탐)'!$K$177:$N$231,4,FALSE),0))</f>
        <v>700</v>
      </c>
      <c r="H52" s="62">
        <f t="shared" si="1"/>
        <v>6.382610122819655E-3</v>
      </c>
      <c r="I52" s="72">
        <f>SUM($G$7:G52)</f>
        <v>108678</v>
      </c>
      <c r="J52" s="64">
        <f t="shared" si="5"/>
        <v>0.99092757561113487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0.7</v>
      </c>
      <c r="G53" s="61">
        <f>IF(D53=D52,"",_xlfn.IFNA(VLOOKUP(D53,'인원 입력 기능(사과탐)'!$K$177:$N$231,4,FALSE),0))</f>
        <v>462</v>
      </c>
      <c r="H53" s="62">
        <f t="shared" si="1"/>
        <v>4.2125226810609722E-3</v>
      </c>
      <c r="I53" s="72">
        <f>SUM($G$7:G53)</f>
        <v>109140</v>
      </c>
      <c r="J53" s="64">
        <f t="shared" si="5"/>
        <v>0.99514009829219585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0.42</v>
      </c>
      <c r="G54" s="61">
        <f>IF(D54=D53,"",_xlfn.IFNA(VLOOKUP(D54,'인원 입력 기능(사과탐)'!$K$177:$N$231,4,FALSE),0))</f>
        <v>155</v>
      </c>
      <c r="H54" s="62">
        <f t="shared" si="1"/>
        <v>1.413292241481495E-3</v>
      </c>
      <c r="I54" s="72">
        <f>SUM($G$7:G54)</f>
        <v>109295</v>
      </c>
      <c r="J54" s="64">
        <f t="shared" si="5"/>
        <v>0.99655339053367742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0.2</v>
      </c>
      <c r="G55" s="61">
        <f>IF(D55=D54,"",_xlfn.IFNA(VLOOKUP(D55,'인원 입력 기능(사과탐)'!$K$177:$N$231,4,FALSE),0))</f>
        <v>308</v>
      </c>
      <c r="H55" s="62">
        <f t="shared" si="1"/>
        <v>2.808348454040648E-3</v>
      </c>
      <c r="I55" s="72">
        <f>SUM($G$7:G55)</f>
        <v>109603</v>
      </c>
      <c r="J55" s="64">
        <f t="shared" si="5"/>
        <v>0.99936173898771807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0.03</v>
      </c>
      <c r="G57" s="113">
        <f>_xlfn.IFNA(VLOOKUP(D57,'인원 입력 기능(사과탐)'!$K$177:$N$231,4,FALSE),0)</f>
        <v>70</v>
      </c>
      <c r="H57" s="81">
        <f>G57/$J$3</f>
        <v>6.3826101228196548E-4</v>
      </c>
      <c r="I57" s="82">
        <f>SUM($G$7:G57)</f>
        <v>109673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D3:F3"/>
    <mergeCell ref="D4:F4"/>
    <mergeCell ref="I4:J5"/>
    <mergeCell ref="D15:D16"/>
    <mergeCell ref="E15:E16"/>
    <mergeCell ref="F15:F16"/>
    <mergeCell ref="G15:G16"/>
    <mergeCell ref="H15:H16"/>
    <mergeCell ref="I15:I16"/>
    <mergeCell ref="J15:J16"/>
    <mergeCell ref="I24:I25"/>
    <mergeCell ref="J24:J25"/>
    <mergeCell ref="D32:D33"/>
    <mergeCell ref="E32:E33"/>
    <mergeCell ref="F32:F33"/>
    <mergeCell ref="G32:G33"/>
    <mergeCell ref="H32:H33"/>
    <mergeCell ref="I32:I33"/>
    <mergeCell ref="J32:J33"/>
    <mergeCell ref="D24:D25"/>
    <mergeCell ref="E24:E25"/>
    <mergeCell ref="F24:F25"/>
    <mergeCell ref="G24:G25"/>
    <mergeCell ref="H24:H25"/>
    <mergeCell ref="I41:I42"/>
    <mergeCell ref="J41:J42"/>
    <mergeCell ref="D49:D50"/>
    <mergeCell ref="E49:E50"/>
    <mergeCell ref="F49:F50"/>
    <mergeCell ref="G49:G50"/>
    <mergeCell ref="H49:H50"/>
    <mergeCell ref="I49:I50"/>
    <mergeCell ref="J49:J50"/>
    <mergeCell ref="D41:D42"/>
    <mergeCell ref="E41:E42"/>
    <mergeCell ref="F41:F42"/>
    <mergeCell ref="G41:G42"/>
    <mergeCell ref="H41:H42"/>
  </mergeCells>
  <phoneticPr fontId="1" type="noConversion"/>
  <conditionalFormatting sqref="D7:G15 I7:J15 D17:G24 I17:J24 D26:G32 I26:J32 D34:G41 I34:J41 D43:G49 I43:J49 D51:G57 I51:J57">
    <cfRule type="expression" dxfId="7" priority="5">
      <formula>OR($D7=$Q$7:$Q$14)</formula>
    </cfRule>
  </conditionalFormatting>
  <conditionalFormatting sqref="C7:C57">
    <cfRule type="expression" dxfId="6" priority="4">
      <formula>OR(AND($D7=0,OR($D6=$Q$7:$Q$14)),AND($D8&gt;0,OR($D7=$Q$7:$Q$14)))</formula>
    </cfRule>
  </conditionalFormatting>
  <conditionalFormatting sqref="D7:D15 D17:D24 D26:D32 D34:D41 D43:D49 D51:D57">
    <cfRule type="expression" dxfId="5" priority="2">
      <formula>$D7=$D8</formula>
    </cfRule>
  </conditionalFormatting>
  <conditionalFormatting sqref="H7:H15 H17:H24 H26:H32 H34:H41 H43:H49 H51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212" t="s">
        <v>134</v>
      </c>
      <c r="E3" s="213"/>
      <c r="F3" s="214"/>
      <c r="G3" s="48" t="s">
        <v>69</v>
      </c>
      <c r="H3" s="49">
        <f>'통계 및 응시자 수 입력 기능'!D20</f>
        <v>22.62</v>
      </c>
      <c r="I3" s="21" t="s">
        <v>70</v>
      </c>
      <c r="J3" s="50">
        <f>'통계 및 응시자 수 입력 기능'!C20</f>
        <v>84461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215" t="s">
        <v>92</v>
      </c>
      <c r="E4" s="216"/>
      <c r="F4" s="217"/>
      <c r="G4" s="52" t="s">
        <v>73</v>
      </c>
      <c r="H4" s="53">
        <f>'통계 및 응시자 수 입력 기능'!E20</f>
        <v>12.14</v>
      </c>
      <c r="I4" s="218"/>
      <c r="J4" s="21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20"/>
      <c r="J5" s="22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99.43</v>
      </c>
      <c r="G7" s="61">
        <f>_xlfn.IFNA(VLOOKUP(D7,'인원 입력 기능(사과탐)'!$P$177:$S$231,4,FALSE),0)</f>
        <v>960</v>
      </c>
      <c r="H7" s="62">
        <f>G7/$J$3</f>
        <v>1.1366192680645506E-2</v>
      </c>
      <c r="I7" s="63">
        <f>G7</f>
        <v>960</v>
      </c>
      <c r="J7" s="64">
        <f>I7/$J$3</f>
        <v>1.1366192680645506E-2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기능'!C149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71</v>
      </c>
      <c r="E9" s="59">
        <f t="shared" si="0"/>
        <v>1</v>
      </c>
      <c r="F9" s="60">
        <f>IF(I8=0,ROUND(100*(1-(I7+I9)/2/$J$3),2),ROUND(100*(1-(I8+I9)/2/$J$3),2))</f>
        <v>98.67</v>
      </c>
      <c r="G9" s="61">
        <f>_xlfn.IFNA(VLOOKUP(D9,'인원 입력 기능(사과탐)'!$P$177:$S$231,4,FALSE),0)</f>
        <v>322</v>
      </c>
      <c r="H9" s="62">
        <f t="shared" ref="H9:H55" si="1">G9/$J$3</f>
        <v>3.8124104616331796E-3</v>
      </c>
      <c r="I9" s="72">
        <f>SUM($G$7:G9)</f>
        <v>1282</v>
      </c>
      <c r="J9" s="64">
        <f>I9/$J$3</f>
        <v>1.5178603142278684E-2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70</v>
      </c>
      <c r="E10" s="59">
        <f t="shared" si="0"/>
        <v>1</v>
      </c>
      <c r="F10" s="60">
        <f t="shared" ref="F10:F55" si="4">IF(I9=0,ROUND(100*(1-(I8+I10)/2/$J$3),2),ROUND(100*(1-(I9+I10)/2/$J$3),2))</f>
        <v>97.47</v>
      </c>
      <c r="G10" s="61">
        <f>IF(D10=D9,"",_xlfn.IFNA(VLOOKUP(D10,'인원 입력 기능(사과탐)'!$P$177:$S$231,4,FALSE),0))</f>
        <v>1704</v>
      </c>
      <c r="H10" s="62">
        <f t="shared" si="1"/>
        <v>2.0174992008145771E-2</v>
      </c>
      <c r="I10" s="72">
        <f>SUM($G$7:G10)</f>
        <v>2986</v>
      </c>
      <c r="J10" s="64">
        <f t="shared" ref="J10:J55" si="5">I10/$J$3</f>
        <v>3.5353595150424459E-2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69</v>
      </c>
      <c r="E11" s="59">
        <f t="shared" si="0"/>
        <v>1</v>
      </c>
      <c r="F11" s="60">
        <f t="shared" si="4"/>
        <v>96.41</v>
      </c>
      <c r="G11" s="61">
        <f>IF(D11=D10,"",_xlfn.IFNA(VLOOKUP(D11,'인원 입력 기능(사과탐)'!$P$177:$S$231,4,FALSE),0))</f>
        <v>93</v>
      </c>
      <c r="H11" s="62">
        <f t="shared" si="1"/>
        <v>1.1010999159375332E-3</v>
      </c>
      <c r="I11" s="72">
        <f>SUM($G$7:G11)</f>
        <v>3079</v>
      </c>
      <c r="J11" s="64">
        <f t="shared" si="5"/>
        <v>3.6454695066361988E-2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45</v>
      </c>
    </row>
    <row r="12" spans="1:17" s="22" customFormat="1" ht="25" customHeight="1" x14ac:dyDescent="0.45">
      <c r="A12" s="20"/>
      <c r="B12" s="35"/>
      <c r="C12" s="65">
        <v>45</v>
      </c>
      <c r="D12" s="202">
        <f t="shared" si="3"/>
        <v>68</v>
      </c>
      <c r="E12" s="202">
        <f t="shared" si="0"/>
        <v>1</v>
      </c>
      <c r="F12" s="206">
        <f t="shared" si="4"/>
        <v>94.78</v>
      </c>
      <c r="G12" s="208">
        <f>IF(D12=D11,"",_xlfn.IFNA(VLOOKUP(D12,'인원 입력 기능(사과탐)'!$P$177:$S$231,4,FALSE),0))</f>
        <v>2660</v>
      </c>
      <c r="H12" s="210">
        <f t="shared" si="1"/>
        <v>3.1493825552621924E-2</v>
      </c>
      <c r="I12" s="221">
        <f>SUM($G$7:G12)</f>
        <v>5739</v>
      </c>
      <c r="J12" s="200">
        <f t="shared" si="5"/>
        <v>6.7948520618983904E-2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기능'!C153</f>
        <v>41</v>
      </c>
    </row>
    <row r="13" spans="1:17" s="22" customFormat="1" ht="25" customHeight="1" x14ac:dyDescent="0.45">
      <c r="A13" s="20"/>
      <c r="B13" s="35"/>
      <c r="C13" s="58">
        <v>44</v>
      </c>
      <c r="D13" s="203"/>
      <c r="E13" s="203"/>
      <c r="F13" s="207"/>
      <c r="G13" s="209"/>
      <c r="H13" s="211"/>
      <c r="I13" s="222"/>
      <c r="J13" s="20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기능'!C154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67</v>
      </c>
      <c r="E14" s="59">
        <f t="shared" si="0"/>
        <v>2</v>
      </c>
      <c r="F14" s="60">
        <f t="shared" si="4"/>
        <v>92.9</v>
      </c>
      <c r="G14" s="61">
        <f>IF(D14=D13,"",_xlfn.IFNA(VLOOKUP(D14,'인원 입력 기능(사과탐)'!$P$177:$S$231,4,FALSE),0))</f>
        <v>509</v>
      </c>
      <c r="H14" s="62">
        <f t="shared" si="1"/>
        <v>6.0264500775505858E-3</v>
      </c>
      <c r="I14" s="72">
        <f>SUM($G$7:G14)</f>
        <v>6248</v>
      </c>
      <c r="J14" s="64">
        <f t="shared" si="5"/>
        <v>7.3974970696534498E-2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66</v>
      </c>
      <c r="E15" s="59">
        <f t="shared" si="0"/>
        <v>2</v>
      </c>
      <c r="F15" s="60">
        <f t="shared" si="4"/>
        <v>91.68</v>
      </c>
      <c r="G15" s="61">
        <f>IF(D15=D14,"",_xlfn.IFNA(VLOOKUP(D15,'인원 입력 기능(사과탐)'!$P$177:$S$231,4,FALSE),0))</f>
        <v>1562</v>
      </c>
      <c r="H15" s="62">
        <f t="shared" si="1"/>
        <v>1.8493742674133624E-2</v>
      </c>
      <c r="I15" s="72">
        <f>SUM($G$7:G15)</f>
        <v>7810</v>
      </c>
      <c r="J15" s="64">
        <f t="shared" si="5"/>
        <v>9.2468713370668115E-2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65</v>
      </c>
      <c r="E16" s="59">
        <f t="shared" si="0"/>
        <v>2</v>
      </c>
      <c r="F16" s="60">
        <f t="shared" si="4"/>
        <v>90</v>
      </c>
      <c r="G16" s="61">
        <f>IF(D16=D15,"",_xlfn.IFNA(VLOOKUP(D16,'인원 입력 기능(사과탐)'!$P$177:$S$231,4,FALSE),0))</f>
        <v>1270</v>
      </c>
      <c r="H16" s="62">
        <f t="shared" si="1"/>
        <v>1.5036525733770616E-2</v>
      </c>
      <c r="I16" s="72">
        <f>SUM($G$7:G16)</f>
        <v>9080</v>
      </c>
      <c r="J16" s="64">
        <f t="shared" si="5"/>
        <v>0.10750523910443874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64</v>
      </c>
      <c r="E17" s="59">
        <f t="shared" si="0"/>
        <v>2</v>
      </c>
      <c r="F17" s="60">
        <f t="shared" si="4"/>
        <v>88.62</v>
      </c>
      <c r="G17" s="61">
        <f>IF(D17=D16,"",_xlfn.IFNA(VLOOKUP(D17,'인원 입력 기능(사과탐)'!$P$177:$S$231,4,FALSE),0))</f>
        <v>1057</v>
      </c>
      <c r="H17" s="62">
        <f t="shared" si="1"/>
        <v>1.2514651732752395E-2</v>
      </c>
      <c r="I17" s="72">
        <f>SUM($G$7:G17)</f>
        <v>10137</v>
      </c>
      <c r="J17" s="64">
        <f t="shared" si="5"/>
        <v>0.12001989083719113</v>
      </c>
      <c r="K17" s="36"/>
      <c r="L17" s="20" t="str">
        <f t="shared" si="2"/>
        <v/>
      </c>
      <c r="N17" s="24"/>
      <c r="Q17" s="24">
        <f>Q7*H3*H4*J3*IFERROR(IF(J57=1, 1, 0), 0)</f>
        <v>1577162415.5664003</v>
      </c>
    </row>
    <row r="18" spans="1:17" s="22" customFormat="1" ht="25" customHeight="1" x14ac:dyDescent="0.45">
      <c r="A18" s="20"/>
      <c r="B18" s="35"/>
      <c r="C18" s="65">
        <v>39</v>
      </c>
      <c r="D18" s="202">
        <f t="shared" si="3"/>
        <v>63</v>
      </c>
      <c r="E18" s="202">
        <f t="shared" si="0"/>
        <v>3</v>
      </c>
      <c r="F18" s="206">
        <f t="shared" si="4"/>
        <v>86.22</v>
      </c>
      <c r="G18" s="208">
        <f>IF(D18=D17,"",_xlfn.IFNA(VLOOKUP(D18,'인원 입력 기능(사과탐)'!$P$177:$S$231,4,FALSE),0))</f>
        <v>3004</v>
      </c>
      <c r="H18" s="210">
        <f t="shared" si="1"/>
        <v>3.5566711263186557E-2</v>
      </c>
      <c r="I18" s="221">
        <f>SUM($G$7:G18)</f>
        <v>13141</v>
      </c>
      <c r="J18" s="200">
        <f t="shared" si="5"/>
        <v>0.1555866021003777</v>
      </c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3"/>
      <c r="E19" s="203"/>
      <c r="F19" s="207"/>
      <c r="G19" s="209"/>
      <c r="H19" s="211"/>
      <c r="I19" s="222"/>
      <c r="J19" s="201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62</v>
      </c>
      <c r="E20" s="59">
        <f t="shared" si="0"/>
        <v>3</v>
      </c>
      <c r="F20" s="60">
        <f t="shared" si="4"/>
        <v>83.57</v>
      </c>
      <c r="G20" s="61">
        <f>IF(D20=D19,"",_xlfn.IFNA(VLOOKUP(D20,'인원 입력 기능(사과탐)'!$P$177:$S$231,4,FALSE),0))</f>
        <v>1471</v>
      </c>
      <c r="H20" s="62">
        <f t="shared" si="1"/>
        <v>1.7416322326280768E-2</v>
      </c>
      <c r="I20" s="72">
        <f>SUM($G$7:G20)</f>
        <v>14612</v>
      </c>
      <c r="J20" s="64">
        <f t="shared" si="5"/>
        <v>0.17300292442665846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61</v>
      </c>
      <c r="E21" s="74">
        <f t="shared" si="0"/>
        <v>3</v>
      </c>
      <c r="F21" s="60">
        <f t="shared" si="4"/>
        <v>81.83</v>
      </c>
      <c r="G21" s="61">
        <f>IF(D21=D20,"",_xlfn.IFNA(VLOOKUP(D21,'인원 입력 기능(사과탐)'!$P$177:$S$231,4,FALSE),0))</f>
        <v>1473</v>
      </c>
      <c r="H21" s="62">
        <f t="shared" si="1"/>
        <v>1.7440001894365446E-2</v>
      </c>
      <c r="I21" s="72">
        <f>SUM($G$7:G21)</f>
        <v>16085</v>
      </c>
      <c r="J21" s="64">
        <f t="shared" si="5"/>
        <v>0.19044292632102391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60</v>
      </c>
      <c r="E22" s="74">
        <f t="shared" si="0"/>
        <v>3</v>
      </c>
      <c r="F22" s="60">
        <f t="shared" si="4"/>
        <v>80.17</v>
      </c>
      <c r="G22" s="61">
        <f>IF(D22=D21,"",_xlfn.IFNA(VLOOKUP(D22,'인원 입력 기능(사과탐)'!$P$177:$S$231,4,FALSE),0))</f>
        <v>1335</v>
      </c>
      <c r="H22" s="62">
        <f t="shared" si="1"/>
        <v>1.5806111696522657E-2</v>
      </c>
      <c r="I22" s="72">
        <f>SUM($G$7:G22)</f>
        <v>17420</v>
      </c>
      <c r="J22" s="64">
        <f t="shared" si="5"/>
        <v>0.20624903801754657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4">
        <f t="shared" si="3"/>
        <v>59</v>
      </c>
      <c r="E23" s="204">
        <f t="shared" si="0"/>
        <v>3</v>
      </c>
      <c r="F23" s="206">
        <f t="shared" si="4"/>
        <v>77.569999999999993</v>
      </c>
      <c r="G23" s="208">
        <f>IF(D23=D22,"",_xlfn.IFNA(VLOOKUP(D23,'인원 입력 기능(사과탐)'!$P$177:$S$231,4,FALSE),0))</f>
        <v>3053</v>
      </c>
      <c r="H23" s="210">
        <f t="shared" si="1"/>
        <v>3.6146860681261175E-2</v>
      </c>
      <c r="I23" s="221">
        <f>SUM($G$7:G23)</f>
        <v>20473</v>
      </c>
      <c r="J23" s="200">
        <f t="shared" si="5"/>
        <v>0.24239589869880773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05"/>
      <c r="E24" s="205"/>
      <c r="F24" s="207"/>
      <c r="G24" s="209"/>
      <c r="H24" s="211"/>
      <c r="I24" s="222"/>
      <c r="J24" s="201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58</v>
      </c>
      <c r="E25" s="74">
        <f t="shared" si="0"/>
        <v>4</v>
      </c>
      <c r="F25" s="60">
        <f t="shared" si="4"/>
        <v>74.83</v>
      </c>
      <c r="G25" s="61">
        <f>IF(D25=D24,"",_xlfn.IFNA(VLOOKUP(D25,'인원 입력 기능(사과탐)'!$P$177:$S$231,4,FALSE),0))</f>
        <v>1574</v>
      </c>
      <c r="H25" s="62">
        <f t="shared" si="1"/>
        <v>1.8635820082641693E-2</v>
      </c>
      <c r="I25" s="72">
        <f>SUM($G$7:G25)</f>
        <v>22047</v>
      </c>
      <c r="J25" s="64">
        <f t="shared" si="5"/>
        <v>0.26103171878144943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57</v>
      </c>
      <c r="E26" s="74">
        <f t="shared" si="0"/>
        <v>4</v>
      </c>
      <c r="F26" s="60">
        <f t="shared" si="4"/>
        <v>72.900000000000006</v>
      </c>
      <c r="G26" s="61">
        <f>IF(D26=D25,"",_xlfn.IFNA(VLOOKUP(D26,'인원 입력 기능(사과탐)'!$P$177:$S$231,4,FALSE),0))</f>
        <v>1680</v>
      </c>
      <c r="H26" s="62">
        <f t="shared" si="1"/>
        <v>1.9890837191129634E-2</v>
      </c>
      <c r="I26" s="72">
        <f>SUM($G$7:G26)</f>
        <v>23727</v>
      </c>
      <c r="J26" s="64">
        <f t="shared" si="5"/>
        <v>0.28092255597257904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56</v>
      </c>
      <c r="E27" s="74">
        <f t="shared" si="0"/>
        <v>4</v>
      </c>
      <c r="F27" s="60">
        <f t="shared" si="4"/>
        <v>71.010000000000005</v>
      </c>
      <c r="G27" s="61">
        <f>IF(D27=D26,"",_xlfn.IFNA(VLOOKUP(D27,'인원 입력 기능(사과탐)'!$P$177:$S$231,4,FALSE),0))</f>
        <v>1509</v>
      </c>
      <c r="H27" s="62">
        <f t="shared" si="1"/>
        <v>1.7866234119889652E-2</v>
      </c>
      <c r="I27" s="72">
        <f>SUM($G$7:G27)</f>
        <v>25236</v>
      </c>
      <c r="J27" s="64">
        <f t="shared" si="5"/>
        <v>0.29878879009246873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55</v>
      </c>
      <c r="E28" s="74">
        <f t="shared" si="0"/>
        <v>4</v>
      </c>
      <c r="F28" s="60">
        <f t="shared" si="4"/>
        <v>69.11</v>
      </c>
      <c r="G28" s="61">
        <f>IF(D28=D27,"",_xlfn.IFNA(VLOOKUP(D28,'인원 입력 기능(사과탐)'!$P$177:$S$231,4,FALSE),0))</f>
        <v>1702</v>
      </c>
      <c r="H28" s="62">
        <f t="shared" si="1"/>
        <v>2.0151312440061093E-2</v>
      </c>
      <c r="I28" s="72">
        <f>SUM($G$7:G28)</f>
        <v>26938</v>
      </c>
      <c r="J28" s="64">
        <f t="shared" si="5"/>
        <v>0.3189401025325298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04">
        <f t="shared" si="3"/>
        <v>54</v>
      </c>
      <c r="E29" s="204">
        <f t="shared" si="0"/>
        <v>4</v>
      </c>
      <c r="F29" s="206">
        <f t="shared" si="4"/>
        <v>66.150000000000006</v>
      </c>
      <c r="G29" s="208">
        <f>IF(D29=D28,"",_xlfn.IFNA(VLOOKUP(D29,'인원 입력 기능(사과탐)'!$P$177:$S$231,4,FALSE),0))</f>
        <v>3301</v>
      </c>
      <c r="H29" s="210">
        <f t="shared" si="1"/>
        <v>3.908312712376126E-2</v>
      </c>
      <c r="I29" s="221">
        <f>SUM($G$7:G29)</f>
        <v>30239</v>
      </c>
      <c r="J29" s="200">
        <f t="shared" si="5"/>
        <v>0.35802322965629108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05"/>
      <c r="E30" s="205"/>
      <c r="F30" s="207"/>
      <c r="G30" s="209"/>
      <c r="H30" s="211"/>
      <c r="I30" s="222"/>
      <c r="J30" s="201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63.13</v>
      </c>
      <c r="G31" s="61">
        <f>IF(D31=D30,"",_xlfn.IFNA(VLOOKUP(D31,'인원 입력 기능(사과탐)'!$P$177:$S$231,4,FALSE),0))</f>
        <v>1804</v>
      </c>
      <c r="H31" s="62">
        <f t="shared" si="1"/>
        <v>2.1358970412379677E-2</v>
      </c>
      <c r="I31" s="72">
        <f>SUM($G$7:G31)</f>
        <v>32043</v>
      </c>
      <c r="J31" s="64">
        <f t="shared" si="5"/>
        <v>0.37938220006867074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61.07</v>
      </c>
      <c r="G32" s="61">
        <f>IF(D32=D31,"",_xlfn.IFNA(VLOOKUP(D32,'인원 입력 기능(사과탐)'!$P$177:$S$231,4,FALSE),0))</f>
        <v>1672</v>
      </c>
      <c r="H32" s="62">
        <f t="shared" si="1"/>
        <v>1.979611891879092E-2</v>
      </c>
      <c r="I32" s="72">
        <f>SUM($G$7:G32)</f>
        <v>33715</v>
      </c>
      <c r="J32" s="64">
        <f t="shared" si="5"/>
        <v>0.39917831898746164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4</v>
      </c>
      <c r="F33" s="60">
        <f t="shared" si="4"/>
        <v>58.95</v>
      </c>
      <c r="G33" s="61">
        <f>IF(D33=D32,"",_xlfn.IFNA(VLOOKUP(D33,'인원 입력 기능(사과탐)'!$P$177:$S$231,4,FALSE),0))</f>
        <v>1915</v>
      </c>
      <c r="H33" s="62">
        <f t="shared" si="1"/>
        <v>2.2673186441079313E-2</v>
      </c>
      <c r="I33" s="72">
        <f>SUM($G$7:G33)</f>
        <v>35630</v>
      </c>
      <c r="J33" s="64">
        <f t="shared" si="5"/>
        <v>0.421851505428541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56.7</v>
      </c>
      <c r="G34" s="61">
        <f>IF(D34=D33,"",_xlfn.IFNA(VLOOKUP(D34,'인원 입력 기능(사과탐)'!$P$177:$S$231,4,FALSE),0))</f>
        <v>1884</v>
      </c>
      <c r="H34" s="62">
        <f t="shared" si="1"/>
        <v>2.2306153135766803E-2</v>
      </c>
      <c r="I34" s="72">
        <f>SUM($G$7:G34)</f>
        <v>37514</v>
      </c>
      <c r="J34" s="64">
        <f t="shared" si="5"/>
        <v>0.44415765856430778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04">
        <f t="shared" si="3"/>
        <v>49</v>
      </c>
      <c r="E35" s="204">
        <f t="shared" si="0"/>
        <v>5</v>
      </c>
      <c r="F35" s="206">
        <f t="shared" si="4"/>
        <v>53.14</v>
      </c>
      <c r="G35" s="208">
        <f>IF(D35=D34,"",_xlfn.IFNA(VLOOKUP(D35,'인원 입력 기능(사과탐)'!$P$177:$S$231,4,FALSE),0))</f>
        <v>4132</v>
      </c>
      <c r="H35" s="210">
        <f t="shared" si="1"/>
        <v>4.8921987662945025E-2</v>
      </c>
      <c r="I35" s="221">
        <f>SUM($G$7:G35)</f>
        <v>41646</v>
      </c>
      <c r="J35" s="200">
        <f t="shared" si="5"/>
        <v>0.49307964622725281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05"/>
      <c r="E36" s="205"/>
      <c r="F36" s="207"/>
      <c r="G36" s="209"/>
      <c r="H36" s="211"/>
      <c r="I36" s="222"/>
      <c r="J36" s="201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49.46</v>
      </c>
      <c r="G37" s="61">
        <f>IF(D37=D36,"",_xlfn.IFNA(VLOOKUP(D37,'인원 입력 기능(사과탐)'!$P$177:$S$231,4,FALSE),0))</f>
        <v>2078</v>
      </c>
      <c r="H37" s="62">
        <f t="shared" si="1"/>
        <v>2.4603071239980581E-2</v>
      </c>
      <c r="I37" s="72">
        <f>SUM($G$7:G37)</f>
        <v>43724</v>
      </c>
      <c r="J37" s="64">
        <f t="shared" si="5"/>
        <v>0.51768271746723338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46.75</v>
      </c>
      <c r="G38" s="61">
        <f>IF(D38=D37,"",_xlfn.IFNA(VLOOKUP(D38,'인원 입력 기능(사과탐)'!$P$177:$S$231,4,FALSE),0))</f>
        <v>2502</v>
      </c>
      <c r="H38" s="62">
        <f t="shared" si="1"/>
        <v>2.9623139673932347E-2</v>
      </c>
      <c r="I38" s="72">
        <f>SUM($G$7:G38)</f>
        <v>46226</v>
      </c>
      <c r="J38" s="64">
        <f t="shared" si="5"/>
        <v>0.54730585714116575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43.88</v>
      </c>
      <c r="G39" s="61">
        <f>IF(D39=D38,"",_xlfn.IFNA(VLOOKUP(D39,'인원 입력 기능(사과탐)'!$P$177:$S$231,4,FALSE),0))</f>
        <v>2353</v>
      </c>
      <c r="H39" s="62">
        <f t="shared" si="1"/>
        <v>2.7859011851623827E-2</v>
      </c>
      <c r="I39" s="72">
        <f>SUM($G$7:G39)</f>
        <v>48579</v>
      </c>
      <c r="J39" s="64">
        <f t="shared" si="5"/>
        <v>0.57516486899278962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04">
        <f t="shared" si="3"/>
        <v>45</v>
      </c>
      <c r="E40" s="204">
        <f t="shared" si="6"/>
        <v>5</v>
      </c>
      <c r="F40" s="206">
        <f t="shared" si="4"/>
        <v>39.43</v>
      </c>
      <c r="G40" s="208">
        <f>IF(D40=D39,"",_xlfn.IFNA(VLOOKUP(D40,'인원 입력 기능(사과탐)'!$P$177:$S$231,4,FALSE),0))</f>
        <v>5154</v>
      </c>
      <c r="H40" s="210">
        <f t="shared" si="1"/>
        <v>6.1022246954215556E-2</v>
      </c>
      <c r="I40" s="221">
        <f>SUM($G$7:G40)</f>
        <v>53733</v>
      </c>
      <c r="J40" s="200">
        <f t="shared" si="5"/>
        <v>0.63618711594700517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5"/>
      <c r="E41" s="205"/>
      <c r="F41" s="207"/>
      <c r="G41" s="209"/>
      <c r="H41" s="211"/>
      <c r="I41" s="222"/>
      <c r="J41" s="201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34.78</v>
      </c>
      <c r="G42" s="61">
        <f>IF(D42=D41,"",_xlfn.IFNA(VLOOKUP(D42,'인원 입력 기능(사과탐)'!$P$177:$S$231,4,FALSE),0))</f>
        <v>2705</v>
      </c>
      <c r="H42" s="62">
        <f t="shared" si="1"/>
        <v>3.2026615834527178E-2</v>
      </c>
      <c r="I42" s="72">
        <f>SUM($G$7:G42)</f>
        <v>56438</v>
      </c>
      <c r="J42" s="64">
        <f t="shared" si="5"/>
        <v>0.66821373178153232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31.36</v>
      </c>
      <c r="G43" s="61">
        <f>IF(D43=D42,"",_xlfn.IFNA(VLOOKUP(D43,'인원 입력 기능(사과탐)'!$P$177:$S$231,4,FALSE),0))</f>
        <v>3078</v>
      </c>
      <c r="H43" s="62">
        <f t="shared" si="1"/>
        <v>3.644285528231965E-2</v>
      </c>
      <c r="I43" s="72">
        <f>SUM($G$7:G43)</f>
        <v>59516</v>
      </c>
      <c r="J43" s="64">
        <f t="shared" si="5"/>
        <v>0.70465658706385192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27.61</v>
      </c>
      <c r="G44" s="61">
        <f>IF(D44=D43,"",_xlfn.IFNA(VLOOKUP(D44,'인원 입력 기능(사과탐)'!$P$177:$S$231,4,FALSE),0))</f>
        <v>3253</v>
      </c>
      <c r="H44" s="62">
        <f t="shared" si="1"/>
        <v>3.8514817489728986E-2</v>
      </c>
      <c r="I44" s="72">
        <f>SUM($G$7:G44)</f>
        <v>62769</v>
      </c>
      <c r="J44" s="64">
        <f t="shared" si="5"/>
        <v>0.74317140455358099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6</v>
      </c>
      <c r="F45" s="60">
        <f t="shared" si="4"/>
        <v>22.59</v>
      </c>
      <c r="G45" s="61">
        <f>IF(D45=D44,"",_xlfn.IFNA(VLOOKUP(D45,'인원 입력 기능(사과탐)'!$P$177:$S$231,4,FALSE),0))</f>
        <v>5221</v>
      </c>
      <c r="H45" s="62">
        <f t="shared" si="1"/>
        <v>6.1815512485052272E-2</v>
      </c>
      <c r="I45" s="72">
        <f>SUM($G$7:G45)</f>
        <v>67990</v>
      </c>
      <c r="J45" s="64">
        <f t="shared" si="5"/>
        <v>0.80498691703863323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04">
        <f t="shared" si="3"/>
        <v>40</v>
      </c>
      <c r="E46" s="204">
        <f t="shared" si="6"/>
        <v>7</v>
      </c>
      <c r="F46" s="206">
        <f t="shared" si="4"/>
        <v>16.41</v>
      </c>
      <c r="G46" s="208">
        <f>IF(D46=D45,"",_xlfn.IFNA(VLOOKUP(D46,'인원 입력 기능(사과탐)'!$P$177:$S$231,4,FALSE),0))</f>
        <v>5229</v>
      </c>
      <c r="H46" s="210">
        <f t="shared" si="1"/>
        <v>6.1910230757390987E-2</v>
      </c>
      <c r="I46" s="221">
        <f>SUM($G$7:G46)</f>
        <v>73219</v>
      </c>
      <c r="J46" s="200">
        <f t="shared" si="5"/>
        <v>0.86689714779602423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05"/>
      <c r="E47" s="205"/>
      <c r="F47" s="207"/>
      <c r="G47" s="209"/>
      <c r="H47" s="211"/>
      <c r="I47" s="222"/>
      <c r="J47" s="201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6"/>
        <v>7</v>
      </c>
      <c r="F48" s="60">
        <f t="shared" si="4"/>
        <v>11.9</v>
      </c>
      <c r="G48" s="61">
        <f>IF(D48=D47,"",_xlfn.IFNA(VLOOKUP(D48,'인원 입력 기능(사과탐)'!$P$177:$S$231,4,FALSE),0))</f>
        <v>2377</v>
      </c>
      <c r="H48" s="62">
        <f t="shared" si="1"/>
        <v>2.8143166668639964E-2</v>
      </c>
      <c r="I48" s="72">
        <f>SUM($G$7:G48)</f>
        <v>75596</v>
      </c>
      <c r="J48" s="64">
        <f t="shared" si="5"/>
        <v>0.89504031446466414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6"/>
        <v>8</v>
      </c>
      <c r="F49" s="60">
        <f t="shared" si="4"/>
        <v>9.35</v>
      </c>
      <c r="G49" s="61">
        <f>IF(D49=D48,"",_xlfn.IFNA(VLOOKUP(D49,'인원 입력 기능(사과탐)'!$P$177:$S$231,4,FALSE),0))</f>
        <v>1943</v>
      </c>
      <c r="H49" s="62">
        <f t="shared" si="1"/>
        <v>2.3004700394264808E-2</v>
      </c>
      <c r="I49" s="72">
        <f>SUM($G$7:G49)</f>
        <v>77539</v>
      </c>
      <c r="J49" s="64">
        <f t="shared" si="5"/>
        <v>0.91804501485892898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6"/>
        <v>8</v>
      </c>
      <c r="F50" s="60">
        <f t="shared" si="4"/>
        <v>6.27</v>
      </c>
      <c r="G50" s="61">
        <f>IF(D50=D49,"",_xlfn.IFNA(VLOOKUP(D50,'인원 입력 기능(사과탐)'!$P$177:$S$231,4,FALSE),0))</f>
        <v>3254</v>
      </c>
      <c r="H50" s="62">
        <f t="shared" si="1"/>
        <v>3.8526657273771324E-2</v>
      </c>
      <c r="I50" s="72">
        <f>SUM($G$7:G50)</f>
        <v>80793</v>
      </c>
      <c r="J50" s="64">
        <f t="shared" si="5"/>
        <v>0.95657167213270033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6"/>
        <v>8</v>
      </c>
      <c r="F51" s="60">
        <f t="shared" si="4"/>
        <v>3.72</v>
      </c>
      <c r="G51" s="61">
        <f>IF(D51=D50,"",_xlfn.IFNA(VLOOKUP(D51,'인원 입력 기능(사과탐)'!$P$177:$S$231,4,FALSE),0))</f>
        <v>1053</v>
      </c>
      <c r="H51" s="62">
        <f t="shared" si="1"/>
        <v>1.2467292596583038E-2</v>
      </c>
      <c r="I51" s="72">
        <f>SUM($G$7:G51)</f>
        <v>81846</v>
      </c>
      <c r="J51" s="64">
        <f t="shared" si="5"/>
        <v>0.9690389647292833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04">
        <f t="shared" si="3"/>
        <v>35</v>
      </c>
      <c r="E52" s="204">
        <f t="shared" si="6"/>
        <v>9</v>
      </c>
      <c r="F52" s="206">
        <f t="shared" si="4"/>
        <v>2.0699999999999998</v>
      </c>
      <c r="G52" s="208">
        <f>IF(D52=D51,"",_xlfn.IFNA(VLOOKUP(D52,'인원 입력 기능(사과탐)'!$P$177:$S$231,4,FALSE),0))</f>
        <v>1725</v>
      </c>
      <c r="H52" s="210">
        <f t="shared" si="1"/>
        <v>2.0423627473034892E-2</v>
      </c>
      <c r="I52" s="221">
        <f>SUM($G$7:G52)</f>
        <v>83571</v>
      </c>
      <c r="J52" s="200">
        <f t="shared" si="5"/>
        <v>0.98946259220231825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205"/>
      <c r="E53" s="205"/>
      <c r="F53" s="207"/>
      <c r="G53" s="209"/>
      <c r="H53" s="211"/>
      <c r="I53" s="222"/>
      <c r="J53" s="201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34</v>
      </c>
      <c r="E54" s="59">
        <f t="shared" si="6"/>
        <v>9</v>
      </c>
      <c r="F54" s="60">
        <f t="shared" si="4"/>
        <v>0.83</v>
      </c>
      <c r="G54" s="61">
        <f>IF(D54=D53,"",_xlfn.IFNA(VLOOKUP(D54,'인원 입력 기능(사과탐)'!$P$177:$S$231,4,FALSE),0))</f>
        <v>370</v>
      </c>
      <c r="H54" s="62">
        <f t="shared" si="1"/>
        <v>4.380720095665455E-3</v>
      </c>
      <c r="I54" s="72">
        <f>SUM($G$7:G54)</f>
        <v>83941</v>
      </c>
      <c r="J54" s="64">
        <f t="shared" si="5"/>
        <v>0.99384331229798373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33</v>
      </c>
      <c r="E55" s="59">
        <f t="shared" si="6"/>
        <v>9</v>
      </c>
      <c r="F55" s="60">
        <f t="shared" si="4"/>
        <v>0.38</v>
      </c>
      <c r="G55" s="61">
        <f>IF(D55=D54,"",_xlfn.IFNA(VLOOKUP(D55,'인원 입력 기능(사과탐)'!$P$177:$S$231,4,FALSE),0))</f>
        <v>393</v>
      </c>
      <c r="H55" s="62">
        <f t="shared" si="1"/>
        <v>4.6530351286392536E-3</v>
      </c>
      <c r="I55" s="72">
        <f>SUM($G$7:G55)</f>
        <v>84334</v>
      </c>
      <c r="J55" s="64">
        <f t="shared" si="5"/>
        <v>0.99849634742662297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31</v>
      </c>
      <c r="E57" s="112">
        <f t="shared" si="6"/>
        <v>9</v>
      </c>
      <c r="F57" s="79">
        <f>IF(I55=0,ROUND(100*(1-(I54+I57)/2/$J$3),2),ROUND(100*(1-(I55+I57)/2/$J$3),2))</f>
        <v>0.08</v>
      </c>
      <c r="G57" s="113">
        <f>_xlfn.IFNA(VLOOKUP(D57,'인원 입력 기능(사과탐)'!$P$177:$S$231,4,FALSE),0)</f>
        <v>127</v>
      </c>
      <c r="H57" s="81">
        <f>G57/$J$3</f>
        <v>1.5036525733770616E-3</v>
      </c>
      <c r="I57" s="82">
        <f>SUM($G$7:G57)</f>
        <v>84461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  <mergeCell ref="I18:I19"/>
    <mergeCell ref="J18:J19"/>
    <mergeCell ref="D23:D24"/>
    <mergeCell ref="E23:E24"/>
    <mergeCell ref="F23:F24"/>
    <mergeCell ref="G23:G24"/>
    <mergeCell ref="H23:H24"/>
    <mergeCell ref="I23:I24"/>
    <mergeCell ref="J23:J24"/>
    <mergeCell ref="D18:D19"/>
    <mergeCell ref="E18:E19"/>
    <mergeCell ref="F18:F19"/>
    <mergeCell ref="G18:G19"/>
    <mergeCell ref="H18:H19"/>
    <mergeCell ref="I29:I30"/>
    <mergeCell ref="J29:J30"/>
    <mergeCell ref="D35:D36"/>
    <mergeCell ref="E35:E36"/>
    <mergeCell ref="F35:F36"/>
    <mergeCell ref="G35:G36"/>
    <mergeCell ref="H35:H36"/>
    <mergeCell ref="I35:I36"/>
    <mergeCell ref="J35:J36"/>
    <mergeCell ref="D29:D30"/>
    <mergeCell ref="E29:E30"/>
    <mergeCell ref="F29:F30"/>
    <mergeCell ref="G29:G30"/>
    <mergeCell ref="H29:H30"/>
    <mergeCell ref="I40:I41"/>
    <mergeCell ref="J40:J41"/>
    <mergeCell ref="D46:D47"/>
    <mergeCell ref="E46:E47"/>
    <mergeCell ref="F46:F47"/>
    <mergeCell ref="G46:G47"/>
    <mergeCell ref="H46:H47"/>
    <mergeCell ref="I46:I47"/>
    <mergeCell ref="J46:J47"/>
    <mergeCell ref="D40:D41"/>
    <mergeCell ref="E40:E41"/>
    <mergeCell ref="F40:F41"/>
    <mergeCell ref="G40:G41"/>
    <mergeCell ref="H40:H41"/>
    <mergeCell ref="I52:I53"/>
    <mergeCell ref="J52:J53"/>
    <mergeCell ref="D52:D53"/>
    <mergeCell ref="E52:E53"/>
    <mergeCell ref="F52:F53"/>
    <mergeCell ref="G52:G53"/>
    <mergeCell ref="H52:H53"/>
  </mergeCells>
  <phoneticPr fontId="1" type="noConversion"/>
  <conditionalFormatting sqref="D7:G12 I7:J12 D14:G18 I14:J18 D20:G23 I20:J23 D25:G29 I25:J29 D31:G35 I31:J35 D37:G40 I37:J40 D42:G46 I42:J46 D48:G52 I48:J52 D54:G57 I54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12 D14:D18 D20:D23 D25:D29 D31:D35 D37:D40 D42:D46 D48:D52 D54:D57">
    <cfRule type="expression" dxfId="1" priority="2">
      <formula>$D7=$D8</formula>
    </cfRule>
  </conditionalFormatting>
  <conditionalFormatting sqref="H7:H12 H14:H18 H20:H23 H25:H29 H31:H35 H37:H40 H42:H46 H48:H52 H54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topLeftCell="A22" zoomScale="85" zoomScaleNormal="85" workbookViewId="0">
      <selection activeCell="B3" sqref="B3:M39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67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s="119" customFormat="1" ht="25" customHeight="1" x14ac:dyDescent="0.45">
      <c r="A4" s="116"/>
      <c r="B4" s="117"/>
      <c r="C4" s="48" t="s">
        <v>68</v>
      </c>
      <c r="D4" s="236" t="s">
        <v>134</v>
      </c>
      <c r="E4" s="236"/>
      <c r="F4" s="236"/>
      <c r="G4" s="237"/>
      <c r="H4" s="37"/>
      <c r="I4" s="37"/>
      <c r="J4" s="37"/>
      <c r="K4" s="37"/>
      <c r="L4" s="38"/>
      <c r="M4" s="118"/>
    </row>
    <row r="5" spans="1:13" s="119" customFormat="1" ht="25" customHeight="1" thickBot="1" x14ac:dyDescent="0.5">
      <c r="A5" s="116"/>
      <c r="B5" s="117"/>
      <c r="C5" s="51" t="s">
        <v>104</v>
      </c>
      <c r="D5" s="238" t="s">
        <v>105</v>
      </c>
      <c r="E5" s="238"/>
      <c r="F5" s="238"/>
      <c r="G5" s="239"/>
      <c r="H5" s="37"/>
      <c r="I5" s="37"/>
      <c r="J5" s="37"/>
      <c r="K5" s="37"/>
      <c r="L5" s="38"/>
      <c r="M5" s="118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128" customFormat="1" ht="25" customHeight="1" thickBot="1" x14ac:dyDescent="0.5">
      <c r="A8" s="120"/>
      <c r="B8" s="121"/>
      <c r="C8" s="122" t="s">
        <v>106</v>
      </c>
      <c r="D8" s="123" t="s">
        <v>107</v>
      </c>
      <c r="E8" s="124" t="s">
        <v>108</v>
      </c>
      <c r="F8" s="125"/>
      <c r="G8" s="126"/>
      <c r="H8" s="126"/>
      <c r="I8" s="126"/>
      <c r="J8" s="126"/>
      <c r="K8" s="126"/>
      <c r="L8" s="126"/>
      <c r="M8" s="127"/>
    </row>
    <row r="9" spans="1:13" s="128" customFormat="1" ht="25" customHeight="1" x14ac:dyDescent="0.45">
      <c r="A9" s="120"/>
      <c r="B9" s="121"/>
      <c r="C9" s="129" t="s">
        <v>109</v>
      </c>
      <c r="D9" s="130">
        <f>ROUNDUP((국어!$Q7-0.5-100)/20*국어!$H$4+국어!$H$3, 0)</f>
        <v>85</v>
      </c>
      <c r="E9" s="131">
        <f>ROUNDUP((수학!$Q7-0.5-100)/20*수학!$H$4+수학!$H$3, 0)</f>
        <v>80</v>
      </c>
      <c r="F9" s="125"/>
      <c r="G9" s="126"/>
      <c r="H9" s="126"/>
      <c r="I9" s="126"/>
      <c r="J9" s="126"/>
      <c r="K9" s="126"/>
      <c r="L9" s="126"/>
      <c r="M9" s="127"/>
    </row>
    <row r="10" spans="1:13" s="128" customFormat="1" ht="25" customHeight="1" x14ac:dyDescent="0.45">
      <c r="A10" s="120"/>
      <c r="B10" s="121"/>
      <c r="C10" s="132" t="s">
        <v>110</v>
      </c>
      <c r="D10" s="109">
        <f>ROUNDUP((국어!$Q8-0.5-100)/20*국어!$H$4+국어!$H$3, 0)</f>
        <v>76</v>
      </c>
      <c r="E10" s="133">
        <f>ROUNDUP((수학!$Q8-0.5-100)/20*수학!$H$4+수학!$H$3, 0)</f>
        <v>68</v>
      </c>
      <c r="F10" s="125"/>
      <c r="G10" s="126"/>
      <c r="H10" s="126"/>
      <c r="I10" s="126"/>
      <c r="J10" s="126"/>
      <c r="K10" s="126"/>
      <c r="L10" s="126"/>
      <c r="M10" s="127"/>
    </row>
    <row r="11" spans="1:13" s="128" customFormat="1" ht="25" customHeight="1" x14ac:dyDescent="0.45">
      <c r="A11" s="120"/>
      <c r="B11" s="121"/>
      <c r="C11" s="132" t="s">
        <v>111</v>
      </c>
      <c r="D11" s="109">
        <f>ROUNDUP((국어!$Q9-0.5-100)/20*국어!$H$4+국어!$H$3, 0)</f>
        <v>66</v>
      </c>
      <c r="E11" s="133">
        <f>ROUNDUP((수학!$Q9-0.5-100)/20*수학!$H$4+수학!$H$3, 0)</f>
        <v>54</v>
      </c>
      <c r="F11" s="125"/>
      <c r="G11" s="126"/>
      <c r="H11" s="126"/>
      <c r="I11" s="126"/>
      <c r="J11" s="126"/>
      <c r="K11" s="126"/>
      <c r="L11" s="126"/>
      <c r="M11" s="127"/>
    </row>
    <row r="12" spans="1:13" s="128" customFormat="1" ht="25" customHeight="1" x14ac:dyDescent="0.45">
      <c r="A12" s="120"/>
      <c r="B12" s="121"/>
      <c r="C12" s="132" t="s">
        <v>112</v>
      </c>
      <c r="D12" s="109">
        <f>ROUNDUP((국어!$Q10-0.5-100)/20*국어!$H$4+국어!$H$3, 0)</f>
        <v>54</v>
      </c>
      <c r="E12" s="133">
        <f>ROUNDUP((수학!$Q10-0.5-100)/20*수학!$H$4+수학!$H$3, 0)</f>
        <v>40</v>
      </c>
      <c r="F12" s="125"/>
      <c r="G12" s="125"/>
      <c r="H12" s="125"/>
      <c r="I12" s="125"/>
      <c r="J12" s="125"/>
      <c r="K12" s="125"/>
      <c r="L12" s="126"/>
      <c r="M12" s="127"/>
    </row>
    <row r="13" spans="1:13" s="128" customFormat="1" ht="25" customHeight="1" x14ac:dyDescent="0.45">
      <c r="A13" s="120"/>
      <c r="B13" s="121"/>
      <c r="C13" s="132" t="s">
        <v>113</v>
      </c>
      <c r="D13" s="109">
        <f>ROUNDUP((국어!$Q11-0.5-100)/20*국어!$H$4+국어!$H$3, 0)</f>
        <v>41</v>
      </c>
      <c r="E13" s="133">
        <f>ROUNDUP((수학!$Q11-0.5-100)/20*수학!$H$4+수학!$H$3, 0)</f>
        <v>27</v>
      </c>
      <c r="F13" s="125"/>
      <c r="G13" s="125"/>
      <c r="H13" s="125"/>
      <c r="I13" s="125"/>
      <c r="J13" s="125"/>
      <c r="K13" s="125"/>
      <c r="L13" s="126"/>
      <c r="M13" s="127"/>
    </row>
    <row r="14" spans="1:13" s="128" customFormat="1" ht="25" customHeight="1" x14ac:dyDescent="0.45">
      <c r="A14" s="120"/>
      <c r="B14" s="121"/>
      <c r="C14" s="132" t="s">
        <v>114</v>
      </c>
      <c r="D14" s="109">
        <f>ROUNDUP((국어!$Q12-0.5-100)/20*국어!$H$4+국어!$H$3, 0)</f>
        <v>29</v>
      </c>
      <c r="E14" s="133">
        <f>ROUNDUP((수학!$Q12-0.5-100)/20*수학!$H$4+수학!$H$3, 0)</f>
        <v>18</v>
      </c>
      <c r="F14" s="125"/>
      <c r="G14" s="125"/>
      <c r="H14" s="125"/>
      <c r="I14" s="125"/>
      <c r="J14" s="125"/>
      <c r="K14" s="125"/>
      <c r="L14" s="126"/>
      <c r="M14" s="127"/>
    </row>
    <row r="15" spans="1:13" s="128" customFormat="1" ht="25" customHeight="1" x14ac:dyDescent="0.45">
      <c r="A15" s="120"/>
      <c r="B15" s="121"/>
      <c r="C15" s="132" t="s">
        <v>115</v>
      </c>
      <c r="D15" s="109">
        <f>ROUNDUP((국어!$Q13-0.5-100)/20*국어!$H$4+국어!$H$3, 0)</f>
        <v>21</v>
      </c>
      <c r="E15" s="133">
        <f>ROUNDUP((수학!$Q13-0.5-100)/20*수학!$H$4+수학!$H$3, 0)</f>
        <v>15</v>
      </c>
      <c r="F15" s="125"/>
      <c r="G15" s="125"/>
      <c r="H15" s="125"/>
      <c r="I15" s="125"/>
      <c r="J15" s="125"/>
      <c r="K15" s="125"/>
      <c r="L15" s="126"/>
      <c r="M15" s="127"/>
    </row>
    <row r="16" spans="1:13" s="128" customFormat="1" ht="25" customHeight="1" thickBot="1" x14ac:dyDescent="0.5">
      <c r="A16" s="120"/>
      <c r="B16" s="121"/>
      <c r="C16" s="134" t="s">
        <v>116</v>
      </c>
      <c r="D16" s="135">
        <f>ROUNDUP((국어!$Q14-0.5-100)/20*국어!$H$4+국어!$H$3, 0)</f>
        <v>16</v>
      </c>
      <c r="E16" s="136">
        <f>ROUNDUP((수학!$Q14-0.5-100)/20*수학!$H$4+수학!$H$3, 0)</f>
        <v>10</v>
      </c>
      <c r="F16" s="125"/>
      <c r="G16" s="125"/>
      <c r="H16" s="125"/>
      <c r="I16" s="125"/>
      <c r="J16" s="125"/>
      <c r="K16" s="125"/>
      <c r="L16" s="126"/>
      <c r="M16" s="127"/>
    </row>
    <row r="17" spans="1:13" s="128" customFormat="1" ht="25" customHeight="1" x14ac:dyDescent="0.45">
      <c r="A17" s="120"/>
      <c r="B17" s="121"/>
      <c r="C17" s="125"/>
      <c r="D17" s="125"/>
      <c r="E17" s="125"/>
      <c r="F17" s="125"/>
      <c r="G17" s="125"/>
      <c r="H17" s="125"/>
      <c r="I17" s="125"/>
      <c r="J17" s="125"/>
      <c r="K17" s="125"/>
      <c r="L17" s="126"/>
      <c r="M17" s="127"/>
    </row>
    <row r="18" spans="1:13" s="128" customFormat="1" ht="25" customHeight="1" thickBot="1" x14ac:dyDescent="0.5">
      <c r="A18" s="120"/>
      <c r="B18" s="121"/>
      <c r="C18" s="125"/>
      <c r="D18" s="125"/>
      <c r="E18" s="125"/>
      <c r="F18" s="125"/>
      <c r="G18" s="125"/>
      <c r="H18" s="125"/>
      <c r="I18" s="125"/>
      <c r="J18" s="125"/>
      <c r="K18" s="125"/>
      <c r="L18" s="126"/>
      <c r="M18" s="127"/>
    </row>
    <row r="19" spans="1:13" s="128" customFormat="1" ht="25" customHeight="1" thickBot="1" x14ac:dyDescent="0.5">
      <c r="A19" s="120"/>
      <c r="B19" s="121"/>
      <c r="C19" s="137" t="s">
        <v>117</v>
      </c>
      <c r="D19" s="138" t="s">
        <v>118</v>
      </c>
      <c r="E19" s="139" t="s">
        <v>119</v>
      </c>
      <c r="F19" s="139" t="s">
        <v>120</v>
      </c>
      <c r="G19" s="139" t="s">
        <v>121</v>
      </c>
      <c r="H19" s="139" t="s">
        <v>122</v>
      </c>
      <c r="I19" s="139" t="s">
        <v>123</v>
      </c>
      <c r="J19" s="139" t="s">
        <v>124</v>
      </c>
      <c r="K19" s="139" t="s">
        <v>125</v>
      </c>
      <c r="L19" s="124" t="s">
        <v>126</v>
      </c>
      <c r="M19" s="127"/>
    </row>
    <row r="20" spans="1:13" s="128" customFormat="1" ht="25" customHeight="1" x14ac:dyDescent="0.45">
      <c r="A20" s="120"/>
      <c r="B20" s="121"/>
      <c r="C20" s="140" t="s">
        <v>109</v>
      </c>
      <c r="D20" s="109">
        <f>ROUNDUP(('생활과 윤리'!$Q7-0.5-50)/10*'생활과 윤리'!$H$4+'생활과 윤리'!$H$3, 0)</f>
        <v>42</v>
      </c>
      <c r="E20" s="74">
        <f>ROUNDUP(('윤리와 사상'!$Q7-0.5-50)/10*'윤리와 사상'!$H$4+'윤리와 사상'!$H$3, 0)</f>
        <v>43</v>
      </c>
      <c r="F20" s="74">
        <f>ROUNDUP((한국지리!$Q7-0.5-50)/10*한국지리!$H$4+한국지리!$H$3, 0)</f>
        <v>41</v>
      </c>
      <c r="G20" s="74">
        <f>ROUNDUP((세계지리!$Q7-0.5-50)/10*세계지리!$H$4+세계지리!$H$3, 0)</f>
        <v>40</v>
      </c>
      <c r="H20" s="74">
        <f>ROUNDUP((동아시아사!$Q7-0.5-50)/10*동아시아사!$H$4+동아시아사!$H$3, 0)</f>
        <v>46</v>
      </c>
      <c r="I20" s="74">
        <f>ROUNDUP((세계사!$Q7-0.5-50)/10*세계사!$H$4+세계사!$H$3, 0)</f>
        <v>44</v>
      </c>
      <c r="J20" s="74">
        <f>ROUNDUP((경제!$Q7-0.5-50)/10*경제!$H$4+경제!$H$3, 0)</f>
        <v>41</v>
      </c>
      <c r="K20" s="74">
        <f>ROUNDUP(('정치와 법'!$Q7-0.5-50)/10*'정치와 법'!$H$4+'정치와 법'!$H$3, 0)</f>
        <v>44</v>
      </c>
      <c r="L20" s="141">
        <f>ROUNDUP((사회∙문화!$Q7-0.5-50)/10*사회∙문화!$H$4+사회∙문화!$H$3, 0)</f>
        <v>47</v>
      </c>
      <c r="M20" s="127"/>
    </row>
    <row r="21" spans="1:13" s="128" customFormat="1" ht="25" customHeight="1" x14ac:dyDescent="0.45">
      <c r="A21" s="120"/>
      <c r="B21" s="121"/>
      <c r="C21" s="142" t="s">
        <v>110</v>
      </c>
      <c r="D21" s="73">
        <f>ROUNDUP(('생활과 윤리'!$Q8-0.5-50)/10*'생활과 윤리'!$H$4+'생활과 윤리'!$H$3, 0)</f>
        <v>36</v>
      </c>
      <c r="E21" s="143">
        <f>ROUNDUP(('윤리와 사상'!$Q8-0.5-50)/10*'윤리와 사상'!$H$4+'윤리와 사상'!$H$3, 0)</f>
        <v>37</v>
      </c>
      <c r="F21" s="143">
        <f>ROUNDUP((한국지리!$Q8-0.5-50)/10*한국지리!$H$4+한국지리!$H$3, 0)</f>
        <v>35</v>
      </c>
      <c r="G21" s="143">
        <f>ROUNDUP((세계지리!$Q8-0.5-50)/10*세계지리!$H$4+세계지리!$H$3, 0)</f>
        <v>34</v>
      </c>
      <c r="H21" s="143">
        <f>ROUNDUP((동아시아사!$Q8-0.5-50)/10*동아시아사!$H$4+동아시아사!$H$3, 0)</f>
        <v>40</v>
      </c>
      <c r="I21" s="143">
        <f>ROUNDUP((세계사!$Q8-0.5-50)/10*세계사!$H$4+세계사!$H$3, 0)</f>
        <v>35</v>
      </c>
      <c r="J21" s="143">
        <f>ROUNDUP((경제!$Q8-0.5-50)/10*경제!$H$4+경제!$H$3, 0)</f>
        <v>33</v>
      </c>
      <c r="K21" s="143">
        <f>ROUNDUP(('정치와 법'!$Q8-0.5-50)/10*'정치와 법'!$H$4+'정치와 법'!$H$3, 0)</f>
        <v>37</v>
      </c>
      <c r="L21" s="144">
        <f>ROUNDUP((사회∙문화!$Q8-0.5-50)/10*사회∙문화!$H$4+사회∙문화!$H$3, 0)</f>
        <v>41</v>
      </c>
      <c r="M21" s="127"/>
    </row>
    <row r="22" spans="1:13" s="128" customFormat="1" ht="25" customHeight="1" x14ac:dyDescent="0.45">
      <c r="A22" s="120"/>
      <c r="B22" s="121"/>
      <c r="C22" s="142" t="s">
        <v>111</v>
      </c>
      <c r="D22" s="73">
        <f>ROUNDUP(('생활과 윤리'!$Q9-0.5-50)/10*'생활과 윤리'!$H$4+'생활과 윤리'!$H$3, 0)</f>
        <v>30</v>
      </c>
      <c r="E22" s="143">
        <f>ROUNDUP(('윤리와 사상'!$Q9-0.5-50)/10*'윤리와 사상'!$H$4+'윤리와 사상'!$H$3, 0)</f>
        <v>31</v>
      </c>
      <c r="F22" s="143">
        <f>ROUNDUP((한국지리!$Q9-0.5-50)/10*한국지리!$H$4+한국지리!$H$3, 0)</f>
        <v>29</v>
      </c>
      <c r="G22" s="143">
        <f>ROUNDUP((세계지리!$Q9-0.5-50)/10*세계지리!$H$4+세계지리!$H$3, 0)</f>
        <v>28</v>
      </c>
      <c r="H22" s="143">
        <f>ROUNDUP((동아시아사!$Q9-0.5-50)/10*동아시아사!$H$4+동아시아사!$H$3, 0)</f>
        <v>32</v>
      </c>
      <c r="I22" s="143">
        <f>ROUNDUP((세계사!$Q9-0.5-50)/10*세계사!$H$4+세계사!$H$3, 0)</f>
        <v>26</v>
      </c>
      <c r="J22" s="143">
        <f>ROUNDUP((경제!$Q9-0.5-50)/10*경제!$H$4+경제!$H$3, 0)</f>
        <v>26</v>
      </c>
      <c r="K22" s="143">
        <f>ROUNDUP(('정치와 법'!$Q9-0.5-50)/10*'정치와 법'!$H$4+'정치와 법'!$H$3, 0)</f>
        <v>30</v>
      </c>
      <c r="L22" s="144">
        <f>ROUNDUP((사회∙문화!$Q9-0.5-50)/10*사회∙문화!$H$4+사회∙문화!$H$3, 0)</f>
        <v>32</v>
      </c>
      <c r="M22" s="127"/>
    </row>
    <row r="23" spans="1:13" s="128" customFormat="1" ht="25" customHeight="1" x14ac:dyDescent="0.45">
      <c r="A23" s="120"/>
      <c r="B23" s="121"/>
      <c r="C23" s="142" t="s">
        <v>112</v>
      </c>
      <c r="D23" s="73">
        <f>ROUNDUP(('생활과 윤리'!$Q10-0.5-50)/10*'생활과 윤리'!$H$4+'생활과 윤리'!$H$3, 0)</f>
        <v>24</v>
      </c>
      <c r="E23" s="143">
        <f>ROUNDUP(('윤리와 사상'!$Q10-0.5-50)/10*'윤리와 사상'!$H$4+'윤리와 사상'!$H$3, 0)</f>
        <v>24</v>
      </c>
      <c r="F23" s="143">
        <f>ROUNDUP((한국지리!$Q10-0.5-50)/10*한국지리!$H$4+한국지리!$H$3, 0)</f>
        <v>23</v>
      </c>
      <c r="G23" s="143">
        <f>ROUNDUP((세계지리!$Q10-0.5-50)/10*세계지리!$H$4+세계지리!$H$3, 0)</f>
        <v>22</v>
      </c>
      <c r="H23" s="143">
        <f>ROUNDUP((동아시아사!$Q10-0.5-50)/10*동아시아사!$H$4+동아시아사!$H$3, 0)</f>
        <v>21</v>
      </c>
      <c r="I23" s="143">
        <f>ROUNDUP((세계사!$Q10-0.5-50)/10*세계사!$H$4+세계사!$H$3, 0)</f>
        <v>19</v>
      </c>
      <c r="J23" s="143">
        <f>ROUNDUP((경제!$Q10-0.5-50)/10*경제!$H$4+경제!$H$3, 0)</f>
        <v>18</v>
      </c>
      <c r="K23" s="143">
        <f>ROUNDUP(('정치와 법'!$Q10-0.5-50)/10*'정치와 법'!$H$4+'정치와 법'!$H$3, 0)</f>
        <v>23</v>
      </c>
      <c r="L23" s="144">
        <f>ROUNDUP((사회∙문화!$Q10-0.5-50)/10*사회∙문화!$H$4+사회∙문화!$H$3, 0)</f>
        <v>24</v>
      </c>
      <c r="M23" s="127"/>
    </row>
    <row r="24" spans="1:13" s="128" customFormat="1" ht="25" customHeight="1" x14ac:dyDescent="0.45">
      <c r="A24" s="120"/>
      <c r="B24" s="121"/>
      <c r="C24" s="142" t="s">
        <v>113</v>
      </c>
      <c r="D24" s="73">
        <f>ROUNDUP(('생활과 윤리'!$Q11-0.5-50)/10*'생활과 윤리'!$H$4+'생활과 윤리'!$H$3, 0)</f>
        <v>16</v>
      </c>
      <c r="E24" s="143">
        <f>ROUNDUP(('윤리와 사상'!$Q11-0.5-50)/10*'윤리와 사상'!$H$4+'윤리와 사상'!$H$3, 0)</f>
        <v>18</v>
      </c>
      <c r="F24" s="143">
        <f>ROUNDUP((한국지리!$Q11-0.5-50)/10*한국지리!$H$4+한국지리!$H$3, 0)</f>
        <v>17</v>
      </c>
      <c r="G24" s="143">
        <f>ROUNDUP((세계지리!$Q11-0.5-50)/10*세계지리!$H$4+세계지리!$H$3, 0)</f>
        <v>16</v>
      </c>
      <c r="H24" s="143">
        <f>ROUNDUP((동아시아사!$Q11-0.5-50)/10*동아시아사!$H$4+동아시아사!$H$3, 0)</f>
        <v>15</v>
      </c>
      <c r="I24" s="143">
        <f>ROUNDUP((세계사!$Q11-0.5-50)/10*세계사!$H$4+세계사!$H$3, 0)</f>
        <v>13</v>
      </c>
      <c r="J24" s="143">
        <f>ROUNDUP((경제!$Q11-0.5-50)/10*경제!$H$4+경제!$H$3, 0)</f>
        <v>13</v>
      </c>
      <c r="K24" s="143">
        <f>ROUNDUP(('정치와 법'!$Q11-0.5-50)/10*'정치와 법'!$H$4+'정치와 법'!$H$3, 0)</f>
        <v>15</v>
      </c>
      <c r="L24" s="144">
        <f>ROUNDUP((사회∙문화!$Q11-0.5-50)/10*사회∙문화!$H$4+사회∙문화!$H$3, 0)</f>
        <v>17</v>
      </c>
      <c r="M24" s="127"/>
    </row>
    <row r="25" spans="1:13" s="128" customFormat="1" ht="25" customHeight="1" x14ac:dyDescent="0.45">
      <c r="A25" s="120"/>
      <c r="B25" s="121"/>
      <c r="C25" s="142" t="s">
        <v>114</v>
      </c>
      <c r="D25" s="73">
        <f>ROUNDUP(('생활과 윤리'!$Q12-0.5-50)/10*'생활과 윤리'!$H$4+'생활과 윤리'!$H$3, 0)</f>
        <v>12</v>
      </c>
      <c r="E25" s="143">
        <f>ROUNDUP(('윤리와 사상'!$Q12-0.5-50)/10*'윤리와 사상'!$H$4+'윤리와 사상'!$H$3, 0)</f>
        <v>12</v>
      </c>
      <c r="F25" s="143">
        <f>ROUNDUP((한국지리!$Q12-0.5-50)/10*한국지리!$H$4+한국지리!$H$3, 0)</f>
        <v>13</v>
      </c>
      <c r="G25" s="143">
        <f>ROUNDUP((세계지리!$Q12-0.5-50)/10*세계지리!$H$4+세계지리!$H$3, 0)</f>
        <v>11</v>
      </c>
      <c r="H25" s="143">
        <f>ROUNDUP((동아시아사!$Q12-0.5-50)/10*동아시아사!$H$4+동아시아사!$H$3, 0)</f>
        <v>11</v>
      </c>
      <c r="I25" s="143">
        <f>ROUNDUP((세계사!$Q12-0.5-50)/10*세계사!$H$4+세계사!$H$3, 0)</f>
        <v>10</v>
      </c>
      <c r="J25" s="143">
        <f>ROUNDUP((경제!$Q12-0.5-50)/10*경제!$H$4+경제!$H$3, 0)</f>
        <v>10</v>
      </c>
      <c r="K25" s="143">
        <f>ROUNDUP(('정치와 법'!$Q12-0.5-50)/10*'정치와 법'!$H$4+'정치와 법'!$H$3, 0)</f>
        <v>12</v>
      </c>
      <c r="L25" s="144">
        <f>ROUNDUP((사회∙문화!$Q12-0.5-50)/10*사회∙문화!$H$4+사회∙문화!$H$3, 0)</f>
        <v>12</v>
      </c>
      <c r="M25" s="127"/>
    </row>
    <row r="26" spans="1:13" s="128" customFormat="1" ht="25" customHeight="1" x14ac:dyDescent="0.45">
      <c r="A26" s="120"/>
      <c r="B26" s="121"/>
      <c r="C26" s="142" t="s">
        <v>115</v>
      </c>
      <c r="D26" s="73">
        <f>ROUNDUP(('생활과 윤리'!$Q13-0.5-50)/10*'생활과 윤리'!$H$4+'생활과 윤리'!$H$3, 0)</f>
        <v>10</v>
      </c>
      <c r="E26" s="143">
        <f>ROUNDUP(('윤리와 사상'!$Q13-0.5-50)/10*'윤리와 사상'!$H$4+'윤리와 사상'!$H$3, 0)</f>
        <v>10</v>
      </c>
      <c r="F26" s="143">
        <f>ROUNDUP((한국지리!$Q13-0.5-50)/10*한국지리!$H$4+한국지리!$H$3, 0)</f>
        <v>10</v>
      </c>
      <c r="G26" s="143">
        <f>ROUNDUP((세계지리!$Q13-0.5-50)/10*세계지리!$H$4+세계지리!$H$3, 0)</f>
        <v>9</v>
      </c>
      <c r="H26" s="143">
        <f>ROUNDUP((동아시아사!$Q13-0.5-50)/10*동아시아사!$H$4+동아시아사!$H$3, 0)</f>
        <v>9</v>
      </c>
      <c r="I26" s="143">
        <f>ROUNDUP((세계사!$Q13-0.5-50)/10*세계사!$H$4+세계사!$H$3, 0)</f>
        <v>9</v>
      </c>
      <c r="J26" s="143">
        <f>ROUNDUP((경제!$Q13-0.5-50)/10*경제!$H$4+경제!$H$3, 0)</f>
        <v>7</v>
      </c>
      <c r="K26" s="143">
        <f>ROUNDUP(('정치와 법'!$Q13-0.5-50)/10*'정치와 법'!$H$4+'정치와 법'!$H$3, 0)</f>
        <v>7</v>
      </c>
      <c r="L26" s="144">
        <f>ROUNDUP((사회∙문화!$Q13-0.5-50)/10*사회∙문화!$H$4+사회∙문화!$H$3, 0)</f>
        <v>7</v>
      </c>
      <c r="M26" s="127"/>
    </row>
    <row r="27" spans="1:13" s="128" customFormat="1" ht="25" customHeight="1" thickBot="1" x14ac:dyDescent="0.5">
      <c r="A27" s="120"/>
      <c r="B27" s="121"/>
      <c r="C27" s="145" t="s">
        <v>116</v>
      </c>
      <c r="D27" s="146">
        <f>ROUNDUP(('생활과 윤리'!$Q14-0.5-50)/10*'생활과 윤리'!$H$4+'생활과 윤리'!$H$3, 0)</f>
        <v>7</v>
      </c>
      <c r="E27" s="147">
        <f>ROUNDUP(('윤리와 사상'!$Q14-0.5-50)/10*'윤리와 사상'!$H$4+'윤리와 사상'!$H$3, 0)</f>
        <v>7</v>
      </c>
      <c r="F27" s="147">
        <f>ROUNDUP((한국지리!$Q14-0.5-50)/10*한국지리!$H$4+한국지리!$H$3, 0)</f>
        <v>7</v>
      </c>
      <c r="G27" s="147">
        <f>ROUNDUP((세계지리!$Q14-0.5-50)/10*세계지리!$H$4+세계지리!$H$3, 0)</f>
        <v>7</v>
      </c>
      <c r="H27" s="147">
        <f>ROUNDUP((동아시아사!$Q14-0.5-50)/10*동아시아사!$H$4+동아시아사!$H$3, 0)</f>
        <v>5</v>
      </c>
      <c r="I27" s="147">
        <f>ROUNDUP((세계사!$Q14-0.5-50)/10*세계사!$H$4+세계사!$H$3, 0)</f>
        <v>6</v>
      </c>
      <c r="J27" s="147">
        <f>ROUNDUP((경제!$Q14-0.5-50)/10*경제!$H$4+경제!$H$3, 0)</f>
        <v>6</v>
      </c>
      <c r="K27" s="147">
        <f>ROUNDUP(('정치와 법'!$Q14-0.5-50)/10*'정치와 법'!$H$4+'정치와 법'!$H$3, 0)</f>
        <v>6</v>
      </c>
      <c r="L27" s="148" t="s">
        <v>136</v>
      </c>
      <c r="M27" s="127"/>
    </row>
    <row r="28" spans="1:13" s="128" customFormat="1" ht="25" customHeight="1" x14ac:dyDescent="0.45">
      <c r="A28" s="120"/>
      <c r="B28" s="121"/>
      <c r="C28" s="125"/>
      <c r="D28" s="125"/>
      <c r="E28" s="125"/>
      <c r="F28" s="125"/>
      <c r="G28" s="125"/>
      <c r="H28" s="125"/>
      <c r="I28" s="125"/>
      <c r="J28" s="125"/>
      <c r="K28" s="125"/>
      <c r="L28" s="126"/>
      <c r="M28" s="127"/>
    </row>
    <row r="29" spans="1:13" s="128" customFormat="1" ht="25" customHeight="1" thickBot="1" x14ac:dyDescent="0.5">
      <c r="A29" s="120"/>
      <c r="B29" s="121"/>
      <c r="C29" s="125"/>
      <c r="D29" s="125"/>
      <c r="E29" s="125"/>
      <c r="F29" s="125"/>
      <c r="G29" s="125"/>
      <c r="H29" s="125"/>
      <c r="I29" s="125"/>
      <c r="J29" s="125"/>
      <c r="K29" s="125"/>
      <c r="L29" s="126"/>
      <c r="M29" s="127"/>
    </row>
    <row r="30" spans="1:13" s="128" customFormat="1" ht="25" customHeight="1" thickBot="1" x14ac:dyDescent="0.5">
      <c r="A30" s="120"/>
      <c r="B30" s="121"/>
      <c r="C30" s="122" t="s">
        <v>127</v>
      </c>
      <c r="D30" s="123" t="s">
        <v>128</v>
      </c>
      <c r="E30" s="139" t="s">
        <v>129</v>
      </c>
      <c r="F30" s="123" t="s">
        <v>130</v>
      </c>
      <c r="G30" s="124" t="s">
        <v>131</v>
      </c>
      <c r="H30" s="125"/>
      <c r="I30" s="125"/>
      <c r="J30" s="126"/>
      <c r="K30" s="126"/>
      <c r="L30" s="126"/>
      <c r="M30" s="127"/>
    </row>
    <row r="31" spans="1:13" s="128" customFormat="1" ht="25" customHeight="1" x14ac:dyDescent="0.45">
      <c r="A31" s="120"/>
      <c r="B31" s="121"/>
      <c r="C31" s="129" t="s">
        <v>109</v>
      </c>
      <c r="D31" s="149">
        <f>ROUNDUP((물리학Ⅰ!$Q7-0.5-50)/10*물리학Ⅰ!$H$4+물리학Ⅰ!$H$3, 0)</f>
        <v>47</v>
      </c>
      <c r="E31" s="149">
        <f>ROUNDUP((화학Ⅰ!$Q7-0.5-50)/10*화학Ⅰ!$H$4+화학Ⅰ!$H$3, 0)</f>
        <v>44</v>
      </c>
      <c r="F31" s="149">
        <f>ROUNDUP((생명과학Ⅰ!$Q7-0.5-50)/10*생명과학Ⅰ!$H$4+생명과학Ⅰ!$H$3, 0)</f>
        <v>46</v>
      </c>
      <c r="G31" s="131">
        <f>ROUNDUP((지구과학Ⅰ!$Q7-0.5-50)/10*지구과학Ⅰ!$H$4+지구과학Ⅰ!$H$3, 0)</f>
        <v>44</v>
      </c>
      <c r="H31" s="125"/>
      <c r="I31" s="125"/>
      <c r="J31" s="126"/>
      <c r="K31" s="126"/>
      <c r="L31" s="126"/>
      <c r="M31" s="127"/>
    </row>
    <row r="32" spans="1:13" s="128" customFormat="1" ht="25" customHeight="1" x14ac:dyDescent="0.45">
      <c r="A32" s="120"/>
      <c r="B32" s="121"/>
      <c r="C32" s="132" t="s">
        <v>110</v>
      </c>
      <c r="D32" s="150">
        <f>ROUNDUP((물리학Ⅰ!$Q8-0.5-50)/10*물리학Ⅰ!$H$4+물리학Ⅰ!$H$3, 0)</f>
        <v>41</v>
      </c>
      <c r="E32" s="150">
        <f>ROUNDUP((화학Ⅰ!$Q8-0.5-50)/10*화학Ⅰ!$H$4+화학Ⅰ!$H$3, 0)</f>
        <v>39</v>
      </c>
      <c r="F32" s="150">
        <f>ROUNDUP((생명과학Ⅰ!$Q8-0.5-50)/10*생명과학Ⅰ!$H$4+생명과학Ⅰ!$H$3, 0)</f>
        <v>40</v>
      </c>
      <c r="G32" s="133">
        <f>ROUNDUP((지구과학Ⅰ!$Q8-0.5-50)/10*지구과학Ⅰ!$H$4+지구과학Ⅰ!$H$3, 0)</f>
        <v>40</v>
      </c>
      <c r="H32" s="125"/>
      <c r="I32" s="125"/>
      <c r="J32" s="126"/>
      <c r="K32" s="126"/>
      <c r="L32" s="126"/>
      <c r="M32" s="127"/>
    </row>
    <row r="33" spans="1:13" s="128" customFormat="1" ht="25" customHeight="1" x14ac:dyDescent="0.45">
      <c r="A33" s="120"/>
      <c r="B33" s="121"/>
      <c r="C33" s="132" t="s">
        <v>111</v>
      </c>
      <c r="D33" s="150">
        <f>ROUNDUP((물리학Ⅰ!$Q9-0.5-50)/10*물리학Ⅰ!$H$4+물리학Ⅰ!$H$3, 0)</f>
        <v>34</v>
      </c>
      <c r="E33" s="150">
        <f>ROUNDUP((화학Ⅰ!$Q9-0.5-50)/10*화학Ⅰ!$H$4+화학Ⅰ!$H$3, 0)</f>
        <v>30</v>
      </c>
      <c r="F33" s="150">
        <f>ROUNDUP((생명과학Ⅰ!$Q9-0.5-50)/10*생명과학Ⅰ!$H$4+생명과학Ⅰ!$H$3, 0)</f>
        <v>32</v>
      </c>
      <c r="G33" s="133">
        <f>ROUNDUP((지구과학Ⅰ!$Q9-0.5-50)/10*지구과학Ⅰ!$H$4+지구과학Ⅰ!$H$3, 0)</f>
        <v>33</v>
      </c>
      <c r="H33" s="125"/>
      <c r="I33" s="125"/>
      <c r="J33" s="126"/>
      <c r="K33" s="126"/>
      <c r="L33" s="126"/>
      <c r="M33" s="127"/>
    </row>
    <row r="34" spans="1:13" s="128" customFormat="1" ht="25" customHeight="1" x14ac:dyDescent="0.45">
      <c r="A34" s="120"/>
      <c r="B34" s="121"/>
      <c r="C34" s="132" t="s">
        <v>112</v>
      </c>
      <c r="D34" s="150">
        <f>ROUNDUP((물리학Ⅰ!$Q10-0.5-50)/10*물리학Ⅰ!$H$4+물리학Ⅰ!$H$3, 0)</f>
        <v>24</v>
      </c>
      <c r="E34" s="150">
        <f>ROUNDUP((화학Ⅰ!$Q10-0.5-50)/10*화학Ⅰ!$H$4+화학Ⅰ!$H$3, 0)</f>
        <v>23</v>
      </c>
      <c r="F34" s="150">
        <f>ROUNDUP((생명과학Ⅰ!$Q10-0.5-50)/10*생명과학Ⅰ!$H$4+생명과학Ⅰ!$H$3, 0)</f>
        <v>24</v>
      </c>
      <c r="G34" s="133">
        <f>ROUNDUP((지구과학Ⅰ!$Q10-0.5-50)/10*지구과학Ⅰ!$H$4+지구과학Ⅰ!$H$3, 0)</f>
        <v>24</v>
      </c>
      <c r="H34" s="125"/>
      <c r="I34" s="125"/>
      <c r="J34" s="126"/>
      <c r="K34" s="126"/>
      <c r="L34" s="126"/>
      <c r="M34" s="127"/>
    </row>
    <row r="35" spans="1:13" s="128" customFormat="1" ht="25" customHeight="1" x14ac:dyDescent="0.45">
      <c r="A35" s="120"/>
      <c r="B35" s="121"/>
      <c r="C35" s="132" t="s">
        <v>113</v>
      </c>
      <c r="D35" s="150">
        <f>ROUNDUP((물리학Ⅰ!$Q11-0.5-50)/10*물리학Ⅰ!$H$4+물리학Ⅰ!$H$3, 0)</f>
        <v>17</v>
      </c>
      <c r="E35" s="150">
        <f>ROUNDUP((화학Ⅰ!$Q11-0.5-50)/10*화학Ⅰ!$H$4+화학Ⅰ!$H$3, 0)</f>
        <v>17</v>
      </c>
      <c r="F35" s="150">
        <f>ROUNDUP((생명과학Ⅰ!$Q11-0.5-50)/10*생명과학Ⅰ!$H$4+생명과학Ⅰ!$H$3, 0)</f>
        <v>19</v>
      </c>
      <c r="G35" s="133">
        <f>ROUNDUP((지구과학Ⅰ!$Q11-0.5-50)/10*지구과학Ⅰ!$H$4+지구과학Ⅰ!$H$3, 0)</f>
        <v>16</v>
      </c>
      <c r="H35" s="125"/>
      <c r="I35" s="125"/>
      <c r="J35" s="126"/>
      <c r="K35" s="126"/>
      <c r="L35" s="126"/>
      <c r="M35" s="127"/>
    </row>
    <row r="36" spans="1:13" s="128" customFormat="1" ht="25" customHeight="1" x14ac:dyDescent="0.45">
      <c r="A36" s="120"/>
      <c r="B36" s="121"/>
      <c r="C36" s="132" t="s">
        <v>114</v>
      </c>
      <c r="D36" s="150">
        <f>ROUNDUP((물리학Ⅰ!$Q12-0.5-50)/10*물리학Ⅰ!$H$4+물리학Ⅰ!$H$3, 0)</f>
        <v>12</v>
      </c>
      <c r="E36" s="150">
        <f>ROUNDUP((화학Ⅰ!$Q12-0.5-50)/10*화학Ⅰ!$H$4+화학Ⅰ!$H$3, 0)</f>
        <v>13</v>
      </c>
      <c r="F36" s="150">
        <f>ROUNDUP((생명과학Ⅰ!$Q12-0.5-50)/10*생명과학Ⅰ!$H$4+생명과학Ⅰ!$H$3, 0)</f>
        <v>14</v>
      </c>
      <c r="G36" s="133">
        <f>ROUNDUP((지구과학Ⅰ!$Q12-0.5-50)/10*지구과학Ⅰ!$H$4+지구과학Ⅰ!$H$3, 0)</f>
        <v>12</v>
      </c>
      <c r="H36" s="125"/>
      <c r="I36" s="125"/>
      <c r="J36" s="126"/>
      <c r="K36" s="126"/>
      <c r="L36" s="126"/>
      <c r="M36" s="127"/>
    </row>
    <row r="37" spans="1:13" s="128" customFormat="1" ht="25" customHeight="1" x14ac:dyDescent="0.45">
      <c r="A37" s="120"/>
      <c r="B37" s="121"/>
      <c r="C37" s="132" t="s">
        <v>115</v>
      </c>
      <c r="D37" s="150">
        <f>ROUNDUP((물리학Ⅰ!$Q13-0.5-50)/10*물리학Ⅰ!$H$4+물리학Ⅰ!$H$3, 0)</f>
        <v>8</v>
      </c>
      <c r="E37" s="150">
        <f>ROUNDUP((화학Ⅰ!$Q13-0.5-50)/10*화학Ⅰ!$H$4+화학Ⅰ!$H$3, 0)</f>
        <v>9</v>
      </c>
      <c r="F37" s="150">
        <f>ROUNDUP((생명과학Ⅰ!$Q13-0.5-50)/10*생명과학Ⅰ!$H$4+생명과학Ⅰ!$H$3, 0)</f>
        <v>10</v>
      </c>
      <c r="G37" s="133">
        <f>ROUNDUP((지구과학Ⅰ!$Q13-0.5-50)/10*지구과학Ⅰ!$H$4+지구과학Ⅰ!$H$3, 0)</f>
        <v>9</v>
      </c>
      <c r="H37" s="125"/>
      <c r="I37" s="125"/>
      <c r="J37" s="126"/>
      <c r="K37" s="126"/>
      <c r="L37" s="126"/>
      <c r="M37" s="127"/>
    </row>
    <row r="38" spans="1:13" s="128" customFormat="1" ht="25" customHeight="1" thickBot="1" x14ac:dyDescent="0.5">
      <c r="A38" s="120"/>
      <c r="B38" s="121"/>
      <c r="C38" s="134" t="s">
        <v>116</v>
      </c>
      <c r="D38" s="151">
        <f>ROUNDUP((물리학Ⅰ!$Q14-0.5-50)/10*물리학Ⅰ!$H$4+물리학Ⅰ!$H$3, 0)</f>
        <v>7</v>
      </c>
      <c r="E38" s="151">
        <f>ROUNDUP((화학Ⅰ!$Q14-0.5-50)/10*화학Ⅰ!$H$4+화학Ⅰ!$H$3, 0)</f>
        <v>7</v>
      </c>
      <c r="F38" s="151">
        <f>ROUNDUP((생명과학Ⅰ!$Q14-0.5-50)/10*생명과학Ⅰ!$H$4+생명과학Ⅰ!$H$3, 0)</f>
        <v>7</v>
      </c>
      <c r="G38" s="136">
        <f>ROUNDUP((지구과학Ⅰ!$Q14-0.5-50)/10*지구과학Ⅰ!$H$4+지구과학Ⅰ!$H$3, 0)</f>
        <v>6</v>
      </c>
      <c r="H38" s="125"/>
      <c r="I38" s="125"/>
      <c r="J38" s="126"/>
      <c r="K38" s="126"/>
      <c r="L38" s="126"/>
      <c r="M38" s="127"/>
    </row>
    <row r="39" spans="1:13" s="26" customFormat="1" ht="6" customHeight="1" x14ac:dyDescent="0.45">
      <c r="A39" s="25"/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3"/>
      <c r="M39" s="44"/>
    </row>
    <row r="40" spans="1:13" x14ac:dyDescent="0.45">
      <c r="B40" s="5"/>
      <c r="C40" s="17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2024-03-14T12:06:28Z</dcterms:modified>
</cp:coreProperties>
</file>